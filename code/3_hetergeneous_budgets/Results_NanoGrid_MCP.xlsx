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<sst xmlns="http://schemas.openxmlformats.org/spreadsheetml/2006/main" count="91" uniqueCount="57">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</sst>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@"/>
    <numFmt numFmtId="168" formatCode="General"/>
    <numFmt numFmtId="169" formatCode="0.0000000"/>
    <numFmt numFmtId="170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53970673"/>
        <c:axId val="59181778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970673"/>
        <c:axId val="59181778"/>
      </c:lineChart>
      <c:catAx>
        <c:axId val="53970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9181778"/>
        <c:crosses val="autoZero"/>
        <c:auto val="1"/>
        <c:lblAlgn val="ctr"/>
        <c:lblOffset val="100"/>
        <c:noMultiLvlLbl val="0"/>
      </c:catAx>
      <c:valAx>
        <c:axId val="591817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39706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62.7760015210488</c:v>
                </c:pt>
                <c:pt idx="1">
                  <c:v>33.6533051339729</c:v>
                </c:pt>
                <c:pt idx="2">
                  <c:v>33.6529685966583</c:v>
                </c:pt>
                <c:pt idx="3">
                  <c:v>33.6526320648406</c:v>
                </c:pt>
                <c:pt idx="4">
                  <c:v>1.00025336125043</c:v>
                </c:pt>
                <c:pt idx="5">
                  <c:v>1.00024335658515</c:v>
                </c:pt>
                <c:pt idx="6">
                  <c:v>1.00023335415157</c:v>
                </c:pt>
                <c:pt idx="7">
                  <c:v>1.44795203705564E-017</c:v>
                </c:pt>
                <c:pt idx="8">
                  <c:v>6.68270878140721E-008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3.90747392630128E-008</c:v>
                </c:pt>
                <c:pt idx="27">
                  <c:v>2.53156210589618E-007</c:v>
                </c:pt>
                <c:pt idx="28">
                  <c:v>4.18097434400383E-007</c:v>
                </c:pt>
                <c:pt idx="29">
                  <c:v>3.41024122130294E-008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6.79355991587176</c:v>
                </c:pt>
                <c:pt idx="40">
                  <c:v>30.0179432074297</c:v>
                </c:pt>
                <c:pt idx="41">
                  <c:v>56.4495455622864</c:v>
                </c:pt>
                <c:pt idx="42">
                  <c:v>66.1163597347668</c:v>
                </c:pt>
                <c:pt idx="43">
                  <c:v>84.8246522400439</c:v>
                </c:pt>
                <c:pt idx="44">
                  <c:v>89.5796948165224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99.999</c:v>
                </c:pt>
                <c:pt idx="51">
                  <c:v>99.99800001</c:v>
                </c:pt>
                <c:pt idx="52">
                  <c:v>99.9970000299999</c:v>
                </c:pt>
                <c:pt idx="53">
                  <c:v>99.9960000599996</c:v>
                </c:pt>
                <c:pt idx="54">
                  <c:v>99.995000099999</c:v>
                </c:pt>
                <c:pt idx="55">
                  <c:v>99.994000149998</c:v>
                </c:pt>
                <c:pt idx="56">
                  <c:v>99.9930002099965</c:v>
                </c:pt>
                <c:pt idx="57">
                  <c:v>100</c:v>
                </c:pt>
                <c:pt idx="58">
                  <c:v>100</c:v>
                </c:pt>
                <c:pt idx="59">
                  <c:v>99.999</c:v>
                </c:pt>
                <c:pt idx="60">
                  <c:v>99.99800001</c:v>
                </c:pt>
                <c:pt idx="61">
                  <c:v>99.9970000299999</c:v>
                </c:pt>
                <c:pt idx="62">
                  <c:v>99.9960000599996</c:v>
                </c:pt>
                <c:pt idx="63">
                  <c:v>99.995000099999</c:v>
                </c:pt>
                <c:pt idx="64">
                  <c:v>99.994000149998</c:v>
                </c:pt>
                <c:pt idx="65">
                  <c:v>99.9930002099965</c:v>
                </c:pt>
                <c:pt idx="66">
                  <c:v>99.9920002906521</c:v>
                </c:pt>
                <c:pt idx="67">
                  <c:v>99.9910003592811</c:v>
                </c:pt>
                <c:pt idx="68">
                  <c:v>99.9900004492775</c:v>
                </c:pt>
                <c:pt idx="69">
                  <c:v>99.989000549273</c:v>
                </c:pt>
                <c:pt idx="70">
                  <c:v>99.9880006592675</c:v>
                </c:pt>
                <c:pt idx="71">
                  <c:v>99.9870007792609</c:v>
                </c:pt>
                <c:pt idx="72">
                  <c:v>99.9860009092531</c:v>
                </c:pt>
                <c:pt idx="73">
                  <c:v>99.985001049244</c:v>
                </c:pt>
                <c:pt idx="74">
                  <c:v>99.9840011992335</c:v>
                </c:pt>
                <c:pt idx="75">
                  <c:v>99.9830013592215</c:v>
                </c:pt>
                <c:pt idx="76">
                  <c:v>99.9820015292079</c:v>
                </c:pt>
                <c:pt idx="77">
                  <c:v>99.9810017091926</c:v>
                </c:pt>
                <c:pt idx="78">
                  <c:v>99.9800018991756</c:v>
                </c:pt>
                <c:pt idx="79">
                  <c:v>99.9790020991566</c:v>
                </c:pt>
                <c:pt idx="80">
                  <c:v>99.9780023091356</c:v>
                </c:pt>
                <c:pt idx="81">
                  <c:v>99.9770025291125</c:v>
                </c:pt>
                <c:pt idx="82">
                  <c:v>55.5561111166667</c:v>
                </c:pt>
                <c:pt idx="83">
                  <c:v>2.13166719930617E-009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3.94441611999496E-017</c:v>
                </c:pt>
                <c:pt idx="88">
                  <c:v>7.81580038872846E-009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9.94723317156699E-009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2.13166719926765E-009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4.02990416802285</c:v>
                </c:pt>
                <c:pt idx="123">
                  <c:v>0</c:v>
                </c:pt>
                <c:pt idx="124">
                  <c:v>3.94441612000053E-017</c:v>
                </c:pt>
                <c:pt idx="125">
                  <c:v>0</c:v>
                </c:pt>
                <c:pt idx="126">
                  <c:v>4.21319313700604</c:v>
                </c:pt>
                <c:pt idx="127">
                  <c:v>4.21315100507468</c:v>
                </c:pt>
                <c:pt idx="128">
                  <c:v>4.21310887356462</c:v>
                </c:pt>
                <c:pt idx="129">
                  <c:v>5.6107455826202</c:v>
                </c:pt>
                <c:pt idx="130">
                  <c:v>20.8694537494968</c:v>
                </c:pt>
                <c:pt idx="131">
                  <c:v>20.8692450549593</c:v>
                </c:pt>
                <c:pt idx="132">
                  <c:v>20.8690363625088</c:v>
                </c:pt>
                <c:pt idx="133">
                  <c:v>20.8688276721451</c:v>
                </c:pt>
                <c:pt idx="134">
                  <c:v>20.8686189838684</c:v>
                </c:pt>
                <c:pt idx="135">
                  <c:v>22.9334470322121</c:v>
                </c:pt>
                <c:pt idx="136">
                  <c:v>22.9332176977418</c:v>
                </c:pt>
                <c:pt idx="137">
                  <c:v>27.2689691801304</c:v>
                </c:pt>
                <c:pt idx="138">
                  <c:v>59.9186183814507</c:v>
                </c:pt>
                <c:pt idx="139">
                  <c:v>62.2254149963706</c:v>
                </c:pt>
                <c:pt idx="140">
                  <c:v>96.8925430034128</c:v>
                </c:pt>
                <c:pt idx="141">
                  <c:v>96.8915740779828</c:v>
                </c:pt>
                <c:pt idx="142">
                  <c:v>96.890605162242</c:v>
                </c:pt>
                <c:pt idx="143">
                  <c:v>96.8896362561904</c:v>
                </c:pt>
                <c:pt idx="144">
                  <c:v>96.8886673598278</c:v>
                </c:pt>
                <c:pt idx="145">
                  <c:v>96.8876984731542</c:v>
                </c:pt>
                <c:pt idx="146">
                  <c:v>96.8867295961694</c:v>
                </c:pt>
                <c:pt idx="147">
                  <c:v>96.8857607331902</c:v>
                </c:pt>
                <c:pt idx="148">
                  <c:v>96.8847918799001</c:v>
                </c:pt>
                <c:pt idx="149">
                  <c:v>96.8838230247863</c:v>
                </c:pt>
                <c:pt idx="150">
                  <c:v>96.8828541865561</c:v>
                </c:pt>
                <c:pt idx="151">
                  <c:v>96.8818853580143</c:v>
                </c:pt>
                <c:pt idx="152">
                  <c:v>96.8809165391607</c:v>
                </c:pt>
                <c:pt idx="153">
                  <c:v>96.8799477299953</c:v>
                </c:pt>
                <c:pt idx="154">
                  <c:v>98.6139026785355</c:v>
                </c:pt>
                <c:pt idx="155">
                  <c:v>100</c:v>
                </c:pt>
                <c:pt idx="156">
                  <c:v>99.999</c:v>
                </c:pt>
                <c:pt idx="157">
                  <c:v>99.99800001</c:v>
                </c:pt>
                <c:pt idx="158">
                  <c:v>100</c:v>
                </c:pt>
                <c:pt idx="159">
                  <c:v>99.999</c:v>
                </c:pt>
                <c:pt idx="160">
                  <c:v>100</c:v>
                </c:pt>
                <c:pt idx="161">
                  <c:v>99.999</c:v>
                </c:pt>
                <c:pt idx="162">
                  <c:v>99.99800001</c:v>
                </c:pt>
                <c:pt idx="163">
                  <c:v>99.9970000299999</c:v>
                </c:pt>
                <c:pt idx="164">
                  <c:v>99.9960000933884</c:v>
                </c:pt>
                <c:pt idx="165">
                  <c:v>99.9950000992885</c:v>
                </c:pt>
                <c:pt idx="166">
                  <c:v>99.9940001492875</c:v>
                </c:pt>
                <c:pt idx="167">
                  <c:v>99.993000209286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665371"/>
        <c:axId val="54921971"/>
      </c:lineChart>
      <c:catAx>
        <c:axId val="32665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4921971"/>
        <c:crosses val="autoZero"/>
        <c:auto val="1"/>
        <c:lblAlgn val="ctr"/>
        <c:lblOffset val="100"/>
        <c:noMultiLvlLbl val="0"/>
      </c:catAx>
      <c:valAx>
        <c:axId val="5492197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2665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673079"/>
        <c:axId val="66498"/>
      </c:lineChart>
      <c:catAx>
        <c:axId val="72673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6498"/>
        <c:crosses val="autoZero"/>
        <c:auto val="1"/>
        <c:lblAlgn val="ctr"/>
        <c:lblOffset val="100"/>
        <c:noMultiLvlLbl val="0"/>
      </c:catAx>
      <c:valAx>
        <c:axId val="664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2673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91099593"/>
        <c:axId val="45723389"/>
      </c:barChart>
      <c:catAx>
        <c:axId val="91099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5723389"/>
        <c:crosses val="autoZero"/>
        <c:auto val="1"/>
        <c:lblAlgn val="ctr"/>
        <c:lblOffset val="100"/>
        <c:noMultiLvlLbl val="0"/>
      </c:catAx>
      <c:valAx>
        <c:axId val="45723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10995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3661805"/>
        <c:axId val="22988599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661805"/>
        <c:axId val="22988599"/>
      </c:lineChart>
      <c:catAx>
        <c:axId val="63661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2988599"/>
        <c:crosses val="autoZero"/>
        <c:auto val="1"/>
        <c:lblAlgn val="ctr"/>
        <c:lblOffset val="100"/>
        <c:noMultiLvlLbl val="0"/>
      </c:catAx>
      <c:valAx>
        <c:axId val="229885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6618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66.7990786762391</c:v>
                </c:pt>
                <c:pt idx="1">
                  <c:v>64.2889031062639</c:v>
                </c:pt>
                <c:pt idx="2">
                  <c:v>61.2091454945796</c:v>
                </c:pt>
                <c:pt idx="3">
                  <c:v>57.1913603596608</c:v>
                </c:pt>
                <c:pt idx="4">
                  <c:v>55.5803326145028</c:v>
                </c:pt>
                <c:pt idx="5">
                  <c:v>51.3000569188756</c:v>
                </c:pt>
                <c:pt idx="6">
                  <c:v>49.9146115141922</c:v>
                </c:pt>
                <c:pt idx="7">
                  <c:v>47.2458817077288</c:v>
                </c:pt>
                <c:pt idx="8">
                  <c:v>47.2454092459119</c:v>
                </c:pt>
                <c:pt idx="9">
                  <c:v>46.4910511206643</c:v>
                </c:pt>
                <c:pt idx="10">
                  <c:v>43.7323736110663</c:v>
                </c:pt>
                <c:pt idx="11">
                  <c:v>43.7319362847803</c:v>
                </c:pt>
                <c:pt idx="12">
                  <c:v>42.0797548256641</c:v>
                </c:pt>
                <c:pt idx="13">
                  <c:v>38.0029057224029</c:v>
                </c:pt>
                <c:pt idx="14">
                  <c:v>37.3036918058628</c:v>
                </c:pt>
                <c:pt idx="15">
                  <c:v>32.2718340011133</c:v>
                </c:pt>
                <c:pt idx="16">
                  <c:v>31.2434011419661</c:v>
                </c:pt>
                <c:pt idx="17">
                  <c:v>27.1920602036514</c:v>
                </c:pt>
                <c:pt idx="18">
                  <c:v>23.6161836242411</c:v>
                </c:pt>
                <c:pt idx="19">
                  <c:v>20.2499851346448</c:v>
                </c:pt>
                <c:pt idx="20">
                  <c:v>16.8668835767259</c:v>
                </c:pt>
                <c:pt idx="21">
                  <c:v>13.501176074924</c:v>
                </c:pt>
                <c:pt idx="22">
                  <c:v>10.1528677493505</c:v>
                </c:pt>
                <c:pt idx="23">
                  <c:v>6.8473688158266</c:v>
                </c:pt>
                <c:pt idx="24">
                  <c:v>6.84730034176345</c:v>
                </c:pt>
                <c:pt idx="25">
                  <c:v>6.84723186876003</c:v>
                </c:pt>
                <c:pt idx="26">
                  <c:v>6.84716339644134</c:v>
                </c:pt>
                <c:pt idx="27">
                  <c:v>6.84709492480737</c:v>
                </c:pt>
                <c:pt idx="28">
                  <c:v>3.24377230275395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4.68374447869517E-019</c:v>
                </c:pt>
                <c:pt idx="34">
                  <c:v>1.31632477056682E-017</c:v>
                </c:pt>
                <c:pt idx="35">
                  <c:v>0.491247318071875</c:v>
                </c:pt>
                <c:pt idx="36">
                  <c:v>0.491242405598695</c:v>
                </c:pt>
                <c:pt idx="37">
                  <c:v>2.91092285596427</c:v>
                </c:pt>
                <c:pt idx="38">
                  <c:v>2.91089374673571</c:v>
                </c:pt>
                <c:pt idx="39">
                  <c:v>7.28507611037766</c:v>
                </c:pt>
                <c:pt idx="40">
                  <c:v>10.5039289052089</c:v>
                </c:pt>
                <c:pt idx="41">
                  <c:v>15.1999899881933</c:v>
                </c:pt>
                <c:pt idx="42">
                  <c:v>19.2634565172794</c:v>
                </c:pt>
                <c:pt idx="43">
                  <c:v>25.1977788448594</c:v>
                </c:pt>
                <c:pt idx="44">
                  <c:v>28.3845646358561</c:v>
                </c:pt>
                <c:pt idx="45">
                  <c:v>34.8328814726949</c:v>
                </c:pt>
                <c:pt idx="46">
                  <c:v>38.3017213932127</c:v>
                </c:pt>
                <c:pt idx="47">
                  <c:v>44.811701002954</c:v>
                </c:pt>
                <c:pt idx="48">
                  <c:v>48.2392549814903</c:v>
                </c:pt>
                <c:pt idx="49">
                  <c:v>54.7397764858228</c:v>
                </c:pt>
                <c:pt idx="50">
                  <c:v>59.5387799147939</c:v>
                </c:pt>
                <c:pt idx="51">
                  <c:v>64.7143549601866</c:v>
                </c:pt>
                <c:pt idx="52">
                  <c:v>69.6841747605504</c:v>
                </c:pt>
                <c:pt idx="53">
                  <c:v>74.4869685361988</c:v>
                </c:pt>
                <c:pt idx="54">
                  <c:v>78.9340802521359</c:v>
                </c:pt>
                <c:pt idx="55">
                  <c:v>83.1430019306407</c:v>
                </c:pt>
                <c:pt idx="56">
                  <c:v>87.1918160273688</c:v>
                </c:pt>
                <c:pt idx="57">
                  <c:v>90.5149225216819</c:v>
                </c:pt>
                <c:pt idx="58">
                  <c:v>93.2083770842277</c:v>
                </c:pt>
                <c:pt idx="59">
                  <c:v>97.1589603204551</c:v>
                </c:pt>
                <c:pt idx="60">
                  <c:v>97.1579887308519</c:v>
                </c:pt>
                <c:pt idx="61">
                  <c:v>99.3409558544293</c:v>
                </c:pt>
                <c:pt idx="62">
                  <c:v>100</c:v>
                </c:pt>
                <c:pt idx="63">
                  <c:v>99.999</c:v>
                </c:pt>
                <c:pt idx="64">
                  <c:v>99.99800001</c:v>
                </c:pt>
                <c:pt idx="65">
                  <c:v>99.9970000299999</c:v>
                </c:pt>
                <c:pt idx="66">
                  <c:v>99.9960000632989</c:v>
                </c:pt>
                <c:pt idx="67">
                  <c:v>99.995000099924</c:v>
                </c:pt>
                <c:pt idx="68">
                  <c:v>99.994000149923</c:v>
                </c:pt>
                <c:pt idx="69">
                  <c:v>99.9930002099215</c:v>
                </c:pt>
                <c:pt idx="70">
                  <c:v>99.9920002799194</c:v>
                </c:pt>
                <c:pt idx="71">
                  <c:v>99.9910003599166</c:v>
                </c:pt>
                <c:pt idx="72">
                  <c:v>99.990000449913</c:v>
                </c:pt>
                <c:pt idx="73">
                  <c:v>99.9890005499085</c:v>
                </c:pt>
                <c:pt idx="74">
                  <c:v>99.988000659903</c:v>
                </c:pt>
                <c:pt idx="75">
                  <c:v>99.9870007798964</c:v>
                </c:pt>
                <c:pt idx="76">
                  <c:v>99.9860009098886</c:v>
                </c:pt>
                <c:pt idx="77">
                  <c:v>99.9850010498796</c:v>
                </c:pt>
                <c:pt idx="78">
                  <c:v>99.9840011998691</c:v>
                </c:pt>
                <c:pt idx="79">
                  <c:v>99.9830013598571</c:v>
                </c:pt>
                <c:pt idx="80">
                  <c:v>99.9820015298435</c:v>
                </c:pt>
                <c:pt idx="81">
                  <c:v>99.9810017076535</c:v>
                </c:pt>
                <c:pt idx="82">
                  <c:v>91.4172099238257</c:v>
                </c:pt>
                <c:pt idx="83">
                  <c:v>91.4162957495518</c:v>
                </c:pt>
                <c:pt idx="84">
                  <c:v>91.4153815865943</c:v>
                </c:pt>
                <c:pt idx="85">
                  <c:v>91.4144674327784</c:v>
                </c:pt>
                <c:pt idx="86">
                  <c:v>91.4135532881041</c:v>
                </c:pt>
                <c:pt idx="87">
                  <c:v>91.4126391525712</c:v>
                </c:pt>
                <c:pt idx="88">
                  <c:v>91.4117250261797</c:v>
                </c:pt>
                <c:pt idx="89">
                  <c:v>91.4108109089294</c:v>
                </c:pt>
                <c:pt idx="90">
                  <c:v>91.4098968008203</c:v>
                </c:pt>
                <c:pt idx="91">
                  <c:v>91.4089827018523</c:v>
                </c:pt>
                <c:pt idx="92">
                  <c:v>91.4080686106754</c:v>
                </c:pt>
                <c:pt idx="93">
                  <c:v>87.2108911294593</c:v>
                </c:pt>
                <c:pt idx="94">
                  <c:v>84.9598860943976</c:v>
                </c:pt>
                <c:pt idx="95">
                  <c:v>82.821105701838</c:v>
                </c:pt>
                <c:pt idx="96">
                  <c:v>79.1470801646863</c:v>
                </c:pt>
                <c:pt idx="97">
                  <c:v>77.6457744346916</c:v>
                </c:pt>
                <c:pt idx="98">
                  <c:v>73.721980702384</c:v>
                </c:pt>
                <c:pt idx="99">
                  <c:v>72.2208711039705</c:v>
                </c:pt>
                <c:pt idx="100">
                  <c:v>68.4422860487615</c:v>
                </c:pt>
                <c:pt idx="101">
                  <c:v>65.2905672104406</c:v>
                </c:pt>
                <c:pt idx="102">
                  <c:v>64.1802641203429</c:v>
                </c:pt>
                <c:pt idx="103">
                  <c:v>60.3805843230779</c:v>
                </c:pt>
                <c:pt idx="104">
                  <c:v>56.7863707884788</c:v>
                </c:pt>
                <c:pt idx="105">
                  <c:v>53.5193518286458</c:v>
                </c:pt>
                <c:pt idx="106">
                  <c:v>49.9675582614338</c:v>
                </c:pt>
                <c:pt idx="107">
                  <c:v>46.7016768881763</c:v>
                </c:pt>
                <c:pt idx="108">
                  <c:v>43.1266576700839</c:v>
                </c:pt>
                <c:pt idx="109">
                  <c:v>39.7179063678229</c:v>
                </c:pt>
                <c:pt idx="110">
                  <c:v>36.0921362084093</c:v>
                </c:pt>
                <c:pt idx="111">
                  <c:v>32.1343167547635</c:v>
                </c:pt>
                <c:pt idx="112">
                  <c:v>29.5187306785368</c:v>
                </c:pt>
                <c:pt idx="113">
                  <c:v>26.0296511632396</c:v>
                </c:pt>
                <c:pt idx="114">
                  <c:v>22.2991946032333</c:v>
                </c:pt>
                <c:pt idx="115">
                  <c:v>17.1817348522778</c:v>
                </c:pt>
                <c:pt idx="116">
                  <c:v>13.5953670962218</c:v>
                </c:pt>
                <c:pt idx="117">
                  <c:v>13.5952311425508</c:v>
                </c:pt>
                <c:pt idx="118">
                  <c:v>10.7049503079755</c:v>
                </c:pt>
                <c:pt idx="119">
                  <c:v>6.40669912055981</c:v>
                </c:pt>
                <c:pt idx="120">
                  <c:v>3.73078357875864</c:v>
                </c:pt>
                <c:pt idx="121">
                  <c:v>2.08168502960544E-018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9.11248241156908E-011</c:v>
                </c:pt>
                <c:pt idx="126">
                  <c:v>0.505098943179133</c:v>
                </c:pt>
                <c:pt idx="127">
                  <c:v>0.505093892189702</c:v>
                </c:pt>
                <c:pt idx="128">
                  <c:v>2.32447974009504</c:v>
                </c:pt>
                <c:pt idx="129">
                  <c:v>3.58538934426122</c:v>
                </c:pt>
                <c:pt idx="130">
                  <c:v>7.10087133068166</c:v>
                </c:pt>
                <c:pt idx="131">
                  <c:v>9.54756046230035</c:v>
                </c:pt>
                <c:pt idx="132">
                  <c:v>13.0309647422009</c:v>
                </c:pt>
                <c:pt idx="133">
                  <c:v>17.659216228586</c:v>
                </c:pt>
                <c:pt idx="134">
                  <c:v>20.8557714757571</c:v>
                </c:pt>
                <c:pt idx="135">
                  <c:v>20.8555629180423</c:v>
                </c:pt>
                <c:pt idx="136">
                  <c:v>20.8553543628688</c:v>
                </c:pt>
                <c:pt idx="137">
                  <c:v>24.6238995211641</c:v>
                </c:pt>
                <c:pt idx="138">
                  <c:v>24.6236532826246</c:v>
                </c:pt>
                <c:pt idx="139">
                  <c:v>24.6234070460917</c:v>
                </c:pt>
                <c:pt idx="140">
                  <c:v>24.6231608130844</c:v>
                </c:pt>
                <c:pt idx="141">
                  <c:v>29.0615497067348</c:v>
                </c:pt>
                <c:pt idx="142">
                  <c:v>29.0612590936679</c:v>
                </c:pt>
                <c:pt idx="143">
                  <c:v>33.6338901462125</c:v>
                </c:pt>
                <c:pt idx="144">
                  <c:v>41.0094599302744</c:v>
                </c:pt>
                <c:pt idx="145">
                  <c:v>45.8772359310249</c:v>
                </c:pt>
                <c:pt idx="146">
                  <c:v>52.6763219640352</c:v>
                </c:pt>
                <c:pt idx="147">
                  <c:v>57.2283208550976</c:v>
                </c:pt>
                <c:pt idx="148">
                  <c:v>64.8660612478175</c:v>
                </c:pt>
                <c:pt idx="149">
                  <c:v>68.2884858881979</c:v>
                </c:pt>
                <c:pt idx="150">
                  <c:v>74.6028473195227</c:v>
                </c:pt>
                <c:pt idx="151">
                  <c:v>78.5853697790539</c:v>
                </c:pt>
                <c:pt idx="152">
                  <c:v>83.1063862943244</c:v>
                </c:pt>
                <c:pt idx="153">
                  <c:v>87.5531675919791</c:v>
                </c:pt>
                <c:pt idx="154">
                  <c:v>92.8905622039944</c:v>
                </c:pt>
                <c:pt idx="155">
                  <c:v>93.7540439463189</c:v>
                </c:pt>
                <c:pt idx="156">
                  <c:v>96.643173275556</c:v>
                </c:pt>
                <c:pt idx="157">
                  <c:v>96.6422068438233</c:v>
                </c:pt>
                <c:pt idx="158">
                  <c:v>99.096936514418</c:v>
                </c:pt>
                <c:pt idx="159">
                  <c:v>99.0959455493062</c:v>
                </c:pt>
                <c:pt idx="160">
                  <c:v>100</c:v>
                </c:pt>
                <c:pt idx="161">
                  <c:v>99.999</c:v>
                </c:pt>
                <c:pt idx="162">
                  <c:v>100</c:v>
                </c:pt>
                <c:pt idx="163">
                  <c:v>99.999</c:v>
                </c:pt>
                <c:pt idx="164">
                  <c:v>99.9980000117248</c:v>
                </c:pt>
                <c:pt idx="165">
                  <c:v>99.9970000282751</c:v>
                </c:pt>
                <c:pt idx="166">
                  <c:v>99.9960000615745</c:v>
                </c:pt>
                <c:pt idx="167">
                  <c:v>99.995000099924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075357"/>
        <c:axId val="16488109"/>
      </c:lineChart>
      <c:catAx>
        <c:axId val="85075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6488109"/>
        <c:crosses val="autoZero"/>
        <c:auto val="1"/>
        <c:lblAlgn val="ctr"/>
        <c:lblOffset val="100"/>
        <c:noMultiLvlLbl val="0"/>
      </c:catAx>
      <c:valAx>
        <c:axId val="16488109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5075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910755"/>
        <c:axId val="94174187"/>
      </c:lineChart>
      <c:catAx>
        <c:axId val="759107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4174187"/>
        <c:crosses val="autoZero"/>
        <c:auto val="1"/>
        <c:lblAlgn val="ctr"/>
        <c:lblOffset val="100"/>
        <c:noMultiLvlLbl val="0"/>
      </c:catAx>
      <c:valAx>
        <c:axId val="941741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5910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0395981"/>
        <c:axId val="64609556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95981"/>
        <c:axId val="64609556"/>
      </c:lineChart>
      <c:catAx>
        <c:axId val="803959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4609556"/>
        <c:crosses val="autoZero"/>
        <c:auto val="1"/>
        <c:lblAlgn val="ctr"/>
        <c:lblOffset val="100"/>
        <c:noMultiLvlLbl val="0"/>
      </c:catAx>
      <c:valAx>
        <c:axId val="646095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0395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69.5803002094991</c:v>
                </c:pt>
                <c:pt idx="1">
                  <c:v>69.1570417187632</c:v>
                </c:pt>
                <c:pt idx="2">
                  <c:v>67.9620114808527</c:v>
                </c:pt>
                <c:pt idx="3">
                  <c:v>67.2235927728072</c:v>
                </c:pt>
                <c:pt idx="4">
                  <c:v>66.4191283455529</c:v>
                </c:pt>
                <c:pt idx="5">
                  <c:v>65.8460835902145</c:v>
                </c:pt>
                <c:pt idx="6">
                  <c:v>65.102981626779</c:v>
                </c:pt>
                <c:pt idx="7">
                  <c:v>64.354613765749</c:v>
                </c:pt>
                <c:pt idx="8">
                  <c:v>63.0876893346153</c:v>
                </c:pt>
                <c:pt idx="9">
                  <c:v>61.9945498390878</c:v>
                </c:pt>
                <c:pt idx="10">
                  <c:v>61.3989657120827</c:v>
                </c:pt>
                <c:pt idx="11">
                  <c:v>59.5531249586499</c:v>
                </c:pt>
                <c:pt idx="12">
                  <c:v>58.4286730447691</c:v>
                </c:pt>
                <c:pt idx="13">
                  <c:v>56.8784899267413</c:v>
                </c:pt>
                <c:pt idx="14">
                  <c:v>56.0083989469661</c:v>
                </c:pt>
                <c:pt idx="15">
                  <c:v>54.5630721955457</c:v>
                </c:pt>
                <c:pt idx="16">
                  <c:v>53.7528361579863</c:v>
                </c:pt>
                <c:pt idx="17">
                  <c:v>52.566076560627</c:v>
                </c:pt>
                <c:pt idx="18">
                  <c:v>51.9088987495069</c:v>
                </c:pt>
                <c:pt idx="19">
                  <c:v>50.5878286195874</c:v>
                </c:pt>
                <c:pt idx="20">
                  <c:v>49.6289732017242</c:v>
                </c:pt>
                <c:pt idx="21">
                  <c:v>48.0966954988646</c:v>
                </c:pt>
                <c:pt idx="22">
                  <c:v>47.5151426064501</c:v>
                </c:pt>
                <c:pt idx="23">
                  <c:v>45.6426642368821</c:v>
                </c:pt>
                <c:pt idx="24">
                  <c:v>44.5718529496591</c:v>
                </c:pt>
                <c:pt idx="25">
                  <c:v>42.3186608421963</c:v>
                </c:pt>
                <c:pt idx="26">
                  <c:v>41.2086802407901</c:v>
                </c:pt>
                <c:pt idx="27">
                  <c:v>39.4838086128939</c:v>
                </c:pt>
                <c:pt idx="28">
                  <c:v>38.838293273697</c:v>
                </c:pt>
                <c:pt idx="29">
                  <c:v>38.6534183571932</c:v>
                </c:pt>
                <c:pt idx="30">
                  <c:v>39.2333074339592</c:v>
                </c:pt>
                <c:pt idx="31">
                  <c:v>39.2329151008848</c:v>
                </c:pt>
                <c:pt idx="32">
                  <c:v>39.2325227717338</c:v>
                </c:pt>
                <c:pt idx="33">
                  <c:v>39.2321304465061</c:v>
                </c:pt>
                <c:pt idx="34">
                  <c:v>39.2317381252016</c:v>
                </c:pt>
                <c:pt idx="35">
                  <c:v>39.2313458078204</c:v>
                </c:pt>
                <c:pt idx="36">
                  <c:v>39.2309534943623</c:v>
                </c:pt>
                <c:pt idx="37">
                  <c:v>39.2305611848274</c:v>
                </c:pt>
                <c:pt idx="38">
                  <c:v>39.2301688792155</c:v>
                </c:pt>
                <c:pt idx="39">
                  <c:v>39.2297765775267</c:v>
                </c:pt>
                <c:pt idx="40">
                  <c:v>39.2293842798673</c:v>
                </c:pt>
                <c:pt idx="41">
                  <c:v>39.2289919861019</c:v>
                </c:pt>
                <c:pt idx="42">
                  <c:v>39.2285996960225</c:v>
                </c:pt>
                <c:pt idx="43">
                  <c:v>39.2282074100255</c:v>
                </c:pt>
                <c:pt idx="44">
                  <c:v>39.2278151279514</c:v>
                </c:pt>
                <c:pt idx="45">
                  <c:v>39.2274228498001</c:v>
                </c:pt>
                <c:pt idx="46">
                  <c:v>39.2270305755716</c:v>
                </c:pt>
                <c:pt idx="47">
                  <c:v>39.2266383052659</c:v>
                </c:pt>
                <c:pt idx="48">
                  <c:v>39.2262460388828</c:v>
                </c:pt>
                <c:pt idx="49">
                  <c:v>39.2258537764225</c:v>
                </c:pt>
                <c:pt idx="50">
                  <c:v>39.2254615178847</c:v>
                </c:pt>
                <c:pt idx="51">
                  <c:v>39.2250692632695</c:v>
                </c:pt>
                <c:pt idx="52">
                  <c:v>46.049895403638</c:v>
                </c:pt>
                <c:pt idx="53">
                  <c:v>46.0494349047323</c:v>
                </c:pt>
                <c:pt idx="54">
                  <c:v>46.7223355588919</c:v>
                </c:pt>
                <c:pt idx="55">
                  <c:v>53.176919982866</c:v>
                </c:pt>
                <c:pt idx="56">
                  <c:v>59.0292718551105</c:v>
                </c:pt>
                <c:pt idx="57">
                  <c:v>64.5592212845039</c:v>
                </c:pt>
                <c:pt idx="58">
                  <c:v>69.2124955738935</c:v>
                </c:pt>
                <c:pt idx="59">
                  <c:v>72.9949689747762</c:v>
                </c:pt>
                <c:pt idx="60">
                  <c:v>76.1494514924292</c:v>
                </c:pt>
                <c:pt idx="61">
                  <c:v>78.7545214663426</c:v>
                </c:pt>
                <c:pt idx="62">
                  <c:v>81.2277079677098</c:v>
                </c:pt>
                <c:pt idx="63">
                  <c:v>82.9878088570096</c:v>
                </c:pt>
                <c:pt idx="64">
                  <c:v>84.5557113091626</c:v>
                </c:pt>
                <c:pt idx="65">
                  <c:v>85.378846972568</c:v>
                </c:pt>
                <c:pt idx="66">
                  <c:v>86.0599674695771</c:v>
                </c:pt>
                <c:pt idx="67">
                  <c:v>85.9015511951754</c:v>
                </c:pt>
                <c:pt idx="68">
                  <c:v>85.4161272097896</c:v>
                </c:pt>
                <c:pt idx="69">
                  <c:v>84.3431173772798</c:v>
                </c:pt>
                <c:pt idx="70">
                  <c:v>82.9671985952201</c:v>
                </c:pt>
                <c:pt idx="71">
                  <c:v>81.1392098005757</c:v>
                </c:pt>
                <c:pt idx="72">
                  <c:v>78.8065677695188</c:v>
                </c:pt>
                <c:pt idx="73">
                  <c:v>76.4412446860361</c:v>
                </c:pt>
                <c:pt idx="74">
                  <c:v>73.9970536105935</c:v>
                </c:pt>
                <c:pt idx="75">
                  <c:v>71.8333212951539</c:v>
                </c:pt>
                <c:pt idx="76">
                  <c:v>68.9797509824418</c:v>
                </c:pt>
                <c:pt idx="77">
                  <c:v>66.3705852772564</c:v>
                </c:pt>
                <c:pt idx="78">
                  <c:v>62.762996854448</c:v>
                </c:pt>
                <c:pt idx="79">
                  <c:v>59.9445478753047</c:v>
                </c:pt>
                <c:pt idx="80">
                  <c:v>56.4403172338049</c:v>
                </c:pt>
                <c:pt idx="81">
                  <c:v>53.3680933202277</c:v>
                </c:pt>
                <c:pt idx="82">
                  <c:v>52.0592703301881</c:v>
                </c:pt>
                <c:pt idx="83">
                  <c:v>49.7036124095442</c:v>
                </c:pt>
                <c:pt idx="84">
                  <c:v>46.0285589650852</c:v>
                </c:pt>
                <c:pt idx="85">
                  <c:v>43.0848623410107</c:v>
                </c:pt>
                <c:pt idx="86">
                  <c:v>39.7422499357121</c:v>
                </c:pt>
                <c:pt idx="87">
                  <c:v>36.7665913673902</c:v>
                </c:pt>
                <c:pt idx="88">
                  <c:v>34.0820333813748</c:v>
                </c:pt>
                <c:pt idx="89">
                  <c:v>31.9725709215588</c:v>
                </c:pt>
                <c:pt idx="90">
                  <c:v>29.5046510349358</c:v>
                </c:pt>
                <c:pt idx="91">
                  <c:v>27.0563093515658</c:v>
                </c:pt>
                <c:pt idx="92">
                  <c:v>25.2707205004921</c:v>
                </c:pt>
                <c:pt idx="93">
                  <c:v>23.6002944027771</c:v>
                </c:pt>
                <c:pt idx="94">
                  <c:v>22.6349069090239</c:v>
                </c:pt>
                <c:pt idx="95">
                  <c:v>21.8407733362376</c:v>
                </c:pt>
                <c:pt idx="96">
                  <c:v>21.3968938376373</c:v>
                </c:pt>
                <c:pt idx="97">
                  <c:v>19.6122570577585</c:v>
                </c:pt>
                <c:pt idx="98">
                  <c:v>19.0276869115664</c:v>
                </c:pt>
                <c:pt idx="99">
                  <c:v>18.1414353345245</c:v>
                </c:pt>
                <c:pt idx="100">
                  <c:v>17.2848696021592</c:v>
                </c:pt>
                <c:pt idx="101">
                  <c:v>16.9192878498743</c:v>
                </c:pt>
                <c:pt idx="102">
                  <c:v>15.4195751887989</c:v>
                </c:pt>
                <c:pt idx="103">
                  <c:v>15.0776095022036</c:v>
                </c:pt>
                <c:pt idx="104">
                  <c:v>13.9633745548024</c:v>
                </c:pt>
                <c:pt idx="105">
                  <c:v>13.4693988004795</c:v>
                </c:pt>
                <c:pt idx="106">
                  <c:v>12.2865834949681</c:v>
                </c:pt>
                <c:pt idx="107">
                  <c:v>11.801385115666</c:v>
                </c:pt>
                <c:pt idx="108">
                  <c:v>10.7610074532214</c:v>
                </c:pt>
                <c:pt idx="109">
                  <c:v>9.99789525734691</c:v>
                </c:pt>
                <c:pt idx="110">
                  <c:v>9.15726071858846</c:v>
                </c:pt>
                <c:pt idx="111">
                  <c:v>8.15746708338037</c:v>
                </c:pt>
                <c:pt idx="112">
                  <c:v>7.50444268617222</c:v>
                </c:pt>
                <c:pt idx="113">
                  <c:v>6.44573579764514</c:v>
                </c:pt>
                <c:pt idx="114">
                  <c:v>5.74772696211023</c:v>
                </c:pt>
                <c:pt idx="115">
                  <c:v>4.55386695746842</c:v>
                </c:pt>
                <c:pt idx="116">
                  <c:v>3.91503380785397</c:v>
                </c:pt>
                <c:pt idx="117">
                  <c:v>2.46862268986915</c:v>
                </c:pt>
                <c:pt idx="118">
                  <c:v>1.89581230687199</c:v>
                </c:pt>
                <c:pt idx="119">
                  <c:v>0.886525739138235</c:v>
                </c:pt>
                <c:pt idx="120">
                  <c:v>0.745808419909872</c:v>
                </c:pt>
                <c:pt idx="121">
                  <c:v>0</c:v>
                </c:pt>
                <c:pt idx="122">
                  <c:v>0.214899200959135</c:v>
                </c:pt>
                <c:pt idx="123">
                  <c:v>0.0681565967700307</c:v>
                </c:pt>
                <c:pt idx="124">
                  <c:v>0.0681559152282391</c:v>
                </c:pt>
                <c:pt idx="125">
                  <c:v>0.0681552336690866</c:v>
                </c:pt>
                <c:pt idx="126">
                  <c:v>0.0681545521167497</c:v>
                </c:pt>
                <c:pt idx="127">
                  <c:v>0.0681538705712282</c:v>
                </c:pt>
                <c:pt idx="128">
                  <c:v>0.0681531890325223</c:v>
                </c:pt>
                <c:pt idx="129">
                  <c:v>0.0681525075006317</c:v>
                </c:pt>
                <c:pt idx="130">
                  <c:v>0.0681518259755565</c:v>
                </c:pt>
                <c:pt idx="131">
                  <c:v>0.0681511444572965</c:v>
                </c:pt>
                <c:pt idx="132">
                  <c:v>0.0681504629458517</c:v>
                </c:pt>
                <c:pt idx="133">
                  <c:v>0.068149781731354</c:v>
                </c:pt>
                <c:pt idx="134">
                  <c:v>0.0681490999675837</c:v>
                </c:pt>
                <c:pt idx="135">
                  <c:v>0.068148418476584</c:v>
                </c:pt>
                <c:pt idx="136">
                  <c:v>0.0681477369923992</c:v>
                </c:pt>
                <c:pt idx="137">
                  <c:v>0.0681470555150293</c:v>
                </c:pt>
                <c:pt idx="138">
                  <c:v>0.0681463740444741</c:v>
                </c:pt>
                <c:pt idx="139">
                  <c:v>0.0681456925807337</c:v>
                </c:pt>
                <c:pt idx="140">
                  <c:v>0.0681450111238079</c:v>
                </c:pt>
                <c:pt idx="141">
                  <c:v>0.0681443296736967</c:v>
                </c:pt>
                <c:pt idx="142">
                  <c:v>0.0681436482303999</c:v>
                </c:pt>
                <c:pt idx="143">
                  <c:v>0.0681429667939175</c:v>
                </c:pt>
                <c:pt idx="144">
                  <c:v>7.82211547350854</c:v>
                </c:pt>
                <c:pt idx="145">
                  <c:v>15.4604049832637</c:v>
                </c:pt>
                <c:pt idx="146">
                  <c:v>15.4602503792719</c:v>
                </c:pt>
                <c:pt idx="147">
                  <c:v>15.4600957767391</c:v>
                </c:pt>
                <c:pt idx="148">
                  <c:v>17.5414950435123</c:v>
                </c:pt>
                <c:pt idx="149">
                  <c:v>24.7135282013542</c:v>
                </c:pt>
                <c:pt idx="150">
                  <c:v>31.3190323196271</c:v>
                </c:pt>
                <c:pt idx="151">
                  <c:v>37.711874564089</c:v>
                </c:pt>
                <c:pt idx="152">
                  <c:v>43.9257792653979</c:v>
                </c:pt>
                <c:pt idx="153">
                  <c:v>49.6792065570124</c:v>
                </c:pt>
                <c:pt idx="154">
                  <c:v>54.5342031151471</c:v>
                </c:pt>
                <c:pt idx="155">
                  <c:v>59.2361837416132</c:v>
                </c:pt>
                <c:pt idx="156">
                  <c:v>63.2554421026634</c:v>
                </c:pt>
                <c:pt idx="157">
                  <c:v>66.6501621344893</c:v>
                </c:pt>
                <c:pt idx="158">
                  <c:v>69.8249809100835</c:v>
                </c:pt>
                <c:pt idx="159">
                  <c:v>72.6915254925378</c:v>
                </c:pt>
                <c:pt idx="160">
                  <c:v>75.1311347123212</c:v>
                </c:pt>
                <c:pt idx="161">
                  <c:v>76.9044192150114</c:v>
                </c:pt>
                <c:pt idx="162">
                  <c:v>78.134232155492</c:v>
                </c:pt>
                <c:pt idx="163">
                  <c:v>78.8860561023104</c:v>
                </c:pt>
                <c:pt idx="164">
                  <c:v>79.138423259517</c:v>
                </c:pt>
                <c:pt idx="165">
                  <c:v>78.5958108246959</c:v>
                </c:pt>
                <c:pt idx="166">
                  <c:v>78.1401588796254</c:v>
                </c:pt>
                <c:pt idx="167">
                  <c:v>76.0915961237217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225748"/>
        <c:axId val="44215534"/>
      </c:lineChart>
      <c:catAx>
        <c:axId val="51225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4215534"/>
        <c:crosses val="autoZero"/>
        <c:auto val="1"/>
        <c:lblAlgn val="ctr"/>
        <c:lblOffset val="100"/>
        <c:noMultiLvlLbl val="0"/>
      </c:catAx>
      <c:valAx>
        <c:axId val="4421553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1225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0280481"/>
        <c:axId val="73545618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280481"/>
        <c:axId val="73545618"/>
      </c:lineChart>
      <c:catAx>
        <c:axId val="40280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3545618"/>
        <c:crosses val="autoZero"/>
        <c:auto val="1"/>
        <c:lblAlgn val="ctr"/>
        <c:lblOffset val="100"/>
        <c:noMultiLvlLbl val="0"/>
      </c:catAx>
      <c:valAx>
        <c:axId val="735456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02804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8809832"/>
        <c:axId val="95981377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809832"/>
        <c:axId val="95981377"/>
      </c:lineChart>
      <c:catAx>
        <c:axId val="68809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5981377"/>
        <c:crosses val="autoZero"/>
        <c:auto val="1"/>
        <c:lblAlgn val="ctr"/>
        <c:lblOffset val="100"/>
        <c:noMultiLvlLbl val="0"/>
      </c:catAx>
      <c:valAx>
        <c:axId val="959813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88098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352843"/>
        <c:axId val="19309834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2843"/>
        <c:axId val="19309834"/>
      </c:lineChart>
      <c:catAx>
        <c:axId val="352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9309834"/>
        <c:crosses val="autoZero"/>
        <c:auto val="1"/>
        <c:lblAlgn val="ctr"/>
        <c:lblOffset val="100"/>
        <c:noMultiLvlLbl val="0"/>
      </c:catAx>
      <c:valAx>
        <c:axId val="193098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28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458837"/>
        <c:axId val="61478058"/>
      </c:lineChart>
      <c:catAx>
        <c:axId val="804588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1478058"/>
        <c:crosses val="autoZero"/>
        <c:auto val="1"/>
        <c:lblAlgn val="ctr"/>
        <c:lblOffset val="100"/>
        <c:noMultiLvlLbl val="0"/>
      </c:catAx>
      <c:valAx>
        <c:axId val="614780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0458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588960</xdr:colOff>
      <xdr:row>29</xdr:row>
      <xdr:rowOff>100800</xdr:rowOff>
    </xdr:to>
    <xdr:graphicFrame>
      <xdr:nvGraphicFramePr>
        <xdr:cNvPr id="0" name="Chart 1"/>
        <xdr:cNvGraphicFramePr/>
      </xdr:nvGraphicFramePr>
      <xdr:xfrm>
        <a:off x="10496160" y="718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590400</xdr:colOff>
      <xdr:row>54</xdr:row>
      <xdr:rowOff>13320</xdr:rowOff>
    </xdr:to>
    <xdr:graphicFrame>
      <xdr:nvGraphicFramePr>
        <xdr:cNvPr id="1" name="Chart 2"/>
        <xdr:cNvGraphicFramePr/>
      </xdr:nvGraphicFramePr>
      <xdr:xfrm>
        <a:off x="10400400" y="7847640"/>
        <a:ext cx="12279600" cy="162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601920</xdr:colOff>
      <xdr:row>71</xdr:row>
      <xdr:rowOff>82080</xdr:rowOff>
    </xdr:to>
    <xdr:graphicFrame>
      <xdr:nvGraphicFramePr>
        <xdr:cNvPr id="2" name="Chart 3"/>
        <xdr:cNvGraphicFramePr/>
      </xdr:nvGraphicFramePr>
      <xdr:xfrm>
        <a:off x="10400400" y="9486000"/>
        <a:ext cx="12291120" cy="303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586080</xdr:colOff>
      <xdr:row>44</xdr:row>
      <xdr:rowOff>127440</xdr:rowOff>
    </xdr:to>
    <xdr:graphicFrame>
      <xdr:nvGraphicFramePr>
        <xdr:cNvPr id="3" name="Chart 4"/>
        <xdr:cNvGraphicFramePr/>
      </xdr:nvGraphicFramePr>
      <xdr:xfrm>
        <a:off x="10493280" y="5183280"/>
        <a:ext cx="12182400" cy="265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567000</xdr:colOff>
      <xdr:row>29</xdr:row>
      <xdr:rowOff>82800</xdr:rowOff>
    </xdr:to>
    <xdr:graphicFrame>
      <xdr:nvGraphicFramePr>
        <xdr:cNvPr id="4" name="Chart 6"/>
        <xdr:cNvGraphicFramePr/>
      </xdr:nvGraphicFramePr>
      <xdr:xfrm>
        <a:off x="9711000" y="700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581040</xdr:colOff>
      <xdr:row>41</xdr:row>
      <xdr:rowOff>70560</xdr:rowOff>
    </xdr:to>
    <xdr:graphicFrame>
      <xdr:nvGraphicFramePr>
        <xdr:cNvPr id="5" name="Chart 8"/>
        <xdr:cNvGraphicFramePr/>
      </xdr:nvGraphicFramePr>
      <xdr:xfrm>
        <a:off x="9627840" y="5168160"/>
        <a:ext cx="12279600" cy="208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590760</xdr:colOff>
      <xdr:row>56</xdr:row>
      <xdr:rowOff>114480</xdr:rowOff>
    </xdr:to>
    <xdr:graphicFrame>
      <xdr:nvGraphicFramePr>
        <xdr:cNvPr id="6" name="Chart 1"/>
        <xdr:cNvGraphicFramePr/>
      </xdr:nvGraphicFramePr>
      <xdr:xfrm>
        <a:off x="9629640" y="7261920"/>
        <a:ext cx="12287520" cy="266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567000</xdr:colOff>
      <xdr:row>29</xdr:row>
      <xdr:rowOff>82800</xdr:rowOff>
    </xdr:to>
    <xdr:graphicFrame>
      <xdr:nvGraphicFramePr>
        <xdr:cNvPr id="7" name="Chart 1"/>
        <xdr:cNvGraphicFramePr/>
      </xdr:nvGraphicFramePr>
      <xdr:xfrm>
        <a:off x="9711000" y="700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590760</xdr:colOff>
      <xdr:row>42</xdr:row>
      <xdr:rowOff>108720</xdr:rowOff>
    </xdr:to>
    <xdr:graphicFrame>
      <xdr:nvGraphicFramePr>
        <xdr:cNvPr id="8" name="Chart 2"/>
        <xdr:cNvGraphicFramePr/>
      </xdr:nvGraphicFramePr>
      <xdr:xfrm>
        <a:off x="9711000" y="5177880"/>
        <a:ext cx="12206160" cy="229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567000</xdr:colOff>
      <xdr:row>26</xdr:row>
      <xdr:rowOff>82800</xdr:rowOff>
    </xdr:to>
    <xdr:graphicFrame>
      <xdr:nvGraphicFramePr>
        <xdr:cNvPr id="9" name="Chart 5"/>
        <xdr:cNvGraphicFramePr/>
      </xdr:nvGraphicFramePr>
      <xdr:xfrm>
        <a:off x="9565560" y="1753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567000</xdr:colOff>
      <xdr:row>52</xdr:row>
      <xdr:rowOff>84960</xdr:rowOff>
    </xdr:to>
    <xdr:graphicFrame>
      <xdr:nvGraphicFramePr>
        <xdr:cNvPr id="10" name="Chart 6"/>
        <xdr:cNvGraphicFramePr/>
      </xdr:nvGraphicFramePr>
      <xdr:xfrm>
        <a:off x="9565560" y="4732200"/>
        <a:ext cx="12182400" cy="44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567000</xdr:colOff>
      <xdr:row>78</xdr:row>
      <xdr:rowOff>84960</xdr:rowOff>
    </xdr:to>
    <xdr:graphicFrame>
      <xdr:nvGraphicFramePr>
        <xdr:cNvPr id="11" name="Chart 7"/>
        <xdr:cNvGraphicFramePr/>
      </xdr:nvGraphicFramePr>
      <xdr:xfrm>
        <a:off x="9565560" y="9288720"/>
        <a:ext cx="12182400" cy="44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598320</xdr:colOff>
      <xdr:row>96</xdr:row>
      <xdr:rowOff>69480</xdr:rowOff>
    </xdr:to>
    <xdr:graphicFrame>
      <xdr:nvGraphicFramePr>
        <xdr:cNvPr id="12" name="Chart 8"/>
        <xdr:cNvGraphicFramePr/>
      </xdr:nvGraphicFramePr>
      <xdr:xfrm>
        <a:off x="9565560" y="13845600"/>
        <a:ext cx="12213720" cy="304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75240</xdr:colOff>
      <xdr:row>104</xdr:row>
      <xdr:rowOff>122760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3920" cy="18174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0.201542</v>
      </c>
      <c r="E3" s="2" t="n">
        <v>0.166009466666667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0.158008</v>
      </c>
      <c r="E4" s="2" t="n">
        <v>0.167141866666667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0.1938726</v>
      </c>
      <c r="E5" s="2" t="n">
        <v>0.251671666666667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0.252936266666667</v>
      </c>
      <c r="E6" s="2" t="n">
        <v>0.0791374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0.101400333333333</v>
      </c>
      <c r="E7" s="2" t="n">
        <v>0.317934666666667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0.2694672</v>
      </c>
      <c r="E8" s="2" t="n">
        <v>0.0674671333333334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0.0872005333333333</v>
      </c>
      <c r="E9" s="2" t="n">
        <v>0.0775347333333333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0.1680018</v>
      </c>
      <c r="E10" s="2" t="n">
        <v>0.137934466666667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0.182334466666667</v>
      </c>
      <c r="E11" s="2" t="n">
        <v>0.0975340666666667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0.0474674666666667</v>
      </c>
      <c r="E12" s="2" t="n">
        <v>0.271933466666667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0.1736674</v>
      </c>
      <c r="E13" s="2" t="n">
        <v>0.150667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0.2544672</v>
      </c>
      <c r="E14" s="2" t="n">
        <v>0.269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0.104</v>
      </c>
      <c r="E15" s="2" t="n">
        <v>0.152333466666667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0.2566672</v>
      </c>
      <c r="E16" s="2" t="n">
        <v>0.2770668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0.0440012</v>
      </c>
      <c r="E17" s="2" t="n">
        <v>0.154667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0.316801133333333</v>
      </c>
      <c r="E18" s="2" t="n">
        <v>0.263867333333333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0.0647336666666667</v>
      </c>
      <c r="E19" s="2" t="n">
        <v>0.1474668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0.255067933333333</v>
      </c>
      <c r="E20" s="2" t="n">
        <v>0.177734666666667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0.225133466666667</v>
      </c>
      <c r="E21" s="2" t="n">
        <v>0.0958003333333333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0.2119336</v>
      </c>
      <c r="E22" s="2" t="n">
        <v>0.3076006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0.213</v>
      </c>
      <c r="E23" s="2" t="n">
        <v>0.121867066666667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0.2122002</v>
      </c>
      <c r="E24" s="2" t="n">
        <v>0.326533466666667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0.211400066666667</v>
      </c>
      <c r="E25" s="2" t="n">
        <v>0.0811336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0.209</v>
      </c>
      <c r="E26" s="2" t="n">
        <v>0.3630672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0.209000133333333</v>
      </c>
      <c r="E27" s="2" t="n">
        <v>0.0722011333333334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0.2106016</v>
      </c>
      <c r="E28" s="2" t="n">
        <v>0.348002666666667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0.358134733333333</v>
      </c>
      <c r="E29" s="2" t="n">
        <v>0.0620042666666667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0.1866022</v>
      </c>
      <c r="E30" s="2" t="n">
        <v>0.320004866666667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0.340934866666667</v>
      </c>
      <c r="E31" s="2" t="n">
        <v>0.283804133333333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0.284403866666667</v>
      </c>
      <c r="E32" s="2" t="n">
        <v>0.181404333333333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0.270004</v>
      </c>
      <c r="E33" s="2" t="n">
        <v>0.163673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0.2716038</v>
      </c>
      <c r="E34" s="2" t="n">
        <v>0.350672333333333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0.2700048</v>
      </c>
      <c r="E35" s="2" t="n">
        <v>0.143605666666667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0.270007066666667</v>
      </c>
      <c r="E36" s="2" t="n">
        <v>0.386871266666667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0.270008</v>
      </c>
      <c r="E37" s="2" t="n">
        <v>0.106473333333333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0.203341666666667</v>
      </c>
      <c r="E38" s="2" t="n">
        <v>0.158009333333333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0.402008333333333</v>
      </c>
      <c r="E39" s="2" t="n">
        <v>0.2440074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0.153008133333333</v>
      </c>
      <c r="E40" s="2" t="n">
        <v>0.288073533333333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0.4349396</v>
      </c>
      <c r="E41" s="2" t="n">
        <v>0.256539266666667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0.1749396</v>
      </c>
      <c r="E42" s="2" t="n">
        <v>0.290205466666667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0.3516748</v>
      </c>
      <c r="E43" s="2" t="n">
        <v>0.233005333333333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0.249340066666667</v>
      </c>
      <c r="E44" s="2" t="n">
        <v>0.2570056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0.311005533333333</v>
      </c>
      <c r="E45" s="2" t="n">
        <v>0.218003733333333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0.178070733333333</v>
      </c>
      <c r="E46" s="2" t="n">
        <v>0.257001266666667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0.404136066666667</v>
      </c>
      <c r="E47" s="2" t="n">
        <v>0.1780012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0.1530046</v>
      </c>
      <c r="E48" s="2" t="n">
        <v>0.189003066666667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0.387003</v>
      </c>
      <c r="E49" s="2" t="n">
        <v>0.348004333333333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0.153003</v>
      </c>
      <c r="E50" s="2" t="n">
        <v>0.1650042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0.395003866666667</v>
      </c>
      <c r="E51" s="2" t="n">
        <v>0.365004733333333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0.161006</v>
      </c>
      <c r="E52" s="2" t="n">
        <v>0.179005666666667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0.298140933333333</v>
      </c>
      <c r="E53" s="2" t="n">
        <v>0.3626084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0.273741</v>
      </c>
      <c r="E54" s="2" t="n">
        <v>0.181675333333333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0.2946068</v>
      </c>
      <c r="E55" s="2" t="n">
        <v>0.378407466666667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0.285007533333333</v>
      </c>
      <c r="E56" s="2" t="n">
        <v>0.202006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0.2900732</v>
      </c>
      <c r="E57" s="2" t="n">
        <v>0.371339466666667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0.286006133333333</v>
      </c>
      <c r="E58" s="2" t="n">
        <v>0.190003866666667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0.275869666666667</v>
      </c>
      <c r="E59" s="2" t="n">
        <v>0.361002533333333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0.270001266666667</v>
      </c>
      <c r="E60" s="2" t="n">
        <v>0.179002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0.256666733333333</v>
      </c>
      <c r="E61" s="2" t="n">
        <v>0.267668333333333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0.0966675333333333</v>
      </c>
      <c r="E62" s="2" t="n">
        <v>0.309000133333333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0.4</v>
      </c>
      <c r="E63" s="2" t="n">
        <v>0.231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0.14</v>
      </c>
      <c r="E64" s="2" t="n">
        <v>0.309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0.226667533333333</v>
      </c>
      <c r="E65" s="2" t="n">
        <v>0.231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0.271333666666667</v>
      </c>
      <c r="E66" s="2" t="n">
        <v>0.309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0.270334266666667</v>
      </c>
      <c r="E67" s="2" t="n">
        <v>0.231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0.270001</v>
      </c>
      <c r="E68" s="2" t="n">
        <v>0.319000333333333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0.2760006</v>
      </c>
      <c r="E69" s="2" t="n">
        <v>0.205333666666667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0.2850002</v>
      </c>
      <c r="E70" s="2" t="n">
        <v>0.310666733333333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0.289000666666667</v>
      </c>
      <c r="E71" s="2" t="n">
        <v>0.259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0.294000666666667</v>
      </c>
      <c r="E72" s="2" t="n">
        <v>0.284333466666667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0.301067333333333</v>
      </c>
      <c r="E73" s="2" t="n">
        <v>0.2990002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0.3013346</v>
      </c>
      <c r="E74" s="2" t="n">
        <v>0.275467866666667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0.3002694</v>
      </c>
      <c r="E75" s="2" t="n">
        <v>0.339735066666667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0.326536466666667</v>
      </c>
      <c r="E76" s="2" t="n">
        <v>0.2610684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0.331537333333333</v>
      </c>
      <c r="E77" s="2" t="n">
        <v>0.323603133333333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0.3323388</v>
      </c>
      <c r="E78" s="2" t="n">
        <v>0.341407066666667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0.394873466666667</v>
      </c>
      <c r="E79" s="2" t="n">
        <v>0.323274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0.403676933333333</v>
      </c>
      <c r="E80" s="2" t="n">
        <v>0.369276266666667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0.5019402</v>
      </c>
      <c r="E81" s="2" t="n">
        <v>0.3987416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0.441810933333333</v>
      </c>
      <c r="E82" s="2" t="n">
        <v>0.469475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0.564676133333333</v>
      </c>
      <c r="E83" s="2" t="n">
        <v>0.393011666666667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0.5318116</v>
      </c>
      <c r="E84" s="2" t="n">
        <v>0.4282802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0.539145466666667</v>
      </c>
      <c r="E85" s="2" t="n">
        <v>0.4144802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0.600544333333333</v>
      </c>
      <c r="E86" s="2" t="n">
        <v>0.2768828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0.5738128</v>
      </c>
      <c r="E87" s="2" t="n">
        <v>0.518750666666667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0.477347666666667</v>
      </c>
      <c r="E88" s="2" t="n">
        <v>0.374680733333333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0.494681866666667</v>
      </c>
      <c r="E89" s="2" t="n">
        <v>0.538615333333333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0.466482666666667</v>
      </c>
      <c r="E90" s="2" t="n">
        <v>0.331616533333333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0.397684466666667</v>
      </c>
      <c r="E91" s="2" t="n">
        <v>0.3479498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0.389684133333333</v>
      </c>
      <c r="E92" s="2" t="n">
        <v>0.276482466666667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0.386013866666667</v>
      </c>
      <c r="E93" s="2" t="n">
        <v>0.438014666666667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0.3698128</v>
      </c>
      <c r="E94" s="2" t="n">
        <v>0.2018164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0.095014</v>
      </c>
      <c r="E95" s="2" t="n">
        <v>0.395948933333333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0.264212466666667</v>
      </c>
      <c r="E96" s="2" t="n">
        <v>0.2178852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0.1416768</v>
      </c>
      <c r="E97" s="2" t="n">
        <v>0.221549533333333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0.134612133333333</v>
      </c>
      <c r="E98" s="2" t="n">
        <v>0.1723474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0.231278266666667</v>
      </c>
      <c r="E99" s="2" t="n">
        <v>0.0514082666666667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0.094478</v>
      </c>
      <c r="E100" s="2" t="n">
        <v>0.2634766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0.247007866666667</v>
      </c>
      <c r="E101" s="2" t="n">
        <v>0.0721398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0.0944690666666667</v>
      </c>
      <c r="E102" s="2" t="n">
        <v>0.184004266666667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0.2378684</v>
      </c>
      <c r="E103" s="2" t="n">
        <v>0.1268032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0.198400933333333</v>
      </c>
      <c r="E104" s="2" t="n">
        <v>0.0738005333333333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0.0698677333333333</v>
      </c>
      <c r="E105" s="2" t="n">
        <v>0.284600866666667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0.239201666666667</v>
      </c>
      <c r="E106" s="2" t="n">
        <v>0.0870005333333333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0.226267133333333</v>
      </c>
      <c r="E107" s="2" t="n">
        <v>0.241667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0.205668</v>
      </c>
      <c r="E108" s="2" t="n">
        <v>0.139666866666667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0.223600533333333</v>
      </c>
      <c r="E109" s="2" t="n">
        <v>0.169600933333333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0.205600666666667</v>
      </c>
      <c r="E110" s="2" t="n">
        <v>0.127200533333333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0.2250672</v>
      </c>
      <c r="E111" s="2" t="n">
        <v>0.1554668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0.2146006</v>
      </c>
      <c r="E112" s="2" t="n">
        <v>0.176267133333333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0.228267066666667</v>
      </c>
      <c r="E113" s="2" t="n">
        <v>0.1529338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0.279467066666667</v>
      </c>
      <c r="E114" s="2" t="n">
        <v>0.202200533333333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0.164666866666667</v>
      </c>
      <c r="E115" s="2" t="n">
        <v>0.1022672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0.219666933333333</v>
      </c>
      <c r="E116" s="2" t="n">
        <v>0.2665342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0.234867133333333</v>
      </c>
      <c r="E117" s="2" t="n">
        <v>0.0567336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0.3222004</v>
      </c>
      <c r="E118" s="2" t="n">
        <v>0.382533666666667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0.225800333333333</v>
      </c>
      <c r="E119" s="2" t="n">
        <v>0.0308681333333333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0.292267466666667</v>
      </c>
      <c r="E120" s="2" t="n">
        <v>0.2472002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0.1968008</v>
      </c>
      <c r="E121" s="2" t="n">
        <v>0.1954668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0.292866933333333</v>
      </c>
      <c r="E122" s="2" t="n">
        <v>0.247733733333333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0.198134533333333</v>
      </c>
      <c r="E123" s="2" t="n">
        <v>0.195734733333333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0.293666933333333</v>
      </c>
      <c r="E124" s="2" t="n">
        <v>0.274402066666667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0.2298674</v>
      </c>
      <c r="E125" s="2" t="n">
        <v>0.232003066666667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0.3115358</v>
      </c>
      <c r="E126" s="2" t="n">
        <v>0.279738266666667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0.198138066666667</v>
      </c>
      <c r="E127" s="2" t="n">
        <v>0.230873266666667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0.2888708</v>
      </c>
      <c r="E128" s="2" t="n">
        <v>0.240605866666667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0.218004333333333</v>
      </c>
      <c r="E129" s="2" t="n">
        <v>0.191004666666667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0.3156708</v>
      </c>
      <c r="E130" s="2" t="n">
        <v>0.261003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0.227005666666667</v>
      </c>
      <c r="E131" s="2" t="n">
        <v>0.212205066666667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0.313006</v>
      </c>
      <c r="E132" s="2" t="n">
        <v>0.257939133333333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0.18034</v>
      </c>
      <c r="E133" s="2" t="n">
        <v>0.1942072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0.306007466666667</v>
      </c>
      <c r="E134" s="2" t="n">
        <v>0.268342066666667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0.268008266666667</v>
      </c>
      <c r="E135" s="2" t="n">
        <v>0.212141733333333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0.188676333333333</v>
      </c>
      <c r="E136" s="2" t="n">
        <v>0.173474933333333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0.0856761333333333</v>
      </c>
      <c r="E137" s="2" t="n">
        <v>0.2092086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0.362608466666667</v>
      </c>
      <c r="E138" s="2" t="n">
        <v>0.270541733333333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0.1990064</v>
      </c>
      <c r="E139" s="2" t="n">
        <v>0.272006866666667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0.377472266666667</v>
      </c>
      <c r="E140" s="2" t="n">
        <v>0.287139066666667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0.213472733333333</v>
      </c>
      <c r="E141" s="2" t="n">
        <v>0.288738733333333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0.2680066</v>
      </c>
      <c r="E142" s="2" t="n">
        <v>0.274005733333333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0.0860044</v>
      </c>
      <c r="E143" s="2" t="n">
        <v>0.270006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0.374003266666667</v>
      </c>
      <c r="E144" s="2" t="n">
        <v>0.270004733333333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0.171868666666667</v>
      </c>
      <c r="E145" s="2" t="n">
        <v>0.2700054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0.3820022</v>
      </c>
      <c r="E146" s="2" t="n">
        <v>0.272139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0.173336466666667</v>
      </c>
      <c r="E147" s="2" t="n">
        <v>0.283003266666667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0.356003</v>
      </c>
      <c r="E148" s="2" t="n">
        <v>0.272605733333333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0.193606533333333</v>
      </c>
      <c r="E149" s="2" t="n">
        <v>0.271606133333333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0.356008</v>
      </c>
      <c r="E150" s="2" t="n">
        <v>0.1396748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0.103874333333333</v>
      </c>
      <c r="E151" s="2" t="n">
        <v>0.3902086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0.406005733333333</v>
      </c>
      <c r="E152" s="2" t="n">
        <v>0.160541933333333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0.1556722</v>
      </c>
      <c r="E153" s="2" t="n">
        <v>0.298008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0.296004133333333</v>
      </c>
      <c r="E154" s="2" t="n">
        <v>0.2626746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0.244002533333333</v>
      </c>
      <c r="E155" s="2" t="n">
        <v>0.2108738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0.202668666666667</v>
      </c>
      <c r="E156" s="2" t="n">
        <v>0.179005466666667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0.0863342666666667</v>
      </c>
      <c r="E157" s="2" t="n">
        <v>0.361003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0.387</v>
      </c>
      <c r="E158" s="2" t="n">
        <v>0.179000133333333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0.153</v>
      </c>
      <c r="E159" s="2" t="n">
        <v>0.255666933333333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0.387</v>
      </c>
      <c r="E160" s="2" t="n">
        <v>0.214334066666667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0.150333866666667</v>
      </c>
      <c r="E161" s="2" t="n">
        <v>0.309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0.188334066666667</v>
      </c>
      <c r="E162" s="2" t="n">
        <v>0.231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0.2050008</v>
      </c>
      <c r="E163" s="2" t="n">
        <v>0.309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0.334667733333333</v>
      </c>
      <c r="E164" s="2" t="n">
        <v>0.231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0.1870002</v>
      </c>
      <c r="E165" s="2" t="n">
        <v>0.307666933333333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0.367667933333333</v>
      </c>
      <c r="E166" s="2" t="n">
        <v>0.070001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0.1883346</v>
      </c>
      <c r="E167" s="2" t="n">
        <v>0.202667133333333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0.316002066666667</v>
      </c>
      <c r="E168" s="2" t="n">
        <v>0.244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0.0333364</v>
      </c>
      <c r="E169" s="2" t="n">
        <v>0.296000933333333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0.406468666666667</v>
      </c>
      <c r="E170" s="2" t="n">
        <v>0.2493346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0.193536866666667</v>
      </c>
      <c r="E171" s="2" t="n">
        <v>0.316001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0.301938133333333</v>
      </c>
      <c r="E172" s="2" t="n">
        <v>0.278334933333333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0.377806333333333</v>
      </c>
      <c r="E173" s="2" t="n">
        <v>0.3360036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0.2072072</v>
      </c>
      <c r="E174" s="2" t="n">
        <v>0.304205666666667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0.314673333333333</v>
      </c>
      <c r="E175" s="2" t="n">
        <v>0.354875333333333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0.385409533333333</v>
      </c>
      <c r="E176" s="2" t="n">
        <v>0.311875266666667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0.392544466666667</v>
      </c>
      <c r="E177" s="2" t="n">
        <v>0.39381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0.2798822</v>
      </c>
      <c r="E178" s="2" t="n">
        <v>0.3696802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0.3754806</v>
      </c>
      <c r="E179" s="2" t="n">
        <v>0.439482666666667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0.413544866666667</v>
      </c>
      <c r="E180" s="2" t="n">
        <v>0.4559474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0.454478333333333</v>
      </c>
      <c r="E181" s="2" t="n">
        <v>0.4778132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0.381412933333333</v>
      </c>
      <c r="E182" s="2" t="n">
        <v>0.526544266666667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0.428082666666667</v>
      </c>
      <c r="E183" s="2" t="n">
        <v>0.589081066666667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0.277550333333333</v>
      </c>
      <c r="E184" s="2" t="n">
        <v>0.4938822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0.2638162</v>
      </c>
      <c r="E185" s="2" t="n">
        <v>0.335950133333333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0.411817266666667</v>
      </c>
      <c r="E186" s="2" t="n">
        <v>0.2429488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0.280882066666667</v>
      </c>
      <c r="E187" s="2" t="n">
        <v>0.199750733333333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0.330213266666667</v>
      </c>
      <c r="E188" s="2" t="n">
        <v>0.446815066666667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0.514144333333333</v>
      </c>
      <c r="E189" s="2" t="n">
        <v>0.273484666666667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0.2584772</v>
      </c>
      <c r="E190" s="2" t="n">
        <v>0.329082333333333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0.435078333333333</v>
      </c>
      <c r="E191" s="2" t="n">
        <v>0.240144533333333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0.198213266666667</v>
      </c>
      <c r="E192" s="2" t="n">
        <v>0.227674733333333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0.229480866666667</v>
      </c>
      <c r="E193" s="2" t="n">
        <v>0.227609666666667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0.0788146</v>
      </c>
      <c r="E194" s="2" t="n">
        <v>0.272011466666667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0.0634769333333334</v>
      </c>
      <c r="E195" s="2" t="n">
        <v>0.129940933333333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0.375742466666667</v>
      </c>
      <c r="E196" s="2" t="n">
        <v>0.3014754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0.0541402</v>
      </c>
      <c r="E197" s="2" t="n">
        <v>0.180873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0.359270333333333</v>
      </c>
      <c r="E198" s="2" t="n">
        <v>0.11867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0.1479376</v>
      </c>
      <c r="E199" s="2" t="n">
        <v>0.237467933333333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0.1674674</v>
      </c>
      <c r="E200" s="2" t="n">
        <v>0.0570002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0.190934266666667</v>
      </c>
      <c r="E201" s="2" t="n">
        <v>0.289267066666667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0.114334466666667</v>
      </c>
      <c r="E202" s="2" t="n">
        <v>0.0508669333333333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0.247533666666667</v>
      </c>
      <c r="E203" s="2" t="n">
        <v>0.190667733333333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0.0728004</v>
      </c>
      <c r="E204" s="2" t="n">
        <v>0.0810012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0.3116668</v>
      </c>
      <c r="E205" s="2" t="n">
        <v>0.2780674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0.0612010666666667</v>
      </c>
      <c r="E206" s="2" t="n">
        <v>0.0698674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0.1955338</v>
      </c>
      <c r="E207" s="2" t="n">
        <v>0.2924672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0.1712668</v>
      </c>
      <c r="E208" s="2" t="n">
        <v>0.0567344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0.1963342</v>
      </c>
      <c r="E209" s="2" t="n">
        <v>0.2926006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0.160002066666667</v>
      </c>
      <c r="E210" s="2" t="n">
        <v>0.0618004666666667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0.198935266666667</v>
      </c>
      <c r="E211" s="2" t="n">
        <v>0.295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0.225134</v>
      </c>
      <c r="E212" s="2" t="n">
        <v>0.0550677333333333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0.180002533333333</v>
      </c>
      <c r="E213" s="2" t="n">
        <v>0.157200733333333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0.1261342</v>
      </c>
      <c r="E214" s="2" t="n">
        <v>0.204733866666667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0.277933933333333</v>
      </c>
      <c r="E215" s="2" t="n">
        <v>0.1029336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0.226334</v>
      </c>
      <c r="E216" s="2" t="n">
        <v>0.377667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0.2852012</v>
      </c>
      <c r="E217" s="2" t="n">
        <v>0.0868004666666667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0.2265342</v>
      </c>
      <c r="E218" s="2" t="n">
        <v>0.356000133333333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0.2734674</v>
      </c>
      <c r="E219" s="2" t="n">
        <v>0.0705338666666667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0.2068672</v>
      </c>
      <c r="E220" s="2" t="n">
        <v>0.155469666666667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0.216670466666667</v>
      </c>
      <c r="E221" s="2" t="n">
        <v>0.0904705333333333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0.167206133333333</v>
      </c>
      <c r="E222" s="2" t="n">
        <v>0.1901384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0.2732056</v>
      </c>
      <c r="E223" s="2" t="n">
        <v>0.0994045333333333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0.259804933333333</v>
      </c>
      <c r="E224" s="2" t="n">
        <v>0.227671933333333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0.252273133333333</v>
      </c>
      <c r="E225" s="2" t="n">
        <v>0.0516703333333333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0.325006333333333</v>
      </c>
      <c r="E226" s="2" t="n">
        <v>0.219671333333333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0.233006933333333</v>
      </c>
      <c r="E227" s="2" t="n">
        <v>0.213004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0.338006933333333</v>
      </c>
      <c r="E228" s="2" t="n">
        <v>0.1660052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0.208340333333333</v>
      </c>
      <c r="E229" s="2" t="n">
        <v>0.2016076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0.370007333333333</v>
      </c>
      <c r="E230" s="2" t="n">
        <v>0.1900094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0.207541266666667</v>
      </c>
      <c r="E231" s="2" t="n">
        <v>0.3573414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0.3572082</v>
      </c>
      <c r="E232" s="2" t="n">
        <v>0.266007066666667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0.197141866666667</v>
      </c>
      <c r="E233" s="2" t="n">
        <v>0.273606133333333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0.375806133333333</v>
      </c>
      <c r="E234" s="2" t="n">
        <v>0.310607066666667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0.132608133333333</v>
      </c>
      <c r="E235" s="2" t="n">
        <v>0.231006266666667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0.335338666666667</v>
      </c>
      <c r="E236" s="2" t="n">
        <v>0.309539266666667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0.2180062</v>
      </c>
      <c r="E237" s="2" t="n">
        <v>0.233673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0.255338866666667</v>
      </c>
      <c r="E238" s="2" t="n">
        <v>0.309007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0.3383368</v>
      </c>
      <c r="E239" s="2" t="n">
        <v>0.2360068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0.2220046</v>
      </c>
      <c r="E240" s="2" t="n">
        <v>0.324006133333333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0.348671133333333</v>
      </c>
      <c r="E241" s="2" t="n">
        <v>0.2963382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0.239670933333333</v>
      </c>
      <c r="E242" s="2" t="n">
        <v>0.211806533333333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0.179807533333333</v>
      </c>
      <c r="E243" s="2" t="n">
        <v>0.2846724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0.142075133333333</v>
      </c>
      <c r="E244" s="2" t="n">
        <v>0.160674466666667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0.3040092</v>
      </c>
      <c r="E245" s="2" t="n">
        <v>0.3336768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0.244543266666667</v>
      </c>
      <c r="E246" s="2" t="n">
        <v>0.256676533333333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0.296008266666667</v>
      </c>
      <c r="E247" s="2" t="n">
        <v>0.272342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0.244008</v>
      </c>
      <c r="E248" s="2" t="n">
        <v>0.362673533333333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0.296008</v>
      </c>
      <c r="E249" s="2" t="n">
        <v>0.199006733333333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0.249339466666667</v>
      </c>
      <c r="E250" s="2" t="n">
        <v>0.3480052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0.162071333333333</v>
      </c>
      <c r="E251" s="2" t="n">
        <v>0.096671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0.1760038</v>
      </c>
      <c r="E252" s="2" t="n">
        <v>0.387000866666667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0.309001533333333</v>
      </c>
      <c r="E253" s="2" t="n">
        <v>0.1563338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0.164333666666667</v>
      </c>
      <c r="E254" s="2" t="n">
        <v>0.290333866666667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0.281333666666667</v>
      </c>
      <c r="E255" s="2" t="n">
        <v>0.106334266666667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0.257000866666667</v>
      </c>
      <c r="E256" s="2" t="n">
        <v>0.397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0.283001066666667</v>
      </c>
      <c r="E257" s="2" t="n">
        <v>0.163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0.1750028</v>
      </c>
      <c r="E258" s="2" t="n">
        <v>0.397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0.151668933333333</v>
      </c>
      <c r="E259" s="2" t="n">
        <v>0.1630002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0.3443344</v>
      </c>
      <c r="E260" s="2" t="n">
        <v>0.409666933333333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0.228001</v>
      </c>
      <c r="E261" s="2" t="n">
        <v>0.176333666666667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0.386668</v>
      </c>
      <c r="E262" s="2" t="n">
        <v>0.417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0.244001733333333</v>
      </c>
      <c r="E263" s="2" t="n">
        <v>0.176333666666667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0.3616686</v>
      </c>
      <c r="E264" s="2" t="n">
        <v>0.409000666666667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0.238668</v>
      </c>
      <c r="E265" s="2" t="n">
        <v>0.1663348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0.370335866666667</v>
      </c>
      <c r="E266" s="2" t="n">
        <v>0.213203266666667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0.251538666666667</v>
      </c>
      <c r="E267" s="2" t="n">
        <v>0.1208052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0.249805666666667</v>
      </c>
      <c r="E268" s="2" t="n">
        <v>0.472671933333333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0.3912086</v>
      </c>
      <c r="E269" s="2" t="n">
        <v>0.2093432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0.243277</v>
      </c>
      <c r="E270" s="2" t="n">
        <v>0.276348933333333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0.271545333333333</v>
      </c>
      <c r="E271" s="2" t="n">
        <v>0.347946333333333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0.434412266666667</v>
      </c>
      <c r="E272" s="2" t="n">
        <v>0.157014266666667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0.334945866666667</v>
      </c>
      <c r="E273" s="2" t="n">
        <v>0.315880466666667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0.38228</v>
      </c>
      <c r="E274" s="2" t="n">
        <v>0.3182138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0.3202138</v>
      </c>
      <c r="E275" s="2" t="n">
        <v>0.3134848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0.424216066666667</v>
      </c>
      <c r="E276" s="2" t="n">
        <v>0.208617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0.313218733333333</v>
      </c>
      <c r="E277" s="2" t="n">
        <v>0.3464146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0.3530832</v>
      </c>
      <c r="E278" s="2" t="n">
        <v>0.3350828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0.403280466666667</v>
      </c>
      <c r="E279" s="2" t="n">
        <v>0.379551266666667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0.554480466666667</v>
      </c>
      <c r="E280" s="2" t="n">
        <v>0.2036188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0.3898146</v>
      </c>
      <c r="E281" s="2" t="n">
        <v>0.4816842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0.389615533333333</v>
      </c>
      <c r="E282" s="2" t="n">
        <v>0.266549533333333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0.377813466666667</v>
      </c>
      <c r="E283" s="2" t="n">
        <v>0.527482133333333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0.260946866666667</v>
      </c>
      <c r="E284" s="2" t="n">
        <v>0.242682533333333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0.310546733333333</v>
      </c>
      <c r="E285" s="2" t="n">
        <v>0.317414866666667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0.257081333333333</v>
      </c>
      <c r="E286" s="2" t="n">
        <v>0.291478733333333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0.187744533333333</v>
      </c>
      <c r="E287" s="2" t="n">
        <v>0.267410266666667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0.1146792</v>
      </c>
      <c r="E288" s="2" t="n">
        <v>0.297010666666667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0.294012733333333</v>
      </c>
      <c r="E289" s="2" t="n">
        <v>0.153676933333333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0.0694122666666667</v>
      </c>
      <c r="E290" s="2" t="n">
        <v>0.0822112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0.0418104</v>
      </c>
      <c r="E291" s="2" t="n">
        <v>0.109141733333333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0.234074866666667</v>
      </c>
      <c r="E292" s="2" t="n">
        <v>0.207943466666667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0.3140048</v>
      </c>
      <c r="E293" s="2" t="n">
        <v>0.242339133333333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0.1568036</v>
      </c>
      <c r="E294" s="2" t="n">
        <v>0.3140042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0.0611351333333333</v>
      </c>
      <c r="E295" s="2" t="n">
        <v>0.170000666666667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0.236534466666667</v>
      </c>
      <c r="E296" s="2" t="n">
        <v>0.2740002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0.113333733333333</v>
      </c>
      <c r="E297" s="2" t="n">
        <v>0.0874686666666667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0.2480668</v>
      </c>
      <c r="E298" s="2" t="n">
        <v>0.366400466666667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0.113933933333333</v>
      </c>
      <c r="E299" s="2" t="n">
        <v>0.110467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0.2447336</v>
      </c>
      <c r="E300" s="2" t="n">
        <v>0.378533866666667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0.115133933333333</v>
      </c>
      <c r="E301" s="2" t="n">
        <v>0.127866933333333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0.153134333333333</v>
      </c>
      <c r="E302" s="2" t="n">
        <v>0.3873342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0.0764002</v>
      </c>
      <c r="E303" s="2" t="n">
        <v>0.1296672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0.2831338</v>
      </c>
      <c r="E304" s="2" t="n">
        <v>0.390400866666667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0.050734</v>
      </c>
      <c r="E305" s="2" t="n">
        <v>0.121600266666667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0.208</v>
      </c>
      <c r="E306" s="2" t="n">
        <v>0.364334066666667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0.181333466666667</v>
      </c>
      <c r="E307" s="2" t="n">
        <v>0.105934066666667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0.141267533333333</v>
      </c>
      <c r="E308" s="2" t="n">
        <v>0.374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0.0851342</v>
      </c>
      <c r="E309" s="2" t="n">
        <v>0.114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0.2678672</v>
      </c>
      <c r="E310" s="2" t="n">
        <v>0.345600266666667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0.0908669333333333</v>
      </c>
      <c r="E311" s="2" t="n">
        <v>0.1029344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0.2390678</v>
      </c>
      <c r="E312" s="2" t="n">
        <v>0.399333466666667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0.1998012</v>
      </c>
      <c r="E313" s="2" t="n">
        <v>0.127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0.2587338</v>
      </c>
      <c r="E314" s="2" t="n">
        <v>0.394801066666667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0.0686677333333333</v>
      </c>
      <c r="E315" s="2" t="n">
        <v>0.111067933333333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0.269934133333333</v>
      </c>
      <c r="E316" s="2" t="n">
        <v>0.2078028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0.326601133333333</v>
      </c>
      <c r="E317" s="2" t="n">
        <v>0.163336666666667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0.231002866666667</v>
      </c>
      <c r="E318" s="2" t="n">
        <v>0.3164704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0.3090046</v>
      </c>
      <c r="E319" s="2" t="n">
        <v>0.166005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0.2574038</v>
      </c>
      <c r="E320" s="2" t="n">
        <v>0.329605533333333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0.3282038</v>
      </c>
      <c r="E321" s="2" t="n">
        <v>0.0868068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0.231006</v>
      </c>
      <c r="E322" s="2" t="n">
        <v>0.216005533333333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0.314339666666667</v>
      </c>
      <c r="E323" s="2" t="n">
        <v>0.2720058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0.2342066</v>
      </c>
      <c r="E324" s="2" t="n">
        <v>0.3042074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0.325005466666667</v>
      </c>
      <c r="E325" s="2" t="n">
        <v>0.0960074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0.239006133333333</v>
      </c>
      <c r="E326" s="2" t="n">
        <v>0.402541266666667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0.3416718</v>
      </c>
      <c r="E327" s="2" t="n">
        <v>0.168008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0.257672333333333</v>
      </c>
      <c r="E328" s="2" t="n">
        <v>0.407340666666667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0.323939466666667</v>
      </c>
      <c r="E329" s="2" t="n">
        <v>0.135873933333333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0.239340466666667</v>
      </c>
      <c r="E330" s="2" t="n">
        <v>0.368675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0.3200066</v>
      </c>
      <c r="E331" s="2" t="n">
        <v>0.194007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0.231005333333333</v>
      </c>
      <c r="E332" s="2" t="n">
        <v>0.3760056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0.310738266666667</v>
      </c>
      <c r="E333" s="2" t="n">
        <v>0.194003266666667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0.291004</v>
      </c>
      <c r="E334" s="2" t="n">
        <v>0.362002533333333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0.192671666666667</v>
      </c>
      <c r="E335" s="2" t="n">
        <v>0.1790028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0.204272266666667</v>
      </c>
      <c r="E336" s="2" t="n">
        <v>0.381004333333333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0.1521408</v>
      </c>
      <c r="E337" s="2" t="n">
        <v>0.196206133333333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0.403342733333333</v>
      </c>
      <c r="E338" s="2" t="n">
        <v>0.41234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0.200007333333333</v>
      </c>
      <c r="E339" s="2" t="n">
        <v>0.177009266666667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0.4836728</v>
      </c>
      <c r="E340" s="2" t="n">
        <v>0.202009066666667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0.1804074</v>
      </c>
      <c r="E341" s="2" t="n">
        <v>0.139672266666667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0.4090082</v>
      </c>
      <c r="E342" s="2" t="n">
        <v>0.413207466666667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0.137675</v>
      </c>
      <c r="E343" s="2" t="n">
        <v>0.135340266666667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0.3216744</v>
      </c>
      <c r="E344" s="2" t="n">
        <v>0.216474066666667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0.2684714</v>
      </c>
      <c r="E345" s="2" t="n">
        <v>0.238472333333333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0.334138533333333</v>
      </c>
      <c r="E346" s="2" t="n">
        <v>0.3090054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0.238004733333333</v>
      </c>
      <c r="E347" s="2" t="n">
        <v>0.231003666666667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0.1660032</v>
      </c>
      <c r="E348" s="2" t="n">
        <v>0.308335466666667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0.1630032</v>
      </c>
      <c r="E349" s="2" t="n">
        <v>0.070002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0.2570014</v>
      </c>
      <c r="E350" s="2" t="n">
        <v>0.256667466666667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0.283001</v>
      </c>
      <c r="E351" s="2" t="n">
        <v>0.270001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0.257001</v>
      </c>
      <c r="E352" s="2" t="n">
        <v>0.2170012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0.283001</v>
      </c>
      <c r="E353" s="2" t="n">
        <v>0.179001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0.270000866666667</v>
      </c>
      <c r="E354" s="2" t="n">
        <v>0.361001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0.302001</v>
      </c>
      <c r="E355" s="2" t="n">
        <v>0.179001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0.130335933333333</v>
      </c>
      <c r="E356" s="2" t="n">
        <v>0.361001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0.3626682</v>
      </c>
      <c r="E357" s="2" t="n">
        <v>0.179001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0.268001</v>
      </c>
      <c r="E358" s="2" t="n">
        <v>0.1900014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0.362668133333333</v>
      </c>
      <c r="E359" s="2" t="n">
        <v>0.202402266666667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0.232335933333333</v>
      </c>
      <c r="E360" s="2" t="n">
        <v>0.191935333333333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0.264736066666667</v>
      </c>
      <c r="E361" s="2" t="n">
        <v>0.229734333333333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0.2684008</v>
      </c>
      <c r="E362" s="2" t="n">
        <v>0.2470008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0.214935533333333</v>
      </c>
      <c r="E363" s="2" t="n">
        <v>0.258467333333333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0.2203382</v>
      </c>
      <c r="E364" s="2" t="n">
        <v>0.214669266666667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0.4079416</v>
      </c>
      <c r="E365" s="2" t="n">
        <v>0.156803466666667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0.2422126</v>
      </c>
      <c r="E366" s="2" t="n">
        <v>0.327473133333333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0.4082154</v>
      </c>
      <c r="E367" s="2" t="n">
        <v>0.218874333333333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0.149819666666667</v>
      </c>
      <c r="E368" s="2" t="n">
        <v>0.3219446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0.187218333333333</v>
      </c>
      <c r="E369" s="2" t="n">
        <v>0.0616808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0.198349066666667</v>
      </c>
      <c r="E370" s="2" t="n">
        <v>0.343882133333333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0.3028142</v>
      </c>
      <c r="E371" s="2" t="n">
        <v>0.195281533333333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0.332943333333333</v>
      </c>
      <c r="E372" s="2" t="n">
        <v>0.252684933333333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0.325814333333333</v>
      </c>
      <c r="E373" s="2" t="n">
        <v>0.277615533333333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0.2702184</v>
      </c>
      <c r="E374" s="2" t="n">
        <v>0.398215533333333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0.3054832</v>
      </c>
      <c r="E375" s="2" t="n">
        <v>0.383347533333333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0.397015333333333</v>
      </c>
      <c r="E376" s="2" t="n">
        <v>0.396613933333333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0.393947133333333</v>
      </c>
      <c r="E377" s="2" t="n">
        <v>0.4030126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0.2990176</v>
      </c>
      <c r="E378" s="2" t="n">
        <v>0.432413466666667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0.267285666666667</v>
      </c>
      <c r="E379" s="2" t="n">
        <v>0.441879933333333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0.2097506</v>
      </c>
      <c r="E380" s="2" t="n">
        <v>0.439548066666667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0.341016533333333</v>
      </c>
      <c r="E381" s="2" t="n">
        <v>0.391080266666667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0.187749466666667</v>
      </c>
      <c r="E382" s="2" t="n">
        <v>0.319081466666667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0.216546866666667</v>
      </c>
      <c r="E383" s="2" t="n">
        <v>0.2128802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0.1924132</v>
      </c>
      <c r="E384" s="2" t="n">
        <v>0.403345266666667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0.1959442</v>
      </c>
      <c r="E385" s="2" t="n">
        <v>0.1590094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0.0899443333333333</v>
      </c>
      <c r="E386" s="2" t="n">
        <v>0.119678266666667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0.0795448</v>
      </c>
      <c r="E387" s="2" t="n">
        <v>0.2373418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0.215473266666667</v>
      </c>
      <c r="E388" s="2" t="n">
        <v>0.0809438666666667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0.233805066666667</v>
      </c>
      <c r="E389" s="2" t="n">
        <v>0.308541533333333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0.144336933333333</v>
      </c>
      <c r="E390" s="2" t="n">
        <v>0.0298714666666667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0.2111358</v>
      </c>
      <c r="E391" s="2" t="n">
        <v>0.304935466666667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0.123534666666667</v>
      </c>
      <c r="E392" s="2" t="n">
        <v>0.0952004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0.1775348</v>
      </c>
      <c r="E393" s="2" t="n">
        <v>0.104734666666667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0.184734266666667</v>
      </c>
      <c r="E394" s="2" t="n">
        <v>0.1739354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0.0610677333333333</v>
      </c>
      <c r="E395" s="2" t="n">
        <v>0.1608682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0.268333866666667</v>
      </c>
      <c r="E396" s="2" t="n">
        <v>0.113933933333333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0.248934133333333</v>
      </c>
      <c r="E397" s="2" t="n">
        <v>0.1524674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0.0631336</v>
      </c>
      <c r="E398" s="2" t="n">
        <v>0.207800266666667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0.306600933333333</v>
      </c>
      <c r="E399" s="2" t="n">
        <v>0.149000733333333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0.0504002</v>
      </c>
      <c r="E400" s="2" t="n">
        <v>0.159666733333333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0.302467533333333</v>
      </c>
      <c r="E401" s="2" t="n">
        <v>0.150600866666667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0.164268066666667</v>
      </c>
      <c r="E402" s="2" t="n">
        <v>0.202334133333333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0.0692672666666667</v>
      </c>
      <c r="E403" s="2" t="n">
        <v>0.0604008666666667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0.2512002</v>
      </c>
      <c r="E404" s="2" t="n">
        <v>0.193667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0.209134</v>
      </c>
      <c r="E405" s="2" t="n">
        <v>0.271934133333333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0.0352672666666667</v>
      </c>
      <c r="E406" s="2" t="n">
        <v>0.147334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0.053734</v>
      </c>
      <c r="E407" s="2" t="n">
        <v>0.202134666666667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0.2748008</v>
      </c>
      <c r="E408" s="2" t="n">
        <v>0.0634001333333333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0.148734466666667</v>
      </c>
      <c r="E409" s="2" t="n">
        <v>0.3964002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0.218334</v>
      </c>
      <c r="E410" s="2" t="n">
        <v>0.0469336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0.210867266666667</v>
      </c>
      <c r="E411" s="2" t="n">
        <v>0.382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0.162068933333333</v>
      </c>
      <c r="E412" s="2" t="n">
        <v>0.0413341333333333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0.1586692</v>
      </c>
      <c r="E413" s="2" t="n">
        <v>0.204802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0.113870333333333</v>
      </c>
      <c r="E414" s="2" t="n">
        <v>0.131069666666667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0.150805333333333</v>
      </c>
      <c r="E415" s="2" t="n">
        <v>0.326804066666667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0.139004933333333</v>
      </c>
      <c r="E416" s="2" t="n">
        <v>0.1210034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0.387004866666667</v>
      </c>
      <c r="E417" s="2" t="n">
        <v>0.312069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0.153004066666667</v>
      </c>
      <c r="E418" s="2" t="n">
        <v>0.0583385333333333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0.387005733333333</v>
      </c>
      <c r="E419" s="2" t="n">
        <v>0.382006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0.153006933333333</v>
      </c>
      <c r="E420" s="2" t="n">
        <v>0.110073333333333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0.4014068</v>
      </c>
      <c r="E421" s="2" t="n">
        <v>0.235341333333333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0.1730072</v>
      </c>
      <c r="E422" s="2" t="n">
        <v>0.200074733333333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0.410007</v>
      </c>
      <c r="E423" s="2" t="n">
        <v>0.262273133333333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0.171140533333333</v>
      </c>
      <c r="E424" s="2" t="n">
        <v>0.158608266666667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0.409673733333333</v>
      </c>
      <c r="E425" s="2" t="n">
        <v>0.142341933333333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0.2914068</v>
      </c>
      <c r="E426" s="2" t="n">
        <v>0.342073333333333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0.270007133333333</v>
      </c>
      <c r="E427" s="2" t="n">
        <v>0.267671866666667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0.150005933333333</v>
      </c>
      <c r="E428" s="2" t="n">
        <v>0.195204866666667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0.2000052</v>
      </c>
      <c r="E429" s="2" t="n">
        <v>0.322006133333333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0.203339466666667</v>
      </c>
      <c r="E430" s="2" t="n">
        <v>0.1923406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0.338340266666667</v>
      </c>
      <c r="E431" s="2" t="n">
        <v>0.252870533333333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0.241673733333333</v>
      </c>
      <c r="E432" s="2" t="n">
        <v>0.404738466666667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0.371673733333333</v>
      </c>
      <c r="E433" s="2" t="n">
        <v>0.263873133333333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0.235007666666667</v>
      </c>
      <c r="E434" s="2" t="n">
        <v>0.338673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0.338341333333333</v>
      </c>
      <c r="E435" s="2" t="n">
        <v>0.301006466666667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0.206075</v>
      </c>
      <c r="E436" s="2" t="n">
        <v>0.3253418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0.343007733333333</v>
      </c>
      <c r="E437" s="2" t="n">
        <v>0.261474266666667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0.216940733333333</v>
      </c>
      <c r="E438" s="2" t="n">
        <v>0.244540733333333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0.3510066</v>
      </c>
      <c r="E439" s="2" t="n">
        <v>0.3210064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0.207674333333333</v>
      </c>
      <c r="E440" s="2" t="n">
        <v>0.2530072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0.2030082</v>
      </c>
      <c r="E441" s="2" t="n">
        <v>0.296006733333333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0.257007</v>
      </c>
      <c r="E442" s="2" t="n">
        <v>0.1353388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0.283006333333333</v>
      </c>
      <c r="E443" s="2" t="n">
        <v>0.294670933333333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0.139938133333333</v>
      </c>
      <c r="E444" s="2" t="n">
        <v>0.231002266666667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0.2196008</v>
      </c>
      <c r="E445" s="2" t="n">
        <v>0.309000333333333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0.321667266666667</v>
      </c>
      <c r="E446" s="2" t="n">
        <v>0.306667133333333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0.210000666666667</v>
      </c>
      <c r="E447" s="2" t="n">
        <v>0.0713340666666667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0.345000333333333</v>
      </c>
      <c r="E448" s="2" t="n">
        <v>0.228667133333333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0.219000066666667</v>
      </c>
      <c r="E449" s="2" t="n">
        <v>0.334666733333333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0.35</v>
      </c>
      <c r="E450" s="2" t="n">
        <v>0.0856671333333333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0.220000133333333</v>
      </c>
      <c r="E451" s="2" t="n">
        <v>0.335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0.350001</v>
      </c>
      <c r="E452" s="2" t="n">
        <v>0.205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0.2360002</v>
      </c>
      <c r="E453" s="2" t="n">
        <v>0.337000866666667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0.37</v>
      </c>
      <c r="E454" s="2" t="n">
        <v>0.225667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0.24</v>
      </c>
      <c r="E455" s="2" t="n">
        <v>0.368000466666667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0.196668133333333</v>
      </c>
      <c r="E456" s="2" t="n">
        <v>0.250666666666667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0.160002333333333</v>
      </c>
      <c r="E457" s="2" t="n">
        <v>0.373401333333333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0.2085352</v>
      </c>
      <c r="E458" s="2" t="n">
        <v>0.2688006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0.268405933333333</v>
      </c>
      <c r="E459" s="2" t="n">
        <v>0.418401733333333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0.223341866666667</v>
      </c>
      <c r="E460" s="2" t="n">
        <v>0.1968066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0.2310106</v>
      </c>
      <c r="E461" s="2" t="n">
        <v>0.278205466666667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0.230343933333333</v>
      </c>
      <c r="E462" s="2" t="n">
        <v>0.505007266666667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0.485348533333333</v>
      </c>
      <c r="E463" s="2" t="n">
        <v>0.399343666666667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0.169217666666667</v>
      </c>
      <c r="E464" s="2" t="n">
        <v>0.5072116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0.472083866666667</v>
      </c>
      <c r="E465" s="2" t="n">
        <v>0.412212666666667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0.3391492</v>
      </c>
      <c r="E466" s="2" t="n">
        <v>0.492616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0.527881533333333</v>
      </c>
      <c r="E467" s="2" t="n">
        <v>0.4162828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0.367615333333333</v>
      </c>
      <c r="E468" s="2" t="n">
        <v>0.4138144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0.454549933333333</v>
      </c>
      <c r="E469" s="2" t="n">
        <v>0.389015866666667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0.2711526</v>
      </c>
      <c r="E470" s="2" t="n">
        <v>0.399349333333333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0.371285866666667</v>
      </c>
      <c r="E471" s="2" t="n">
        <v>0.358349666666667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0.260485</v>
      </c>
      <c r="E472" s="2" t="n">
        <v>0.367617666666667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0.424015133333333</v>
      </c>
      <c r="E473" s="2" t="n">
        <v>0.444615333333333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0.2918814</v>
      </c>
      <c r="E474" s="2" t="n">
        <v>0.349216133333333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0.378347066666667</v>
      </c>
      <c r="E475" s="2" t="n">
        <v>0.4336172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0.225550066666667</v>
      </c>
      <c r="E476" s="2" t="n">
        <v>0.4348146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0.362682</v>
      </c>
      <c r="E477" s="2" t="n">
        <v>0.3452816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0.3014134</v>
      </c>
      <c r="E478" s="2" t="n">
        <v>0.455746266666667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0.2636154</v>
      </c>
      <c r="E479" s="2" t="n">
        <v>0.2424808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0.182216466666667</v>
      </c>
      <c r="E480" s="2" t="n">
        <v>0.394679466666667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0.2184798</v>
      </c>
      <c r="E481" s="2" t="n">
        <v>0.123481133333333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0.0387474666666667</v>
      </c>
      <c r="E482" s="2" t="n">
        <v>0.155214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0.0295434666666667</v>
      </c>
      <c r="E483" s="2" t="n">
        <v>0.161075666666667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0.0898098</v>
      </c>
      <c r="E484" s="2" t="n">
        <v>0.106543333333333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0.2043402</v>
      </c>
      <c r="E485" s="2" t="n">
        <v>0.274672933333333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0.216001466666667</v>
      </c>
      <c r="E486" s="2" t="n">
        <v>0.0732036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0.225534</v>
      </c>
      <c r="E487" s="2" t="n">
        <v>0.279135466666667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0.146667466666667</v>
      </c>
      <c r="E488" s="2" t="n">
        <v>0.214933866666667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0.175068333333333</v>
      </c>
      <c r="E489" s="2" t="n">
        <v>0.203134133333333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0.0460024</v>
      </c>
      <c r="E490" s="2" t="n">
        <v>0.225467466666667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0.0496008</v>
      </c>
      <c r="E491" s="2" t="n">
        <v>0.2049338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0.320266933333333</v>
      </c>
      <c r="E492" s="2" t="n">
        <v>0.161067933333333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0.0476679333333333</v>
      </c>
      <c r="E493" s="2" t="n">
        <v>0.2086014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0.273533466666667</v>
      </c>
      <c r="E494" s="2" t="n">
        <v>0.1932668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0.080734</v>
      </c>
      <c r="E495" s="2" t="n">
        <v>0.291200933333333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0.2586008</v>
      </c>
      <c r="E496" s="2" t="n">
        <v>0.1965342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0.087</v>
      </c>
      <c r="E497" s="2" t="n">
        <v>0.2915338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0.1772006</v>
      </c>
      <c r="E498" s="2" t="n">
        <v>0.1867344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0.0780676666666667</v>
      </c>
      <c r="E499" s="2" t="n">
        <v>0.289200333333333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0.2588014</v>
      </c>
      <c r="E500" s="2" t="n">
        <v>0.184000333333333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0.0445347333333333</v>
      </c>
      <c r="E501" s="2" t="n">
        <v>0.2816006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0.177200666666667</v>
      </c>
      <c r="E502" s="2" t="n">
        <v>0.164267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0.227067266666667</v>
      </c>
      <c r="E503" s="2" t="n">
        <v>0.2604668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0.142334533333333</v>
      </c>
      <c r="E504" s="2" t="n">
        <v>0.153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0.259400333333333</v>
      </c>
      <c r="E505" s="2" t="n">
        <v>0.257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0.235</v>
      </c>
      <c r="E506" s="2" t="n">
        <v>0.153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0.207734933333333</v>
      </c>
      <c r="E507" s="2" t="n">
        <v>0.2570004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0.212002733333333</v>
      </c>
      <c r="E508" s="2" t="n">
        <v>0.153001533333333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0.2853364</v>
      </c>
      <c r="E509" s="2" t="n">
        <v>0.264203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0.1533388</v>
      </c>
      <c r="E510" s="2" t="n">
        <v>0.189004333333333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0.110338333333333</v>
      </c>
      <c r="E511" s="2" t="n">
        <v>0.303940666666667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0.275003333333333</v>
      </c>
      <c r="E512" s="2" t="n">
        <v>0.167341466666667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0.153004</v>
      </c>
      <c r="E513" s="2" t="n">
        <v>0.267274533333333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0.1903382</v>
      </c>
      <c r="E514" s="2" t="n">
        <v>0.121473733333333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0.0912057333333333</v>
      </c>
      <c r="E515" s="2" t="n">
        <v>0.382338666666667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0.1155388</v>
      </c>
      <c r="E516" s="2" t="n">
        <v>0.135939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0.2757404</v>
      </c>
      <c r="E517" s="2" t="n">
        <v>0.3804064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0.285675333333333</v>
      </c>
      <c r="E518" s="2" t="n">
        <v>0.0570749333333333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0.257009</v>
      </c>
      <c r="E519" s="2" t="n">
        <v>0.196541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0.291008</v>
      </c>
      <c r="E520" s="2" t="n">
        <v>0.2590074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0.265007066666667</v>
      </c>
      <c r="E521" s="2" t="n">
        <v>0.201673333333333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0.292006933333333</v>
      </c>
      <c r="E522" s="2" t="n">
        <v>0.231007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0.267872733333333</v>
      </c>
      <c r="E523" s="2" t="n">
        <v>0.3066738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0.289006133333333</v>
      </c>
      <c r="E524" s="2" t="n">
        <v>0.1286726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0.257006466666667</v>
      </c>
      <c r="E525" s="2" t="n">
        <v>0.329005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0.223339266666667</v>
      </c>
      <c r="E526" s="2" t="n">
        <v>0.140006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0.1450046</v>
      </c>
      <c r="E527" s="2" t="n">
        <v>0.4033408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0.139004666666667</v>
      </c>
      <c r="E528" s="2" t="n">
        <v>0.163673666666667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0.158871333333333</v>
      </c>
      <c r="E529" s="2" t="n">
        <v>0.483340466666667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0.395005133333333</v>
      </c>
      <c r="E530" s="2" t="n">
        <v>0.106075933333333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0.0726071333333333</v>
      </c>
      <c r="E531" s="2" t="n">
        <v>0.260409533333333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0.203676066666667</v>
      </c>
      <c r="E532" s="2" t="n">
        <v>0.297475933333333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0.114941866666667</v>
      </c>
      <c r="E533" s="2" t="n">
        <v>0.2806762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0.193674533333333</v>
      </c>
      <c r="E534" s="2" t="n">
        <v>0.1100098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0.2170086</v>
      </c>
      <c r="E535" s="2" t="n">
        <v>0.231674933333333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0.2050074</v>
      </c>
      <c r="E536" s="2" t="n">
        <v>0.281941133333333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0.363006133333333</v>
      </c>
      <c r="E537" s="2" t="n">
        <v>0.288738266666667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0.203004466666667</v>
      </c>
      <c r="E538" s="2" t="n">
        <v>0.114003733333333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0.2850036</v>
      </c>
      <c r="E539" s="2" t="n">
        <v>0.371003333333333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0.140002</v>
      </c>
      <c r="E540" s="2" t="n">
        <v>0.1250034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0.4000006</v>
      </c>
      <c r="E541" s="2" t="n">
        <v>0.270001466666667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0.140000866666667</v>
      </c>
      <c r="E542" s="2" t="n">
        <v>0.174001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0.4090014</v>
      </c>
      <c r="E543" s="2" t="n">
        <v>0.0593338666666667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0.143335</v>
      </c>
      <c r="E544" s="2" t="n">
        <v>0.374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0.401668333333333</v>
      </c>
      <c r="E545" s="2" t="n">
        <v>0.126666733333333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0.145001466666667</v>
      </c>
      <c r="E546" s="2" t="n">
        <v>0.320666933333333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0.418000133333333</v>
      </c>
      <c r="E547" s="2" t="n">
        <v>0.0710008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0.159000066666667</v>
      </c>
      <c r="E548" s="2" t="n">
        <v>0.309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0.4170002</v>
      </c>
      <c r="E549" s="2" t="n">
        <v>0.231001266666667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0.154333533333333</v>
      </c>
      <c r="E550" s="2" t="n">
        <v>0.319269066666667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0.428334466666667</v>
      </c>
      <c r="E551" s="2" t="n">
        <v>0.202668133333333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0.1520688</v>
      </c>
      <c r="E552" s="2" t="n">
        <v>0.3833344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0.404335866666667</v>
      </c>
      <c r="E553" s="2" t="n">
        <v>0.245667666666667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0.1790022</v>
      </c>
      <c r="E554" s="2" t="n">
        <v>0.212136533333333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0.318068666666667</v>
      </c>
      <c r="E555" s="2" t="n">
        <v>0.2026704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0.2990032</v>
      </c>
      <c r="E556" s="2" t="n">
        <v>0.238874866666667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0.396737066666667</v>
      </c>
      <c r="E557" s="2" t="n">
        <v>0.230406933333333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0.324805466666667</v>
      </c>
      <c r="E558" s="2" t="n">
        <v>0.475874133333333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0.437273733333333</v>
      </c>
      <c r="E559" s="2" t="n">
        <v>0.360410866666667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0.175742466666667</v>
      </c>
      <c r="E560" s="2" t="n">
        <v>0.398013933333333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0.3890098</v>
      </c>
      <c r="E561" s="2" t="n">
        <v>0.353410933333333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0.489678</v>
      </c>
      <c r="E562" s="2" t="n">
        <v>0.4697444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0.499880066666667</v>
      </c>
      <c r="E563" s="2" t="n">
        <v>0.228214933333333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0.443880533333333</v>
      </c>
      <c r="E564" s="2" t="n">
        <v>0.312081466666667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0.433811333333333</v>
      </c>
      <c r="E565" s="2" t="n">
        <v>0.403278733333333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0.358616</v>
      </c>
      <c r="E566" s="2" t="n">
        <v>0.399080733333333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0.273818533333333</v>
      </c>
      <c r="E567" s="2" t="n">
        <v>0.406881533333333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0.4093472</v>
      </c>
      <c r="E568" s="2" t="n">
        <v>0.3821482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0.323546466666667</v>
      </c>
      <c r="E569" s="2" t="n">
        <v>0.282748666666667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0.334947466666667</v>
      </c>
      <c r="E570" s="2" t="n">
        <v>0.4172184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0.4039476</v>
      </c>
      <c r="E571" s="2" t="n">
        <v>0.2717534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0.320747</v>
      </c>
      <c r="E572" s="2" t="n">
        <v>0.2876846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0.346949066666667</v>
      </c>
      <c r="E573" s="2" t="n">
        <v>0.295415333333333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0.17135</v>
      </c>
      <c r="E574" s="2" t="n">
        <v>0.277815266666667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0.0763490666666667</v>
      </c>
      <c r="E575" s="2" t="n">
        <v>0.392149533333333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0.178879133333333</v>
      </c>
      <c r="E576" s="2" t="n">
        <v>0.216416133333333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0.182478666666667</v>
      </c>
      <c r="E577" s="2" t="n">
        <v>0.226278533333333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0.147211466666667</v>
      </c>
      <c r="E578" s="2" t="n">
        <v>0.188279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0.290741133333333</v>
      </c>
      <c r="E579" s="2" t="n">
        <v>0.248276333333333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0.053275</v>
      </c>
      <c r="E580" s="2" t="n">
        <v>0.1022106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0.2684064</v>
      </c>
      <c r="E581" s="2" t="n">
        <v>0.3191398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0.1430734</v>
      </c>
      <c r="E582" s="2" t="n">
        <v>0.137206266666667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0.284335533333333</v>
      </c>
      <c r="E583" s="2" t="n">
        <v>0.205070733333333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0.1645338</v>
      </c>
      <c r="E584" s="2" t="n">
        <v>0.165667333333333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0.235868066666667</v>
      </c>
      <c r="E585" s="2" t="n">
        <v>0.209267066666667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0.208</v>
      </c>
      <c r="E586" s="2" t="n">
        <v>0.153400733333333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0.2487334</v>
      </c>
      <c r="E587" s="2" t="n">
        <v>0.254534466666667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0.212067</v>
      </c>
      <c r="E588" s="2" t="n">
        <v>0.13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0.255734066666667</v>
      </c>
      <c r="E589" s="2" t="n">
        <v>0.129000733333333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0.215667</v>
      </c>
      <c r="E590" s="2" t="n">
        <v>0.347534066666667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0.241267066666667</v>
      </c>
      <c r="E591" s="2" t="n">
        <v>0.0978006666666667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0.2018004</v>
      </c>
      <c r="E592" s="2" t="n">
        <v>0.281934066666667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0.237133933333333</v>
      </c>
      <c r="E593" s="2" t="n">
        <v>0.164735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0.201333666666667</v>
      </c>
      <c r="E594" s="2" t="n">
        <v>0.250800533333333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0.2371342</v>
      </c>
      <c r="E595" s="2" t="n">
        <v>0.0861348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0.204</v>
      </c>
      <c r="E596" s="2" t="n">
        <v>0.2338014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0.2328012</v>
      </c>
      <c r="E597" s="2" t="n">
        <v>0.176133866666667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0.204</v>
      </c>
      <c r="E598" s="2" t="n">
        <v>0.240066933333333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0.233466666666667</v>
      </c>
      <c r="E599" s="2" t="n">
        <v>0.1667336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0.1884002</v>
      </c>
      <c r="E600" s="2" t="n">
        <v>0.4204672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0.209601333333333</v>
      </c>
      <c r="E601" s="2" t="n">
        <v>0.0914674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0.215534466666667</v>
      </c>
      <c r="E602" s="2" t="n">
        <v>0.400001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0.244134733333333</v>
      </c>
      <c r="E603" s="2" t="n">
        <v>0.0819341333333333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0.190602</v>
      </c>
      <c r="E604" s="2" t="n">
        <v>0.4544012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0.278403866666667</v>
      </c>
      <c r="E605" s="2" t="n">
        <v>0.100869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0.214137533333333</v>
      </c>
      <c r="E606" s="2" t="n">
        <v>0.448136133333333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0.3210714</v>
      </c>
      <c r="E607" s="2" t="n">
        <v>0.0894041333333333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0.114004666666667</v>
      </c>
      <c r="E608" s="2" t="n">
        <v>0.400002733333333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0.296004</v>
      </c>
      <c r="E609" s="2" t="n">
        <v>0.0830022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0.120404666666667</v>
      </c>
      <c r="E610" s="2" t="n">
        <v>0.415002533333333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0.295608533333333</v>
      </c>
      <c r="E611" s="2" t="n">
        <v>0.0900039333333333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0.0202763333333333</v>
      </c>
      <c r="E612" s="2" t="n">
        <v>0.4030054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0.291541266666667</v>
      </c>
      <c r="E613" s="2" t="n">
        <v>0.0776732666666667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0.201074533333333</v>
      </c>
      <c r="E614" s="2" t="n">
        <v>0.409072866666667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0.298074133333333</v>
      </c>
      <c r="E615" s="2" t="n">
        <v>0.0856738666666667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0.2102076</v>
      </c>
      <c r="E616" s="2" t="n">
        <v>0.408008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0.287208533333333</v>
      </c>
      <c r="E617" s="2" t="n">
        <v>0.0825418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0.205007466666667</v>
      </c>
      <c r="E618" s="2" t="n">
        <v>0.406008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0.283006</v>
      </c>
      <c r="E619" s="2" t="n">
        <v>0.0900066666666667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0.192006</v>
      </c>
      <c r="E620" s="2" t="n">
        <v>0.415006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0.288338666666667</v>
      </c>
      <c r="E621" s="2" t="n">
        <v>0.0926724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0.205469733333333</v>
      </c>
      <c r="E622" s="2" t="n">
        <v>0.417673866666667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0.1425374</v>
      </c>
      <c r="E623" s="2" t="n">
        <v>0.157337666666667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0.395672533333333</v>
      </c>
      <c r="E624" s="2" t="n">
        <v>0.4200056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0.221338666666667</v>
      </c>
      <c r="E625" s="2" t="n">
        <v>0.0850034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0.3056724</v>
      </c>
      <c r="E626" s="2" t="n">
        <v>0.404003933333333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0.217673666666667</v>
      </c>
      <c r="E627" s="2" t="n">
        <v>0.0770062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0.352608333333333</v>
      </c>
      <c r="E628" s="2" t="n">
        <v>0.426273666666667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0.170341866666667</v>
      </c>
      <c r="E629" s="2" t="n">
        <v>0.101809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0.3890074</v>
      </c>
      <c r="E630" s="2" t="n">
        <v>0.405341666666667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0.1720086</v>
      </c>
      <c r="E631" s="2" t="n">
        <v>0.14334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0.3511412</v>
      </c>
      <c r="E632" s="2" t="n">
        <v>0.4256716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0.116872</v>
      </c>
      <c r="E633" s="2" t="n">
        <v>0.1570702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0.362335333333333</v>
      </c>
      <c r="E634" s="2" t="n">
        <v>0.4053358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0.0710022</v>
      </c>
      <c r="E635" s="2" t="n">
        <v>0.1520032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0.248333533333333</v>
      </c>
      <c r="E636" s="2" t="n">
        <v>0.400002933333333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0.322</v>
      </c>
      <c r="E637" s="2" t="n">
        <v>0.140001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0.178333466666667</v>
      </c>
      <c r="E638" s="2" t="n">
        <v>0.346666933333333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0.205</v>
      </c>
      <c r="E639" s="2" t="n">
        <v>0.192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0.335</v>
      </c>
      <c r="E640" s="2" t="n">
        <v>0.348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0.283</v>
      </c>
      <c r="E641" s="2" t="n">
        <v>0.3233334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0.361</v>
      </c>
      <c r="E642" s="2" t="n">
        <v>0.277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0.179</v>
      </c>
      <c r="E643" s="2" t="n">
        <v>0.209667933333333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0.3470006</v>
      </c>
      <c r="E644" s="2" t="n">
        <v>0.354667933333333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0.2280008</v>
      </c>
      <c r="E645" s="2" t="n">
        <v>0.309000866666667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0.322001</v>
      </c>
      <c r="E646" s="2" t="n">
        <v>0.2513336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0.229667933333333</v>
      </c>
      <c r="E647" s="2" t="n">
        <v>0.341000733333333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0.365001133333333</v>
      </c>
      <c r="E648" s="2" t="n">
        <v>0.253402666666667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0.088002</v>
      </c>
      <c r="E649" s="2" t="n">
        <v>0.217671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0.273334066666667</v>
      </c>
      <c r="E650" s="2" t="n">
        <v>0.314004733333333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0.317667333333333</v>
      </c>
      <c r="E651" s="2" t="n">
        <v>0.2734722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0.238268866666667</v>
      </c>
      <c r="E652" s="2" t="n">
        <v>0.329742133333333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0.243136133333333</v>
      </c>
      <c r="E653" s="2" t="n">
        <v>0.1090134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0.304139066666667</v>
      </c>
      <c r="E654" s="2" t="n">
        <v>0.459345733333333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0.3622064</v>
      </c>
      <c r="E655" s="2" t="n">
        <v>0.306749333333333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0.4581406</v>
      </c>
      <c r="E656" s="2" t="n">
        <v>0.402881733333333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0.329143533333333</v>
      </c>
      <c r="E657" s="2" t="n">
        <v>0.454815266666667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0.426476466666667</v>
      </c>
      <c r="E658" s="2" t="n">
        <v>0.363547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0.328675666666667</v>
      </c>
      <c r="E659" s="2" t="n">
        <v>0.332549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0.191544933333333</v>
      </c>
      <c r="E660" s="2" t="n">
        <v>0.302414266666667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0.405679133333333</v>
      </c>
      <c r="E661" s="2" t="n">
        <v>0.272616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0.213347</v>
      </c>
      <c r="E662" s="2" t="n">
        <v>0.2391498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0.436215733333333</v>
      </c>
      <c r="E663" s="2" t="n">
        <v>0.442816466666667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0.3007462</v>
      </c>
      <c r="E664" s="2" t="n">
        <v>0.159018666666667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0.4841472</v>
      </c>
      <c r="E665" s="2" t="n">
        <v>0.453151933333333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0.220947333333333</v>
      </c>
      <c r="E666" s="2" t="n">
        <v>0.268885666666667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0.484413466666667</v>
      </c>
      <c r="E667" s="2" t="n">
        <v>0.381351066666667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0.198613666666667</v>
      </c>
      <c r="E668" s="2" t="n">
        <v>0.308151533333333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0.4108152</v>
      </c>
      <c r="E669" s="2" t="n">
        <v>0.332218133333333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0.182081</v>
      </c>
      <c r="E670" s="2" t="n">
        <v>0.314414866666667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0.326010533333333</v>
      </c>
      <c r="E671" s="2" t="n">
        <v>0.304148333333333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0.222812666666667</v>
      </c>
      <c r="E672" s="2" t="n">
        <v>0.281014533333333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0.147678866666667</v>
      </c>
      <c r="E673" s="2" t="n">
        <v>0.147283266666667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0.075277</v>
      </c>
      <c r="E674" s="2" t="n">
        <v>0.194217133333333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3" t="s">
        <v>0</v>
      </c>
      <c r="C2" s="2" t="n">
        <v>0.635348561350958</v>
      </c>
      <c r="E2" s="2" t="n">
        <v>0.184607930349096</v>
      </c>
    </row>
    <row r="3" customFormat="false" ht="13.8" hidden="false" customHeight="false" outlineLevel="0" collapsed="false">
      <c r="B3" s="3" t="s">
        <v>1</v>
      </c>
      <c r="C3" s="2" t="n">
        <v>1.02005154437626</v>
      </c>
      <c r="E3" s="2" t="n">
        <v>1.7489929687841</v>
      </c>
    </row>
    <row r="4" customFormat="false" ht="13.8" hidden="false" customHeight="false" outlineLevel="0" collapsed="false">
      <c r="B4" s="3" t="s">
        <v>2</v>
      </c>
      <c r="C4" s="2" t="n">
        <v>5.55930015621983</v>
      </c>
      <c r="E4" s="2" t="n">
        <v>10.9873156442865</v>
      </c>
    </row>
    <row r="6" customFormat="false" ht="13.8" hidden="false" customHeight="false" outlineLevel="0" collapsed="false">
      <c r="C6" s="2" t="n">
        <f aca="false">SUM(C2:C4)</f>
        <v>7.21470026194705</v>
      </c>
      <c r="E6" s="2" t="n">
        <f aca="false">SUM(E2:E4)</f>
        <v>12.9209165434197</v>
      </c>
    </row>
    <row r="8" customFormat="false" ht="13.8" hidden="false" customHeight="false" outlineLevel="0" collapsed="false">
      <c r="C8" s="0" t="n">
        <f aca="false">profit!F2-0.518*C6-0.384*E6</f>
        <v>0.0859498828177223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-0.00475323436796217</v>
      </c>
      <c r="D2" s="3" t="s">
        <v>0</v>
      </c>
      <c r="E2" s="2" t="n">
        <v>-1.24191916933419</v>
      </c>
      <c r="F2" s="2" t="n">
        <v>8.78479657117946</v>
      </c>
      <c r="H2" s="3" t="s">
        <v>0</v>
      </c>
      <c r="I2" s="2" t="n">
        <v>0.404158297999246</v>
      </c>
    </row>
    <row r="3" customFormat="false" ht="13.8" hidden="false" customHeight="false" outlineLevel="0" collapsed="false">
      <c r="D3" s="3" t="s">
        <v>1</v>
      </c>
      <c r="E3" s="2" t="n">
        <v>-0.840975807956</v>
      </c>
      <c r="H3" s="3" t="s">
        <v>1</v>
      </c>
      <c r="I3" s="2" t="n">
        <v>1.21364697277901</v>
      </c>
    </row>
    <row r="4" customFormat="false" ht="13.8" hidden="false" customHeight="false" outlineLevel="0" collapsed="false">
      <c r="D4" s="3" t="s">
        <v>2</v>
      </c>
      <c r="E4" s="2" t="n">
        <v>2.07814174292223</v>
      </c>
      <c r="H4" s="3" t="s">
        <v>2</v>
      </c>
      <c r="I4" s="2" t="n">
        <v>7.1669913004012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4.56652936162436E-005</v>
      </c>
      <c r="D24" s="2" t="n">
        <v>7.33162047520439E-005</v>
      </c>
      <c r="E24" s="2" t="n">
        <v>0.000399574698728308</v>
      </c>
    </row>
    <row r="25" customFormat="false" ht="13.8" hidden="false" customHeight="false" outlineLevel="0" collapsed="false">
      <c r="B25" s="2" t="n">
        <v>23</v>
      </c>
      <c r="C25" s="2" t="n">
        <v>9.133099034894E-005</v>
      </c>
      <c r="D25" s="2" t="n">
        <v>0.000146632296170338</v>
      </c>
      <c r="E25" s="2" t="n">
        <v>0.000799149397456596</v>
      </c>
    </row>
    <row r="26" customFormat="false" ht="13.8" hidden="false" customHeight="false" outlineLevel="0" collapsed="false">
      <c r="B26" s="2" t="n">
        <v>24</v>
      </c>
      <c r="C26" s="2" t="n">
        <v>0.00013699668708182</v>
      </c>
      <c r="D26" s="2" t="n">
        <v>0.000219948519810839</v>
      </c>
      <c r="E26" s="2" t="n">
        <v>0.0011987240961849</v>
      </c>
    </row>
    <row r="27" customFormat="false" ht="13.8" hidden="false" customHeight="false" outlineLevel="0" collapsed="false">
      <c r="B27" s="2" t="n">
        <v>25</v>
      </c>
      <c r="C27" s="2" t="n">
        <v>0.000182662383814902</v>
      </c>
      <c r="D27" s="2" t="n">
        <v>0.00029326474345154</v>
      </c>
      <c r="E27" s="2" t="n">
        <v>0.0015982987949132</v>
      </c>
    </row>
    <row r="28" customFormat="false" ht="13.8" hidden="false" customHeight="false" outlineLevel="0" collapsed="false">
      <c r="B28" s="2" t="n">
        <v>26</v>
      </c>
      <c r="C28" s="2" t="n">
        <v>0.00165587687933362</v>
      </c>
      <c r="D28" s="2" t="n">
        <v>0.00265850933753063</v>
      </c>
      <c r="E28" s="2" t="n">
        <v>0.0144889260321479</v>
      </c>
    </row>
    <row r="29" customFormat="false" ht="13.8" hidden="false" customHeight="false" outlineLevel="0" collapsed="false">
      <c r="B29" s="2" t="n">
        <v>27</v>
      </c>
      <c r="C29" s="2" t="n">
        <v>0.00312909137485253</v>
      </c>
      <c r="D29" s="2" t="n">
        <v>0.00502375385605309</v>
      </c>
      <c r="E29" s="2" t="n">
        <v>0.0273795532693827</v>
      </c>
    </row>
    <row r="30" customFormat="false" ht="13.8" hidden="false" customHeight="false" outlineLevel="0" collapsed="false">
      <c r="B30" s="2" t="n">
        <v>28</v>
      </c>
      <c r="C30" s="2" t="n">
        <v>0.00460230587037165</v>
      </c>
      <c r="D30" s="2" t="n">
        <v>0.00738899835568609</v>
      </c>
      <c r="E30" s="2" t="n">
        <v>0.0402701805066174</v>
      </c>
    </row>
    <row r="31" customFormat="false" ht="13.8" hidden="false" customHeight="false" outlineLevel="0" collapsed="false">
      <c r="B31" s="2" t="n">
        <v>29</v>
      </c>
      <c r="C31" s="2" t="n">
        <v>0.00607552061791853</v>
      </c>
      <c r="D31" s="2" t="n">
        <v>0.00975424289309801</v>
      </c>
      <c r="E31" s="2" t="n">
        <v>0.0531608077438522</v>
      </c>
    </row>
    <row r="32" customFormat="false" ht="13.8" hidden="false" customHeight="false" outlineLevel="0" collapsed="false">
      <c r="B32" s="2" t="n">
        <v>30</v>
      </c>
      <c r="C32" s="2" t="n">
        <v>0.0124830108591429</v>
      </c>
      <c r="D32" s="2" t="n">
        <v>0.0200414627181326</v>
      </c>
      <c r="E32" s="2" t="n">
        <v>0.109226349819329</v>
      </c>
    </row>
    <row r="33" customFormat="false" ht="13.8" hidden="false" customHeight="false" outlineLevel="0" collapsed="false">
      <c r="B33" s="2" t="n">
        <v>31</v>
      </c>
      <c r="C33" s="2" t="n">
        <v>0.0188905011003674</v>
      </c>
      <c r="D33" s="2" t="n">
        <v>0.0303286825431672</v>
      </c>
      <c r="E33" s="2" t="n">
        <v>0.165291891894806</v>
      </c>
    </row>
    <row r="34" customFormat="false" ht="13.8" hidden="false" customHeight="false" outlineLevel="0" collapsed="false">
      <c r="B34" s="2" t="n">
        <v>32</v>
      </c>
      <c r="C34" s="2" t="n">
        <v>0.0252979913415918</v>
      </c>
      <c r="D34" s="2" t="n">
        <v>0.0406159023682018</v>
      </c>
      <c r="E34" s="2" t="n">
        <v>0.160323406290206</v>
      </c>
    </row>
    <row r="35" customFormat="false" ht="13.8" hidden="false" customHeight="false" outlineLevel="0" collapsed="false">
      <c r="B35" s="2" t="n">
        <v>33</v>
      </c>
      <c r="C35" s="2" t="n">
        <v>0.0317054815828162</v>
      </c>
      <c r="D35" s="2" t="n">
        <v>0.0509031221932364</v>
      </c>
      <c r="E35" s="2" t="n">
        <v>0.0527958628906141</v>
      </c>
    </row>
    <row r="36" customFormat="false" ht="13.8" hidden="false" customHeight="false" outlineLevel="0" collapsed="false">
      <c r="B36" s="2" t="n">
        <v>34</v>
      </c>
      <c r="C36" s="2" t="n">
        <v>0.0336734737516008</v>
      </c>
      <c r="D36" s="2" t="n">
        <v>0.0540627318519419</v>
      </c>
      <c r="E36" s="2" t="n">
        <v>0.168735127729791</v>
      </c>
    </row>
    <row r="37" customFormat="false" ht="13.8" hidden="false" customHeight="false" outlineLevel="0" collapsed="false">
      <c r="B37" s="2" t="n">
        <v>35</v>
      </c>
      <c r="C37" s="2" t="n">
        <v>0.0356414659203854</v>
      </c>
      <c r="D37" s="2" t="n">
        <v>0.0572223415106474</v>
      </c>
      <c r="E37" s="2" t="n">
        <v>0.311862840513542</v>
      </c>
    </row>
    <row r="38" customFormat="false" ht="13.8" hidden="false" customHeight="false" outlineLevel="0" collapsed="false">
      <c r="B38" s="2" t="n">
        <v>36</v>
      </c>
      <c r="C38" s="2" t="n">
        <v>0.03760945808917</v>
      </c>
      <c r="D38" s="2" t="n">
        <v>0.0603819511693529</v>
      </c>
      <c r="E38" s="2" t="n">
        <v>0.0746449585774967</v>
      </c>
    </row>
    <row r="39" customFormat="false" ht="13.8" hidden="false" customHeight="false" outlineLevel="0" collapsed="false">
      <c r="B39" s="2" t="n">
        <v>37</v>
      </c>
      <c r="C39" s="2" t="n">
        <v>0.0395774502579545</v>
      </c>
      <c r="D39" s="2" t="n">
        <v>0.0635415608280583</v>
      </c>
      <c r="E39" s="2" t="n">
        <v>0.132886922247321</v>
      </c>
    </row>
    <row r="40" customFormat="false" ht="13.8" hidden="false" customHeight="false" outlineLevel="0" collapsed="false">
      <c r="B40" s="2" t="n">
        <v>38</v>
      </c>
      <c r="C40" s="2" t="n">
        <v>0.0531139484503875</v>
      </c>
      <c r="D40" s="2" t="n">
        <v>0.0852743965132098</v>
      </c>
      <c r="E40" s="2" t="n">
        <v>0.0873229182162792</v>
      </c>
    </row>
    <row r="41" customFormat="false" ht="13.8" hidden="false" customHeight="false" outlineLevel="0" collapsed="false">
      <c r="B41" s="2" t="n">
        <v>39</v>
      </c>
      <c r="C41" s="2" t="n">
        <v>0.0666504466428205</v>
      </c>
      <c r="D41" s="2" t="n">
        <v>0.107007232198361</v>
      </c>
      <c r="E41" s="2" t="n">
        <v>0.0744637378254848</v>
      </c>
    </row>
    <row r="42" customFormat="false" ht="13.8" hidden="false" customHeight="false" outlineLevel="0" collapsed="false">
      <c r="B42" s="2" t="n">
        <v>40</v>
      </c>
      <c r="C42" s="2" t="n">
        <v>0.066252</v>
      </c>
      <c r="D42" s="2" t="n">
        <v>0.128740067883513</v>
      </c>
      <c r="E42" s="2" t="n">
        <v>0.0725513666666667</v>
      </c>
    </row>
    <row r="43" customFormat="false" ht="13.8" hidden="false" customHeight="false" outlineLevel="0" collapsed="false">
      <c r="B43" s="2" t="n">
        <v>41</v>
      </c>
      <c r="C43" s="2" t="n">
        <v>0.0937234430276865</v>
      </c>
      <c r="D43" s="2" t="n">
        <v>0.150472903568664</v>
      </c>
      <c r="E43" s="2" t="n">
        <v>0.0582513333333333</v>
      </c>
    </row>
    <row r="44" customFormat="false" ht="13.8" hidden="false" customHeight="false" outlineLevel="0" collapsed="false">
      <c r="B44" s="2" t="n">
        <v>42</v>
      </c>
      <c r="C44" s="2" t="n">
        <v>0.0956691979968238</v>
      </c>
      <c r="D44" s="2" t="n">
        <v>0.153596811423317</v>
      </c>
      <c r="E44" s="2" t="n">
        <v>0.0642514</v>
      </c>
    </row>
    <row r="45" customFormat="false" ht="13.8" hidden="false" customHeight="false" outlineLevel="0" collapsed="false">
      <c r="B45" s="2" t="n">
        <v>43</v>
      </c>
      <c r="C45" s="2" t="n">
        <v>0.0777852335022884</v>
      </c>
      <c r="D45" s="2" t="n">
        <v>0.156720719277969</v>
      </c>
      <c r="E45" s="2" t="n">
        <v>0.0545009333333333</v>
      </c>
    </row>
    <row r="46" customFormat="false" ht="13.8" hidden="false" customHeight="false" outlineLevel="0" collapsed="false">
      <c r="B46" s="2" t="n">
        <v>44</v>
      </c>
      <c r="C46" s="2" t="n">
        <v>0.0611849169201005</v>
      </c>
      <c r="D46" s="2" t="n">
        <v>0.159844627132621</v>
      </c>
      <c r="E46" s="2" t="n">
        <v>0.0642503166666667</v>
      </c>
    </row>
    <row r="47" customFormat="false" ht="13.8" hidden="false" customHeight="false" outlineLevel="0" collapsed="false">
      <c r="B47" s="2" t="n">
        <v>45</v>
      </c>
      <c r="C47" s="2" t="n">
        <v>0.0917511833333334</v>
      </c>
      <c r="D47" s="2" t="n">
        <v>0.162968534987274</v>
      </c>
      <c r="E47" s="2" t="n">
        <v>0.0445003</v>
      </c>
    </row>
    <row r="48" customFormat="false" ht="13.8" hidden="false" customHeight="false" outlineLevel="0" collapsed="false">
      <c r="B48" s="2" t="n">
        <v>46</v>
      </c>
      <c r="C48" s="2" t="n">
        <v>0.06525135</v>
      </c>
      <c r="D48" s="2" t="n">
        <v>0.16356845280181</v>
      </c>
      <c r="E48" s="2" t="n">
        <v>0.0472507666666667</v>
      </c>
    </row>
    <row r="49" customFormat="false" ht="13.8" hidden="false" customHeight="false" outlineLevel="0" collapsed="false">
      <c r="B49" s="2" t="n">
        <v>47</v>
      </c>
      <c r="C49" s="2" t="n">
        <v>0.0911977349293623</v>
      </c>
      <c r="D49" s="2" t="n">
        <v>0.164168370616346</v>
      </c>
      <c r="E49" s="2" t="n">
        <v>0.894720716267215</v>
      </c>
    </row>
    <row r="50" customFormat="false" ht="13.8" hidden="false" customHeight="false" outlineLevel="0" collapsed="false">
      <c r="B50" s="2" t="n">
        <v>48</v>
      </c>
      <c r="C50" s="2" t="n">
        <v>0.102627456022169</v>
      </c>
      <c r="D50" s="2" t="n">
        <v>0.164768288430882</v>
      </c>
      <c r="E50" s="2" t="n">
        <v>0.897990279671591</v>
      </c>
    </row>
    <row r="51" customFormat="false" ht="13.8" hidden="false" customHeight="false" outlineLevel="0" collapsed="false">
      <c r="B51" s="2" t="n">
        <v>49</v>
      </c>
      <c r="C51" s="2" t="n">
        <v>0.0705851</v>
      </c>
      <c r="D51" s="2" t="n">
        <v>0.165368206245419</v>
      </c>
      <c r="E51" s="2" t="n">
        <v>0.0912511833333333</v>
      </c>
    </row>
    <row r="52" customFormat="false" ht="13.8" hidden="false" customHeight="false" outlineLevel="0" collapsed="false">
      <c r="B52" s="2" t="n">
        <v>50</v>
      </c>
      <c r="C52" s="2" t="n">
        <v>0.0642518</v>
      </c>
      <c r="D52" s="2" t="n">
        <v>0.166587167840948</v>
      </c>
      <c r="E52" s="2" t="n">
        <v>0.907903206762651</v>
      </c>
    </row>
    <row r="53" customFormat="false" ht="13.8" hidden="false" customHeight="false" outlineLevel="0" collapsed="false">
      <c r="B53" s="2" t="n">
        <v>51</v>
      </c>
      <c r="C53" s="2" t="n">
        <v>0.0739185833333333</v>
      </c>
      <c r="D53" s="2" t="n">
        <v>0.167806129436478</v>
      </c>
      <c r="E53" s="2" t="n">
        <v>0.0906521</v>
      </c>
    </row>
    <row r="54" customFormat="false" ht="13.8" hidden="false" customHeight="false" outlineLevel="0" collapsed="false">
      <c r="B54" s="2" t="n">
        <v>52</v>
      </c>
      <c r="C54" s="2" t="n">
        <v>0.0732181666666667</v>
      </c>
      <c r="D54" s="2" t="n">
        <v>0.169025091032008</v>
      </c>
      <c r="E54" s="2" t="n">
        <v>0.921189934136017</v>
      </c>
    </row>
    <row r="55" customFormat="false" ht="13.8" hidden="false" customHeight="false" outlineLevel="0" collapsed="false">
      <c r="B55" s="2" t="n">
        <v>53</v>
      </c>
      <c r="C55" s="2" t="n">
        <v>0.0776684166666667</v>
      </c>
      <c r="D55" s="2" t="n">
        <v>0.170244052627537</v>
      </c>
      <c r="E55" s="2" t="n">
        <v>0.0946018666666667</v>
      </c>
    </row>
    <row r="56" customFormat="false" ht="13.8" hidden="false" customHeight="false" outlineLevel="0" collapsed="false">
      <c r="B56" s="2" t="n">
        <v>54</v>
      </c>
      <c r="C56" s="2" t="n">
        <v>0.0642520666666667</v>
      </c>
      <c r="D56" s="2" t="n">
        <v>0.164599342393845</v>
      </c>
      <c r="E56" s="2" t="n">
        <v>0.897069520583218</v>
      </c>
    </row>
    <row r="57" customFormat="false" ht="13.8" hidden="false" customHeight="false" outlineLevel="0" collapsed="false">
      <c r="B57" s="2" t="n">
        <v>55</v>
      </c>
      <c r="C57" s="2" t="n">
        <v>0.0707516833333333</v>
      </c>
      <c r="D57" s="2" t="n">
        <v>0.158954632160153</v>
      </c>
      <c r="E57" s="2" t="n">
        <v>0.866305743343737</v>
      </c>
    </row>
    <row r="58" customFormat="false" ht="13.8" hidden="false" customHeight="false" outlineLevel="0" collapsed="false">
      <c r="B58" s="2" t="n">
        <v>56</v>
      </c>
      <c r="C58" s="2" t="n">
        <v>0.0642512333333333</v>
      </c>
      <c r="D58" s="2" t="n">
        <v>0.153309921926461</v>
      </c>
      <c r="E58" s="2" t="n">
        <v>0.835541966104255</v>
      </c>
    </row>
    <row r="59" customFormat="false" ht="13.8" hidden="false" customHeight="false" outlineLevel="0" collapsed="false">
      <c r="B59" s="2" t="n">
        <v>57</v>
      </c>
      <c r="C59" s="2" t="n">
        <v>0.0505844166666667</v>
      </c>
      <c r="D59" s="2" t="n">
        <v>0.147665211692769</v>
      </c>
      <c r="E59" s="2" t="n">
        <v>0.804778188864774</v>
      </c>
    </row>
    <row r="60" customFormat="false" ht="13.8" hidden="false" customHeight="false" outlineLevel="0" collapsed="false">
      <c r="B60" s="2" t="n">
        <v>58</v>
      </c>
      <c r="C60" s="2" t="n">
        <v>0.0740007333333334</v>
      </c>
      <c r="D60" s="2" t="n">
        <v>0.132096037464511</v>
      </c>
      <c r="E60" s="2" t="n">
        <v>0.719925895667871</v>
      </c>
    </row>
    <row r="61" customFormat="false" ht="13.8" hidden="false" customHeight="false" outlineLevel="0" collapsed="false">
      <c r="B61" s="2" t="n">
        <v>59</v>
      </c>
      <c r="C61" s="2" t="n">
        <v>0.0610228787300172</v>
      </c>
      <c r="D61" s="2" t="n">
        <v>0.116526863236253</v>
      </c>
      <c r="E61" s="2" t="n">
        <v>0.0845748330820534</v>
      </c>
    </row>
    <row r="62" customFormat="false" ht="13.8" hidden="false" customHeight="false" outlineLevel="0" collapsed="false">
      <c r="B62" s="2" t="n">
        <v>60</v>
      </c>
      <c r="C62" s="2" t="n">
        <v>0.0628824325811585</v>
      </c>
      <c r="D62" s="2" t="n">
        <v>0.100957689007995</v>
      </c>
      <c r="E62" s="2" t="n">
        <v>0.550221309274065</v>
      </c>
    </row>
    <row r="63" customFormat="false" ht="13.8" hidden="false" customHeight="false" outlineLevel="0" collapsed="false">
      <c r="B63" s="2" t="n">
        <v>61</v>
      </c>
      <c r="C63" s="2" t="n">
        <v>0.0531850280706887</v>
      </c>
      <c r="D63" s="2" t="n">
        <v>0.0853885147797369</v>
      </c>
      <c r="E63" s="2" t="n">
        <v>0.465369016077162</v>
      </c>
    </row>
    <row r="64" customFormat="false" ht="13.8" hidden="false" customHeight="false" outlineLevel="0" collapsed="false">
      <c r="B64" s="2" t="n">
        <v>62</v>
      </c>
      <c r="C64" s="2" t="n">
        <v>0.048234868592063</v>
      </c>
      <c r="D64" s="2" t="n">
        <v>0.0774410381846154</v>
      </c>
      <c r="E64" s="2" t="n">
        <v>0.422055118735015</v>
      </c>
    </row>
    <row r="65" customFormat="false" ht="13.8" hidden="false" customHeight="false" outlineLevel="0" collapsed="false">
      <c r="B65" s="2" t="n">
        <v>63</v>
      </c>
      <c r="C65" s="2" t="n">
        <v>0.0432847091134374</v>
      </c>
      <c r="D65" s="2" t="n">
        <v>0.0694935615894938</v>
      </c>
      <c r="E65" s="2" t="n">
        <v>0.378741221392867</v>
      </c>
    </row>
    <row r="66" customFormat="false" ht="13.8" hidden="false" customHeight="false" outlineLevel="0" collapsed="false">
      <c r="B66" s="2" t="n">
        <v>64</v>
      </c>
      <c r="C66" s="2" t="n">
        <v>0.0383345496348117</v>
      </c>
      <c r="D66" s="2" t="n">
        <v>0.0615460849943723</v>
      </c>
      <c r="E66" s="2" t="n">
        <v>0.335427324050719</v>
      </c>
    </row>
    <row r="67" customFormat="false" ht="13.8" hidden="false" customHeight="false" outlineLevel="0" collapsed="false">
      <c r="B67" s="2" t="n">
        <v>65</v>
      </c>
      <c r="C67" s="2" t="n">
        <v>0.0333843901561861</v>
      </c>
      <c r="D67" s="2" t="n">
        <v>0.0535986083992507</v>
      </c>
      <c r="E67" s="2" t="n">
        <v>0.292113426708571</v>
      </c>
    </row>
    <row r="68" customFormat="false" ht="13.8" hidden="false" customHeight="false" outlineLevel="0" collapsed="false">
      <c r="B68" s="2" t="n">
        <v>66</v>
      </c>
      <c r="C68" s="2" t="n">
        <v>0.0283425022290154</v>
      </c>
      <c r="D68" s="2" t="n">
        <v>0.0455038618624098</v>
      </c>
      <c r="E68" s="2" t="n">
        <v>0.247996905406369</v>
      </c>
    </row>
    <row r="69" customFormat="false" ht="13.8" hidden="false" customHeight="false" outlineLevel="0" collapsed="false">
      <c r="B69" s="2" t="n">
        <v>67</v>
      </c>
      <c r="C69" s="2" t="n">
        <v>0.0233006143018447</v>
      </c>
      <c r="D69" s="2" t="n">
        <v>0.037409115325569</v>
      </c>
      <c r="E69" s="2" t="n">
        <v>0.203880384104167</v>
      </c>
    </row>
    <row r="70" customFormat="false" ht="13.8" hidden="false" customHeight="false" outlineLevel="0" collapsed="false">
      <c r="B70" s="2" t="n">
        <v>68</v>
      </c>
      <c r="C70" s="2" t="n">
        <v>0.0182587259780375</v>
      </c>
      <c r="D70" s="2" t="n">
        <v>0.0293143681277164</v>
      </c>
      <c r="E70" s="2" t="n">
        <v>0.159763862801965</v>
      </c>
    </row>
    <row r="71" customFormat="false" ht="13.8" hidden="false" customHeight="false" outlineLevel="0" collapsed="false">
      <c r="B71" s="2" t="n">
        <v>69</v>
      </c>
      <c r="C71" s="2" t="n">
        <v>0.0132168380697522</v>
      </c>
      <c r="D71" s="2" t="n">
        <v>0.0212196216097581</v>
      </c>
      <c r="E71" s="2" t="n">
        <v>0.115647341499763</v>
      </c>
    </row>
    <row r="72" customFormat="false" ht="13.8" hidden="false" customHeight="false" outlineLevel="0" collapsed="false">
      <c r="B72" s="2" t="n">
        <v>70</v>
      </c>
      <c r="C72" s="2" t="n">
        <v>0.00991262847676206</v>
      </c>
      <c r="D72" s="2" t="n">
        <v>0.0159147160656692</v>
      </c>
      <c r="E72" s="2" t="n">
        <v>0.0867355061248223</v>
      </c>
    </row>
    <row r="73" customFormat="false" ht="13.8" hidden="false" customHeight="false" outlineLevel="0" collapsed="false">
      <c r="B73" s="2" t="n">
        <v>71</v>
      </c>
      <c r="C73" s="2" t="n">
        <v>0.00660841888377208</v>
      </c>
      <c r="D73" s="2" t="n">
        <v>0.0106098105215804</v>
      </c>
      <c r="E73" s="2" t="n">
        <v>0.0578236707498815</v>
      </c>
    </row>
    <row r="74" customFormat="false" ht="13.8" hidden="false" customHeight="false" outlineLevel="0" collapsed="false">
      <c r="B74" s="2" t="n">
        <v>72</v>
      </c>
      <c r="C74" s="2" t="n">
        <v>0.0033042092907823</v>
      </c>
      <c r="D74" s="2" t="n">
        <v>0.00530490497749186</v>
      </c>
      <c r="E74" s="2" t="n">
        <v>0.0289118353749408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0.00115434891740452</v>
      </c>
      <c r="D120" s="2" t="n">
        <v>0.00185330586632529</v>
      </c>
      <c r="E120" s="2" t="n">
        <v>0.0101005534713319</v>
      </c>
    </row>
    <row r="121" customFormat="false" ht="13.8" hidden="false" customHeight="false" outlineLevel="0" collapsed="false">
      <c r="B121" s="2" t="n">
        <v>119</v>
      </c>
      <c r="C121" s="2" t="n">
        <v>0.00230869783480904</v>
      </c>
      <c r="D121" s="2" t="n">
        <v>0.00370661199712161</v>
      </c>
      <c r="E121" s="2" t="n">
        <v>0.0202011069426638</v>
      </c>
    </row>
    <row r="122" customFormat="false" ht="13.8" hidden="false" customHeight="false" outlineLevel="0" collapsed="false">
      <c r="B122" s="2" t="n">
        <v>120</v>
      </c>
      <c r="C122" s="2" t="n">
        <v>0.00346304675221356</v>
      </c>
      <c r="D122" s="2" t="n">
        <v>0.00555991812791775</v>
      </c>
      <c r="E122" s="2" t="n">
        <v>0.0303016604139957</v>
      </c>
    </row>
    <row r="123" customFormat="false" ht="13.8" hidden="false" customHeight="false" outlineLevel="0" collapsed="false">
      <c r="B123" s="2" t="n">
        <v>121</v>
      </c>
      <c r="C123" s="2" t="n">
        <v>0.00461739566961809</v>
      </c>
      <c r="D123" s="2" t="n">
        <v>0.00741322425871371</v>
      </c>
      <c r="E123" s="2" t="n">
        <v>0.0404022138853276</v>
      </c>
    </row>
    <row r="124" customFormat="false" ht="13.8" hidden="false" customHeight="false" outlineLevel="0" collapsed="false">
      <c r="B124" s="2" t="n">
        <v>122</v>
      </c>
      <c r="C124" s="2" t="n">
        <v>0.00915060765485717</v>
      </c>
      <c r="D124" s="2" t="n">
        <v>0.0146912923678791</v>
      </c>
      <c r="E124" s="2" t="n">
        <v>0.0800678204999561</v>
      </c>
    </row>
    <row r="125" customFormat="false" ht="13.8" hidden="false" customHeight="false" outlineLevel="0" collapsed="false">
      <c r="B125" s="2" t="n">
        <v>123</v>
      </c>
      <c r="C125" s="2" t="n">
        <v>0.0136838196400963</v>
      </c>
      <c r="D125" s="2" t="n">
        <v>0.0219693601370038</v>
      </c>
      <c r="E125" s="2" t="n">
        <v>0.111412698990815</v>
      </c>
    </row>
    <row r="126" customFormat="false" ht="13.8" hidden="false" customHeight="false" outlineLevel="0" collapsed="false">
      <c r="B126" s="2" t="n">
        <v>124</v>
      </c>
      <c r="C126" s="2" t="n">
        <v>0.0182170316253353</v>
      </c>
      <c r="D126" s="2" t="n">
        <v>0.0292474279061284</v>
      </c>
      <c r="E126" s="2" t="n">
        <v>0.159399033729213</v>
      </c>
    </row>
    <row r="127" customFormat="false" ht="13.8" hidden="false" customHeight="false" outlineLevel="0" collapsed="false">
      <c r="B127" s="2" t="n">
        <v>125</v>
      </c>
      <c r="C127" s="2" t="n">
        <v>0.0227502436105744</v>
      </c>
      <c r="D127" s="2" t="n">
        <v>0.036525495675253</v>
      </c>
      <c r="E127" s="2" t="n">
        <v>0.0732283440475059</v>
      </c>
    </row>
    <row r="128" customFormat="false" ht="13.8" hidden="false" customHeight="false" outlineLevel="0" collapsed="false">
      <c r="B128" s="2" t="n">
        <v>126</v>
      </c>
      <c r="C128" s="2" t="n">
        <v>0.0314052793875778</v>
      </c>
      <c r="D128" s="2" t="n">
        <v>0.0504211478385187</v>
      </c>
      <c r="E128" s="2" t="n">
        <v>0.13626058944057</v>
      </c>
    </row>
    <row r="129" customFormat="false" ht="13.8" hidden="false" customHeight="false" outlineLevel="0" collapsed="false">
      <c r="B129" s="2" t="n">
        <v>127</v>
      </c>
      <c r="C129" s="2" t="n">
        <v>0.0400603151645813</v>
      </c>
      <c r="D129" s="2" t="n">
        <v>0.0643168000017843</v>
      </c>
      <c r="E129" s="2" t="n">
        <v>0.35052777310005</v>
      </c>
    </row>
    <row r="130" customFormat="false" ht="13.8" hidden="false" customHeight="false" outlineLevel="0" collapsed="false">
      <c r="B130" s="2" t="n">
        <v>128</v>
      </c>
      <c r="C130" s="2" t="n">
        <v>0.0487153509415847</v>
      </c>
      <c r="D130" s="2" t="n">
        <v>0.0782124521650499</v>
      </c>
      <c r="E130" s="2" t="n">
        <v>0.0680426135600321</v>
      </c>
    </row>
    <row r="131" customFormat="false" ht="13.8" hidden="false" customHeight="false" outlineLevel="0" collapsed="false">
      <c r="B131" s="2" t="n">
        <v>129</v>
      </c>
      <c r="C131" s="2" t="n">
        <v>0.0573703867185881</v>
      </c>
      <c r="D131" s="2" t="n">
        <v>0.0921081043283155</v>
      </c>
      <c r="E131" s="2" t="n">
        <v>0.50199090585626</v>
      </c>
    </row>
    <row r="132" customFormat="false" ht="13.8" hidden="false" customHeight="false" outlineLevel="0" collapsed="false">
      <c r="B132" s="2" t="n">
        <v>130</v>
      </c>
      <c r="C132" s="2" t="n">
        <v>0.0640022344205396</v>
      </c>
      <c r="D132" s="2" t="n">
        <v>0.0782515</v>
      </c>
      <c r="E132" s="2" t="n">
        <v>0.0644847833333333</v>
      </c>
    </row>
    <row r="133" customFormat="false" ht="13.8" hidden="false" customHeight="false" outlineLevel="0" collapsed="false">
      <c r="B133" s="2" t="n">
        <v>131</v>
      </c>
      <c r="C133" s="2" t="n">
        <v>0.0706340821224911</v>
      </c>
      <c r="D133" s="2" t="n">
        <v>0.045085</v>
      </c>
      <c r="E133" s="2" t="n">
        <v>0.0485518</v>
      </c>
    </row>
    <row r="134" customFormat="false" ht="13.8" hidden="false" customHeight="false" outlineLevel="0" collapsed="false">
      <c r="B134" s="2" t="n">
        <v>132</v>
      </c>
      <c r="C134" s="2" t="n">
        <v>0.0772659298244425</v>
      </c>
      <c r="D134" s="2" t="n">
        <v>0.0765018666666667</v>
      </c>
      <c r="E134" s="2" t="n">
        <v>0.0847883201755575</v>
      </c>
    </row>
    <row r="135" customFormat="false" ht="13.8" hidden="false" customHeight="false" outlineLevel="0" collapsed="false">
      <c r="B135" s="2" t="n">
        <v>133</v>
      </c>
      <c r="C135" s="2" t="n">
        <v>0.083897777526394</v>
      </c>
      <c r="D135" s="2" t="n">
        <v>0.134697806434885</v>
      </c>
      <c r="E135" s="2" t="n">
        <v>0.734105585628829</v>
      </c>
    </row>
    <row r="136" customFormat="false" ht="13.8" hidden="false" customHeight="false" outlineLevel="0" collapsed="false">
      <c r="B136" s="2" t="n">
        <v>134</v>
      </c>
      <c r="C136" s="2" t="n">
        <v>0.0885112022675036</v>
      </c>
      <c r="D136" s="2" t="n">
        <v>0.142104655711488</v>
      </c>
      <c r="E136" s="2" t="n">
        <v>0.0483597810658297</v>
      </c>
    </row>
    <row r="137" customFormat="false" ht="13.8" hidden="false" customHeight="false" outlineLevel="0" collapsed="false">
      <c r="B137" s="2" t="n">
        <v>135</v>
      </c>
      <c r="C137" s="2" t="n">
        <v>0.0422216773116059</v>
      </c>
      <c r="D137" s="2" t="n">
        <v>0.14951150498809</v>
      </c>
      <c r="E137" s="2" t="n">
        <v>0.814840522147531</v>
      </c>
    </row>
    <row r="138" customFormat="false" ht="13.8" hidden="false" customHeight="false" outlineLevel="0" collapsed="false">
      <c r="B138" s="2" t="n">
        <v>136</v>
      </c>
      <c r="C138" s="2" t="n">
        <v>0.0935022500000006</v>
      </c>
      <c r="D138" s="2" t="n">
        <v>0.156918354264692</v>
      </c>
      <c r="E138" s="2" t="n">
        <v>0.0676354333333333</v>
      </c>
    </row>
    <row r="139" customFormat="false" ht="13.8" hidden="false" customHeight="false" outlineLevel="0" collapsed="false">
      <c r="B139" s="2" t="n">
        <v>137</v>
      </c>
      <c r="C139" s="2" t="n">
        <v>0.0429687335022884</v>
      </c>
      <c r="D139" s="2" t="n">
        <v>0.164325203541294</v>
      </c>
      <c r="E139" s="2" t="n">
        <v>0.0680017166666667</v>
      </c>
    </row>
    <row r="140" customFormat="false" ht="13.8" hidden="false" customHeight="false" outlineLevel="0" collapsed="false">
      <c r="B140" s="2" t="n">
        <v>138</v>
      </c>
      <c r="C140" s="2" t="n">
        <v>0.0955017502534338</v>
      </c>
      <c r="D140" s="2" t="n">
        <v>0.167607219385325</v>
      </c>
      <c r="E140" s="2" t="n">
        <v>0.0717847666666667</v>
      </c>
    </row>
    <row r="141" customFormat="false" ht="13.8" hidden="false" customHeight="false" outlineLevel="0" collapsed="false">
      <c r="B141" s="2" t="n">
        <v>139</v>
      </c>
      <c r="C141" s="2" t="n">
        <v>0.106439944343844</v>
      </c>
      <c r="D141" s="2" t="n">
        <v>0.170889235229355</v>
      </c>
      <c r="E141" s="2" t="n">
        <v>0.0721846833333333</v>
      </c>
    </row>
    <row r="142" customFormat="false" ht="13.8" hidden="false" customHeight="false" outlineLevel="0" collapsed="false">
      <c r="B142" s="2" t="n">
        <v>140</v>
      </c>
      <c r="C142" s="2" t="n">
        <v>0.103751250422394</v>
      </c>
      <c r="D142" s="2" t="n">
        <v>0.174171251073386</v>
      </c>
      <c r="E142" s="2" t="n">
        <v>0.0685014333333333</v>
      </c>
    </row>
    <row r="143" customFormat="false" ht="13.8" hidden="false" customHeight="false" outlineLevel="0" collapsed="false">
      <c r="B143" s="2" t="n">
        <v>141</v>
      </c>
      <c r="C143" s="2" t="n">
        <v>0.0394179505068753</v>
      </c>
      <c r="D143" s="2" t="n">
        <v>0.177453266917416</v>
      </c>
      <c r="E143" s="2" t="n">
        <v>0.0675015</v>
      </c>
    </row>
    <row r="144" customFormat="false" ht="13.8" hidden="false" customHeight="false" outlineLevel="0" collapsed="false">
      <c r="B144" s="2" t="n">
        <v>142</v>
      </c>
      <c r="C144" s="2" t="n">
        <v>0.0916680839246908</v>
      </c>
      <c r="D144" s="2" t="n">
        <v>0.179757945875492</v>
      </c>
      <c r="E144" s="2" t="n">
        <v>0.0675011833333333</v>
      </c>
    </row>
    <row r="145" customFormat="false" ht="13.8" hidden="false" customHeight="false" outlineLevel="0" collapsed="false">
      <c r="B145" s="2" t="n">
        <v>143</v>
      </c>
      <c r="C145" s="2" t="n">
        <v>0.0930012506758405</v>
      </c>
      <c r="D145" s="2" t="n">
        <v>0.182062624833567</v>
      </c>
      <c r="E145" s="2" t="n">
        <v>0.06750135</v>
      </c>
    </row>
    <row r="146" customFormat="false" ht="13.8" hidden="false" customHeight="false" outlineLevel="0" collapsed="false">
      <c r="B146" s="2" t="n">
        <v>144</v>
      </c>
      <c r="C146" s="2" t="n">
        <v>0.058668267426991</v>
      </c>
      <c r="D146" s="2" t="n">
        <v>0.184367303791642</v>
      </c>
      <c r="E146" s="2" t="n">
        <v>0.06803475</v>
      </c>
    </row>
    <row r="147" customFormat="false" ht="13.8" hidden="false" customHeight="false" outlineLevel="0" collapsed="false">
      <c r="B147" s="2" t="n">
        <v>145</v>
      </c>
      <c r="C147" s="2" t="n">
        <v>0.0505022008448091</v>
      </c>
      <c r="D147" s="2" t="n">
        <v>0.186671982749717</v>
      </c>
      <c r="E147" s="2" t="n">
        <v>1.01736582683862</v>
      </c>
    </row>
    <row r="148" customFormat="false" ht="13.8" hidden="false" customHeight="false" outlineLevel="0" collapsed="false">
      <c r="B148" s="2" t="n">
        <v>146</v>
      </c>
      <c r="C148" s="2" t="n">
        <v>0.0411022509292946</v>
      </c>
      <c r="D148" s="2" t="n">
        <v>0.0890007500844771</v>
      </c>
      <c r="E148" s="2" t="n">
        <v>0.424387417002589</v>
      </c>
    </row>
    <row r="149" customFormat="false" ht="13.8" hidden="false" customHeight="false" outlineLevel="0" collapsed="false">
      <c r="B149" s="2" t="n">
        <v>147</v>
      </c>
      <c r="C149" s="2" t="n">
        <v>0.044152401013781</v>
      </c>
      <c r="D149" s="2" t="n">
        <v>0.180538922839155</v>
      </c>
      <c r="E149" s="2" t="n">
        <v>0.0679015334178104</v>
      </c>
    </row>
    <row r="150" customFormat="false" ht="13.8" hidden="false" customHeight="false" outlineLevel="0" collapsed="false">
      <c r="B150" s="2" t="n">
        <v>148</v>
      </c>
      <c r="C150" s="2" t="n">
        <v>0.0967182844316016</v>
      </c>
      <c r="D150" s="2" t="n">
        <v>0.089002</v>
      </c>
      <c r="E150" s="2" t="n">
        <v>0.967227888554713</v>
      </c>
    </row>
    <row r="151" customFormat="false" ht="13.8" hidden="false" customHeight="false" outlineLevel="0" collapsed="false">
      <c r="B151" s="2" t="n">
        <v>149</v>
      </c>
      <c r="C151" s="2" t="n">
        <v>0.0509017011827564</v>
      </c>
      <c r="D151" s="2" t="n">
        <v>0.174405862928592</v>
      </c>
      <c r="E151" s="2" t="n">
        <v>0.950515242460077</v>
      </c>
    </row>
    <row r="152" customFormat="false" ht="13.8" hidden="false" customHeight="false" outlineLevel="0" collapsed="false">
      <c r="B152" s="2" t="n">
        <v>150</v>
      </c>
      <c r="C152" s="2" t="n">
        <v>0.0962683846005786</v>
      </c>
      <c r="D152" s="2" t="n">
        <v>0.10150143341781</v>
      </c>
      <c r="E152" s="2" t="n">
        <v>0.915727921732531</v>
      </c>
    </row>
    <row r="153" customFormat="false" ht="13.8" hidden="false" customHeight="false" outlineLevel="0" collapsed="false">
      <c r="B153" s="2" t="n">
        <v>151</v>
      </c>
      <c r="C153" s="2" t="n">
        <v>0.0471350513517351</v>
      </c>
      <c r="D153" s="2" t="n">
        <v>0.0408583034665459</v>
      </c>
      <c r="E153" s="2" t="n">
        <v>0.880940601004986</v>
      </c>
    </row>
    <row r="154" customFormat="false" ht="13.8" hidden="false" customHeight="false" outlineLevel="0" collapsed="false">
      <c r="B154" s="2" t="n">
        <v>152</v>
      </c>
      <c r="C154" s="2" t="n">
        <v>0.0967032277804225</v>
      </c>
      <c r="D154" s="2" t="n">
        <v>0.0778490723040546</v>
      </c>
      <c r="E154" s="2" t="n">
        <v>0.84615328027744</v>
      </c>
    </row>
    <row r="155" customFormat="false" ht="13.8" hidden="false" customHeight="false" outlineLevel="0" collapsed="false">
      <c r="B155" s="2" t="n">
        <v>153</v>
      </c>
      <c r="C155" s="2" t="n">
        <v>0.0927275337139532</v>
      </c>
      <c r="D155" s="2" t="n">
        <v>0.148873972772855</v>
      </c>
      <c r="E155" s="2" t="n">
        <v>0.811365959549894</v>
      </c>
    </row>
    <row r="156" customFormat="false" ht="13.8" hidden="false" customHeight="false" outlineLevel="0" collapsed="false">
      <c r="B156" s="2" t="n">
        <v>154</v>
      </c>
      <c r="C156" s="2" t="n">
        <v>0.06466725</v>
      </c>
      <c r="D156" s="2" t="n">
        <v>0.137098752757461</v>
      </c>
      <c r="E156" s="2" t="n">
        <v>0.747190788371531</v>
      </c>
    </row>
    <row r="157" customFormat="false" ht="13.8" hidden="false" customHeight="false" outlineLevel="0" collapsed="false">
      <c r="B157" s="2" t="n">
        <v>155</v>
      </c>
      <c r="C157" s="2" t="n">
        <v>0.07450025</v>
      </c>
      <c r="D157" s="2" t="n">
        <v>0.125323532742068</v>
      </c>
      <c r="E157" s="2" t="n">
        <v>0.683015617193169</v>
      </c>
    </row>
    <row r="158" customFormat="false" ht="13.8" hidden="false" customHeight="false" outlineLevel="0" collapsed="false">
      <c r="B158" s="2" t="n">
        <v>156</v>
      </c>
      <c r="C158" s="2" t="n">
        <v>0.0650063535361396</v>
      </c>
      <c r="D158" s="2" t="n">
        <v>0.0967694332552088</v>
      </c>
      <c r="E158" s="2" t="n">
        <v>0.618840446014806</v>
      </c>
    </row>
    <row r="159" customFormat="false" ht="13.8" hidden="false" customHeight="false" outlineLevel="0" collapsed="false">
      <c r="B159" s="2" t="n">
        <v>157</v>
      </c>
      <c r="C159" s="2" t="n">
        <v>0.0633903143373884</v>
      </c>
      <c r="D159" s="2" t="n">
        <v>0.0456096856626116</v>
      </c>
      <c r="E159" s="2" t="n">
        <v>0.554665274836443</v>
      </c>
    </row>
    <row r="160" customFormat="false" ht="13.8" hidden="false" customHeight="false" outlineLevel="0" collapsed="false">
      <c r="B160" s="2" t="n">
        <v>158</v>
      </c>
      <c r="C160" s="2" t="n">
        <v>0.0582618601687337</v>
      </c>
      <c r="D160" s="2" t="n">
        <v>0.0935393641515185</v>
      </c>
      <c r="E160" s="2" t="n">
        <v>0.509791298887957</v>
      </c>
    </row>
    <row r="161" customFormat="false" ht="13.8" hidden="false" customHeight="false" outlineLevel="0" collapsed="false">
      <c r="B161" s="2" t="n">
        <v>159</v>
      </c>
      <c r="C161" s="2" t="n">
        <v>0.0508334166666667</v>
      </c>
      <c r="D161" s="2" t="n">
        <v>0.0375834666666667</v>
      </c>
      <c r="E161" s="2" t="n">
        <v>0.464917322939469</v>
      </c>
    </row>
    <row r="162" customFormat="false" ht="13.8" hidden="false" customHeight="false" outlineLevel="0" collapsed="false">
      <c r="B162" s="2" t="n">
        <v>160</v>
      </c>
      <c r="C162" s="2" t="n">
        <v>0.0480049518314242</v>
      </c>
      <c r="D162" s="2" t="n">
        <v>0.0770719070319942</v>
      </c>
      <c r="E162" s="2" t="n">
        <v>0.420043346990982</v>
      </c>
    </row>
    <row r="163" customFormat="false" ht="13.8" hidden="false" customHeight="false" outlineLevel="0" collapsed="false">
      <c r="B163" s="2" t="n">
        <v>161</v>
      </c>
      <c r="C163" s="2" t="n">
        <v>0.0428764976627694</v>
      </c>
      <c r="D163" s="2" t="n">
        <v>0.068838178472232</v>
      </c>
      <c r="E163" s="2" t="n">
        <v>0.375169371042496</v>
      </c>
    </row>
    <row r="164" customFormat="false" ht="13.8" hidden="false" customHeight="false" outlineLevel="0" collapsed="false">
      <c r="B164" s="2" t="n">
        <v>162</v>
      </c>
      <c r="C164" s="2" t="n">
        <v>0.0365162614707955</v>
      </c>
      <c r="D164" s="2" t="n">
        <v>0.0586268249808104</v>
      </c>
      <c r="E164" s="2" t="n">
        <v>0.319517301916137</v>
      </c>
    </row>
    <row r="165" customFormat="false" ht="13.8" hidden="false" customHeight="false" outlineLevel="0" collapsed="false">
      <c r="B165" s="2" t="n">
        <v>163</v>
      </c>
      <c r="C165" s="2" t="n">
        <v>0.0301560252788215</v>
      </c>
      <c r="D165" s="2" t="n">
        <v>0.0484154714893888</v>
      </c>
      <c r="E165" s="2" t="n">
        <v>0.263865232789779</v>
      </c>
    </row>
    <row r="166" customFormat="false" ht="13.8" hidden="false" customHeight="false" outlineLevel="0" collapsed="false">
      <c r="B166" s="2" t="n">
        <v>164</v>
      </c>
      <c r="C166" s="2" t="n">
        <v>0.0237957890868476</v>
      </c>
      <c r="D166" s="2" t="n">
        <v>0.0382041179979672</v>
      </c>
      <c r="E166" s="2" t="n">
        <v>0.208213163663421</v>
      </c>
    </row>
    <row r="167" customFormat="false" ht="13.8" hidden="false" customHeight="false" outlineLevel="0" collapsed="false">
      <c r="B167" s="2" t="n">
        <v>165</v>
      </c>
      <c r="C167" s="2" t="n">
        <v>0.0174355528948737</v>
      </c>
      <c r="D167" s="2" t="n">
        <v>0.0279927645065456</v>
      </c>
      <c r="E167" s="2" t="n">
        <v>0.152561094537063</v>
      </c>
    </row>
    <row r="168" customFormat="false" ht="13.8" hidden="false" customHeight="false" outlineLevel="0" collapsed="false">
      <c r="B168" s="2" t="n">
        <v>166</v>
      </c>
      <c r="C168" s="2" t="n">
        <v>0.0130778551565867</v>
      </c>
      <c r="D168" s="2" t="n">
        <v>0.0209964859765549</v>
      </c>
      <c r="E168" s="2" t="n">
        <v>0.11443124459059</v>
      </c>
    </row>
    <row r="169" customFormat="false" ht="13.8" hidden="false" customHeight="false" outlineLevel="0" collapsed="false">
      <c r="B169" s="2" t="n">
        <v>167</v>
      </c>
      <c r="C169" s="2" t="n">
        <v>0.00872015807919436</v>
      </c>
      <c r="D169" s="2" t="n">
        <v>0.0140002074465642</v>
      </c>
      <c r="E169" s="2" t="n">
        <v>0.0763013946441172</v>
      </c>
    </row>
    <row r="170" customFormat="false" ht="13.8" hidden="false" customHeight="false" outlineLevel="0" collapsed="false">
      <c r="B170" s="2" t="n">
        <v>168</v>
      </c>
      <c r="C170" s="2" t="n">
        <v>0.0043624611529083</v>
      </c>
      <c r="D170" s="2" t="n">
        <v>0.00700392891657351</v>
      </c>
      <c r="E170" s="2" t="n">
        <v>0.0381715446976444</v>
      </c>
    </row>
    <row r="171" customFormat="false" ht="13.8" hidden="false" customHeight="false" outlineLevel="0" collapsed="false">
      <c r="B171" s="2" t="n">
        <v>169</v>
      </c>
      <c r="C171" s="2" t="n">
        <v>4.76422659643681E-006</v>
      </c>
      <c r="D171" s="2" t="n">
        <v>7.65038658282197E-006</v>
      </c>
      <c r="E171" s="2" t="n">
        <v>4.16947511716506E-005</v>
      </c>
    </row>
    <row r="172" customFormat="false" ht="13.8" hidden="false" customHeight="false" outlineLevel="0" collapsed="false">
      <c r="B172" s="2" t="n">
        <v>170</v>
      </c>
      <c r="C172" s="2" t="n">
        <v>3.57296690682504E-006</v>
      </c>
      <c r="D172" s="2" t="n">
        <v>5.73778993711648E-006</v>
      </c>
      <c r="E172" s="2" t="n">
        <v>3.12710633787393E-005</v>
      </c>
    </row>
    <row r="173" customFormat="false" ht="13.8" hidden="false" customHeight="false" outlineLevel="0" collapsed="false">
      <c r="B173" s="2" t="n">
        <v>171</v>
      </c>
      <c r="C173" s="2" t="n">
        <v>2.38170718694249E-006</v>
      </c>
      <c r="D173" s="2" t="n">
        <v>3.82519329141098E-006</v>
      </c>
      <c r="E173" s="2" t="n">
        <v>2.08473755858244E-005</v>
      </c>
    </row>
    <row r="174" customFormat="false" ht="13.8" hidden="false" customHeight="false" outlineLevel="0" collapsed="false">
      <c r="B174" s="2" t="n">
        <v>172</v>
      </c>
      <c r="C174" s="2" t="n">
        <v>1.19044726726206E-006</v>
      </c>
      <c r="D174" s="2" t="n">
        <v>1.91259664570549E-006</v>
      </c>
      <c r="E174" s="2" t="n">
        <v>1.04236877929198E-005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0.000952625749175592</v>
      </c>
      <c r="D216" s="2" t="n">
        <v>0.00152943899084729</v>
      </c>
      <c r="E216" s="2" t="n">
        <v>0.00833547567173211</v>
      </c>
    </row>
    <row r="217" customFormat="false" ht="13.8" hidden="false" customHeight="false" outlineLevel="0" collapsed="false">
      <c r="B217" s="2" t="n">
        <v>215</v>
      </c>
      <c r="C217" s="2" t="n">
        <v>0.00190525147946172</v>
      </c>
      <c r="D217" s="2" t="n">
        <v>0.00305887879407749</v>
      </c>
      <c r="E217" s="2" t="n">
        <v>0.0166709513434642</v>
      </c>
    </row>
    <row r="218" customFormat="false" ht="13.8" hidden="false" customHeight="false" outlineLevel="0" collapsed="false">
      <c r="B218" s="2" t="n">
        <v>216</v>
      </c>
      <c r="C218" s="2" t="n">
        <v>0.00285787724752678</v>
      </c>
      <c r="D218" s="2" t="n">
        <v>0.00458831855952974</v>
      </c>
      <c r="E218" s="2" t="n">
        <v>0.0250064270151963</v>
      </c>
    </row>
    <row r="219" customFormat="false" ht="13.8" hidden="false" customHeight="false" outlineLevel="0" collapsed="false">
      <c r="B219" s="2" t="n">
        <v>217</v>
      </c>
      <c r="C219" s="2" t="n">
        <v>0.00381050297781291</v>
      </c>
      <c r="D219" s="2" t="n">
        <v>0.00611775832498181</v>
      </c>
      <c r="E219" s="2" t="n">
        <v>0.0333419026869285</v>
      </c>
    </row>
    <row r="220" customFormat="false" ht="13.8" hidden="false" customHeight="false" outlineLevel="0" collapsed="false">
      <c r="B220" s="2" t="n">
        <v>218</v>
      </c>
      <c r="C220" s="2" t="n">
        <v>0.00862287125608503</v>
      </c>
      <c r="D220" s="2" t="n">
        <v>0.0138440112225195</v>
      </c>
      <c r="E220" s="2" t="n">
        <v>0.0754501268076961</v>
      </c>
    </row>
    <row r="221" customFormat="false" ht="13.8" hidden="false" customHeight="false" outlineLevel="0" collapsed="false">
      <c r="B221" s="2" t="n">
        <v>219</v>
      </c>
      <c r="C221" s="2" t="n">
        <v>0.0134352395154677</v>
      </c>
      <c r="D221" s="2" t="n">
        <v>0.0215702649702665</v>
      </c>
      <c r="E221" s="2" t="n">
        <v>0.115380478847599</v>
      </c>
    </row>
    <row r="222" customFormat="false" ht="13.8" hidden="false" customHeight="false" outlineLevel="0" collapsed="false">
      <c r="B222" s="2" t="n">
        <v>220</v>
      </c>
      <c r="C222" s="2" t="n">
        <v>0.0182476077748504</v>
      </c>
      <c r="D222" s="2" t="n">
        <v>0.0292965178867015</v>
      </c>
      <c r="E222" s="2" t="n">
        <v>0.159666575049231</v>
      </c>
    </row>
    <row r="223" customFormat="false" ht="13.8" hidden="false" customHeight="false" outlineLevel="0" collapsed="false">
      <c r="B223" s="2" t="n">
        <v>221</v>
      </c>
      <c r="C223" s="2" t="n">
        <v>0.023059976034233</v>
      </c>
      <c r="D223" s="2" t="n">
        <v>0.0370227708031364</v>
      </c>
      <c r="E223" s="2" t="n">
        <v>0.108621336495964</v>
      </c>
    </row>
    <row r="224" customFormat="false" ht="13.8" hidden="false" customHeight="false" outlineLevel="0" collapsed="false">
      <c r="B224" s="2" t="n">
        <v>222</v>
      </c>
      <c r="C224" s="2" t="n">
        <v>0.0309740365515609</v>
      </c>
      <c r="D224" s="2" t="n">
        <v>0.0497287878527733</v>
      </c>
      <c r="E224" s="2" t="n">
        <v>0.271022831740912</v>
      </c>
    </row>
    <row r="225" customFormat="false" ht="13.8" hidden="false" customHeight="false" outlineLevel="0" collapsed="false">
      <c r="B225" s="2" t="n">
        <v>223</v>
      </c>
      <c r="C225" s="2" t="n">
        <v>0.0388880970688888</v>
      </c>
      <c r="D225" s="2" t="n">
        <v>0.0624348049024101</v>
      </c>
      <c r="E225" s="2" t="n">
        <v>0.340270864311825</v>
      </c>
    </row>
    <row r="226" customFormat="false" ht="13.8" hidden="false" customHeight="false" outlineLevel="0" collapsed="false">
      <c r="B226" s="2" t="n">
        <v>224</v>
      </c>
      <c r="C226" s="2" t="n">
        <v>0.0468021575862166</v>
      </c>
      <c r="D226" s="2" t="n">
        <v>0.0751408219520469</v>
      </c>
      <c r="E226" s="2" t="n">
        <v>0.409518896882739</v>
      </c>
    </row>
    <row r="227" customFormat="false" ht="13.8" hidden="false" customHeight="false" outlineLevel="0" collapsed="false">
      <c r="B227" s="2" t="n">
        <v>225</v>
      </c>
      <c r="C227" s="2" t="n">
        <v>0.0547162181035445</v>
      </c>
      <c r="D227" s="2" t="n">
        <v>0.0878468390016837</v>
      </c>
      <c r="E227" s="2" t="n">
        <v>0.478766929453652</v>
      </c>
    </row>
    <row r="228" customFormat="false" ht="13.8" hidden="false" customHeight="false" outlineLevel="0" collapsed="false">
      <c r="B228" s="2" t="n">
        <v>226</v>
      </c>
      <c r="C228" s="2" t="n">
        <v>0.0618507853546649</v>
      </c>
      <c r="D228" s="2" t="n">
        <v>0.0993013803128139</v>
      </c>
      <c r="E228" s="2" t="n">
        <v>0.0415013</v>
      </c>
    </row>
    <row r="229" customFormat="false" ht="13.8" hidden="false" customHeight="false" outlineLevel="0" collapsed="false">
      <c r="B229" s="2" t="n">
        <v>227</v>
      </c>
      <c r="C229" s="2" t="n">
        <v>0.0689853526057853</v>
      </c>
      <c r="D229" s="2" t="n">
        <v>0.110755921623944</v>
      </c>
      <c r="E229" s="2" t="n">
        <v>0.603621861837154</v>
      </c>
    </row>
    <row r="230" customFormat="false" ht="13.8" hidden="false" customHeight="false" outlineLevel="0" collapsed="false">
      <c r="B230" s="2" t="n">
        <v>228</v>
      </c>
      <c r="C230" s="2" t="n">
        <v>0.0761199198569057</v>
      </c>
      <c r="D230" s="2" t="n">
        <v>0.122210462935074</v>
      </c>
      <c r="E230" s="2" t="n">
        <v>0.666049328028905</v>
      </c>
    </row>
    <row r="231" customFormat="false" ht="13.8" hidden="false" customHeight="false" outlineLevel="0" collapsed="false">
      <c r="B231" s="2" t="n">
        <v>229</v>
      </c>
      <c r="C231" s="2" t="n">
        <v>0.0832544871080261</v>
      </c>
      <c r="D231" s="2" t="n">
        <v>0.133665004246204</v>
      </c>
      <c r="E231" s="2" t="n">
        <v>0.728476794220656</v>
      </c>
    </row>
    <row r="232" customFormat="false" ht="13.8" hidden="false" customHeight="false" outlineLevel="0" collapsed="false">
      <c r="B232" s="2" t="n">
        <v>230</v>
      </c>
      <c r="C232" s="2" t="n">
        <v>0.088002526325572</v>
      </c>
      <c r="D232" s="2" t="n">
        <v>0.141287976943771</v>
      </c>
      <c r="E232" s="2" t="n">
        <v>0.0665017666666667</v>
      </c>
    </row>
    <row r="233" customFormat="false" ht="13.8" hidden="false" customHeight="false" outlineLevel="0" collapsed="false">
      <c r="B233" s="2" t="n">
        <v>231</v>
      </c>
      <c r="C233" s="2" t="n">
        <v>0.0927505655431179</v>
      </c>
      <c r="D233" s="2" t="n">
        <v>0.148910949641338</v>
      </c>
      <c r="E233" s="2" t="n">
        <v>0.811567484180557</v>
      </c>
    </row>
    <row r="234" customFormat="false" ht="13.8" hidden="false" customHeight="false" outlineLevel="0" collapsed="false">
      <c r="B234" s="2" t="n">
        <v>232</v>
      </c>
      <c r="C234" s="2" t="n">
        <v>0.0974986047258438</v>
      </c>
      <c r="D234" s="2" t="n">
        <v>0.156533922338905</v>
      </c>
      <c r="E234" s="2" t="n">
        <v>0.853112829160507</v>
      </c>
    </row>
    <row r="235" customFormat="false" ht="13.8" hidden="false" customHeight="false" outlineLevel="0" collapsed="false">
      <c r="B235" s="2" t="n">
        <v>233</v>
      </c>
      <c r="C235" s="2" t="n">
        <v>0.10224664397821</v>
      </c>
      <c r="D235" s="2" t="n">
        <v>0.164156895036472</v>
      </c>
      <c r="E235" s="2" t="n">
        <v>0.894658174140457</v>
      </c>
    </row>
    <row r="236" customFormat="false" ht="13.8" hidden="false" customHeight="false" outlineLevel="0" collapsed="false">
      <c r="B236" s="2" t="n">
        <v>234</v>
      </c>
      <c r="C236" s="2" t="n">
        <v>0.104967524192195</v>
      </c>
      <c r="D236" s="2" t="n">
        <v>0.168525265775263</v>
      </c>
      <c r="E236" s="2" t="n">
        <v>0.918465877059469</v>
      </c>
    </row>
    <row r="237" customFormat="false" ht="13.8" hidden="false" customHeight="false" outlineLevel="0" collapsed="false">
      <c r="B237" s="2" t="n">
        <v>235</v>
      </c>
      <c r="C237" s="2" t="n">
        <v>0.0642519336712468</v>
      </c>
      <c r="D237" s="2" t="n">
        <v>0.172893636514055</v>
      </c>
      <c r="E237" s="2" t="n">
        <v>0.942273579978479</v>
      </c>
    </row>
    <row r="238" customFormat="false" ht="13.8" hidden="false" customHeight="false" outlineLevel="0" collapsed="false">
      <c r="B238" s="2" t="n">
        <v>236</v>
      </c>
      <c r="C238" s="2" t="n">
        <v>0.110409284620166</v>
      </c>
      <c r="D238" s="2" t="n">
        <v>0.177262007252846</v>
      </c>
      <c r="E238" s="2" t="n">
        <v>0.07725175</v>
      </c>
    </row>
    <row r="239" customFormat="false" ht="13.8" hidden="false" customHeight="false" outlineLevel="0" collapsed="false">
      <c r="B239" s="2" t="n">
        <v>237</v>
      </c>
      <c r="C239" s="2" t="n">
        <v>0.113130164834152</v>
      </c>
      <c r="D239" s="2" t="n">
        <v>0.181630377991637</v>
      </c>
      <c r="E239" s="2" t="n">
        <v>0.989888985816503</v>
      </c>
    </row>
    <row r="240" customFormat="false" ht="13.8" hidden="false" customHeight="false" outlineLevel="0" collapsed="false">
      <c r="B240" s="2" t="n">
        <v>238</v>
      </c>
      <c r="C240" s="2" t="n">
        <v>0.0718515005913575</v>
      </c>
      <c r="D240" s="2" t="n">
        <v>0.182424743090075</v>
      </c>
      <c r="E240" s="2" t="n">
        <v>0.0810015333333333</v>
      </c>
    </row>
    <row r="241" customFormat="false" ht="13.8" hidden="false" customHeight="false" outlineLevel="0" collapsed="false">
      <c r="B241" s="2" t="n">
        <v>239</v>
      </c>
      <c r="C241" s="2" t="n">
        <v>0.114119720218456</v>
      </c>
      <c r="D241" s="2" t="n">
        <v>0.183219108228287</v>
      </c>
      <c r="E241" s="2" t="n">
        <v>0.998547595809815</v>
      </c>
    </row>
    <row r="242" customFormat="false" ht="13.8" hidden="false" customHeight="false" outlineLevel="0" collapsed="false">
      <c r="B242" s="2" t="n">
        <v>240</v>
      </c>
      <c r="C242" s="2" t="n">
        <v>0.0432523507603244</v>
      </c>
      <c r="D242" s="2" t="n">
        <v>0.184013473272904</v>
      </c>
      <c r="E242" s="2" t="n">
        <v>1.00287690080647</v>
      </c>
    </row>
    <row r="243" customFormat="false" ht="13.8" hidden="false" customHeight="false" outlineLevel="0" collapsed="false">
      <c r="B243" s="2" t="n">
        <v>241</v>
      </c>
      <c r="C243" s="2" t="n">
        <v>0.115109275394022</v>
      </c>
      <c r="D243" s="2" t="n">
        <v>0.184807838552369</v>
      </c>
      <c r="E243" s="2" t="n">
        <v>1.00720620580313</v>
      </c>
    </row>
    <row r="244" customFormat="false" ht="13.8" hidden="false" customHeight="false" outlineLevel="0" collapsed="false">
      <c r="B244" s="2" t="n">
        <v>242</v>
      </c>
      <c r="C244" s="2" t="n">
        <v>0.113669813680701</v>
      </c>
      <c r="D244" s="2" t="n">
        <v>0.182496784113684</v>
      </c>
      <c r="E244" s="2" t="n">
        <v>0.994610916386693</v>
      </c>
    </row>
    <row r="245" customFormat="false" ht="13.8" hidden="false" customHeight="false" outlineLevel="0" collapsed="false">
      <c r="B245" s="2" t="n">
        <v>243</v>
      </c>
      <c r="C245" s="2" t="n">
        <v>0.09675225</v>
      </c>
      <c r="D245" s="2" t="n">
        <v>0.180185729828501</v>
      </c>
      <c r="E245" s="2" t="n">
        <v>0.982015626970257</v>
      </c>
    </row>
    <row r="246" customFormat="false" ht="13.8" hidden="false" customHeight="false" outlineLevel="0" collapsed="false">
      <c r="B246" s="2" t="n">
        <v>244</v>
      </c>
      <c r="C246" s="2" t="n">
        <v>0.0315856166666667</v>
      </c>
      <c r="D246" s="2" t="n">
        <v>0.177874675544699</v>
      </c>
      <c r="E246" s="2" t="n">
        <v>0.969420337553822</v>
      </c>
    </row>
    <row r="247" customFormat="false" ht="13.8" hidden="false" customHeight="false" outlineLevel="0" collapsed="false">
      <c r="B247" s="2" t="n">
        <v>245</v>
      </c>
      <c r="C247" s="2" t="n">
        <v>0.0982185833333333</v>
      </c>
      <c r="D247" s="2" t="n">
        <v>0.175563621261774</v>
      </c>
      <c r="E247" s="2" t="n">
        <v>0.956825048137386</v>
      </c>
    </row>
    <row r="248" customFormat="false" ht="13.8" hidden="false" customHeight="false" outlineLevel="0" collapsed="false">
      <c r="B248" s="2" t="n">
        <v>246</v>
      </c>
      <c r="C248" s="2" t="n">
        <v>0.0390517833333333</v>
      </c>
      <c r="D248" s="2" t="n">
        <v>0.170346695142396</v>
      </c>
      <c r="E248" s="2" t="n">
        <v>0.928392702400919</v>
      </c>
    </row>
    <row r="249" customFormat="false" ht="13.8" hidden="false" customHeight="false" outlineLevel="0" collapsed="false">
      <c r="B249" s="2" t="n">
        <v>247</v>
      </c>
      <c r="C249" s="2" t="n">
        <v>0.0900844333333333</v>
      </c>
      <c r="D249" s="2" t="n">
        <v>0.165129769196921</v>
      </c>
      <c r="E249" s="2" t="n">
        <v>0.899960356664453</v>
      </c>
    </row>
    <row r="250" customFormat="false" ht="13.8" hidden="false" customHeight="false" outlineLevel="0" collapsed="false">
      <c r="B250" s="2" t="n">
        <v>248</v>
      </c>
      <c r="C250" s="2" t="n">
        <v>0.0996031968701388</v>
      </c>
      <c r="D250" s="2" t="n">
        <v>0.159912843079651</v>
      </c>
      <c r="E250" s="2" t="n">
        <v>0.871528010927986</v>
      </c>
    </row>
    <row r="251" customFormat="false" ht="13.8" hidden="false" customHeight="false" outlineLevel="0" collapsed="false">
      <c r="B251" s="2" t="n">
        <v>249</v>
      </c>
      <c r="C251" s="2" t="n">
        <v>0.0758333833333333</v>
      </c>
      <c r="D251" s="2" t="n">
        <v>0.154695916962382</v>
      </c>
      <c r="E251" s="2" t="n">
        <v>0.843095665191519</v>
      </c>
    </row>
    <row r="252" customFormat="false" ht="13.8" hidden="false" customHeight="false" outlineLevel="0" collapsed="false">
      <c r="B252" s="2" t="n">
        <v>250</v>
      </c>
      <c r="C252" s="2" t="n">
        <v>0.0711666090194766</v>
      </c>
      <c r="D252" s="2" t="n">
        <v>0.14547337593679</v>
      </c>
      <c r="E252" s="2" t="n">
        <v>0.792832642654096</v>
      </c>
    </row>
    <row r="253" customFormat="false" ht="13.8" hidden="false" customHeight="false" outlineLevel="0" collapsed="false">
      <c r="B253" s="2" t="n">
        <v>251</v>
      </c>
      <c r="C253" s="2" t="n">
        <v>0.06091675</v>
      </c>
      <c r="D253" s="2" t="n">
        <v>0.136250834911198</v>
      </c>
      <c r="E253" s="2" t="n">
        <v>0.742569620116674</v>
      </c>
    </row>
    <row r="254" customFormat="false" ht="13.8" hidden="false" customHeight="false" outlineLevel="0" collapsed="false">
      <c r="B254" s="2" t="n">
        <v>252</v>
      </c>
      <c r="C254" s="2" t="n">
        <v>0.07075</v>
      </c>
      <c r="D254" s="2" t="n">
        <v>0.127028293885606</v>
      </c>
      <c r="E254" s="2" t="n">
        <v>0.692306597579251</v>
      </c>
    </row>
    <row r="255" customFormat="false" ht="13.8" hidden="false" customHeight="false" outlineLevel="0" collapsed="false">
      <c r="B255" s="2" t="n">
        <v>253</v>
      </c>
      <c r="C255" s="2" t="n">
        <v>0.05750005</v>
      </c>
      <c r="D255" s="2" t="n">
        <v>0.117805752860015</v>
      </c>
      <c r="E255" s="2" t="n">
        <v>0.642043575041829</v>
      </c>
    </row>
    <row r="256" customFormat="false" ht="13.8" hidden="false" customHeight="false" outlineLevel="0" collapsed="false">
      <c r="B256" s="2" t="n">
        <v>254</v>
      </c>
      <c r="C256" s="2" t="n">
        <v>0.0505083546738293</v>
      </c>
      <c r="D256" s="2" t="n">
        <v>0.0921648446954715</v>
      </c>
      <c r="E256" s="2" t="n">
        <v>0.502300141439938</v>
      </c>
    </row>
    <row r="257" customFormat="false" ht="13.8" hidden="false" customHeight="false" outlineLevel="0" collapsed="false">
      <c r="B257" s="2" t="n">
        <v>255</v>
      </c>
      <c r="C257" s="2" t="n">
        <v>0.0414350506142044</v>
      </c>
      <c r="D257" s="2" t="n">
        <v>0.0665239365309284</v>
      </c>
      <c r="E257" s="2" t="n">
        <v>0.362556708813072</v>
      </c>
    </row>
    <row r="258" customFormat="false" ht="13.8" hidden="false" customHeight="false" outlineLevel="0" collapsed="false">
      <c r="B258" s="2" t="n">
        <v>256</v>
      </c>
      <c r="C258" s="2" t="n">
        <v>0.0254643732460955</v>
      </c>
      <c r="D258" s="2" t="n">
        <v>0.0408830283663854</v>
      </c>
      <c r="E258" s="2" t="n">
        <v>0.222813275698693</v>
      </c>
    </row>
    <row r="259" customFormat="false" ht="13.8" hidden="false" customHeight="false" outlineLevel="0" collapsed="false">
      <c r="B259" s="2" t="n">
        <v>257</v>
      </c>
      <c r="C259" s="2" t="n">
        <v>0.00949369480160775</v>
      </c>
      <c r="D259" s="2" t="n">
        <v>0.0152421197485507</v>
      </c>
      <c r="E259" s="2" t="n">
        <v>0.0830698425843149</v>
      </c>
    </row>
    <row r="260" customFormat="false" ht="13.8" hidden="false" customHeight="false" outlineLevel="0" collapsed="false">
      <c r="B260" s="2" t="n">
        <v>258</v>
      </c>
      <c r="C260" s="2" t="n">
        <v>0.00810307565682906</v>
      </c>
      <c r="D260" s="2" t="n">
        <v>0.013009481949682</v>
      </c>
      <c r="E260" s="2" t="n">
        <v>0.0709019243673887</v>
      </c>
    </row>
    <row r="261" customFormat="false" ht="13.8" hidden="false" customHeight="false" outlineLevel="0" collapsed="false">
      <c r="B261" s="2" t="n">
        <v>259</v>
      </c>
      <c r="C261" s="2" t="n">
        <v>0.00671245651205058</v>
      </c>
      <c r="D261" s="2" t="n">
        <v>0.0107768441508135</v>
      </c>
      <c r="E261" s="2" t="n">
        <v>0.0587340061504626</v>
      </c>
    </row>
    <row r="262" customFormat="false" ht="13.8" hidden="false" customHeight="false" outlineLevel="0" collapsed="false">
      <c r="B262" s="2" t="n">
        <v>260</v>
      </c>
      <c r="C262" s="2" t="n">
        <v>0.00532183736727229</v>
      </c>
      <c r="D262" s="2" t="n">
        <v>0.00854420635194516</v>
      </c>
      <c r="E262" s="2" t="n">
        <v>0.0465660879335364</v>
      </c>
    </row>
    <row r="263" customFormat="false" ht="13.8" hidden="false" customHeight="false" outlineLevel="0" collapsed="false">
      <c r="B263" s="2" t="n">
        <v>261</v>
      </c>
      <c r="C263" s="2" t="n">
        <v>0.00393121822249421</v>
      </c>
      <c r="D263" s="2" t="n">
        <v>0.00631156855307706</v>
      </c>
      <c r="E263" s="2" t="n">
        <v>0.0343981697166102</v>
      </c>
    </row>
    <row r="264" customFormat="false" ht="13.8" hidden="false" customHeight="false" outlineLevel="0" collapsed="false">
      <c r="B264" s="2" t="n">
        <v>262</v>
      </c>
      <c r="C264" s="2" t="n">
        <v>0.00294841343553347</v>
      </c>
      <c r="D264" s="2" t="n">
        <v>0.00473367633925567</v>
      </c>
      <c r="E264" s="2" t="n">
        <v>0.0257986272874577</v>
      </c>
    </row>
    <row r="265" customFormat="false" ht="13.8" hidden="false" customHeight="false" outlineLevel="0" collapsed="false">
      <c r="B265" s="2" t="n">
        <v>263</v>
      </c>
      <c r="C265" s="2" t="n">
        <v>0.00196560864857293</v>
      </c>
      <c r="D265" s="2" t="n">
        <v>0.00315578412543449</v>
      </c>
      <c r="E265" s="2" t="n">
        <v>0.0171990848583051</v>
      </c>
    </row>
    <row r="266" customFormat="false" ht="13.8" hidden="false" customHeight="false" outlineLevel="0" collapsed="false">
      <c r="B266" s="2" t="n">
        <v>264</v>
      </c>
      <c r="C266" s="2" t="n">
        <v>0.000982803861612597</v>
      </c>
      <c r="D266" s="2" t="n">
        <v>0.00157789191161351</v>
      </c>
      <c r="E266" s="2" t="n">
        <v>0.00859954242915255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0.00124210643744112</v>
      </c>
      <c r="D312" s="2" t="n">
        <v>0.00199420014582861</v>
      </c>
      <c r="E312" s="2" t="n">
        <v>0.0108684318054098</v>
      </c>
    </row>
    <row r="313" customFormat="false" ht="13.8" hidden="false" customHeight="false" outlineLevel="0" collapsed="false">
      <c r="B313" s="2" t="n">
        <v>311</v>
      </c>
      <c r="C313" s="2" t="n">
        <v>0.00248421281821447</v>
      </c>
      <c r="D313" s="2" t="n">
        <v>0.00398840097174468</v>
      </c>
      <c r="E313" s="2" t="n">
        <v>0.0217368636108196</v>
      </c>
    </row>
    <row r="314" customFormat="false" ht="13.8" hidden="false" customHeight="false" outlineLevel="0" collapsed="false">
      <c r="B314" s="2" t="n">
        <v>312</v>
      </c>
      <c r="C314" s="2" t="n">
        <v>0.00372631927454465</v>
      </c>
      <c r="D314" s="2" t="n">
        <v>0.00598260172210532</v>
      </c>
      <c r="E314" s="2" t="n">
        <v>0.0326052954162293</v>
      </c>
    </row>
    <row r="315" customFormat="false" ht="13.8" hidden="false" customHeight="false" outlineLevel="0" collapsed="false">
      <c r="B315" s="2" t="n">
        <v>313</v>
      </c>
      <c r="C315" s="2" t="n">
        <v>0.00496842573087503</v>
      </c>
      <c r="D315" s="2" t="n">
        <v>0.00797680247246577</v>
      </c>
      <c r="E315" s="2" t="n">
        <v>0.0434737272216391</v>
      </c>
    </row>
    <row r="316" customFormat="false" ht="13.8" hidden="false" customHeight="false" outlineLevel="0" collapsed="false">
      <c r="B316" s="2" t="n">
        <v>314</v>
      </c>
      <c r="C316" s="2" t="n">
        <v>0.00904140712087498</v>
      </c>
      <c r="D316" s="2" t="n">
        <v>0.0145159703852375</v>
      </c>
      <c r="E316" s="2" t="n">
        <v>0.0791123157856059</v>
      </c>
    </row>
    <row r="317" customFormat="false" ht="13.8" hidden="false" customHeight="false" outlineLevel="0" collapsed="false">
      <c r="B317" s="2" t="n">
        <v>315</v>
      </c>
      <c r="C317" s="2" t="n">
        <v>0.0131143884919855</v>
      </c>
      <c r="D317" s="2" t="n">
        <v>0.0210551389403565</v>
      </c>
      <c r="E317" s="2" t="n">
        <v>0.114750904349573</v>
      </c>
    </row>
    <row r="318" customFormat="false" ht="13.8" hidden="false" customHeight="false" outlineLevel="0" collapsed="false">
      <c r="B318" s="2" t="n">
        <v>316</v>
      </c>
      <c r="C318" s="2" t="n">
        <v>0.0171873698630959</v>
      </c>
      <c r="D318" s="2" t="n">
        <v>0.0275943068720236</v>
      </c>
      <c r="E318" s="2" t="n">
        <v>0.134170623264881</v>
      </c>
    </row>
    <row r="319" customFormat="false" ht="13.8" hidden="false" customHeight="false" outlineLevel="0" collapsed="false">
      <c r="B319" s="2" t="n">
        <v>317</v>
      </c>
      <c r="C319" s="2" t="n">
        <v>0.0212603512342064</v>
      </c>
      <c r="D319" s="2" t="n">
        <v>0.0341334748036907</v>
      </c>
      <c r="E319" s="2" t="n">
        <v>0.130526323962103</v>
      </c>
    </row>
    <row r="320" customFormat="false" ht="13.8" hidden="false" customHeight="false" outlineLevel="0" collapsed="false">
      <c r="B320" s="2" t="n">
        <v>318</v>
      </c>
      <c r="C320" s="2" t="n">
        <v>0.0296747487435982</v>
      </c>
      <c r="D320" s="2" t="n">
        <v>0.0476427824445238</v>
      </c>
      <c r="E320" s="2" t="n">
        <v>0.133685668811878</v>
      </c>
    </row>
    <row r="321" customFormat="false" ht="13.8" hidden="false" customHeight="false" outlineLevel="0" collapsed="false">
      <c r="B321" s="2" t="n">
        <v>319</v>
      </c>
      <c r="C321" s="2" t="n">
        <v>0.0378342666666667</v>
      </c>
      <c r="D321" s="2" t="n">
        <v>0.0611520900853569</v>
      </c>
      <c r="E321" s="2" t="n">
        <v>0.333280044365379</v>
      </c>
    </row>
    <row r="322" customFormat="false" ht="13.8" hidden="false" customHeight="false" outlineLevel="0" collapsed="false">
      <c r="B322" s="2" t="n">
        <v>320</v>
      </c>
      <c r="C322" s="2" t="n">
        <v>0.0378011666666667</v>
      </c>
      <c r="D322" s="2" t="n">
        <v>0.0746613977261901</v>
      </c>
      <c r="E322" s="2" t="n">
        <v>0.0540013833333334</v>
      </c>
    </row>
    <row r="323" customFormat="false" ht="13.8" hidden="false" customHeight="false" outlineLevel="0" collapsed="false">
      <c r="B323" s="2" t="n">
        <v>321</v>
      </c>
      <c r="C323" s="2" t="n">
        <v>0.0549179412717734</v>
      </c>
      <c r="D323" s="2" t="n">
        <v>0.0881707053670232</v>
      </c>
      <c r="E323" s="2" t="n">
        <v>0.0790515920615599</v>
      </c>
    </row>
    <row r="324" customFormat="false" ht="13.8" hidden="false" customHeight="false" outlineLevel="0" collapsed="false">
      <c r="B324" s="2" t="n">
        <v>322</v>
      </c>
      <c r="C324" s="2" t="n">
        <v>0.0603859098279001</v>
      </c>
      <c r="D324" s="2" t="n">
        <v>0.0869002861308882</v>
      </c>
      <c r="E324" s="2" t="n">
        <v>0.0864178901720999</v>
      </c>
    </row>
    <row r="325" customFormat="false" ht="13.8" hidden="false" customHeight="false" outlineLevel="0" collapsed="false">
      <c r="B325" s="2" t="n">
        <v>323</v>
      </c>
      <c r="C325" s="2" t="n">
        <v>0.0658538783840268</v>
      </c>
      <c r="D325" s="2" t="n">
        <v>0.1057283425746</v>
      </c>
      <c r="E325" s="2" t="n">
        <v>0.576221461192185</v>
      </c>
    </row>
    <row r="326" customFormat="false" ht="13.8" hidden="false" customHeight="false" outlineLevel="0" collapsed="false">
      <c r="B326" s="2" t="n">
        <v>324</v>
      </c>
      <c r="C326" s="2" t="n">
        <v>0.0713218469401535</v>
      </c>
      <c r="D326" s="2" t="n">
        <v>0.114507161178388</v>
      </c>
      <c r="E326" s="2" t="n">
        <v>0.624066188161652</v>
      </c>
    </row>
    <row r="327" customFormat="false" ht="13.8" hidden="false" customHeight="false" outlineLevel="0" collapsed="false">
      <c r="B327" s="2" t="n">
        <v>325</v>
      </c>
      <c r="C327" s="2" t="n">
        <v>0.0767898154962801</v>
      </c>
      <c r="D327" s="2" t="n">
        <v>0.123285979782176</v>
      </c>
      <c r="E327" s="2" t="n">
        <v>0.671910915131118</v>
      </c>
    </row>
    <row r="328" customFormat="false" ht="13.8" hidden="false" customHeight="false" outlineLevel="0" collapsed="false">
      <c r="B328" s="2" t="n">
        <v>326</v>
      </c>
      <c r="C328" s="2" t="n">
        <v>0.0826584507389088</v>
      </c>
      <c r="D328" s="2" t="n">
        <v>0.132708068391137</v>
      </c>
      <c r="E328" s="2" t="n">
        <v>0.723261475761603</v>
      </c>
    </row>
    <row r="329" customFormat="false" ht="13.8" hidden="false" customHeight="false" outlineLevel="0" collapsed="false">
      <c r="B329" s="2" t="n">
        <v>327</v>
      </c>
      <c r="C329" s="2" t="n">
        <v>0.0494179835022884</v>
      </c>
      <c r="D329" s="2" t="n">
        <v>0.142130157000097</v>
      </c>
      <c r="E329" s="2" t="n">
        <v>0.0339684833333333</v>
      </c>
    </row>
    <row r="330" customFormat="false" ht="13.8" hidden="false" customHeight="false" outlineLevel="0" collapsed="false">
      <c r="B330" s="2" t="n">
        <v>328</v>
      </c>
      <c r="C330" s="2" t="n">
        <v>0.094395721224166</v>
      </c>
      <c r="D330" s="2" t="n">
        <v>0.151552245609057</v>
      </c>
      <c r="E330" s="2" t="n">
        <v>0.825962597022569</v>
      </c>
    </row>
    <row r="331" customFormat="false" ht="13.8" hidden="false" customHeight="false" outlineLevel="0" collapsed="false">
      <c r="B331" s="2" t="n">
        <v>329</v>
      </c>
      <c r="C331" s="2" t="n">
        <v>0.0571677666666667</v>
      </c>
      <c r="D331" s="2" t="n">
        <v>0.160974334218018</v>
      </c>
      <c r="E331" s="2" t="n">
        <v>0.877313157653051</v>
      </c>
    </row>
    <row r="332" customFormat="false" ht="13.8" hidden="false" customHeight="false" outlineLevel="0" collapsed="false">
      <c r="B332" s="2" t="n">
        <v>330</v>
      </c>
      <c r="C332" s="2" t="n">
        <v>0.101258279872458</v>
      </c>
      <c r="D332" s="2" t="n">
        <v>0.162570077352752</v>
      </c>
      <c r="E332" s="2" t="n">
        <v>0.886009987834938</v>
      </c>
    </row>
    <row r="333" customFormat="false" ht="13.8" hidden="false" customHeight="false" outlineLevel="0" collapsed="false">
      <c r="B333" s="2" t="n">
        <v>331</v>
      </c>
      <c r="C333" s="2" t="n">
        <v>0.102252203278121</v>
      </c>
      <c r="D333" s="2" t="n">
        <v>0.164165820487485</v>
      </c>
      <c r="E333" s="2" t="n">
        <v>0.0485008166666667</v>
      </c>
    </row>
    <row r="334" customFormat="false" ht="13.8" hidden="false" customHeight="false" outlineLevel="0" collapsed="false">
      <c r="B334" s="2" t="n">
        <v>332</v>
      </c>
      <c r="C334" s="2" t="n">
        <v>0.103246126683785</v>
      </c>
      <c r="D334" s="2" t="n">
        <v>0.165761563622219</v>
      </c>
      <c r="E334" s="2" t="n">
        <v>0.0905006333333333</v>
      </c>
    </row>
    <row r="335" customFormat="false" ht="13.8" hidden="false" customHeight="false" outlineLevel="0" collapsed="false">
      <c r="B335" s="2" t="n">
        <v>333</v>
      </c>
      <c r="C335" s="2" t="n">
        <v>0.0545003167511438</v>
      </c>
      <c r="D335" s="2" t="n">
        <v>0.167357306756952</v>
      </c>
      <c r="E335" s="2" t="n">
        <v>0.912100478380597</v>
      </c>
    </row>
    <row r="336" customFormat="false" ht="13.8" hidden="false" customHeight="false" outlineLevel="0" collapsed="false">
      <c r="B336" s="2" t="n">
        <v>334</v>
      </c>
      <c r="C336" s="2" t="n">
        <v>0.104731651038794</v>
      </c>
      <c r="D336" s="2" t="n">
        <v>0.168146571639414</v>
      </c>
      <c r="E336" s="2" t="n">
        <v>0.916401986876472</v>
      </c>
    </row>
    <row r="337" customFormat="false" ht="13.8" hidden="false" customHeight="false" outlineLevel="0" collapsed="false">
      <c r="B337" s="2" t="n">
        <v>335</v>
      </c>
      <c r="C337" s="2" t="n">
        <v>0.06133465</v>
      </c>
      <c r="D337" s="2" t="n">
        <v>0.168935836521875</v>
      </c>
      <c r="E337" s="2" t="n">
        <v>0.920703495372347</v>
      </c>
    </row>
    <row r="338" customFormat="false" ht="13.8" hidden="false" customHeight="false" outlineLevel="0" collapsed="false">
      <c r="B338" s="2" t="n">
        <v>336</v>
      </c>
      <c r="C338" s="2" t="n">
        <v>0.105714852937484</v>
      </c>
      <c r="D338" s="2" t="n">
        <v>0.169725101404336</v>
      </c>
      <c r="E338" s="2" t="n">
        <v>0.925005003868223</v>
      </c>
    </row>
    <row r="339" customFormat="false" ht="13.8" hidden="false" customHeight="false" outlineLevel="0" collapsed="false">
      <c r="B339" s="2" t="n">
        <v>337</v>
      </c>
      <c r="C339" s="2" t="n">
        <v>0.106206453886829</v>
      </c>
      <c r="D339" s="2" t="n">
        <v>0.170514366286797</v>
      </c>
      <c r="E339" s="2" t="n">
        <v>0.929306512364098</v>
      </c>
    </row>
    <row r="340" customFormat="false" ht="13.8" hidden="false" customHeight="false" outlineLevel="0" collapsed="false">
      <c r="B340" s="2" t="n">
        <v>338</v>
      </c>
      <c r="C340" s="2" t="n">
        <v>0.104477511614253</v>
      </c>
      <c r="D340" s="2" t="n">
        <v>0.167738551021663</v>
      </c>
      <c r="E340" s="2" t="n">
        <v>0.914178266813984</v>
      </c>
    </row>
    <row r="341" customFormat="false" ht="13.8" hidden="false" customHeight="false" outlineLevel="0" collapsed="false">
      <c r="B341" s="2" t="n">
        <v>339</v>
      </c>
      <c r="C341" s="2" t="n">
        <v>0.0175023666666667</v>
      </c>
      <c r="D341" s="2" t="n">
        <v>0.164962735756529</v>
      </c>
      <c r="E341" s="2" t="n">
        <v>0.899050021263871</v>
      </c>
    </row>
    <row r="342" customFormat="false" ht="13.8" hidden="false" customHeight="false" outlineLevel="0" collapsed="false">
      <c r="B342" s="2" t="n">
        <v>340</v>
      </c>
      <c r="C342" s="2" t="n">
        <v>0.0694021</v>
      </c>
      <c r="D342" s="2" t="n">
        <v>0.162186920491395</v>
      </c>
      <c r="E342" s="2" t="n">
        <v>0.883921775713758</v>
      </c>
    </row>
    <row r="343" customFormat="false" ht="13.8" hidden="false" customHeight="false" outlineLevel="0" collapsed="false">
      <c r="B343" s="2" t="n">
        <v>341</v>
      </c>
      <c r="C343" s="2" t="n">
        <v>0.0992906847965243</v>
      </c>
      <c r="D343" s="2" t="n">
        <v>0.159411105226261</v>
      </c>
      <c r="E343" s="2" t="n">
        <v>0.868793530163645</v>
      </c>
    </row>
    <row r="344" customFormat="false" ht="13.8" hidden="false" customHeight="false" outlineLevel="0" collapsed="false">
      <c r="B344" s="2" t="n">
        <v>342</v>
      </c>
      <c r="C344" s="2" t="n">
        <v>0.0732515666666667</v>
      </c>
      <c r="D344" s="2" t="n">
        <v>0.143620707319317</v>
      </c>
      <c r="E344" s="2" t="n">
        <v>0.782735563745362</v>
      </c>
    </row>
    <row r="345" customFormat="false" ht="13.8" hidden="false" customHeight="false" outlineLevel="0" collapsed="false">
      <c r="B345" s="2" t="n">
        <v>343</v>
      </c>
      <c r="C345" s="2" t="n">
        <v>0.0721846333333333</v>
      </c>
      <c r="D345" s="2" t="n">
        <v>0.127830309412372</v>
      </c>
      <c r="E345" s="2" t="n">
        <v>0.696677597327079</v>
      </c>
    </row>
    <row r="346" customFormat="false" ht="13.8" hidden="false" customHeight="false" outlineLevel="0" collapsed="false">
      <c r="B346" s="2" t="n">
        <v>344</v>
      </c>
      <c r="C346" s="2" t="n">
        <v>0.0675135902210082</v>
      </c>
      <c r="D346" s="2" t="n">
        <v>0.112039911505428</v>
      </c>
      <c r="E346" s="2" t="n">
        <v>0.610619630908796</v>
      </c>
    </row>
    <row r="347" customFormat="false" ht="13.8" hidden="false" customHeight="false" outlineLevel="0" collapsed="false">
      <c r="B347" s="2" t="n">
        <v>345</v>
      </c>
      <c r="C347" s="2" t="n">
        <v>0.059949901877673</v>
      </c>
      <c r="D347" s="2" t="n">
        <v>0.0962495135984832</v>
      </c>
      <c r="E347" s="2" t="n">
        <v>0.524561664490513</v>
      </c>
    </row>
    <row r="348" customFormat="false" ht="13.8" hidden="false" customHeight="false" outlineLevel="0" collapsed="false">
      <c r="B348" s="2" t="n">
        <v>346</v>
      </c>
      <c r="C348" s="2" t="n">
        <v>0.055299150408584</v>
      </c>
      <c r="D348" s="2" t="n">
        <v>0.0887827362936489</v>
      </c>
      <c r="E348" s="2" t="n">
        <v>0.465631036353591</v>
      </c>
    </row>
    <row r="349" customFormat="false" ht="13.8" hidden="false" customHeight="false" outlineLevel="0" collapsed="false">
      <c r="B349" s="2" t="n">
        <v>347</v>
      </c>
      <c r="C349" s="2" t="n">
        <v>0.050648398939495</v>
      </c>
      <c r="D349" s="2" t="n">
        <v>0.0813159589888147</v>
      </c>
      <c r="E349" s="2" t="n">
        <v>0.443173510203455</v>
      </c>
    </row>
    <row r="350" customFormat="false" ht="13.8" hidden="false" customHeight="false" outlineLevel="0" collapsed="false">
      <c r="B350" s="2" t="n">
        <v>348</v>
      </c>
      <c r="C350" s="2" t="n">
        <v>0.045997647470406</v>
      </c>
      <c r="D350" s="2" t="n">
        <v>0.0738491816839805</v>
      </c>
      <c r="E350" s="2" t="n">
        <v>0.402479433059925</v>
      </c>
    </row>
    <row r="351" customFormat="false" ht="13.8" hidden="false" customHeight="false" outlineLevel="0" collapsed="false">
      <c r="B351" s="2" t="n">
        <v>349</v>
      </c>
      <c r="C351" s="2" t="n">
        <v>0.041346896001317</v>
      </c>
      <c r="D351" s="2" t="n">
        <v>0.0663824043791462</v>
      </c>
      <c r="E351" s="2" t="n">
        <v>0.0980211998729707</v>
      </c>
    </row>
    <row r="352" customFormat="false" ht="13.8" hidden="false" customHeight="false" outlineLevel="0" collapsed="false">
      <c r="B352" s="2" t="n">
        <v>350</v>
      </c>
      <c r="C352" s="2" t="n">
        <v>0.0334030535201758</v>
      </c>
      <c r="D352" s="2" t="n">
        <v>0.0536285724133668</v>
      </c>
      <c r="E352" s="2" t="n">
        <v>0.29227673115066</v>
      </c>
    </row>
    <row r="353" customFormat="false" ht="13.8" hidden="false" customHeight="false" outlineLevel="0" collapsed="false">
      <c r="B353" s="2" t="n">
        <v>351</v>
      </c>
      <c r="C353" s="2" t="n">
        <v>0.0254592110390346</v>
      </c>
      <c r="D353" s="2" t="n">
        <v>0.0408747404475873</v>
      </c>
      <c r="E353" s="2" t="n">
        <v>0.222768106384924</v>
      </c>
    </row>
    <row r="354" customFormat="false" ht="13.8" hidden="false" customHeight="false" outlineLevel="0" collapsed="false">
      <c r="B354" s="2" t="n">
        <v>352</v>
      </c>
      <c r="C354" s="2" t="n">
        <v>0.0175153678213531</v>
      </c>
      <c r="D354" s="2" t="n">
        <v>0.028120908047401</v>
      </c>
      <c r="E354" s="2" t="n">
        <v>0.153259481619188</v>
      </c>
    </row>
    <row r="355" customFormat="false" ht="13.8" hidden="false" customHeight="false" outlineLevel="0" collapsed="false">
      <c r="B355" s="2" t="n">
        <v>353</v>
      </c>
      <c r="C355" s="2" t="n">
        <v>0.00957152535909379</v>
      </c>
      <c r="D355" s="2" t="n">
        <v>0.0153670761005066</v>
      </c>
      <c r="E355" s="2" t="n">
        <v>0.0837508568534518</v>
      </c>
    </row>
    <row r="356" customFormat="false" ht="13.8" hidden="false" customHeight="false" outlineLevel="0" collapsed="false">
      <c r="B356" s="2" t="n">
        <v>354</v>
      </c>
      <c r="C356" s="2" t="n">
        <v>0.00811141496542115</v>
      </c>
      <c r="D356" s="2" t="n">
        <v>0.0130228701639722</v>
      </c>
      <c r="E356" s="2" t="n">
        <v>0.0709748901819391</v>
      </c>
    </row>
    <row r="357" customFormat="false" ht="13.8" hidden="false" customHeight="false" outlineLevel="0" collapsed="false">
      <c r="B357" s="2" t="n">
        <v>355</v>
      </c>
      <c r="C357" s="2" t="n">
        <v>0.00665130457174871</v>
      </c>
      <c r="D357" s="2" t="n">
        <v>0.0106786642274379</v>
      </c>
      <c r="E357" s="2" t="n">
        <v>0.0581989235104264</v>
      </c>
    </row>
    <row r="358" customFormat="false" ht="13.8" hidden="false" customHeight="false" outlineLevel="0" collapsed="false">
      <c r="B358" s="2" t="n">
        <v>356</v>
      </c>
      <c r="C358" s="2" t="n">
        <v>0.00519119417807648</v>
      </c>
      <c r="D358" s="2" t="n">
        <v>0.00833445829090388</v>
      </c>
      <c r="E358" s="2" t="n">
        <v>0.0454229568389137</v>
      </c>
    </row>
    <row r="359" customFormat="false" ht="13.8" hidden="false" customHeight="false" outlineLevel="0" collapsed="false">
      <c r="B359" s="2" t="n">
        <v>357</v>
      </c>
      <c r="C359" s="2" t="n">
        <v>0.00373108378440445</v>
      </c>
      <c r="D359" s="2" t="n">
        <v>0.00599025235437003</v>
      </c>
      <c r="E359" s="2" t="n">
        <v>0.032646990167401</v>
      </c>
    </row>
    <row r="360" customFormat="false" ht="13.8" hidden="false" customHeight="false" outlineLevel="0" collapsed="false">
      <c r="B360" s="2" t="n">
        <v>358</v>
      </c>
      <c r="C360" s="2" t="n">
        <v>0.00279831269665391</v>
      </c>
      <c r="D360" s="2" t="n">
        <v>0.00449268919966868</v>
      </c>
      <c r="E360" s="2" t="n">
        <v>0.0244852426255507</v>
      </c>
    </row>
    <row r="361" customFormat="false" ht="13.8" hidden="false" customHeight="false" outlineLevel="0" collapsed="false">
      <c r="B361" s="2" t="n">
        <v>359</v>
      </c>
      <c r="C361" s="2" t="n">
        <v>0.00186554160890357</v>
      </c>
      <c r="D361" s="2" t="n">
        <v>0.00299512604496752</v>
      </c>
      <c r="E361" s="2" t="n">
        <v>0.0163234950837005</v>
      </c>
    </row>
    <row r="362" customFormat="false" ht="13.8" hidden="false" customHeight="false" outlineLevel="0" collapsed="false">
      <c r="B362" s="2" t="n">
        <v>360</v>
      </c>
      <c r="C362" s="2" t="n">
        <v>0.000932770521153438</v>
      </c>
      <c r="D362" s="2" t="n">
        <v>0.00149756289026657</v>
      </c>
      <c r="E362" s="2" t="n">
        <v>0.00816174754185025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0.00107175358553944</v>
      </c>
      <c r="D408" s="2" t="n">
        <v>0.00172069886325824</v>
      </c>
      <c r="E408" s="2" t="n">
        <v>0.00937784445102333</v>
      </c>
    </row>
    <row r="409" customFormat="false" ht="13.8" hidden="false" customHeight="false" outlineLevel="0" collapsed="false">
      <c r="B409" s="2" t="n">
        <v>407</v>
      </c>
      <c r="C409" s="2" t="n">
        <v>0.00214350720885779</v>
      </c>
      <c r="D409" s="2" t="n">
        <v>0.00344139829328281</v>
      </c>
      <c r="E409" s="2" t="n">
        <v>0.0187556889020467</v>
      </c>
    </row>
    <row r="410" customFormat="false" ht="13.8" hidden="false" customHeight="false" outlineLevel="0" collapsed="false">
      <c r="B410" s="2" t="n">
        <v>408</v>
      </c>
      <c r="C410" s="2" t="n">
        <v>0.00321526079439723</v>
      </c>
      <c r="D410" s="2" t="n">
        <v>0.0051620977233072</v>
      </c>
      <c r="E410" s="2" t="n">
        <v>0.02813353335307</v>
      </c>
    </row>
    <row r="411" customFormat="false" ht="13.8" hidden="false" customHeight="false" outlineLevel="0" collapsed="false">
      <c r="B411" s="2" t="n">
        <v>409</v>
      </c>
      <c r="C411" s="2" t="n">
        <v>0.00428701441771559</v>
      </c>
      <c r="D411" s="2" t="n">
        <v>0.00688279715333142</v>
      </c>
      <c r="E411" s="2" t="n">
        <v>0.0375113778040933</v>
      </c>
    </row>
    <row r="412" customFormat="false" ht="13.8" hidden="false" customHeight="false" outlineLevel="0" collapsed="false">
      <c r="B412" s="2" t="n">
        <v>410</v>
      </c>
      <c r="C412" s="2" t="n">
        <v>0.00872730667585709</v>
      </c>
      <c r="D412" s="2" t="n">
        <v>0.0140116830264384</v>
      </c>
      <c r="E412" s="2" t="n">
        <v>0.0763639367708747</v>
      </c>
    </row>
    <row r="413" customFormat="false" ht="13.8" hidden="false" customHeight="false" outlineLevel="0" collapsed="false">
      <c r="B413" s="2" t="n">
        <v>411</v>
      </c>
      <c r="C413" s="2" t="n">
        <v>0.0131675989339986</v>
      </c>
      <c r="D413" s="2" t="n">
        <v>0.021140568257198</v>
      </c>
      <c r="E413" s="2" t="n">
        <v>0.115216495737656</v>
      </c>
    </row>
    <row r="414" customFormat="false" ht="13.8" hidden="false" customHeight="false" outlineLevel="0" collapsed="false">
      <c r="B414" s="2" t="n">
        <v>412</v>
      </c>
      <c r="C414" s="2" t="n">
        <v>0.0176078911921401</v>
      </c>
      <c r="D414" s="2" t="n">
        <v>0.0282694534879576</v>
      </c>
      <c r="E414" s="2" t="n">
        <v>0.154069054704437</v>
      </c>
    </row>
    <row r="415" customFormat="false" ht="13.8" hidden="false" customHeight="false" outlineLevel="0" collapsed="false">
      <c r="B415" s="2" t="n">
        <v>413</v>
      </c>
      <c r="C415" s="2" t="n">
        <v>0.0220481834502816</v>
      </c>
      <c r="D415" s="2" t="n">
        <v>0.0353983387187172</v>
      </c>
      <c r="E415" s="2" t="n">
        <v>0.140857677831001</v>
      </c>
    </row>
    <row r="416" customFormat="false" ht="13.8" hidden="false" customHeight="false" outlineLevel="0" collapsed="false">
      <c r="B416" s="2" t="n">
        <v>414</v>
      </c>
      <c r="C416" s="2" t="n">
        <v>0.0305292925586152</v>
      </c>
      <c r="D416" s="2" t="n">
        <v>0.0347512333333333</v>
      </c>
      <c r="E416" s="2" t="n">
        <v>0.267131321631558</v>
      </c>
    </row>
    <row r="417" customFormat="false" ht="13.8" hidden="false" customHeight="false" outlineLevel="0" collapsed="false">
      <c r="B417" s="2" t="n">
        <v>415</v>
      </c>
      <c r="C417" s="2" t="n">
        <v>0.0390104016669488</v>
      </c>
      <c r="D417" s="2" t="n">
        <v>0.0626311648247025</v>
      </c>
      <c r="E417" s="2" t="n">
        <v>0.161961300175015</v>
      </c>
    </row>
    <row r="418" customFormat="false" ht="13.8" hidden="false" customHeight="false" outlineLevel="0" collapsed="false">
      <c r="B418" s="2" t="n">
        <v>416</v>
      </c>
      <c r="C418" s="2" t="n">
        <v>0.0474915107752824</v>
      </c>
      <c r="D418" s="2" t="n">
        <v>0.0382510166666667</v>
      </c>
      <c r="E418" s="2" t="n">
        <v>0.415550737552237</v>
      </c>
    </row>
    <row r="419" customFormat="false" ht="13.8" hidden="false" customHeight="false" outlineLevel="0" collapsed="false">
      <c r="B419" s="2" t="n">
        <v>417</v>
      </c>
      <c r="C419" s="2" t="n">
        <v>0.055972619883616</v>
      </c>
      <c r="D419" s="2" t="n">
        <v>0.0898639909306878</v>
      </c>
      <c r="E419" s="2" t="n">
        <v>0.127751439185696</v>
      </c>
    </row>
    <row r="420" customFormat="false" ht="13.8" hidden="false" customHeight="false" outlineLevel="0" collapsed="false">
      <c r="B420" s="2" t="n">
        <v>418</v>
      </c>
      <c r="C420" s="2" t="n">
        <v>0.0621390747643779</v>
      </c>
      <c r="D420" s="2" t="n">
        <v>0.0997642287010746</v>
      </c>
      <c r="E420" s="2" t="n">
        <v>0.0275183333333333</v>
      </c>
    </row>
    <row r="421" customFormat="false" ht="13.8" hidden="false" customHeight="false" outlineLevel="0" collapsed="false">
      <c r="B421" s="2" t="n">
        <v>419</v>
      </c>
      <c r="C421" s="2" t="n">
        <v>0.0513689334178104</v>
      </c>
      <c r="D421" s="2" t="n">
        <v>0.109664466471462</v>
      </c>
      <c r="E421" s="2" t="n">
        <v>0.597673410669999</v>
      </c>
    </row>
    <row r="422" customFormat="false" ht="13.8" hidden="false" customHeight="false" outlineLevel="0" collapsed="false">
      <c r="B422" s="2" t="n">
        <v>420</v>
      </c>
      <c r="C422" s="2" t="n">
        <v>0.0744719845259017</v>
      </c>
      <c r="D422" s="2" t="n">
        <v>0.119564704241848</v>
      </c>
      <c r="E422" s="2" t="n">
        <v>0.65162989324871</v>
      </c>
    </row>
    <row r="423" customFormat="false" ht="13.8" hidden="false" customHeight="false" outlineLevel="0" collapsed="false">
      <c r="B423" s="2" t="n">
        <v>421</v>
      </c>
      <c r="C423" s="2" t="n">
        <v>0.0806384394066636</v>
      </c>
      <c r="D423" s="2" t="n">
        <v>0.129464942012235</v>
      </c>
      <c r="E423" s="2" t="n">
        <v>0.705586375827421</v>
      </c>
    </row>
    <row r="424" customFormat="false" ht="13.8" hidden="false" customHeight="false" outlineLevel="0" collapsed="false">
      <c r="B424" s="2" t="n">
        <v>422</v>
      </c>
      <c r="C424" s="2" t="n">
        <v>0.0847983840772889</v>
      </c>
      <c r="D424" s="2" t="n">
        <v>0.136143729499039</v>
      </c>
      <c r="E424" s="2" t="n">
        <v>0.741985893600271</v>
      </c>
    </row>
    <row r="425" customFormat="false" ht="13.8" hidden="false" customHeight="false" outlineLevel="0" collapsed="false">
      <c r="B425" s="2" t="n">
        <v>423</v>
      </c>
      <c r="C425" s="2" t="n">
        <v>0.0889583288175544</v>
      </c>
      <c r="D425" s="2" t="n">
        <v>0.142822516985842</v>
      </c>
      <c r="E425" s="2" t="n">
        <v>0.77838541137312</v>
      </c>
    </row>
    <row r="426" customFormat="false" ht="13.8" hidden="false" customHeight="false" outlineLevel="0" collapsed="false">
      <c r="B426" s="2" t="n">
        <v>424</v>
      </c>
      <c r="C426" s="2" t="n">
        <v>0.0931182735229998</v>
      </c>
      <c r="D426" s="2" t="n">
        <v>0.149501304472646</v>
      </c>
      <c r="E426" s="2" t="n">
        <v>0.814784929145969</v>
      </c>
    </row>
    <row r="427" customFormat="false" ht="13.8" hidden="false" customHeight="false" outlineLevel="0" collapsed="false">
      <c r="B427" s="2" t="n">
        <v>425</v>
      </c>
      <c r="C427" s="2" t="n">
        <v>0.0832644096764474</v>
      </c>
      <c r="D427" s="2" t="n">
        <v>0.15618009195945</v>
      </c>
      <c r="E427" s="2" t="n">
        <v>0.851184446918819</v>
      </c>
    </row>
    <row r="428" customFormat="false" ht="13.8" hidden="false" customHeight="false" outlineLevel="0" collapsed="false">
      <c r="B428" s="2" t="n">
        <v>426</v>
      </c>
      <c r="C428" s="2" t="n">
        <v>0.0990734750071125</v>
      </c>
      <c r="D428" s="2" t="n">
        <v>0.159062375104528</v>
      </c>
      <c r="E428" s="2" t="n">
        <v>0.866892944422737</v>
      </c>
    </row>
    <row r="429" customFormat="false" ht="13.8" hidden="false" customHeight="false" outlineLevel="0" collapsed="false">
      <c r="B429" s="2" t="n">
        <v>427</v>
      </c>
      <c r="C429" s="2" t="n">
        <v>0.0869185833333333</v>
      </c>
      <c r="D429" s="2" t="n">
        <v>0.161944658249606</v>
      </c>
      <c r="E429" s="2" t="n">
        <v>0.882601441891836</v>
      </c>
    </row>
    <row r="430" customFormat="false" ht="13.8" hidden="false" customHeight="false" outlineLevel="0" collapsed="false">
      <c r="B430" s="2" t="n">
        <v>428</v>
      </c>
      <c r="C430" s="2" t="n">
        <v>0.0480014166666667</v>
      </c>
      <c r="D430" s="2" t="n">
        <v>0.164826941394684</v>
      </c>
      <c r="E430" s="2" t="n">
        <v>0.898309939430574</v>
      </c>
    </row>
    <row r="431" customFormat="false" ht="13.8" hidden="false" customHeight="false" outlineLevel="0" collapsed="false">
      <c r="B431" s="2" t="n">
        <v>429</v>
      </c>
      <c r="C431" s="2" t="n">
        <v>0.0884738868694729</v>
      </c>
      <c r="D431" s="2" t="n">
        <v>0.167709224539762</v>
      </c>
      <c r="E431" s="2" t="n">
        <v>0.914018436934493</v>
      </c>
    </row>
    <row r="432" customFormat="false" ht="13.8" hidden="false" customHeight="false" outlineLevel="0" collapsed="false">
      <c r="B432" s="2" t="n">
        <v>430</v>
      </c>
      <c r="C432" s="2" t="n">
        <v>0.0498698345325584</v>
      </c>
      <c r="D432" s="2" t="n">
        <v>0.171863384454235</v>
      </c>
      <c r="E432" s="2" t="n">
        <v>0.936658686820698</v>
      </c>
    </row>
    <row r="433" customFormat="false" ht="13.8" hidden="false" customHeight="false" outlineLevel="0" collapsed="false">
      <c r="B433" s="2" t="n">
        <v>431</v>
      </c>
      <c r="C433" s="2" t="n">
        <v>0.109634159375318</v>
      </c>
      <c r="D433" s="2" t="n">
        <v>0.176017544368707</v>
      </c>
      <c r="E433" s="2" t="n">
        <v>0.959298936706904</v>
      </c>
    </row>
    <row r="434" customFormat="false" ht="13.8" hidden="false" customHeight="false" outlineLevel="0" collapsed="false">
      <c r="B434" s="2" t="n">
        <v>432</v>
      </c>
      <c r="C434" s="2" t="n">
        <v>0.048251</v>
      </c>
      <c r="D434" s="2" t="n">
        <v>0.180171704283179</v>
      </c>
      <c r="E434" s="2" t="n">
        <v>0.981939186593106</v>
      </c>
    </row>
    <row r="435" customFormat="false" ht="13.8" hidden="false" customHeight="false" outlineLevel="0" collapsed="false">
      <c r="B435" s="2" t="n">
        <v>433</v>
      </c>
      <c r="C435" s="2" t="n">
        <v>0.114809073407521</v>
      </c>
      <c r="D435" s="2" t="n">
        <v>0.184325864197652</v>
      </c>
      <c r="E435" s="2" t="n">
        <v>1.00457943647931</v>
      </c>
    </row>
    <row r="436" customFormat="false" ht="13.8" hidden="false" customHeight="false" outlineLevel="0" collapsed="false">
      <c r="B436" s="2" t="n">
        <v>434</v>
      </c>
      <c r="C436" s="2" t="n">
        <v>0.0702516666666667</v>
      </c>
      <c r="D436" s="2" t="n">
        <v>0.18291309280869</v>
      </c>
      <c r="E436" s="2" t="n">
        <v>0.99687980576295</v>
      </c>
    </row>
    <row r="437" customFormat="false" ht="13.8" hidden="false" customHeight="false" outlineLevel="0" collapsed="false">
      <c r="B437" s="2" t="n">
        <v>435</v>
      </c>
      <c r="C437" s="2" t="n">
        <v>0.113049157892579</v>
      </c>
      <c r="D437" s="2" t="n">
        <v>0.181500321419729</v>
      </c>
      <c r="E437" s="2" t="n">
        <v>0.989180175046584</v>
      </c>
    </row>
    <row r="438" customFormat="false" ht="13.8" hidden="false" customHeight="false" outlineLevel="0" collapsed="false">
      <c r="B438" s="2" t="n">
        <v>436</v>
      </c>
      <c r="C438" s="2" t="n">
        <v>0.06100225</v>
      </c>
      <c r="D438" s="2" t="n">
        <v>0.180087549995948</v>
      </c>
      <c r="E438" s="2" t="n">
        <v>0.981480544330221</v>
      </c>
    </row>
    <row r="439" customFormat="false" ht="13.8" hidden="false" customHeight="false" outlineLevel="0" collapsed="false">
      <c r="B439" s="2" t="n">
        <v>437</v>
      </c>
      <c r="C439" s="2" t="n">
        <v>0.111289242377637</v>
      </c>
      <c r="D439" s="2" t="n">
        <v>0.178674778600062</v>
      </c>
      <c r="E439" s="2" t="n">
        <v>0.973780913613857</v>
      </c>
    </row>
    <row r="440" customFormat="false" ht="13.8" hidden="false" customHeight="false" outlineLevel="0" collapsed="false">
      <c r="B440" s="2" t="n">
        <v>438</v>
      </c>
      <c r="C440" s="2" t="n">
        <v>0.0616688</v>
      </c>
      <c r="D440" s="2" t="n">
        <v>0.14672421403862</v>
      </c>
      <c r="E440" s="2" t="n">
        <v>0.799649734470662</v>
      </c>
    </row>
    <row r="441" customFormat="false" ht="13.8" hidden="false" customHeight="false" outlineLevel="0" collapsed="false">
      <c r="B441" s="2" t="n">
        <v>439</v>
      </c>
      <c r="C441" s="2" t="n">
        <v>0.0714878317518064</v>
      </c>
      <c r="D441" s="2" t="n">
        <v>0.114773649644356</v>
      </c>
      <c r="E441" s="2" t="n">
        <v>0.625518555327464</v>
      </c>
    </row>
    <row r="442" customFormat="false" ht="13.8" hidden="false" customHeight="false" outlineLevel="0" collapsed="false">
      <c r="B442" s="2" t="n">
        <v>440</v>
      </c>
      <c r="C442" s="2" t="n">
        <v>0.051587126438891</v>
      </c>
      <c r="D442" s="2" t="n">
        <v>0.0828230851456306</v>
      </c>
      <c r="E442" s="2" t="n">
        <v>0.0432487736455861</v>
      </c>
    </row>
    <row r="443" customFormat="false" ht="13.8" hidden="false" customHeight="false" outlineLevel="0" collapsed="false">
      <c r="B443" s="2" t="n">
        <v>441</v>
      </c>
      <c r="C443" s="2" t="n">
        <v>0.0316864211259756</v>
      </c>
      <c r="D443" s="2" t="n">
        <v>0.0508725206469051</v>
      </c>
      <c r="E443" s="2" t="n">
        <v>0.137611258396074</v>
      </c>
    </row>
    <row r="444" customFormat="false" ht="13.8" hidden="false" customHeight="false" outlineLevel="0" collapsed="false">
      <c r="B444" s="2" t="n">
        <v>442</v>
      </c>
      <c r="C444" s="2" t="n">
        <v>0.0349084325177267</v>
      </c>
      <c r="D444" s="2" t="n">
        <v>0.0560454570413233</v>
      </c>
      <c r="E444" s="2" t="n">
        <v>0.305448797958303</v>
      </c>
    </row>
    <row r="445" customFormat="false" ht="13.8" hidden="false" customHeight="false" outlineLevel="0" collapsed="false">
      <c r="B445" s="2" t="n">
        <v>443</v>
      </c>
      <c r="C445" s="2" t="n">
        <v>0.0381304439094777</v>
      </c>
      <c r="D445" s="2" t="n">
        <v>0.0612183934357414</v>
      </c>
      <c r="E445" s="2" t="n">
        <v>0.106437106090522</v>
      </c>
    </row>
    <row r="446" customFormat="false" ht="13.8" hidden="false" customHeight="false" outlineLevel="0" collapsed="false">
      <c r="B446" s="2" t="n">
        <v>444</v>
      </c>
      <c r="C446" s="2" t="n">
        <v>0.0413524553012288</v>
      </c>
      <c r="D446" s="2" t="n">
        <v>0.0663913298301595</v>
      </c>
      <c r="E446" s="2" t="n">
        <v>0.0899237815352784</v>
      </c>
    </row>
    <row r="447" customFormat="false" ht="13.8" hidden="false" customHeight="false" outlineLevel="0" collapsed="false">
      <c r="B447" s="2" t="n">
        <v>445</v>
      </c>
      <c r="C447" s="2" t="n">
        <v>0.0445744666929798</v>
      </c>
      <c r="D447" s="2" t="n">
        <v>0.0715642662245776</v>
      </c>
      <c r="E447" s="2" t="n">
        <v>0.390026600709993</v>
      </c>
    </row>
    <row r="448" customFormat="false" ht="13.8" hidden="false" customHeight="false" outlineLevel="0" collapsed="false">
      <c r="B448" s="2" t="n">
        <v>446</v>
      </c>
      <c r="C448" s="2" t="n">
        <v>0.0406114800415532</v>
      </c>
      <c r="D448" s="2" t="n">
        <v>0.0652016947165307</v>
      </c>
      <c r="E448" s="2" t="n">
        <v>0.355350465985572</v>
      </c>
    </row>
    <row r="449" customFormat="false" ht="13.8" hidden="false" customHeight="false" outlineLevel="0" collapsed="false">
      <c r="B449" s="2" t="n">
        <v>447</v>
      </c>
      <c r="C449" s="2" t="n">
        <v>0.0366484933901266</v>
      </c>
      <c r="D449" s="2" t="n">
        <v>0.0588391232084838</v>
      </c>
      <c r="E449" s="2" t="n">
        <v>0.138101606609873</v>
      </c>
    </row>
    <row r="450" customFormat="false" ht="13.8" hidden="false" customHeight="false" outlineLevel="0" collapsed="false">
      <c r="B450" s="2" t="n">
        <v>448</v>
      </c>
      <c r="C450" s="2" t="n">
        <v>0.0321204351145512</v>
      </c>
      <c r="D450" s="2" t="n">
        <v>0.0524765517004368</v>
      </c>
      <c r="E450" s="2" t="n">
        <v>0.285998196536729</v>
      </c>
    </row>
    <row r="451" customFormat="false" ht="13.8" hidden="false" customHeight="false" outlineLevel="0" collapsed="false">
      <c r="B451" s="2" t="n">
        <v>449</v>
      </c>
      <c r="C451" s="2" t="n">
        <v>0.0287225200872734</v>
      </c>
      <c r="D451" s="2" t="n">
        <v>0.0461139801923899</v>
      </c>
      <c r="E451" s="2" t="n">
        <v>0.155165634337372</v>
      </c>
    </row>
    <row r="452" customFormat="false" ht="13.8" hidden="false" customHeight="false" outlineLevel="0" collapsed="false">
      <c r="B452" s="2" t="n">
        <v>450</v>
      </c>
      <c r="C452" s="2" t="n">
        <v>0.025190379179013</v>
      </c>
      <c r="D452" s="2" t="n">
        <v>0.0404431311945435</v>
      </c>
      <c r="E452" s="2" t="n">
        <v>0.125369107717961</v>
      </c>
    </row>
    <row r="453" customFormat="false" ht="13.8" hidden="false" customHeight="false" outlineLevel="0" collapsed="false">
      <c r="B453" s="2" t="n">
        <v>451</v>
      </c>
      <c r="C453" s="2" t="n">
        <v>0.0216582383935385</v>
      </c>
      <c r="D453" s="2" t="n">
        <v>0.0347722822061423</v>
      </c>
      <c r="E453" s="2" t="n">
        <v>0.187070046565992</v>
      </c>
    </row>
    <row r="454" customFormat="false" ht="13.8" hidden="false" customHeight="false" outlineLevel="0" collapsed="false">
      <c r="B454" s="2" t="n">
        <v>452</v>
      </c>
      <c r="C454" s="2" t="n">
        <v>0.018126097362492</v>
      </c>
      <c r="D454" s="2" t="n">
        <v>0.0291014330288395</v>
      </c>
      <c r="E454" s="2" t="n">
        <v>0.158603358894354</v>
      </c>
    </row>
    <row r="455" customFormat="false" ht="13.8" hidden="false" customHeight="false" outlineLevel="0" collapsed="false">
      <c r="B455" s="2" t="n">
        <v>453</v>
      </c>
      <c r="C455" s="2" t="n">
        <v>0.0145939554911096</v>
      </c>
      <c r="D455" s="2" t="n">
        <v>0.0234305832377736</v>
      </c>
      <c r="E455" s="2" t="n">
        <v>0.127697124588369</v>
      </c>
    </row>
    <row r="456" customFormat="false" ht="13.8" hidden="false" customHeight="false" outlineLevel="0" collapsed="false">
      <c r="B456" s="2" t="n">
        <v>454</v>
      </c>
      <c r="C456" s="2" t="n">
        <v>0.0109752483602451</v>
      </c>
      <c r="D456" s="2" t="n">
        <v>0.0176207521792178</v>
      </c>
      <c r="E456" s="2" t="n">
        <v>0.0960334356361</v>
      </c>
    </row>
    <row r="457" customFormat="false" ht="13.8" hidden="false" customHeight="false" outlineLevel="0" collapsed="false">
      <c r="B457" s="2" t="n">
        <v>455</v>
      </c>
      <c r="C457" s="2" t="n">
        <v>0.00735654122938077</v>
      </c>
      <c r="D457" s="2" t="n">
        <v>0.0118109211206622</v>
      </c>
      <c r="E457" s="2" t="n">
        <v>0.0643697466838304</v>
      </c>
    </row>
    <row r="458" customFormat="false" ht="13.8" hidden="false" customHeight="false" outlineLevel="0" collapsed="false">
      <c r="B458" s="2" t="n">
        <v>456</v>
      </c>
      <c r="C458" s="2" t="n">
        <v>0.00373783409851661</v>
      </c>
      <c r="D458" s="2" t="n">
        <v>0.00600109006210687</v>
      </c>
      <c r="E458" s="2" t="n">
        <v>0.0327060577315608</v>
      </c>
    </row>
    <row r="459" customFormat="false" ht="13.8" hidden="false" customHeight="false" outlineLevel="0" collapsed="false">
      <c r="B459" s="2" t="n">
        <v>457</v>
      </c>
      <c r="C459" s="2" t="n">
        <v>0.000119126967652611</v>
      </c>
      <c r="D459" s="2" t="n">
        <v>0.000191259003551659</v>
      </c>
      <c r="E459" s="2" t="n">
        <v>0.00104236877929131</v>
      </c>
    </row>
    <row r="460" customFormat="false" ht="13.8" hidden="false" customHeight="false" outlineLevel="0" collapsed="false">
      <c r="B460" s="2" t="n">
        <v>458</v>
      </c>
      <c r="C460" s="2" t="n">
        <v>8.93450227200314E-005</v>
      </c>
      <c r="D460" s="2" t="n">
        <v>0.000143444106292061</v>
      </c>
      <c r="E460" s="2" t="n">
        <v>0.000781776584468414</v>
      </c>
    </row>
    <row r="461" customFormat="false" ht="13.8" hidden="false" customHeight="false" outlineLevel="0" collapsed="false">
      <c r="B461" s="2" t="n">
        <v>459</v>
      </c>
      <c r="C461" s="2" t="n">
        <v>5.9563077787595E-005</v>
      </c>
      <c r="D461" s="2" t="n">
        <v>9.56292090326429E-005</v>
      </c>
      <c r="E461" s="2" t="n">
        <v>0.000521184389644353</v>
      </c>
    </row>
    <row r="462" customFormat="false" ht="13.8" hidden="false" customHeight="false" outlineLevel="0" collapsed="false">
      <c r="B462" s="2" t="n">
        <v>460</v>
      </c>
      <c r="C462" s="2" t="n">
        <v>2.97811328550192E-005</v>
      </c>
      <c r="D462" s="2" t="n">
        <v>4.78143117733658E-005</v>
      </c>
      <c r="E462" s="2" t="n">
        <v>0.00026059219482282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4.5665640068357E-005</v>
      </c>
      <c r="D504" s="2" t="n">
        <v>7.33160158469981E-005</v>
      </c>
      <c r="E504" s="2" t="n">
        <v>0.0003995746987283</v>
      </c>
    </row>
    <row r="505" customFormat="false" ht="13.8" hidden="false" customHeight="false" outlineLevel="0" collapsed="false">
      <c r="B505" s="2" t="n">
        <v>503</v>
      </c>
      <c r="C505" s="2" t="n">
        <v>9.1331336804734E-005</v>
      </c>
      <c r="D505" s="2" t="n">
        <v>0.0001466322017075</v>
      </c>
      <c r="E505" s="2" t="n">
        <v>0.000799149397456594</v>
      </c>
    </row>
    <row r="506" customFormat="false" ht="13.8" hidden="false" customHeight="false" outlineLevel="0" collapsed="false">
      <c r="B506" s="2" t="n">
        <v>504</v>
      </c>
      <c r="C506" s="2" t="n">
        <v>0.000136997033541303</v>
      </c>
      <c r="D506" s="2" t="n">
        <v>0.000219948387567811</v>
      </c>
      <c r="E506" s="2" t="n">
        <v>0.0011987240961849</v>
      </c>
    </row>
    <row r="507" customFormat="false" ht="13.8" hidden="false" customHeight="false" outlineLevel="0" collapsed="false">
      <c r="B507" s="2" t="n">
        <v>505</v>
      </c>
      <c r="C507" s="2" t="n">
        <v>0.0001826627113884</v>
      </c>
      <c r="D507" s="2" t="n">
        <v>0.000293264573427931</v>
      </c>
      <c r="E507" s="2" t="n">
        <v>0.0015982987949132</v>
      </c>
    </row>
    <row r="508" customFormat="false" ht="13.8" hidden="false" customHeight="false" outlineLevel="0" collapsed="false">
      <c r="B508" s="2" t="n">
        <v>506</v>
      </c>
      <c r="C508" s="2" t="n">
        <v>0.000663542153760906</v>
      </c>
      <c r="D508" s="2" t="n">
        <v>0.00106531633165796</v>
      </c>
      <c r="E508" s="2" t="n">
        <v>0.00580599537574086</v>
      </c>
    </row>
    <row r="509" customFormat="false" ht="13.8" hidden="false" customHeight="false" outlineLevel="0" collapsed="false">
      <c r="B509" s="2" t="n">
        <v>507</v>
      </c>
      <c r="C509" s="2" t="n">
        <v>0.00114442159613341</v>
      </c>
      <c r="D509" s="2" t="n">
        <v>0.00183736756094309</v>
      </c>
      <c r="E509" s="2" t="n">
        <v>0.010013689406391</v>
      </c>
    </row>
    <row r="510" customFormat="false" ht="13.8" hidden="false" customHeight="false" outlineLevel="0" collapsed="false">
      <c r="B510" s="2" t="n">
        <v>508</v>
      </c>
      <c r="C510" s="2" t="n">
        <v>0.00162530103850592</v>
      </c>
      <c r="D510" s="2" t="n">
        <v>0.00260941935695753</v>
      </c>
      <c r="E510" s="2" t="n">
        <v>0.0142213860250236</v>
      </c>
    </row>
    <row r="511" customFormat="false" ht="13.8" hidden="false" customHeight="false" outlineLevel="0" collapsed="false">
      <c r="B511" s="2" t="n">
        <v>509</v>
      </c>
      <c r="C511" s="2" t="n">
        <v>0.00210618048087843</v>
      </c>
      <c r="D511" s="2" t="n">
        <v>0.0033814705484575</v>
      </c>
      <c r="E511" s="2" t="n">
        <v>0.0184290800178688</v>
      </c>
    </row>
    <row r="512" customFormat="false" ht="13.8" hidden="false" customHeight="false" outlineLevel="0" collapsed="false">
      <c r="B512" s="2" t="n">
        <v>510</v>
      </c>
      <c r="C512" s="2" t="n">
        <v>0.00880315141036837</v>
      </c>
      <c r="D512" s="2" t="n">
        <v>0.0141334516795483</v>
      </c>
      <c r="E512" s="2" t="n">
        <v>0.0770275778869808</v>
      </c>
    </row>
    <row r="513" customFormat="false" ht="13.8" hidden="false" customHeight="false" outlineLevel="0" collapsed="false">
      <c r="B513" s="2" t="n">
        <v>511</v>
      </c>
      <c r="C513" s="2" t="n">
        <v>0.0155001223398583</v>
      </c>
      <c r="D513" s="2" t="n">
        <v>0.0248854324894894</v>
      </c>
      <c r="E513" s="2" t="n">
        <v>0.135626076436178</v>
      </c>
    </row>
    <row r="514" customFormat="false" ht="13.8" hidden="false" customHeight="false" outlineLevel="0" collapsed="false">
      <c r="B514" s="2" t="n">
        <v>512</v>
      </c>
      <c r="C514" s="2" t="n">
        <v>0.0221970932693482</v>
      </c>
      <c r="D514" s="2" t="n">
        <v>0.0356374132994304</v>
      </c>
      <c r="E514" s="2" t="n">
        <v>0.194224574645333</v>
      </c>
    </row>
    <row r="515" customFormat="false" ht="13.8" hidden="false" customHeight="false" outlineLevel="0" collapsed="false">
      <c r="B515" s="2" t="n">
        <v>513</v>
      </c>
      <c r="C515" s="2" t="n">
        <v>0.0288940641988382</v>
      </c>
      <c r="D515" s="2" t="n">
        <v>0.0463893941093715</v>
      </c>
      <c r="E515" s="2" t="n">
        <v>0.252823072854487</v>
      </c>
    </row>
    <row r="516" customFormat="false" ht="13.8" hidden="false" customHeight="false" outlineLevel="0" collapsed="false">
      <c r="B516" s="2" t="n">
        <v>514</v>
      </c>
      <c r="C516" s="2" t="n">
        <v>0.0346503221646779</v>
      </c>
      <c r="D516" s="2" t="n">
        <v>0.0556310611014204</v>
      </c>
      <c r="E516" s="2" t="n">
        <v>0.303190332269839</v>
      </c>
    </row>
    <row r="517" customFormat="false" ht="13.8" hidden="false" customHeight="false" outlineLevel="0" collapsed="false">
      <c r="B517" s="2" t="n">
        <v>515</v>
      </c>
      <c r="C517" s="2" t="n">
        <v>0.0404065801305175</v>
      </c>
      <c r="D517" s="2" t="n">
        <v>0.0648727280934694</v>
      </c>
      <c r="E517" s="2" t="n">
        <v>0.353557591685191</v>
      </c>
    </row>
    <row r="518" customFormat="false" ht="13.8" hidden="false" customHeight="false" outlineLevel="0" collapsed="false">
      <c r="B518" s="2" t="n">
        <v>516</v>
      </c>
      <c r="C518" s="2" t="n">
        <v>0.0461628380963572</v>
      </c>
      <c r="D518" s="2" t="n">
        <v>0.0741143950855183</v>
      </c>
      <c r="E518" s="2" t="n">
        <v>0.403924851100543</v>
      </c>
    </row>
    <row r="519" customFormat="false" ht="13.8" hidden="false" customHeight="false" outlineLevel="0" collapsed="false">
      <c r="B519" s="2" t="n">
        <v>517</v>
      </c>
      <c r="C519" s="2" t="n">
        <v>0.0519190960621969</v>
      </c>
      <c r="D519" s="2" t="n">
        <v>0.0833560620775672</v>
      </c>
      <c r="E519" s="2" t="n">
        <v>0.454292110515894</v>
      </c>
    </row>
    <row r="520" customFormat="false" ht="13.8" hidden="false" customHeight="false" outlineLevel="0" collapsed="false">
      <c r="B520" s="2" t="n">
        <v>518</v>
      </c>
      <c r="C520" s="2" t="n">
        <v>0.054217469482884</v>
      </c>
      <c r="D520" s="2" t="n">
        <v>0.0870460985393484</v>
      </c>
      <c r="E520" s="2" t="n">
        <v>0.47440287883102</v>
      </c>
    </row>
    <row r="521" customFormat="false" ht="13.8" hidden="false" customHeight="false" outlineLevel="0" collapsed="false">
      <c r="B521" s="2" t="n">
        <v>519</v>
      </c>
      <c r="C521" s="2" t="n">
        <v>0.0565158429035711</v>
      </c>
      <c r="D521" s="2" t="n">
        <v>0.0907361350011295</v>
      </c>
      <c r="E521" s="2" t="n">
        <v>0.494513647146145</v>
      </c>
    </row>
    <row r="522" customFormat="false" ht="13.8" hidden="false" customHeight="false" outlineLevel="0" collapsed="false">
      <c r="B522" s="2" t="n">
        <v>520</v>
      </c>
      <c r="C522" s="2" t="n">
        <v>0.0588142163242582</v>
      </c>
      <c r="D522" s="2" t="n">
        <v>0.0944261714629106</v>
      </c>
      <c r="E522" s="2" t="n">
        <v>0.51462441546127</v>
      </c>
    </row>
    <row r="523" customFormat="false" ht="13.8" hidden="false" customHeight="false" outlineLevel="0" collapsed="false">
      <c r="B523" s="2" t="n">
        <v>521</v>
      </c>
      <c r="C523" s="2" t="n">
        <v>0.0611125897449453</v>
      </c>
      <c r="D523" s="2" t="n">
        <v>0.0981162079246917</v>
      </c>
      <c r="E523" s="2" t="n">
        <v>0.534735183776395</v>
      </c>
    </row>
    <row r="524" customFormat="false" ht="13.8" hidden="false" customHeight="false" outlineLevel="0" collapsed="false">
      <c r="B524" s="2" t="n">
        <v>522</v>
      </c>
      <c r="C524" s="2" t="n">
        <v>0.0689508055277619</v>
      </c>
      <c r="D524" s="2" t="n">
        <v>0.110700456321219</v>
      </c>
      <c r="E524" s="2" t="n">
        <v>0.60331957489116</v>
      </c>
    </row>
    <row r="525" customFormat="false" ht="13.8" hidden="false" customHeight="false" outlineLevel="0" collapsed="false">
      <c r="B525" s="2" t="n">
        <v>523</v>
      </c>
      <c r="C525" s="2" t="n">
        <v>0.0767890213105785</v>
      </c>
      <c r="D525" s="2" t="n">
        <v>0.123284704717746</v>
      </c>
      <c r="E525" s="2" t="n">
        <v>0.671903966005924</v>
      </c>
    </row>
    <row r="526" customFormat="false" ht="13.8" hidden="false" customHeight="false" outlineLevel="0" collapsed="false">
      <c r="B526" s="2" t="n">
        <v>524</v>
      </c>
      <c r="C526" s="2" t="n">
        <v>0.0846272370933951</v>
      </c>
      <c r="D526" s="2" t="n">
        <v>0.135868953114272</v>
      </c>
      <c r="E526" s="2" t="n">
        <v>0.740488357120689</v>
      </c>
    </row>
    <row r="527" customFormat="false" ht="13.8" hidden="false" customHeight="false" outlineLevel="0" collapsed="false">
      <c r="B527" s="2" t="n">
        <v>525</v>
      </c>
      <c r="C527" s="2" t="n">
        <v>0.0924654528762117</v>
      </c>
      <c r="D527" s="2" t="n">
        <v>0.148453201510799</v>
      </c>
      <c r="E527" s="2" t="n">
        <v>0.809072748235454</v>
      </c>
    </row>
    <row r="528" customFormat="false" ht="13.8" hidden="false" customHeight="false" outlineLevel="0" collapsed="false">
      <c r="B528" s="2" t="n">
        <v>526</v>
      </c>
      <c r="C528" s="2" t="n">
        <v>0.0882793000426105</v>
      </c>
      <c r="D528" s="2" t="n">
        <v>0.14173233689779</v>
      </c>
      <c r="E528" s="2" t="n">
        <v>0.77244390933116</v>
      </c>
    </row>
    <row r="529" customFormat="false" ht="13.8" hidden="false" customHeight="false" outlineLevel="0" collapsed="false">
      <c r="B529" s="2" t="n">
        <v>527</v>
      </c>
      <c r="C529" s="2" t="n">
        <v>0.0840931472090094</v>
      </c>
      <c r="D529" s="2" t="n">
        <v>0.135011472284781</v>
      </c>
      <c r="E529" s="2" t="n">
        <v>0.735815070426867</v>
      </c>
    </row>
    <row r="530" customFormat="false" ht="13.8" hidden="false" customHeight="false" outlineLevel="0" collapsed="false">
      <c r="B530" s="2" t="n">
        <v>528</v>
      </c>
      <c r="C530" s="2" t="n">
        <v>0.0799069943754083</v>
      </c>
      <c r="D530" s="2" t="n">
        <v>0.128290607671772</v>
      </c>
      <c r="E530" s="2" t="n">
        <v>0.699186231522573</v>
      </c>
    </row>
    <row r="531" customFormat="false" ht="13.8" hidden="false" customHeight="false" outlineLevel="0" collapsed="false">
      <c r="B531" s="2" t="n">
        <v>529</v>
      </c>
      <c r="C531" s="2" t="n">
        <v>0.0757208415418072</v>
      </c>
      <c r="D531" s="2" t="n">
        <v>0.121569743058763</v>
      </c>
      <c r="E531" s="2" t="n">
        <v>0.66255739261828</v>
      </c>
    </row>
    <row r="532" customFormat="false" ht="13.8" hidden="false" customHeight="false" outlineLevel="0" collapsed="false">
      <c r="B532" s="2" t="n">
        <v>530</v>
      </c>
      <c r="C532" s="2" t="n">
        <v>0.0738858754780554</v>
      </c>
      <c r="D532" s="2" t="n">
        <v>0.118623706692161</v>
      </c>
      <c r="E532" s="2" t="n">
        <v>0.646501438854597</v>
      </c>
    </row>
    <row r="533" customFormat="false" ht="13.8" hidden="false" customHeight="false" outlineLevel="0" collapsed="false">
      <c r="B533" s="2" t="n">
        <v>531</v>
      </c>
      <c r="C533" s="2" t="n">
        <v>0.0720509094143037</v>
      </c>
      <c r="D533" s="2" t="n">
        <v>0.11567767032556</v>
      </c>
      <c r="E533" s="2" t="n">
        <v>0.630445485090915</v>
      </c>
    </row>
    <row r="534" customFormat="false" ht="13.8" hidden="false" customHeight="false" outlineLevel="0" collapsed="false">
      <c r="B534" s="2" t="n">
        <v>532</v>
      </c>
      <c r="C534" s="2" t="n">
        <v>0.070215943350552</v>
      </c>
      <c r="D534" s="2" t="n">
        <v>0.112731633958958</v>
      </c>
      <c r="E534" s="2" t="n">
        <v>0.614389531327233</v>
      </c>
    </row>
    <row r="535" customFormat="false" ht="13.8" hidden="false" customHeight="false" outlineLevel="0" collapsed="false">
      <c r="B535" s="2" t="n">
        <v>533</v>
      </c>
      <c r="C535" s="2" t="n">
        <v>0.0683809772868002</v>
      </c>
      <c r="D535" s="2" t="n">
        <v>0.109785597592356</v>
      </c>
      <c r="E535" s="2" t="n">
        <v>0.59833357756355</v>
      </c>
    </row>
    <row r="536" customFormat="false" ht="13.8" hidden="false" customHeight="false" outlineLevel="0" collapsed="false">
      <c r="B536" s="2" t="n">
        <v>534</v>
      </c>
      <c r="C536" s="2" t="n">
        <v>0.0571452350721594</v>
      </c>
      <c r="D536" s="2" t="n">
        <v>0.0917466235622772</v>
      </c>
      <c r="E536" s="2" t="n">
        <v>0.5000208288634</v>
      </c>
    </row>
    <row r="537" customFormat="false" ht="13.8" hidden="false" customHeight="false" outlineLevel="0" collapsed="false">
      <c r="B537" s="2" t="n">
        <v>535</v>
      </c>
      <c r="C537" s="2" t="n">
        <v>0.0459094928575185</v>
      </c>
      <c r="D537" s="2" t="n">
        <v>0.0737076495321982</v>
      </c>
      <c r="E537" s="2" t="n">
        <v>0.40170808016325</v>
      </c>
    </row>
    <row r="538" customFormat="false" ht="13.8" hidden="false" customHeight="false" outlineLevel="0" collapsed="false">
      <c r="B538" s="2" t="n">
        <v>536</v>
      </c>
      <c r="C538" s="2" t="n">
        <v>0.0346737506428777</v>
      </c>
      <c r="D538" s="2" t="n">
        <v>0.0556686755021193</v>
      </c>
      <c r="E538" s="2" t="n">
        <v>0.3033953314631</v>
      </c>
    </row>
    <row r="539" customFormat="false" ht="13.8" hidden="false" customHeight="false" outlineLevel="0" collapsed="false">
      <c r="B539" s="2" t="n">
        <v>537</v>
      </c>
      <c r="C539" s="2" t="n">
        <v>0.0234380084282368</v>
      </c>
      <c r="D539" s="2" t="n">
        <v>0.0376297014720403</v>
      </c>
      <c r="E539" s="2" t="n">
        <v>0.20508258276295</v>
      </c>
    </row>
    <row r="540" customFormat="false" ht="13.8" hidden="false" customHeight="false" outlineLevel="0" collapsed="false">
      <c r="B540" s="2" t="n">
        <v>538</v>
      </c>
      <c r="C540" s="2" t="n">
        <v>0.0190052609342614</v>
      </c>
      <c r="D540" s="2" t="n">
        <v>0.0305129293533702</v>
      </c>
      <c r="E540" s="2" t="n">
        <v>0.166296040485523</v>
      </c>
    </row>
    <row r="541" customFormat="false" ht="13.8" hidden="false" customHeight="false" outlineLevel="0" collapsed="false">
      <c r="B541" s="2" t="n">
        <v>539</v>
      </c>
      <c r="C541" s="2" t="n">
        <v>0.0145725125338046</v>
      </c>
      <c r="D541" s="2" t="n">
        <v>0.0233961569136048</v>
      </c>
      <c r="E541" s="2" t="n">
        <v>0.127509498208097</v>
      </c>
    </row>
    <row r="542" customFormat="false" ht="13.8" hidden="false" customHeight="false" outlineLevel="0" collapsed="false">
      <c r="B542" s="2" t="n">
        <v>540</v>
      </c>
      <c r="C542" s="2" t="n">
        <v>0.0101397650587097</v>
      </c>
      <c r="D542" s="2" t="n">
        <v>0.0162793848138211</v>
      </c>
      <c r="E542" s="2" t="n">
        <v>0.0887229559306709</v>
      </c>
    </row>
    <row r="543" customFormat="false" ht="13.8" hidden="false" customHeight="false" outlineLevel="0" collapsed="false">
      <c r="B543" s="2" t="n">
        <v>541</v>
      </c>
      <c r="C543" s="2" t="n">
        <v>0.00570701758361506</v>
      </c>
      <c r="D543" s="2" t="n">
        <v>0.00916261271403763</v>
      </c>
      <c r="E543" s="2" t="n">
        <v>0.0499364136532446</v>
      </c>
    </row>
    <row r="544" customFormat="false" ht="13.8" hidden="false" customHeight="false" outlineLevel="0" collapsed="false">
      <c r="B544" s="2" t="n">
        <v>542</v>
      </c>
      <c r="C544" s="2" t="n">
        <v>0.00513202715447341</v>
      </c>
      <c r="D544" s="2" t="n">
        <v>0.00823946608526393</v>
      </c>
      <c r="E544" s="2" t="n">
        <v>0.0449052470118657</v>
      </c>
    </row>
    <row r="545" customFormat="false" ht="13.8" hidden="false" customHeight="false" outlineLevel="0" collapsed="false">
      <c r="B545" s="2" t="n">
        <v>543</v>
      </c>
      <c r="C545" s="2" t="n">
        <v>0.00455703672533195</v>
      </c>
      <c r="D545" s="2" t="n">
        <v>0.00731631945649042</v>
      </c>
      <c r="E545" s="2" t="n">
        <v>0.0398740803704868</v>
      </c>
    </row>
    <row r="546" customFormat="false" ht="13.8" hidden="false" customHeight="false" outlineLevel="0" collapsed="false">
      <c r="B546" s="2" t="n">
        <v>544</v>
      </c>
      <c r="C546" s="2" t="n">
        <v>0.00398204629619067</v>
      </c>
      <c r="D546" s="2" t="n">
        <v>0.0063931728277171</v>
      </c>
      <c r="E546" s="2" t="n">
        <v>0.0348429137291076</v>
      </c>
    </row>
    <row r="547" customFormat="false" ht="13.8" hidden="false" customHeight="false" outlineLevel="0" collapsed="false">
      <c r="B547" s="2" t="n">
        <v>545</v>
      </c>
      <c r="C547" s="2" t="n">
        <v>0.00340705586704959</v>
      </c>
      <c r="D547" s="2" t="n">
        <v>0.00547002619894397</v>
      </c>
      <c r="E547" s="2" t="n">
        <v>0.0298117470877289</v>
      </c>
    </row>
    <row r="548" customFormat="false" ht="13.8" hidden="false" customHeight="false" outlineLevel="0" collapsed="false">
      <c r="B548" s="2" t="n">
        <v>546</v>
      </c>
      <c r="C548" s="2" t="n">
        <v>0.00310804496924552</v>
      </c>
      <c r="D548" s="2" t="n">
        <v>0.00498996445975947</v>
      </c>
      <c r="E548" s="2" t="n">
        <v>0.0271954014517079</v>
      </c>
    </row>
    <row r="549" customFormat="false" ht="13.8" hidden="false" customHeight="false" outlineLevel="0" collapsed="false">
      <c r="B549" s="2" t="n">
        <v>547</v>
      </c>
      <c r="C549" s="2" t="n">
        <v>0.00280903407144163</v>
      </c>
      <c r="D549" s="2" t="n">
        <v>0.00450990272057516</v>
      </c>
      <c r="E549" s="2" t="n">
        <v>0.0245790558156869</v>
      </c>
    </row>
    <row r="550" customFormat="false" ht="13.8" hidden="false" customHeight="false" outlineLevel="0" collapsed="false">
      <c r="B550" s="2" t="n">
        <v>548</v>
      </c>
      <c r="C550" s="2" t="n">
        <v>0.00251002317363794</v>
      </c>
      <c r="D550" s="2" t="n">
        <v>0.00402984113250147</v>
      </c>
      <c r="E550" s="2" t="n">
        <v>0.021962710179666</v>
      </c>
    </row>
    <row r="551" customFormat="false" ht="13.8" hidden="false" customHeight="false" outlineLevel="0" collapsed="false">
      <c r="B551" s="2" t="n">
        <v>549</v>
      </c>
      <c r="C551" s="2" t="n">
        <v>0.00221101227583443</v>
      </c>
      <c r="D551" s="2" t="n">
        <v>0.0035497792422071</v>
      </c>
      <c r="E551" s="2" t="n">
        <v>0.019346364543645</v>
      </c>
    </row>
    <row r="552" customFormat="false" ht="13.8" hidden="false" customHeight="false" outlineLevel="0" collapsed="false">
      <c r="B552" s="2" t="n">
        <v>550</v>
      </c>
      <c r="C552" s="2" t="n">
        <v>0.00165825904634157</v>
      </c>
      <c r="D552" s="2" t="n">
        <v>0.00266233453082204</v>
      </c>
      <c r="E552" s="2" t="n">
        <v>0.0145097734077338</v>
      </c>
    </row>
    <row r="553" customFormat="false" ht="13.8" hidden="false" customHeight="false" outlineLevel="0" collapsed="false">
      <c r="B553" s="2" t="n">
        <v>551</v>
      </c>
      <c r="C553" s="2" t="n">
        <v>0.00110550581684891</v>
      </c>
      <c r="D553" s="2" t="n">
        <v>0.00177488959276926</v>
      </c>
      <c r="E553" s="2" t="n">
        <v>0.0096731822718225</v>
      </c>
    </row>
    <row r="554" customFormat="false" ht="13.8" hidden="false" customHeight="false" outlineLevel="0" collapsed="false">
      <c r="B554" s="2" t="n">
        <v>552</v>
      </c>
      <c r="C554" s="2" t="n">
        <v>0.000552752587356427</v>
      </c>
      <c r="D554" s="2" t="n">
        <v>0.000887444843607349</v>
      </c>
      <c r="E554" s="2" t="n">
        <v>0.00483659113591126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0.000927211806721555</v>
      </c>
      <c r="D600" s="2" t="n">
        <v>0.00148863692904598</v>
      </c>
      <c r="E600" s="2" t="n">
        <v>0.00811310366548332</v>
      </c>
    </row>
    <row r="601" customFormat="false" ht="13.8" hidden="false" customHeight="false" outlineLevel="0" collapsed="false">
      <c r="B601" s="2" t="n">
        <v>599</v>
      </c>
      <c r="C601" s="2" t="n">
        <v>0.00185442361344311</v>
      </c>
      <c r="D601" s="2" t="n">
        <v>0.0029772746327225</v>
      </c>
      <c r="E601" s="2" t="n">
        <v>0.0162262073309666</v>
      </c>
    </row>
    <row r="602" customFormat="false" ht="13.8" hidden="false" customHeight="false" outlineLevel="0" collapsed="false">
      <c r="B602" s="2" t="n">
        <v>600</v>
      </c>
      <c r="C602" s="2" t="n">
        <v>0.00278163542016466</v>
      </c>
      <c r="D602" s="2" t="n">
        <v>0.00446591233639883</v>
      </c>
      <c r="E602" s="2" t="n">
        <v>0.02433931099645</v>
      </c>
    </row>
    <row r="603" customFormat="false" ht="13.8" hidden="false" customHeight="false" outlineLevel="0" collapsed="false">
      <c r="B603" s="2" t="n">
        <v>601</v>
      </c>
      <c r="C603" s="2" t="n">
        <v>0.00370884722688622</v>
      </c>
      <c r="D603" s="2" t="n">
        <v>0.00595455004007497</v>
      </c>
      <c r="E603" s="2" t="n">
        <v>0.0324524146619333</v>
      </c>
    </row>
    <row r="604" customFormat="false" ht="13.8" hidden="false" customHeight="false" outlineLevel="0" collapsed="false">
      <c r="B604" s="2" t="n">
        <v>602</v>
      </c>
      <c r="C604" s="2" t="n">
        <v>0.00832465452510092</v>
      </c>
      <c r="D604" s="2" t="n">
        <v>0.0133652249387558</v>
      </c>
      <c r="E604" s="2" t="n">
        <v>0.0728407307445559</v>
      </c>
    </row>
    <row r="605" customFormat="false" ht="13.8" hidden="false" customHeight="false" outlineLevel="0" collapsed="false">
      <c r="B605" s="2" t="n">
        <v>603</v>
      </c>
      <c r="C605" s="2" t="n">
        <v>0.0129404617824969</v>
      </c>
      <c r="D605" s="2" t="n">
        <v>0.0207758998300835</v>
      </c>
      <c r="E605" s="2" t="n">
        <v>0.113229045891016</v>
      </c>
    </row>
    <row r="606" customFormat="false" ht="13.8" hidden="false" customHeight="false" outlineLevel="0" collapsed="false">
      <c r="B606" s="2" t="n">
        <v>604</v>
      </c>
      <c r="C606" s="2" t="n">
        <v>0.0175562690807153</v>
      </c>
      <c r="D606" s="2" t="n">
        <v>0.0281865742999771</v>
      </c>
      <c r="E606" s="2" t="n">
        <v>0.153617361525925</v>
      </c>
    </row>
    <row r="607" customFormat="false" ht="13.8" hidden="false" customHeight="false" outlineLevel="0" collapsed="false">
      <c r="B607" s="2" t="n">
        <v>605</v>
      </c>
      <c r="C607" s="2" t="n">
        <v>0.0221720764197451</v>
      </c>
      <c r="D607" s="2" t="n">
        <v>0.0355972487698706</v>
      </c>
      <c r="E607" s="2" t="n">
        <v>0.117901524810384</v>
      </c>
    </row>
    <row r="608" customFormat="false" ht="13.8" hidden="false" customHeight="false" outlineLevel="0" collapsed="false">
      <c r="B608" s="2" t="n">
        <v>606</v>
      </c>
      <c r="C608" s="2" t="n">
        <v>0.0300746212443984</v>
      </c>
      <c r="D608" s="2" t="n">
        <v>0.0482847773852656</v>
      </c>
      <c r="E608" s="2" t="n">
        <v>0.137261445422268</v>
      </c>
    </row>
    <row r="609" customFormat="false" ht="13.8" hidden="false" customHeight="false" outlineLevel="0" collapsed="false">
      <c r="B609" s="2" t="n">
        <v>607</v>
      </c>
      <c r="C609" s="2" t="n">
        <v>0.0379771660690518</v>
      </c>
      <c r="D609" s="2" t="n">
        <v>0.0609723060006606</v>
      </c>
      <c r="E609" s="2" t="n">
        <v>0.0503040279302876</v>
      </c>
    </row>
    <row r="610" customFormat="false" ht="13.8" hidden="false" customHeight="false" outlineLevel="0" collapsed="false">
      <c r="B610" s="2" t="n">
        <v>608</v>
      </c>
      <c r="C610" s="2" t="n">
        <v>0.0458797108937052</v>
      </c>
      <c r="D610" s="2" t="n">
        <v>0.0736598346160556</v>
      </c>
      <c r="E610" s="2" t="n">
        <v>0.110122722439628</v>
      </c>
    </row>
    <row r="611" customFormat="false" ht="13.8" hidden="false" customHeight="false" outlineLevel="0" collapsed="false">
      <c r="B611" s="2" t="n">
        <v>609</v>
      </c>
      <c r="C611" s="2" t="n">
        <v>0.0537822557183586</v>
      </c>
      <c r="D611" s="2" t="n">
        <v>0.0863473632314506</v>
      </c>
      <c r="E611" s="2" t="n">
        <v>0.470594758224009</v>
      </c>
    </row>
    <row r="612" customFormat="false" ht="13.8" hidden="false" customHeight="false" outlineLevel="0" collapsed="false">
      <c r="B612" s="2" t="n">
        <v>610</v>
      </c>
      <c r="C612" s="2" t="n">
        <v>0.0604335609700014</v>
      </c>
      <c r="D612" s="2" t="n">
        <v>0.0970260278366396</v>
      </c>
      <c r="E612" s="2" t="n">
        <v>0.133069289029999</v>
      </c>
    </row>
    <row r="613" customFormat="false" ht="13.8" hidden="false" customHeight="false" outlineLevel="0" collapsed="false">
      <c r="B613" s="2" t="n">
        <v>611</v>
      </c>
      <c r="C613" s="2" t="n">
        <v>0.0670848661798992</v>
      </c>
      <c r="D613" s="2" t="n">
        <v>0.107704692441829</v>
      </c>
      <c r="E613" s="2" t="n">
        <v>0.586992605244862</v>
      </c>
    </row>
    <row r="614" customFormat="false" ht="13.8" hidden="false" customHeight="false" outlineLevel="0" collapsed="false">
      <c r="B614" s="2" t="n">
        <v>612</v>
      </c>
      <c r="C614" s="2" t="n">
        <v>0.0432519669201005</v>
      </c>
      <c r="D614" s="2" t="n">
        <v>0.118383357047018</v>
      </c>
      <c r="E614" s="2" t="n">
        <v>0.102268216666667</v>
      </c>
    </row>
    <row r="615" customFormat="false" ht="13.8" hidden="false" customHeight="false" outlineLevel="0" collapsed="false">
      <c r="B615" s="2" t="n">
        <v>613</v>
      </c>
      <c r="C615" s="2" t="n">
        <v>0.04356825</v>
      </c>
      <c r="D615" s="2" t="n">
        <v>0.129062021652207</v>
      </c>
      <c r="E615" s="2" t="n">
        <v>0.703390452265714</v>
      </c>
    </row>
    <row r="616" customFormat="false" ht="13.8" hidden="false" customHeight="false" outlineLevel="0" collapsed="false">
      <c r="B616" s="2" t="n">
        <v>614</v>
      </c>
      <c r="C616" s="2" t="n">
        <v>0.0854114954738127</v>
      </c>
      <c r="D616" s="2" t="n">
        <v>0.137128079239362</v>
      </c>
      <c r="E616" s="2" t="n">
        <v>0.110092321192854</v>
      </c>
    </row>
    <row r="617" customFormat="false" ht="13.8" hidden="false" customHeight="false" outlineLevel="0" collapsed="false">
      <c r="B617" s="2" t="n">
        <v>615</v>
      </c>
      <c r="C617" s="2" t="n">
        <v>0.0904355142226954</v>
      </c>
      <c r="D617" s="2" t="n">
        <v>0.145194136826517</v>
      </c>
      <c r="E617" s="2" t="n">
        <v>0.791310784236331</v>
      </c>
    </row>
    <row r="618" customFormat="false" ht="13.8" hidden="false" customHeight="false" outlineLevel="0" collapsed="false">
      <c r="B618" s="2" t="n">
        <v>616</v>
      </c>
      <c r="C618" s="2" t="n">
        <v>0.095459532971578</v>
      </c>
      <c r="D618" s="2" t="n">
        <v>0.153260194413672</v>
      </c>
      <c r="E618" s="2" t="n">
        <v>0.101610450361755</v>
      </c>
    </row>
    <row r="619" customFormat="false" ht="13.8" hidden="false" customHeight="false" outlineLevel="0" collapsed="false">
      <c r="B619" s="2" t="n">
        <v>617</v>
      </c>
      <c r="C619" s="2" t="n">
        <v>0.0824085454286174</v>
      </c>
      <c r="D619" s="2" t="n">
        <v>0.161326252000828</v>
      </c>
      <c r="E619" s="2" t="n">
        <v>0.879231116206947</v>
      </c>
    </row>
    <row r="620" customFormat="false" ht="13.8" hidden="false" customHeight="false" outlineLevel="0" collapsed="false">
      <c r="B620" s="2" t="n">
        <v>618</v>
      </c>
      <c r="C620" s="2" t="n">
        <v>0.0871350667511438</v>
      </c>
      <c r="D620" s="2" t="n">
        <v>0.166100093228509</v>
      </c>
      <c r="E620" s="2" t="n">
        <v>0.1037515</v>
      </c>
    </row>
    <row r="621" customFormat="false" ht="13.8" hidden="false" customHeight="false" outlineLevel="0" collapsed="false">
      <c r="B621" s="2" t="n">
        <v>619</v>
      </c>
      <c r="C621" s="2" t="n">
        <v>0.0480017501689551</v>
      </c>
      <c r="D621" s="2" t="n">
        <v>0.17087393445619</v>
      </c>
      <c r="E621" s="2" t="n">
        <v>0.931266165669165</v>
      </c>
    </row>
    <row r="622" customFormat="false" ht="13.8" hidden="false" customHeight="false" outlineLevel="0" collapsed="false">
      <c r="B622" s="2" t="n">
        <v>620</v>
      </c>
      <c r="C622" s="2" t="n">
        <v>0.0833352002534338</v>
      </c>
      <c r="D622" s="2" t="n">
        <v>0.17564777568387</v>
      </c>
      <c r="E622" s="2" t="n">
        <v>0.957283690400274</v>
      </c>
    </row>
    <row r="623" customFormat="false" ht="13.8" hidden="false" customHeight="false" outlineLevel="0" collapsed="false">
      <c r="B623" s="2" t="n">
        <v>621</v>
      </c>
      <c r="C623" s="2" t="n">
        <v>0.112377276649668</v>
      </c>
      <c r="D623" s="2" t="n">
        <v>0.180421616911551</v>
      </c>
      <c r="E623" s="2" t="n">
        <v>0.983301215131382</v>
      </c>
    </row>
    <row r="624" customFormat="false" ht="13.8" hidden="false" customHeight="false" outlineLevel="0" collapsed="false">
      <c r="B624" s="2" t="n">
        <v>622</v>
      </c>
      <c r="C624" s="2" t="n">
        <v>0.110329071864296</v>
      </c>
      <c r="D624" s="2" t="n">
        <v>0.177133225745368</v>
      </c>
      <c r="E624" s="2" t="n">
        <v>0.117840544802371</v>
      </c>
    </row>
    <row r="625" customFormat="false" ht="13.8" hidden="false" customHeight="false" outlineLevel="0" collapsed="false">
      <c r="B625" s="2" t="n">
        <v>623</v>
      </c>
      <c r="C625" s="2" t="n">
        <v>0.036635217173542</v>
      </c>
      <c r="D625" s="2" t="n">
        <v>0.173844834579185</v>
      </c>
      <c r="E625" s="2" t="n">
        <v>0.947457627374155</v>
      </c>
    </row>
    <row r="626" customFormat="false" ht="13.8" hidden="false" customHeight="false" outlineLevel="0" collapsed="false">
      <c r="B626" s="2" t="n">
        <v>624</v>
      </c>
      <c r="C626" s="2" t="n">
        <v>0.106232662014985</v>
      </c>
      <c r="D626" s="2" t="n">
        <v>0.170556443413002</v>
      </c>
      <c r="E626" s="2" t="n">
        <v>0.929535833495542</v>
      </c>
    </row>
    <row r="627" customFormat="false" ht="13.8" hidden="false" customHeight="false" outlineLevel="0" collapsed="false">
      <c r="B627" s="2" t="n">
        <v>625</v>
      </c>
      <c r="C627" s="2" t="n">
        <v>0.0359351506758405</v>
      </c>
      <c r="D627" s="2" t="n">
        <v>0.167268052246819</v>
      </c>
      <c r="E627" s="2" t="n">
        <v>0.911614039616928</v>
      </c>
    </row>
    <row r="628" customFormat="false" ht="13.8" hidden="false" customHeight="false" outlineLevel="0" collapsed="false">
      <c r="B628" s="2" t="n">
        <v>626</v>
      </c>
      <c r="C628" s="2" t="n">
        <v>0.0926036411883055</v>
      </c>
      <c r="D628" s="2" t="n">
        <v>0.148675062721701</v>
      </c>
      <c r="E628" s="2" t="n">
        <v>0.810281896019431</v>
      </c>
    </row>
    <row r="629" customFormat="false" ht="13.8" hidden="false" customHeight="false" outlineLevel="0" collapsed="false">
      <c r="B629" s="2" t="n">
        <v>627</v>
      </c>
      <c r="C629" s="2" t="n">
        <v>0.0810228249380648</v>
      </c>
      <c r="D629" s="2" t="n">
        <v>0.130082073196583</v>
      </c>
      <c r="E629" s="2" t="n">
        <v>0.708949752421934</v>
      </c>
    </row>
    <row r="630" customFormat="false" ht="13.8" hidden="false" customHeight="false" outlineLevel="0" collapsed="false">
      <c r="B630" s="2" t="n">
        <v>628</v>
      </c>
      <c r="C630" s="2" t="n">
        <v>0.0694420093842563</v>
      </c>
      <c r="D630" s="2" t="n">
        <v>0.111489083671465</v>
      </c>
      <c r="E630" s="2" t="n">
        <v>0.607617608824437</v>
      </c>
    </row>
    <row r="631" customFormat="false" ht="13.8" hidden="false" customHeight="false" outlineLevel="0" collapsed="false">
      <c r="B631" s="2" t="n">
        <v>629</v>
      </c>
      <c r="C631" s="2" t="n">
        <v>0.0350021</v>
      </c>
      <c r="D631" s="2" t="n">
        <v>0.0928960941463464</v>
      </c>
      <c r="E631" s="2" t="n">
        <v>0.50628546519212</v>
      </c>
    </row>
    <row r="632" customFormat="false" ht="13.8" hidden="false" customHeight="false" outlineLevel="0" collapsed="false">
      <c r="B632" s="2" t="n">
        <v>630</v>
      </c>
      <c r="C632" s="2" t="n">
        <v>0.0565547580029538</v>
      </c>
      <c r="D632" s="2" t="n">
        <v>0.0907986131582225</v>
      </c>
      <c r="E632" s="2" t="n">
        <v>0.494854154280713</v>
      </c>
    </row>
    <row r="633" customFormat="false" ht="13.8" hidden="false" customHeight="false" outlineLevel="0" collapsed="false">
      <c r="B633" s="2" t="n">
        <v>631</v>
      </c>
      <c r="C633" s="2" t="n">
        <v>0.0552483225236759</v>
      </c>
      <c r="D633" s="2" t="n">
        <v>0.0887011321700988</v>
      </c>
      <c r="E633" s="2" t="n">
        <v>0.483422843334486</v>
      </c>
    </row>
    <row r="634" customFormat="false" ht="13.8" hidden="false" customHeight="false" outlineLevel="0" collapsed="false">
      <c r="B634" s="2" t="n">
        <v>632</v>
      </c>
      <c r="C634" s="2" t="n">
        <v>0.053941887044398</v>
      </c>
      <c r="D634" s="2" t="n">
        <v>0.0866036511819751</v>
      </c>
      <c r="E634" s="2" t="n">
        <v>0.471991532388259</v>
      </c>
    </row>
    <row r="635" customFormat="false" ht="13.8" hidden="false" customHeight="false" outlineLevel="0" collapsed="false">
      <c r="B635" s="2" t="n">
        <v>633</v>
      </c>
      <c r="C635" s="2" t="n">
        <v>0.0526354515651201</v>
      </c>
      <c r="D635" s="2" t="n">
        <v>0.0845061701938515</v>
      </c>
      <c r="E635" s="2" t="n">
        <v>0.0380008002534338</v>
      </c>
    </row>
    <row r="636" customFormat="false" ht="13.8" hidden="false" customHeight="false" outlineLevel="0" collapsed="false">
      <c r="B636" s="2" t="n">
        <v>634</v>
      </c>
      <c r="C636" s="2" t="n">
        <v>0.0485493661299318</v>
      </c>
      <c r="D636" s="2" t="n">
        <v>0.0779459636990816</v>
      </c>
      <c r="E636" s="2" t="n">
        <v>0.424806972312343</v>
      </c>
    </row>
    <row r="637" customFormat="false" ht="13.8" hidden="false" customHeight="false" outlineLevel="0" collapsed="false">
      <c r="B637" s="2" t="n">
        <v>635</v>
      </c>
      <c r="C637" s="2" t="n">
        <v>0.0441146427956882</v>
      </c>
      <c r="D637" s="2" t="n">
        <v>0.0713857572043118</v>
      </c>
      <c r="E637" s="2" t="n">
        <v>0.035000250422394</v>
      </c>
    </row>
    <row r="638" customFormat="false" ht="13.8" hidden="false" customHeight="false" outlineLevel="0" collapsed="false">
      <c r="B638" s="2" t="n">
        <v>636</v>
      </c>
      <c r="C638" s="2" t="n">
        <v>0.0403771952595551</v>
      </c>
      <c r="D638" s="2" t="n">
        <v>0.064825550709542</v>
      </c>
      <c r="E638" s="2" t="n">
        <v>0.353300474052966</v>
      </c>
    </row>
    <row r="639" customFormat="false" ht="13.8" hidden="false" customHeight="false" outlineLevel="0" collapsed="false">
      <c r="B639" s="2" t="n">
        <v>637</v>
      </c>
      <c r="C639" s="2" t="n">
        <v>0.0350205110692361</v>
      </c>
      <c r="D639" s="2" t="n">
        <v>0.0582653442147721</v>
      </c>
      <c r="E639" s="2" t="n">
        <v>0.317547224923277</v>
      </c>
    </row>
    <row r="640" customFormat="false" ht="13.8" hidden="false" customHeight="false" outlineLevel="0" collapsed="false">
      <c r="B640" s="2" t="n">
        <v>638</v>
      </c>
      <c r="C640" s="2" t="n">
        <v>0.028641910238552</v>
      </c>
      <c r="D640" s="2" t="n">
        <v>0.0459845611526971</v>
      </c>
      <c r="E640" s="2" t="n">
        <v>0.250616725604988</v>
      </c>
    </row>
    <row r="641" customFormat="false" ht="13.8" hidden="false" customHeight="false" outlineLevel="0" collapsed="false">
      <c r="B641" s="2" t="n">
        <v>639</v>
      </c>
      <c r="C641" s="2" t="n">
        <v>0.0209927106527373</v>
      </c>
      <c r="D641" s="2" t="n">
        <v>0.0337037780906222</v>
      </c>
      <c r="E641" s="2" t="n">
        <v>0.183686226286699</v>
      </c>
    </row>
    <row r="642" customFormat="false" ht="13.8" hidden="false" customHeight="false" outlineLevel="0" collapsed="false">
      <c r="B642" s="2" t="n">
        <v>640</v>
      </c>
      <c r="C642" s="2" t="n">
        <v>0.0133435108591496</v>
      </c>
      <c r="D642" s="2" t="n">
        <v>0.0214229950285472</v>
      </c>
      <c r="E642" s="2" t="n">
        <v>0.116755726968409</v>
      </c>
    </row>
    <row r="643" customFormat="false" ht="13.8" hidden="false" customHeight="false" outlineLevel="0" collapsed="false">
      <c r="B643" s="2" t="n">
        <v>641</v>
      </c>
      <c r="C643" s="2" t="n">
        <v>0.00569431129222239</v>
      </c>
      <c r="D643" s="2" t="n">
        <v>0.00914221196647225</v>
      </c>
      <c r="E643" s="2" t="n">
        <v>0.0498252276501203</v>
      </c>
    </row>
    <row r="644" customFormat="false" ht="13.8" hidden="false" customHeight="false" outlineLevel="0" collapsed="false">
      <c r="B644" s="2" t="n">
        <v>642</v>
      </c>
      <c r="C644" s="2" t="n">
        <v>0.00517411967650395</v>
      </c>
      <c r="D644" s="2" t="n">
        <v>0.00830704476451419</v>
      </c>
      <c r="E644" s="2" t="n">
        <v>0.0452735506472153</v>
      </c>
    </row>
    <row r="645" customFormat="false" ht="13.8" hidden="false" customHeight="false" outlineLevel="0" collapsed="false">
      <c r="B645" s="2" t="n">
        <v>643</v>
      </c>
      <c r="C645" s="2" t="n">
        <v>0.00465392806078571</v>
      </c>
      <c r="D645" s="2" t="n">
        <v>0.00747187756255612</v>
      </c>
      <c r="E645" s="2" t="n">
        <v>0.0407218736443103</v>
      </c>
    </row>
    <row r="646" customFormat="false" ht="13.8" hidden="false" customHeight="false" outlineLevel="0" collapsed="false">
      <c r="B646" s="2" t="n">
        <v>644</v>
      </c>
      <c r="C646" s="2" t="n">
        <v>0.00413373644506766</v>
      </c>
      <c r="D646" s="2" t="n">
        <v>0.00663671036059806</v>
      </c>
      <c r="E646" s="2" t="n">
        <v>0.0361701966414053</v>
      </c>
    </row>
    <row r="647" customFormat="false" ht="13.8" hidden="false" customHeight="false" outlineLevel="0" collapsed="false">
      <c r="B647" s="2" t="n">
        <v>645</v>
      </c>
      <c r="C647" s="2" t="n">
        <v>0.00361354482934982</v>
      </c>
      <c r="D647" s="2" t="n">
        <v>0.00580154315863999</v>
      </c>
      <c r="E647" s="2" t="n">
        <v>0.0316185196385003</v>
      </c>
    </row>
    <row r="648" customFormat="false" ht="13.8" hidden="false" customHeight="false" outlineLevel="0" collapsed="false">
      <c r="B648" s="2" t="n">
        <v>646</v>
      </c>
      <c r="C648" s="2" t="n">
        <v>0.00271015861256739</v>
      </c>
      <c r="D648" s="2" t="n">
        <v>0.00435115736898</v>
      </c>
      <c r="E648" s="2" t="n">
        <v>0.0237138897288752</v>
      </c>
    </row>
    <row r="649" customFormat="false" ht="13.8" hidden="false" customHeight="false" outlineLevel="0" collapsed="false">
      <c r="B649" s="2" t="n">
        <v>647</v>
      </c>
      <c r="C649" s="2" t="n">
        <v>0.00180677239578515</v>
      </c>
      <c r="D649" s="2" t="n">
        <v>0.00290077157932</v>
      </c>
      <c r="E649" s="2" t="n">
        <v>0.0158092598192502</v>
      </c>
    </row>
    <row r="650" customFormat="false" ht="13.8" hidden="false" customHeight="false" outlineLevel="0" collapsed="false">
      <c r="B650" s="2" t="n">
        <v>648</v>
      </c>
      <c r="C650" s="2" t="n">
        <v>0.000903386179003115</v>
      </c>
      <c r="D650" s="2" t="n">
        <v>0.00145038578966</v>
      </c>
      <c r="E650" s="2" t="n">
        <v>0.00790462990962508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2" t="n">
        <f aca="false">SUM(C3:C674)</f>
        <v>27.6519950347222</v>
      </c>
      <c r="D2" s="2" t="n">
        <f aca="false">SUM(D3:D674)</f>
        <v>15.233941062187</v>
      </c>
      <c r="E2" s="2" t="n">
        <f aca="false">SUM(E3:E674)</f>
        <v>1.95176011142046E-008</v>
      </c>
    </row>
    <row r="3" customFormat="false" ht="13.8" hidden="false" customHeight="false" outlineLevel="0" collapsed="false">
      <c r="B3" s="2" t="n">
        <v>1</v>
      </c>
      <c r="C3" s="2" t="n">
        <v>0.0120024665533329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8.88138316406725E-019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0.05518526659111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0.0531675999433322</v>
      </c>
      <c r="D6" s="2" t="n">
        <v>0</v>
      </c>
      <c r="E6" s="2" t="n">
        <v>7.86781311035278E-018</v>
      </c>
    </row>
    <row r="7" customFormat="false" ht="13.8" hidden="false" customHeight="false" outlineLevel="0" collapsed="false">
      <c r="B7" s="2" t="n">
        <v>5</v>
      </c>
      <c r="C7" s="2" t="n">
        <v>0.0542504332955546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9.53674316406266E-019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0.0258536653796332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0.0411168326847255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0.0552501160369416</v>
      </c>
      <c r="D11" s="2" t="n">
        <v>0</v>
      </c>
      <c r="E11" s="2" t="n">
        <v>8.10623168945442E-018</v>
      </c>
    </row>
    <row r="12" customFormat="false" ht="13.8" hidden="false" customHeight="false" outlineLevel="0" collapsed="false">
      <c r="B12" s="2" t="n">
        <v>10</v>
      </c>
      <c r="C12" s="2" t="n">
        <v>0.0400502660558246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0.0211667827413744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0.0515999994269244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0.0730501161124747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0.0839666827980251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0.0473166828169091</v>
      </c>
      <c r="D17" s="2" t="n">
        <v>2.30226579101616E-019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0.0769001328357932</v>
      </c>
      <c r="D18" s="2" t="n">
        <v>0</v>
      </c>
      <c r="E18" s="2" t="n">
        <v>9.47120716406397E-018</v>
      </c>
    </row>
    <row r="19" customFormat="false" ht="13.8" hidden="false" customHeight="false" outlineLevel="0" collapsed="false">
      <c r="B19" s="2" t="n">
        <v>17</v>
      </c>
      <c r="C19" s="2" t="n">
        <v>0.043200216188011</v>
      </c>
      <c r="D19" s="2" t="n">
        <v>0.0161834164400064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0.0728668995402289</v>
      </c>
      <c r="D20" s="2" t="n">
        <v>0.0637669831255603</v>
      </c>
      <c r="E20" s="2" t="n">
        <v>2.76271894921883E-018</v>
      </c>
    </row>
    <row r="21" customFormat="false" ht="13.8" hidden="false" customHeight="false" outlineLevel="0" collapsed="false">
      <c r="B21" s="2" t="n">
        <v>19</v>
      </c>
      <c r="C21" s="2" t="n">
        <v>0.0409835162257803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0.0536836495779986</v>
      </c>
      <c r="D22" s="2" t="n">
        <v>0</v>
      </c>
      <c r="E22" s="2" t="n">
        <v>1.84181263281254E-018</v>
      </c>
    </row>
    <row r="23" customFormat="false" ht="13.8" hidden="false" customHeight="false" outlineLevel="0" collapsed="false">
      <c r="B23" s="2" t="n">
        <v>21</v>
      </c>
      <c r="C23" s="2" t="n">
        <v>0.0643004329302171</v>
      </c>
      <c r="D23" s="2" t="n">
        <v>0</v>
      </c>
      <c r="E23" s="2" t="n">
        <v>4.60453158203128E-019</v>
      </c>
    </row>
    <row r="24" customFormat="false" ht="13.8" hidden="false" customHeight="false" outlineLevel="0" collapsed="false">
      <c r="B24" s="2" t="n">
        <v>22</v>
      </c>
      <c r="C24" s="2" t="n">
        <v>0.0702377006045887</v>
      </c>
      <c r="D24" s="2" t="n">
        <v>0</v>
      </c>
      <c r="E24" s="2" t="n">
        <v>7.62939453125115E-018</v>
      </c>
    </row>
    <row r="25" customFormat="false" ht="13.8" hidden="false" customHeight="false" outlineLevel="0" collapsed="false">
      <c r="B25" s="2" t="n">
        <v>23</v>
      </c>
      <c r="C25" s="2" t="n">
        <v>0.0379755349456272</v>
      </c>
      <c r="D25" s="2" t="n">
        <v>0.0527033841438288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0.0955465359533326</v>
      </c>
      <c r="D26" s="2" t="n">
        <v>0.0520300512912986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0.0374341869610381</v>
      </c>
      <c r="D27" s="2" t="n">
        <v>0.0519567684387685</v>
      </c>
      <c r="E27" s="2" t="n">
        <v>4.60453158203128E-019</v>
      </c>
    </row>
    <row r="28" customFormat="false" ht="13.8" hidden="false" customHeight="false" outlineLevel="0" collapsed="false">
      <c r="B28" s="2" t="n">
        <v>26</v>
      </c>
      <c r="C28" s="2" t="n">
        <v>0.100261089169958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0.0370880747122123</v>
      </c>
      <c r="D29" s="2" t="n">
        <v>1.84181263283597E-018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0.0915320435877996</v>
      </c>
      <c r="D30" s="2" t="n">
        <v>0.039261551606535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0.0272421793820815</v>
      </c>
      <c r="D31" s="2" t="n">
        <v>0.0267108645271889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0.0821183724741904</v>
      </c>
      <c r="D32" s="2" t="n">
        <v>0.0510595039485341</v>
      </c>
      <c r="E32" s="2" t="n">
        <v>1.04248814804706E-017</v>
      </c>
    </row>
    <row r="33" customFormat="false" ht="13.8" hidden="false" customHeight="false" outlineLevel="0" collapsed="false">
      <c r="B33" s="2" t="n">
        <v>31</v>
      </c>
      <c r="C33" s="2" t="n">
        <v>0.016360532232966</v>
      </c>
      <c r="D33" s="2" t="n">
        <v>0.0371723174568328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0.0453702753250749</v>
      </c>
      <c r="D34" s="2" t="n">
        <v>0.0272850476317982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0.00029636841718382</v>
      </c>
      <c r="D35" s="2" t="n">
        <v>0.0165980778067636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0.0585782762483992</v>
      </c>
      <c r="D36" s="2" t="n">
        <v>0.0134390348147248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0.00991043407961464</v>
      </c>
      <c r="D37" s="2" t="n">
        <v>0.0102796584893526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0.0351426252441634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0.0349245497420455</v>
      </c>
      <c r="D39" s="2" t="n">
        <v>0.036960522505275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0.0153045348829458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0.00860125335717946</v>
      </c>
      <c r="D41" s="2" t="n">
        <v>0.00172766780163866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8.88138316406341E-019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8.88138316406341E-019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1.68955054595519E-010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2.53433849627329E-010</v>
      </c>
      <c r="D46" s="2" t="n">
        <v>0</v>
      </c>
      <c r="E46" s="2" t="n">
        <v>3.27679999999968E-020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1.77627663283888E-018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6.5535999999987E-020</v>
      </c>
      <c r="D48" s="2" t="n">
        <v>0</v>
      </c>
      <c r="E48" s="2" t="n">
        <v>6.5535999999987E-020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1.7762766328454E-018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8.88138316414283E-019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3.68362526562649E-018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4.50622758218974E-018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3.55255326575659E-018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1.84181263281287E-018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6.5535999999987E-020</v>
      </c>
      <c r="D57" s="2" t="n">
        <v>0</v>
      </c>
      <c r="E57" s="2" t="n">
        <v>6.5535999999987E-020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1.7762766328454E-018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6.5535999999987E-020</v>
      </c>
      <c r="D59" s="2" t="n">
        <v>6.5535999999987E-020</v>
      </c>
      <c r="E59" s="2" t="n">
        <v>6.5535999999987E-020</v>
      </c>
    </row>
    <row r="60" customFormat="false" ht="13.8" hidden="false" customHeight="false" outlineLevel="0" collapsed="false">
      <c r="B60" s="2" t="n">
        <v>58</v>
      </c>
      <c r="C60" s="2" t="n">
        <v>6.5535999999987E-020</v>
      </c>
      <c r="D60" s="2" t="n">
        <v>0</v>
      </c>
      <c r="E60" s="2" t="n">
        <v>6.5535999999987E-020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9.53674316406444E-019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0.0111175674188415</v>
      </c>
      <c r="D62" s="2" t="n">
        <v>0</v>
      </c>
      <c r="E62" s="2" t="n">
        <v>3.44520671719548E-018</v>
      </c>
    </row>
    <row r="63" customFormat="false" ht="13.8" hidden="false" customHeight="false" outlineLevel="0" collapsed="false">
      <c r="B63" s="2" t="n">
        <v>61</v>
      </c>
      <c r="C63" s="2" t="n">
        <v>0.00781513859597799</v>
      </c>
      <c r="D63" s="2" t="n">
        <v>0.0146114852202631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0.0266818647412703</v>
      </c>
      <c r="D64" s="2" t="n">
        <v>0</v>
      </c>
      <c r="E64" s="2" t="n">
        <v>1.84181263536848E-018</v>
      </c>
    </row>
    <row r="65" customFormat="false" ht="13.8" hidden="false" customHeight="false" outlineLevel="0" collapsed="false">
      <c r="B65" s="2" t="n">
        <v>63</v>
      </c>
      <c r="C65" s="2" t="n">
        <v>0.0189652908865626</v>
      </c>
      <c r="D65" s="2" t="n">
        <v>9.53674316406684E-019</v>
      </c>
      <c r="E65" s="2" t="n">
        <v>3.20678811508977E-018</v>
      </c>
    </row>
    <row r="66" customFormat="false" ht="13.8" hidden="false" customHeight="false" outlineLevel="0" collapsed="false">
      <c r="B66" s="2" t="n">
        <v>64</v>
      </c>
      <c r="C66" s="2" t="n">
        <v>0.0369154503651883</v>
      </c>
      <c r="D66" s="2" t="n">
        <v>0.00628733167229442</v>
      </c>
      <c r="E66" s="2" t="n">
        <v>1.84181263434607E-018</v>
      </c>
    </row>
    <row r="67" customFormat="false" ht="13.8" hidden="false" customHeight="false" outlineLevel="0" collapsed="false">
      <c r="B67" s="2" t="n">
        <v>65</v>
      </c>
      <c r="C67" s="2" t="n">
        <v>0.0288656098438139</v>
      </c>
      <c r="D67" s="2" t="n">
        <v>0.013984958267416</v>
      </c>
      <c r="E67" s="2" t="n">
        <v>3.68362527073689E-018</v>
      </c>
    </row>
    <row r="68" customFormat="false" ht="13.8" hidden="false" customHeight="false" outlineLevel="0" collapsed="false">
      <c r="B68" s="2" t="n">
        <v>66</v>
      </c>
      <c r="C68" s="2" t="n">
        <v>0.0456577477709846</v>
      </c>
      <c r="D68" s="2" t="n">
        <v>0.0219963881375902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0.0376996356981553</v>
      </c>
      <c r="D69" s="2" t="n">
        <v>0.0315910346744311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0.0557415232286895</v>
      </c>
      <c r="D70" s="2" t="n">
        <v>0.0419356805502602</v>
      </c>
      <c r="E70" s="2" t="n">
        <v>3.68362526562504E-018</v>
      </c>
    </row>
    <row r="71" customFormat="false" ht="13.8" hidden="false" customHeight="false" outlineLevel="0" collapsed="false">
      <c r="B71" s="2" t="n">
        <v>69</v>
      </c>
      <c r="C71" s="2" t="n">
        <v>0.0477834111747456</v>
      </c>
      <c r="D71" s="2" t="n">
        <v>0.0510305437726504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0.0640877041388405</v>
      </c>
      <c r="D72" s="2" t="n">
        <v>0.0575854493545051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0.0543920804362688</v>
      </c>
      <c r="D73" s="2" t="n">
        <v>0.0646570216030266</v>
      </c>
      <c r="E73" s="2" t="n">
        <v>1.84181263281254E-018</v>
      </c>
    </row>
    <row r="74" customFormat="false" ht="13.8" hidden="false" customHeight="false" outlineLevel="0" collapsed="false">
      <c r="B74" s="2" t="n">
        <v>72</v>
      </c>
      <c r="C74" s="2" t="n">
        <v>0.0706962900670306</v>
      </c>
      <c r="D74" s="2" t="n">
        <v>0.0700287438515483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0.0705839163644594</v>
      </c>
      <c r="D75" s="2" t="n">
        <v>0.0750673494334035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0.0869178163833458</v>
      </c>
      <c r="D76" s="2" t="n">
        <v>0.0816341161189538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0.0778351830688992</v>
      </c>
      <c r="D77" s="2" t="n">
        <v>0.0828843328045043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0.0454528497544527</v>
      </c>
      <c r="D78" s="2" t="n">
        <v>0.083084699490055</v>
      </c>
      <c r="E78" s="2" t="n">
        <v>6.67572021484463E-018</v>
      </c>
    </row>
    <row r="79" customFormat="false" ht="13.8" hidden="false" customHeight="false" outlineLevel="0" collapsed="false">
      <c r="B79" s="2" t="n">
        <v>77</v>
      </c>
      <c r="C79" s="2" t="n">
        <v>0.10256979977334</v>
      </c>
      <c r="D79" s="2" t="n">
        <v>0.0987183661756059</v>
      </c>
      <c r="E79" s="2" t="n">
        <v>1.13130197968769E-017</v>
      </c>
    </row>
    <row r="80" customFormat="false" ht="13.8" hidden="false" customHeight="false" outlineLevel="0" collapsed="false">
      <c r="B80" s="2" t="n">
        <v>78</v>
      </c>
      <c r="C80" s="2" t="n">
        <v>0.0647030331255603</v>
      </c>
      <c r="D80" s="2" t="n">
        <v>0.100919232861157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0.131503333144448</v>
      </c>
      <c r="D81" s="2" t="n">
        <v>0.125485049546708</v>
      </c>
      <c r="E81" s="2" t="n">
        <v>9.20906316406338E-018</v>
      </c>
    </row>
    <row r="82" customFormat="false" ht="13.8" hidden="false" customHeight="false" outlineLevel="0" collapsed="false">
      <c r="B82" s="2" t="n">
        <v>80</v>
      </c>
      <c r="C82" s="2" t="n">
        <v>0.0508211498300021</v>
      </c>
      <c r="D82" s="2" t="n">
        <v>0.110452732898927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0.107037566515557</v>
      </c>
      <c r="D83" s="2" t="n">
        <v>0.141169032917812</v>
      </c>
      <c r="E83" s="2" t="n">
        <v>7.36725053125057E-018</v>
      </c>
    </row>
    <row r="84" customFormat="false" ht="13.8" hidden="false" customHeight="false" outlineLevel="0" collapsed="false">
      <c r="B84" s="2" t="n">
        <v>82</v>
      </c>
      <c r="C84" s="2" t="n">
        <v>0.0637206832011113</v>
      </c>
      <c r="D84" s="2" t="n">
        <v>0.132952899603364</v>
      </c>
      <c r="E84" s="2" t="n">
        <v>1.84181263281254E-018</v>
      </c>
    </row>
    <row r="85" customFormat="false" ht="13.8" hidden="false" customHeight="false" outlineLevel="0" collapsed="false">
      <c r="B85" s="2" t="n">
        <v>83</v>
      </c>
      <c r="C85" s="2" t="n">
        <v>0.0995536165533329</v>
      </c>
      <c r="D85" s="2" t="n">
        <v>0.134786366288916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0.105836916572221</v>
      </c>
      <c r="D86" s="2" t="n">
        <v>0.150136082974468</v>
      </c>
      <c r="E86" s="2" t="n">
        <v>3.68362526562515E-018</v>
      </c>
    </row>
    <row r="87" customFormat="false" ht="13.8" hidden="false" customHeight="false" outlineLevel="0" collapsed="false">
      <c r="B87" s="2" t="n">
        <v>85</v>
      </c>
      <c r="C87" s="2" t="n">
        <v>0.0902207332577767</v>
      </c>
      <c r="D87" s="2" t="n">
        <v>0.14345319966002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0.0780372999433322</v>
      </c>
      <c r="D88" s="2" t="n">
        <v>0.119336916345573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3.17660599568444E-009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0.0946863999811105</v>
      </c>
      <c r="D90" s="2" t="n">
        <v>0.116620666383346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0.0588647361550144</v>
      </c>
      <c r="D91" s="2" t="n">
        <v>9.53674316406266E-019</v>
      </c>
      <c r="E91" s="2" t="n">
        <v>3.81469726562529E-018</v>
      </c>
    </row>
    <row r="92" customFormat="false" ht="13.8" hidden="false" customHeight="false" outlineLevel="0" collapsed="false">
      <c r="B92" s="2" t="n">
        <v>90</v>
      </c>
      <c r="C92" s="2" t="n">
        <v>0.0420206166666667</v>
      </c>
      <c r="D92" s="2" t="n">
        <v>0.097421033087786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0.0380035833333333</v>
      </c>
      <c r="D93" s="2" t="n">
        <v>0</v>
      </c>
      <c r="E93" s="2" t="n">
        <v>3.81469726562529E-018</v>
      </c>
    </row>
    <row r="94" customFormat="false" ht="13.8" hidden="false" customHeight="false" outlineLevel="0" collapsed="false">
      <c r="B94" s="2" t="n">
        <v>92</v>
      </c>
      <c r="C94" s="2" t="n">
        <v>0.09916985</v>
      </c>
      <c r="D94" s="2" t="n">
        <v>1.84181263281679E-018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0.0538019666666667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0.1106852</v>
      </c>
      <c r="D96" s="2" t="n">
        <v>0</v>
      </c>
      <c r="E96" s="2" t="n">
        <v>6.57741621484434E-018</v>
      </c>
    </row>
    <row r="97" customFormat="false" ht="13.8" hidden="false" customHeight="false" outlineLevel="0" collapsed="false">
      <c r="B97" s="2" t="n">
        <v>95</v>
      </c>
      <c r="C97" s="2" t="n">
        <v>0.0400524333333333</v>
      </c>
      <c r="D97" s="2" t="n">
        <v>0.0354191998488899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0.0354193333333333</v>
      </c>
      <c r="D98" s="2" t="n">
        <v>0.0336530332011113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0.0310197333333333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0.110585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0.0397513666666667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0.04161785</v>
      </c>
      <c r="D102" s="2" t="n">
        <v>0.0236172666099989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0.0529834833333333</v>
      </c>
      <c r="D103" s="2" t="n">
        <v>0</v>
      </c>
      <c r="E103" s="2" t="n">
        <v>1.84181263281254E-018</v>
      </c>
    </row>
    <row r="104" customFormat="false" ht="13.8" hidden="false" customHeight="false" outlineLevel="0" collapsed="false">
      <c r="B104" s="2" t="n">
        <v>102</v>
      </c>
      <c r="C104" s="2" t="n">
        <v>0.0176836333333333</v>
      </c>
      <c r="D104" s="2" t="n">
        <v>0</v>
      </c>
      <c r="E104" s="2" t="n">
        <v>4.60453158203128E-019</v>
      </c>
    </row>
    <row r="105" customFormat="false" ht="13.8" hidden="false" customHeight="false" outlineLevel="0" collapsed="false">
      <c r="B105" s="2" t="n">
        <v>103</v>
      </c>
      <c r="C105" s="2" t="n">
        <v>0.0771334</v>
      </c>
      <c r="D105" s="2" t="n">
        <v>0.0155367552486231</v>
      </c>
      <c r="E105" s="2" t="n">
        <v>1.84181263281254E-018</v>
      </c>
    </row>
    <row r="106" customFormat="false" ht="13.8" hidden="false" customHeight="false" outlineLevel="0" collapsed="false">
      <c r="B106" s="2" t="n">
        <v>104</v>
      </c>
      <c r="C106" s="2" t="n">
        <v>0.0120501833144437</v>
      </c>
      <c r="D106" s="2" t="n">
        <v>2.26921908057959E-010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0.0497504</v>
      </c>
      <c r="D107" s="2" t="n">
        <v>0.0565667833333333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0.0139166833333333</v>
      </c>
      <c r="D108" s="2" t="n">
        <v>0.051417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0.0745501333333333</v>
      </c>
      <c r="D109" s="2" t="n">
        <v>0.0559001333333333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0.0161669666666667</v>
      </c>
      <c r="D110" s="2" t="n">
        <v>0.0514001666666667</v>
      </c>
      <c r="E110" s="2" t="n">
        <v>9.2090631640626E-019</v>
      </c>
    </row>
    <row r="111" customFormat="false" ht="13.8" hidden="false" customHeight="false" outlineLevel="0" collapsed="false">
      <c r="B111" s="2" t="n">
        <v>109</v>
      </c>
      <c r="C111" s="2" t="n">
        <v>0.06400025</v>
      </c>
      <c r="D111" s="2" t="n">
        <v>0.0562668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0.0313835665344351</v>
      </c>
      <c r="D112" s="2" t="n">
        <v>1.58850125740346E-009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0.0448835165155441</v>
      </c>
      <c r="D113" s="2" t="n">
        <v>1.81543913325936E-009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0.0407335831633196</v>
      </c>
      <c r="D114" s="2" t="n">
        <v>2.04237929139362E-009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0.038999999811095</v>
      </c>
      <c r="D115" s="2" t="n">
        <v>2.26932172952032E-009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0.0380501497922034</v>
      </c>
      <c r="D116" s="2" t="n">
        <v>2.49626644911916E-009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0.0548334164399783</v>
      </c>
      <c r="D117" s="2" t="n">
        <v>2.72321345019618E-009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0.0224167497544198</v>
      </c>
      <c r="D118" s="2" t="n">
        <v>2.95016273321068E-009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0.0554500164021943</v>
      </c>
      <c r="D119" s="2" t="n">
        <v>3.17711429494863E-009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0.0201126507992308</v>
      </c>
      <c r="D120" s="2" t="n">
        <v>3.40406814026777E-009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0.0279748018629338</v>
      </c>
      <c r="D121" s="2" t="n">
        <v>3.63102426651917E-009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0.0681705029266366</v>
      </c>
      <c r="D122" s="2" t="n">
        <v>3.85798267462722E-009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0.00538260399033922</v>
      </c>
      <c r="D123" s="2" t="n">
        <v>4.0849433629278E-009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0.0114673038332895</v>
      </c>
      <c r="D124" s="2" t="n">
        <v>7.68929026858831E-019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0.0354974898629963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0.0553384982552241</v>
      </c>
      <c r="D126" s="2" t="n">
        <v>0.0486365220938716</v>
      </c>
      <c r="E126" s="2" t="n">
        <v>1.84181263281254E-018</v>
      </c>
    </row>
    <row r="127" customFormat="false" ht="13.8" hidden="false" customHeight="false" outlineLevel="0" collapsed="false">
      <c r="B127" s="2" t="n">
        <v>125</v>
      </c>
      <c r="C127" s="2" t="n">
        <v>0.00250100638942558</v>
      </c>
      <c r="D127" s="2" t="n">
        <v>0.0130090209914137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0.0543125706124222</v>
      </c>
      <c r="D128" s="2" t="n">
        <v>0.0217965521614813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0.00208661572508198</v>
      </c>
      <c r="D130" s="2" t="n">
        <v>0.000705247834950101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0.0178314632814119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0.0177028035088908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1.00488531170543E-009</v>
      </c>
      <c r="D135" s="2" t="n">
        <v>1.00488531170543E-009</v>
      </c>
      <c r="E135" s="2" t="n">
        <v>1.00488531170543E-009</v>
      </c>
    </row>
    <row r="136" customFormat="false" ht="13.8" hidden="false" customHeight="false" outlineLevel="0" collapsed="false">
      <c r="B136" s="2" t="n">
        <v>134</v>
      </c>
      <c r="C136" s="2" t="n">
        <v>0.00499104773249637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5.02445759006693E-010</v>
      </c>
      <c r="D138" s="2" t="n">
        <v>5.02445168082287E-010</v>
      </c>
      <c r="E138" s="2" t="n">
        <v>5.02445168082287E-010</v>
      </c>
    </row>
    <row r="139" customFormat="false" ht="13.8" hidden="false" customHeight="false" outlineLevel="0" collapsed="false">
      <c r="B139" s="2" t="n">
        <v>137</v>
      </c>
      <c r="C139" s="2" t="n">
        <v>5.46750037715119E-010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2.53433848384989E-010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2.31887017271826E-009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1.36689559842211E-009</v>
      </c>
      <c r="D142" s="2" t="n">
        <v>6.59441837319556E-017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9.53081284750941E-010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1.91367297879903E-009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1.49986413124129E-009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2.4604612933036E-009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2.73385954614786E-009</v>
      </c>
      <c r="D147" s="2" t="n">
        <v>4.53110833130452E-017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3.00726054275593E-009</v>
      </c>
      <c r="D148" s="2" t="n">
        <v>2.7337365099263E-010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1.90625411881904E-009</v>
      </c>
      <c r="D149" s="2" t="n">
        <v>0</v>
      </c>
      <c r="E149" s="2" t="n">
        <v>8.44771051325797E-011</v>
      </c>
    </row>
    <row r="150" customFormat="false" ht="13.8" hidden="false" customHeight="false" outlineLevel="0" collapsed="false">
      <c r="B150" s="2" t="n">
        <v>148</v>
      </c>
      <c r="C150" s="2" t="n">
        <v>2.17966057770979E-009</v>
      </c>
      <c r="D150" s="2" t="n">
        <v>0</v>
      </c>
      <c r="E150" s="2" t="n">
        <v>3.68362528096095E-018</v>
      </c>
    </row>
    <row r="151" customFormat="false" ht="13.8" hidden="false" customHeight="false" outlineLevel="0" collapsed="false">
      <c r="B151" s="2" t="n">
        <v>149</v>
      </c>
      <c r="C151" s="2" t="n">
        <v>1.76585438825377E-009</v>
      </c>
      <c r="D151" s="2" t="n">
        <v>2.62143998544838E-019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1.35204405964918E-009</v>
      </c>
      <c r="D152" s="2" t="n">
        <v>8.44771053619558E-011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1.35173504802942E-009</v>
      </c>
      <c r="D153" s="2" t="n">
        <v>2.86014653173169E-017</v>
      </c>
      <c r="E153" s="2" t="n">
        <v>3.23112084673481E-018</v>
      </c>
    </row>
    <row r="154" customFormat="false" ht="13.8" hidden="false" customHeight="false" outlineLevel="0" collapsed="false">
      <c r="B154" s="2" t="n">
        <v>152</v>
      </c>
      <c r="C154" s="2" t="n">
        <v>0.00384803888624415</v>
      </c>
      <c r="D154" s="2" t="n">
        <v>8.44771050729751E-011</v>
      </c>
      <c r="E154" s="2" t="n">
        <v>1.78220798931508E-018</v>
      </c>
    </row>
    <row r="155" customFormat="false" ht="13.8" hidden="false" customHeight="false" outlineLevel="0" collapsed="false">
      <c r="B155" s="2" t="n">
        <v>153</v>
      </c>
      <c r="C155" s="2" t="n">
        <v>6.31681330200861E-009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9.83039999431589E-020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1.96607999727166E-019</v>
      </c>
      <c r="D157" s="2" t="n">
        <v>1.96607999727166E-019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2.2937599966578E-019</v>
      </c>
      <c r="D158" s="2" t="n">
        <v>2.2937599966578E-019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0.00735968566261157</v>
      </c>
      <c r="D159" s="2" t="n">
        <v>1.31071999900789E-019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0.0384881398312663</v>
      </c>
      <c r="D160" s="2" t="n">
        <v>0.00321063584848153</v>
      </c>
      <c r="E160" s="2" t="n">
        <v>9.20906316565992E-019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1.84181263340231E-018</v>
      </c>
    </row>
    <row r="162" customFormat="false" ht="13.8" hidden="false" customHeight="false" outlineLevel="0" collapsed="false">
      <c r="B162" s="2" t="n">
        <v>160</v>
      </c>
      <c r="C162" s="2" t="n">
        <v>0.0422450481685758</v>
      </c>
      <c r="D162" s="2" t="n">
        <v>1.73079534339864E-018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1.84181263332367E-018</v>
      </c>
    </row>
    <row r="164" customFormat="false" ht="13.8" hidden="false" customHeight="false" outlineLevel="0" collapsed="false">
      <c r="B164" s="2" t="n">
        <v>162</v>
      </c>
      <c r="C164" s="2" t="n">
        <v>0.0201506218625379</v>
      </c>
      <c r="D164" s="2" t="n">
        <v>0.0250401083525229</v>
      </c>
      <c r="E164" s="2" t="n">
        <v>3.68362526754187E-018</v>
      </c>
    </row>
    <row r="165" customFormat="false" ht="13.8" hidden="false" customHeight="false" outlineLevel="0" collapsed="false">
      <c r="B165" s="2" t="n">
        <v>163</v>
      </c>
      <c r="C165" s="2" t="n">
        <v>0.0383440247211785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0.0451210275798191</v>
      </c>
      <c r="D166" s="2" t="n">
        <v>0.0537128653353661</v>
      </c>
      <c r="E166" s="2" t="n">
        <v>9.20906316512742E-019</v>
      </c>
    </row>
    <row r="167" customFormat="false" ht="13.8" hidden="false" customHeight="false" outlineLevel="0" collapsed="false">
      <c r="B167" s="2" t="n">
        <v>165</v>
      </c>
      <c r="C167" s="2" t="n">
        <v>0.051897813771793</v>
      </c>
      <c r="D167" s="2" t="n">
        <v>0.0190908854934544</v>
      </c>
      <c r="E167" s="2" t="n">
        <v>9.20906316507137E-019</v>
      </c>
    </row>
    <row r="168" customFormat="false" ht="13.8" hidden="false" customHeight="false" outlineLevel="0" collapsed="false">
      <c r="B168" s="2" t="n">
        <v>166</v>
      </c>
      <c r="C168" s="2" t="n">
        <v>0.0490056432571712</v>
      </c>
      <c r="D168" s="2" t="n">
        <v>0.00442560054029777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0.0529470734034439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0.0837212370341563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0.0554958006648689</v>
      </c>
      <c r="D171" s="2" t="n">
        <v>0</v>
      </c>
      <c r="E171" s="2" t="n">
        <v>1.84181263281254E-018</v>
      </c>
    </row>
    <row r="172" customFormat="false" ht="13.8" hidden="false" customHeight="false" outlineLevel="0" collapsed="false">
      <c r="B172" s="2" t="n">
        <v>170</v>
      </c>
      <c r="C172" s="2" t="n">
        <v>0.0944977419623016</v>
      </c>
      <c r="D172" s="2" t="n">
        <v>0</v>
      </c>
      <c r="E172" s="2" t="n">
        <v>2.72995094921884E-018</v>
      </c>
    </row>
    <row r="173" customFormat="false" ht="13.8" hidden="false" customHeight="false" outlineLevel="0" collapsed="false">
      <c r="B173" s="2" t="n">
        <v>171</v>
      </c>
      <c r="C173" s="2" t="n">
        <v>0.0442327499264012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0.0718015245571677</v>
      </c>
      <c r="D174" s="2" t="n">
        <v>0</v>
      </c>
      <c r="E174" s="2" t="n">
        <v>7.62939453125115E-018</v>
      </c>
    </row>
    <row r="175" customFormat="false" ht="13.8" hidden="false" customHeight="false" outlineLevel="0" collapsed="false">
      <c r="B175" s="2" t="n">
        <v>173</v>
      </c>
      <c r="C175" s="2" t="n">
        <v>0.0731201991879344</v>
      </c>
      <c r="D175" s="2" t="n">
        <v>0.0786683333144439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0.102286915873482</v>
      </c>
      <c r="D176" s="2" t="n">
        <v>0.0676496290904164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0.07570418255903</v>
      </c>
      <c r="D177" s="2" t="n">
        <v>0.0981361166666667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0.107136849244578</v>
      </c>
      <c r="D178" s="2" t="n">
        <v>0.06997055</v>
      </c>
      <c r="E178" s="2" t="n">
        <v>3.68362526562515E-018</v>
      </c>
    </row>
    <row r="179" customFormat="false" ht="13.8" hidden="false" customHeight="false" outlineLevel="0" collapsed="false">
      <c r="B179" s="2" t="n">
        <v>177</v>
      </c>
      <c r="C179" s="2" t="n">
        <v>0.0896874159301264</v>
      </c>
      <c r="D179" s="2" t="n">
        <v>0.09387015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0.108454449282342</v>
      </c>
      <c r="D180" s="2" t="n">
        <v>0.103386216666667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0.0871543659678903</v>
      </c>
      <c r="D181" s="2" t="n">
        <v>0.113619583333333</v>
      </c>
      <c r="E181" s="2" t="n">
        <v>5.52543789843782E-018</v>
      </c>
    </row>
    <row r="182" customFormat="false" ht="13.8" hidden="false" customHeight="false" outlineLevel="0" collapsed="false">
      <c r="B182" s="2" t="n">
        <v>180</v>
      </c>
      <c r="C182" s="2" t="n">
        <v>0.0969210826534392</v>
      </c>
      <c r="D182" s="2" t="n">
        <v>0.0953532333333333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0.076987366005655</v>
      </c>
      <c r="D183" s="2" t="n">
        <v>0.107020666666667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0.0756705160245376</v>
      </c>
      <c r="D184" s="2" t="n">
        <v>0.0693875833333333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0.0627867160434204</v>
      </c>
      <c r="D185" s="2" t="n">
        <v>0.06595405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0.0442372993956368</v>
      </c>
      <c r="D186" s="2" t="n">
        <v>0.102954316666667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0.107970582747853</v>
      </c>
      <c r="D187" s="2" t="n">
        <v>0.0702205166666667</v>
      </c>
      <c r="E187" s="2" t="n">
        <v>1.84181263281254E-018</v>
      </c>
    </row>
    <row r="188" customFormat="false" ht="13.8" hidden="false" customHeight="false" outlineLevel="0" collapsed="false">
      <c r="B188" s="2" t="n">
        <v>186</v>
      </c>
      <c r="C188" s="2" t="n">
        <v>0.0485375327667368</v>
      </c>
      <c r="D188" s="2" t="n">
        <v>0.0825533166666667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0.0737532994522871</v>
      </c>
      <c r="D189" s="2" t="n">
        <v>0.128536083333333</v>
      </c>
      <c r="E189" s="2" t="n">
        <v>3.68362526562515E-018</v>
      </c>
    </row>
    <row r="190" customFormat="false" ht="13.8" hidden="false" customHeight="false" outlineLevel="0" collapsed="false">
      <c r="B190" s="2" t="n">
        <v>188</v>
      </c>
      <c r="C190" s="2" t="n">
        <v>0.0948363661378377</v>
      </c>
      <c r="D190" s="2" t="n">
        <v>0.0646193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0.0686530328233884</v>
      </c>
      <c r="D191" s="2" t="n">
        <v>0.108769583333333</v>
      </c>
      <c r="E191" s="2" t="n">
        <v>9.2090631640626E-019</v>
      </c>
    </row>
    <row r="192" customFormat="false" ht="13.8" hidden="false" customHeight="false" outlineLevel="0" collapsed="false">
      <c r="B192" s="2" t="n">
        <v>190</v>
      </c>
      <c r="C192" s="2" t="n">
        <v>0.0591200495089393</v>
      </c>
      <c r="D192" s="2" t="n">
        <v>0.0495533166666667</v>
      </c>
      <c r="E192" s="2" t="n">
        <v>9.2090631640626E-019</v>
      </c>
    </row>
    <row r="193" customFormat="false" ht="13.8" hidden="false" customHeight="false" outlineLevel="0" collapsed="false">
      <c r="B193" s="2" t="n">
        <v>191</v>
      </c>
      <c r="C193" s="2" t="n">
        <v>0.018568832861157</v>
      </c>
      <c r="D193" s="2" t="n">
        <v>0.0573702166666667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0.0445024828800417</v>
      </c>
      <c r="D194" s="2" t="n">
        <v>0.01970365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0.0092691995655932</v>
      </c>
      <c r="D195" s="2" t="n">
        <v>0.0158692333333333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0.0289523829178116</v>
      </c>
      <c r="D196" s="2" t="n">
        <v>0.0939356166666667</v>
      </c>
      <c r="E196" s="2" t="n">
        <v>3.68362526562504E-018</v>
      </c>
    </row>
    <row r="197" customFormat="false" ht="13.8" hidden="false" customHeight="false" outlineLevel="0" collapsed="false">
      <c r="B197" s="2" t="n">
        <v>195</v>
      </c>
      <c r="C197" s="2" t="n">
        <v>0.0817680496033635</v>
      </c>
      <c r="D197" s="2" t="n">
        <v>0.01353505</v>
      </c>
      <c r="E197" s="2" t="n">
        <v>5.65650989843797E-018</v>
      </c>
    </row>
    <row r="198" customFormat="false" ht="13.8" hidden="false" customHeight="false" outlineLevel="0" collapsed="false">
      <c r="B198" s="2" t="n">
        <v>196</v>
      </c>
      <c r="C198" s="2" t="n">
        <v>0.0132504825399662</v>
      </c>
      <c r="D198" s="2" t="n">
        <v>4.99280893389639E-009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9.53087334046358E-009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0.0137501158732832</v>
      </c>
      <c r="D200" s="2" t="n">
        <v>5.44675540869255E-009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0.0465835825399418</v>
      </c>
      <c r="D201" s="2" t="n">
        <v>5.67373206816826E-009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0.0152499992066003</v>
      </c>
      <c r="D202" s="2" t="n">
        <v>5.90071100985358E-009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0.0799167492065922</v>
      </c>
      <c r="D203" s="2" t="n">
        <v>6.12769223365689E-009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0.0146502325399174</v>
      </c>
      <c r="D204" s="2" t="n">
        <v>6.35467573695777E-009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0.0142169158732427</v>
      </c>
      <c r="D205" s="2" t="n">
        <v>6.5816615230554E-009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0.0700001325399012</v>
      </c>
      <c r="D206" s="2" t="n">
        <v>6.80864959189891E-009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9.53163584526736E-009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0.0702501325398851</v>
      </c>
      <c r="D208" s="2" t="n">
        <v>7.26263257362539E-009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0.0190833992065437</v>
      </c>
      <c r="D209" s="2" t="n">
        <v>7.48962748598327E-009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0.0713833992065357</v>
      </c>
      <c r="D210" s="2" t="n">
        <v>7.71662468134419E-009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0.0185337158731943</v>
      </c>
      <c r="D211" s="2" t="n">
        <v>7.94362415783039E-009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0.044183582539853</v>
      </c>
      <c r="D212" s="2" t="n">
        <v>8.1706259173827E-009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0.0410000492065117</v>
      </c>
      <c r="D213" s="2" t="n">
        <v>8.39762995710695E-009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0.067166682539837</v>
      </c>
      <c r="D214" s="2" t="n">
        <v>8.62463628054711E-009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0.0834999992064957</v>
      </c>
      <c r="D215" s="2" t="n">
        <v>8.85164488418892E-009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9.53249373545261E-009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0.0746782810414619</v>
      </c>
      <c r="D217" s="2" t="n">
        <v>9.30566893719959E-009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0.0404491116917806</v>
      </c>
      <c r="D218" s="2" t="n">
        <v>9.53268438805221E-009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0.0710064628386491</v>
      </c>
      <c r="D219" s="2" t="n">
        <v>9.75970212119099E-009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0.0401110445792581</v>
      </c>
      <c r="D220" s="2" t="n">
        <v>9.98672213479116E-009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0.0601654938178656</v>
      </c>
      <c r="D221" s="2" t="n">
        <v>0.0325973516964001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0.039136675558483</v>
      </c>
      <c r="D222" s="2" t="n">
        <v>0.0125050154466318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0.052491573965767</v>
      </c>
      <c r="D223" s="2" t="n">
        <v>0.0312786291968636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0.0245273134484391</v>
      </c>
      <c r="D224" s="2" t="n">
        <v>0.0152224454805601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0.0343631862644446</v>
      </c>
      <c r="D225" s="2" t="n">
        <v>0.000633478430923262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0.00319907574711671</v>
      </c>
      <c r="D226" s="2" t="n">
        <v>0.00611076138128644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0.0203186652297889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0.00226686406088136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1.84181264048051E-018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5.79708846329816E-010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9.20906318323254E-019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5.03707782130574E-010</v>
      </c>
      <c r="D236" s="2" t="n">
        <v>5.02445168082287E-010</v>
      </c>
      <c r="E236" s="2" t="n">
        <v>5.02445168082287E-010</v>
      </c>
    </row>
    <row r="237" customFormat="false" ht="13.8" hidden="false" customHeight="false" outlineLevel="0" collapsed="false">
      <c r="B237" s="2" t="n">
        <v>235</v>
      </c>
      <c r="C237" s="2" t="n">
        <v>1.09351101357836E-009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9.44501631404409E-010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1.13340762477909E-009</v>
      </c>
      <c r="D239" s="2" t="n">
        <v>4.72241484615141E-011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5.44132862255356E-010</v>
      </c>
      <c r="D240" s="2" t="n">
        <v>5.72789952365919E-010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5.70825041614739E-010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5.71424972175581E-010</v>
      </c>
      <c r="D242" s="2" t="n">
        <v>2.31887017336178E-009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2.86412221970669E-009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4.90363660600428E-009</v>
      </c>
      <c r="D244" s="2" t="n">
        <v>1.801035605513E-009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2.2948128044731E-009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2.29126328395907E-009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2.28858955156175E-009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2.28650534898089E-009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6.55359999610234E-020</v>
      </c>
      <c r="D249" s="2" t="n">
        <v>6.55359999610234E-020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2.62143999454328E-019</v>
      </c>
      <c r="D250" s="2" t="n">
        <v>2.62143999454328E-019</v>
      </c>
      <c r="E250" s="2" t="n">
        <v>4.07684127301991E-018</v>
      </c>
    </row>
    <row r="251" customFormat="false" ht="13.8" hidden="false" customHeight="false" outlineLevel="0" collapsed="false">
      <c r="B251" s="2" t="n">
        <v>249</v>
      </c>
      <c r="C251" s="2" t="n">
        <v>2.12991999679799E-019</v>
      </c>
      <c r="D251" s="2" t="n">
        <v>2.12991999679799E-019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1.9660799975445E-019</v>
      </c>
      <c r="D252" s="2" t="n">
        <v>1.9660799975445E-019</v>
      </c>
      <c r="E252" s="2" t="n">
        <v>4.96497959171133E-018</v>
      </c>
    </row>
    <row r="253" customFormat="false" ht="13.8" hidden="false" customHeight="false" outlineLevel="0" collapsed="false">
      <c r="B253" s="2" t="n">
        <v>251</v>
      </c>
      <c r="C253" s="2" t="n">
        <v>5.89823997990966E-019</v>
      </c>
      <c r="D253" s="2" t="n">
        <v>5.89823997990966E-019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1.96607999795378E-019</v>
      </c>
      <c r="D254" s="2" t="n">
        <v>1.96607999795378E-019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6.66837880168601E-018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8.11645142876715E-009</v>
      </c>
    </row>
    <row r="257" customFormat="false" ht="13.8" hidden="false" customHeight="false" outlineLevel="0" collapsed="false">
      <c r="B257" s="2" t="n">
        <v>255</v>
      </c>
      <c r="C257" s="2" t="n">
        <v>0.0130649493857956</v>
      </c>
      <c r="D257" s="2" t="n">
        <v>0.00422633013573824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0.0550356267539045</v>
      </c>
      <c r="D258" s="2" t="n">
        <v>0.00286767163361464</v>
      </c>
      <c r="E258" s="2" t="n">
        <v>0</v>
      </c>
    </row>
    <row r="259" customFormat="false" ht="13.8" hidden="false" customHeight="false" outlineLevel="0" collapsed="false">
      <c r="B259" s="2" t="n">
        <v>257</v>
      </c>
      <c r="C259" s="2" t="n">
        <v>0.0450063030456344</v>
      </c>
      <c r="D259" s="2" t="n">
        <v>0.0226751126781994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0.0723971555615029</v>
      </c>
      <c r="D260" s="2" t="n">
        <v>0.0730741171815045</v>
      </c>
      <c r="E260" s="2" t="n">
        <v>1.84181263281254E-018</v>
      </c>
    </row>
    <row r="261" customFormat="false" ht="13.8" hidden="false" customHeight="false" outlineLevel="0" collapsed="false">
      <c r="B261" s="2" t="n">
        <v>259</v>
      </c>
      <c r="C261" s="2" t="n">
        <v>0.0477877914107048</v>
      </c>
      <c r="D261" s="2" t="n">
        <v>0.046223405018143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0.0683451439265737</v>
      </c>
      <c r="D262" s="2" t="n">
        <v>0.0881227928547818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0.0440690297757761</v>
      </c>
      <c r="D263" s="2" t="n">
        <v>0.0546888640247542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0.0840519846004949</v>
      </c>
      <c r="D264" s="2" t="n">
        <v>0.0856834729430135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0.0560347727585472</v>
      </c>
      <c r="D265" s="2" t="n">
        <v>0.0565112151946064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0.0891511109165997</v>
      </c>
      <c r="D266" s="2" t="n">
        <v>0.0910060741128661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0.0500848157413191</v>
      </c>
      <c r="D267" s="2" t="n">
        <v>0.0628846663644594</v>
      </c>
      <c r="E267" s="2" t="n">
        <v>1.84181263281254E-018</v>
      </c>
    </row>
    <row r="268" customFormat="false" ht="13.8" hidden="false" customHeight="false" outlineLevel="0" collapsed="false">
      <c r="B268" s="2" t="n">
        <v>266</v>
      </c>
      <c r="C268" s="2" t="n">
        <v>0.0928853990935323</v>
      </c>
      <c r="D268" s="2" t="n">
        <v>0.0624514163833458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0.0554029491124123</v>
      </c>
      <c r="D269" s="2" t="n">
        <v>0.0978021497355658</v>
      </c>
      <c r="E269" s="2" t="n">
        <v>9.47120716406397E-018</v>
      </c>
    </row>
    <row r="270" customFormat="false" ht="13.8" hidden="false" customHeight="false" outlineLevel="0" collapsed="false">
      <c r="B270" s="2" t="n">
        <v>268</v>
      </c>
      <c r="C270" s="2" t="n">
        <v>0.106236565797959</v>
      </c>
      <c r="D270" s="2" t="n">
        <v>0.0608192497544527</v>
      </c>
      <c r="E270" s="2" t="n">
        <v>1.84181263281254E-018</v>
      </c>
    </row>
    <row r="271" customFormat="false" ht="13.8" hidden="false" customHeight="false" outlineLevel="0" collapsed="false">
      <c r="B271" s="2" t="n">
        <v>269</v>
      </c>
      <c r="C271" s="2" t="n">
        <v>0.0822527324835063</v>
      </c>
      <c r="D271" s="2" t="n">
        <v>0.0678863331066731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0.135585332502387</v>
      </c>
      <c r="D272" s="2" t="n">
        <v>0.108603066458894</v>
      </c>
      <c r="E272" s="2" t="n">
        <v>1.84181263281254E-018</v>
      </c>
    </row>
    <row r="273" customFormat="false" ht="13.8" hidden="false" customHeight="false" outlineLevel="0" collapsed="false">
      <c r="B273" s="2" t="n">
        <v>271</v>
      </c>
      <c r="C273" s="2" t="n">
        <v>0.0749529825212678</v>
      </c>
      <c r="D273" s="2" t="n">
        <v>0.0837364664777811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0.129270249206815</v>
      </c>
      <c r="D274" s="2" t="n">
        <v>0.0955699998300021</v>
      </c>
      <c r="E274" s="2" t="n">
        <v>7.62939453125115E-018</v>
      </c>
    </row>
    <row r="275" customFormat="false" ht="13.8" hidden="false" customHeight="false" outlineLevel="0" collapsed="false">
      <c r="B275" s="2" t="n">
        <v>273</v>
      </c>
      <c r="C275" s="2" t="n">
        <v>0.09805398255903</v>
      </c>
      <c r="D275" s="2" t="n">
        <v>0.0800534498488899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0.131586949244578</v>
      </c>
      <c r="D276" s="2" t="n">
        <v>0.106054016534445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0.0836371159301265</v>
      </c>
      <c r="D277" s="2" t="n">
        <v>0.0783046832199996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0.109820215949008</v>
      </c>
      <c r="D278" s="2" t="n">
        <v>0.0882707999055547</v>
      </c>
      <c r="E278" s="2" t="n">
        <v>1.37412091621991E-031</v>
      </c>
    </row>
    <row r="279" customFormat="false" ht="13.8" hidden="false" customHeight="false" outlineLevel="0" collapsed="false">
      <c r="B279" s="2" t="n">
        <v>277</v>
      </c>
      <c r="C279" s="2" t="n">
        <v>0.11192071596789</v>
      </c>
      <c r="D279" s="2" t="n">
        <v>0.10082011659111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0.123286749320106</v>
      </c>
      <c r="D280" s="2" t="n">
        <v>0.138620116609999</v>
      </c>
      <c r="E280" s="2" t="n">
        <v>3.68362526562515E-018</v>
      </c>
    </row>
    <row r="281" customFormat="false" ht="13.8" hidden="false" customHeight="false" outlineLevel="0" collapsed="false">
      <c r="B281" s="2" t="n">
        <v>279</v>
      </c>
      <c r="C281" s="2" t="n">
        <v>0.125603032672322</v>
      </c>
      <c r="D281" s="2" t="n">
        <v>0.0974536499622213</v>
      </c>
      <c r="E281" s="2" t="n">
        <v>4.7683715820317E-018</v>
      </c>
    </row>
    <row r="282" customFormat="false" ht="13.8" hidden="false" customHeight="false" outlineLevel="0" collapsed="false">
      <c r="B282" s="2" t="n">
        <v>280</v>
      </c>
      <c r="C282" s="2" t="n">
        <v>0.127503032691204</v>
      </c>
      <c r="D282" s="2" t="n">
        <v>0.0974038833144439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0.100237032710087</v>
      </c>
      <c r="D283" s="2" t="n">
        <v>0.0203074150790366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0.0824708327100805</v>
      </c>
      <c r="D284" s="2" t="n">
        <v>2.26921907313352E-010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0.0292544660434072</v>
      </c>
      <c r="D285" s="2" t="n">
        <v>4.53846097296664E-010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0.0412705827100673</v>
      </c>
      <c r="D286" s="2" t="n">
        <v>6.80772567063548E-010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0.0563370493767274</v>
      </c>
      <c r="D287" s="2" t="n">
        <v>9.07701317599226E-010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0.0514531660433875</v>
      </c>
      <c r="D288" s="2" t="n">
        <v>1.13463235009201E-009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0.0474855660433809</v>
      </c>
      <c r="D289" s="2" t="n">
        <v>1.36156566397395E-009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0.0842696827100411</v>
      </c>
      <c r="D290" s="2" t="n">
        <v>1.58850125793734E-009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0.0143861993767012</v>
      </c>
      <c r="D291" s="2" t="n">
        <v>1.8154391342419E-009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0.0266354993766947</v>
      </c>
      <c r="D292" s="2" t="n">
        <v>2.04237929048201E-009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0.0496180493766881</v>
      </c>
      <c r="D293" s="2" t="n">
        <v>2.26932173100426E-009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0.0402171493766817</v>
      </c>
      <c r="D294" s="2" t="n">
        <v>2.49626644921556E-009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0.0418501660433418</v>
      </c>
      <c r="D295" s="2" t="n">
        <v>2.72321344978969E-009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0.0441502493766687</v>
      </c>
      <c r="D296" s="2" t="n">
        <v>2.95016273180601E-009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7.48820458386487E-009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0.0369003493766558</v>
      </c>
      <c r="D298" s="2" t="n">
        <v>3.40406814061123E-009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0.0247333993766493</v>
      </c>
      <c r="D299" s="2" t="n">
        <v>3.63102426594392E-009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0.0483001660433096</v>
      </c>
      <c r="D300" s="2" t="n">
        <v>3.85798267378391E-009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0.0136335993766365</v>
      </c>
      <c r="D301" s="2" t="n">
        <v>4.08494336324735E-009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0.0416837493766301</v>
      </c>
      <c r="D302" s="2" t="n">
        <v>4.31190633337778E-009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0.0121502660432904</v>
      </c>
      <c r="D303" s="2" t="n">
        <v>4.53887158562594E-009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0.0279167493766173</v>
      </c>
      <c r="D304" s="2" t="n">
        <v>4.76583912074403E-009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0.0476166993766109</v>
      </c>
      <c r="D305" s="2" t="n">
        <v>4.99280893411252E-009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0.0382335993766046</v>
      </c>
      <c r="D306" s="2" t="n">
        <v>5.21978103022662E-009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0.0493667493765982</v>
      </c>
      <c r="D307" s="2" t="n">
        <v>5.44675540908452E-009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0.0385835493765919</v>
      </c>
      <c r="D308" s="2" t="n">
        <v>5.67373206785872E-009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7.48910322726893E-009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7.48917811936511E-009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7.48925301154406E-009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7.48932790452299E-009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0.0365327031683448</v>
      </c>
      <c r="D313" s="2" t="n">
        <v>6.80864959122047E-009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0.0395070800642308</v>
      </c>
      <c r="D314" s="2" t="n">
        <v>7.03563994099255E-009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0.0650317569601167</v>
      </c>
      <c r="D315" s="2" t="n">
        <v>7.26263257222235E-009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0.0446910539880268</v>
      </c>
      <c r="D316" s="2" t="n">
        <v>7.48962748553598E-009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0.0600362948413479</v>
      </c>
      <c r="D317" s="2" t="n">
        <v>0.0138804428415581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0.0248966134702374</v>
      </c>
      <c r="D318" s="2" t="n">
        <v>0.0301564097946431</v>
      </c>
      <c r="E318" s="2" t="n">
        <v>9.20906316406251E-019</v>
      </c>
    </row>
    <row r="319" customFormat="false" ht="13.8" hidden="false" customHeight="false" outlineLevel="0" collapsed="false">
      <c r="B319" s="2" t="n">
        <v>317</v>
      </c>
      <c r="C319" s="2" t="n">
        <v>0.0459073987657936</v>
      </c>
      <c r="D319" s="2" t="n">
        <v>0.0431176751963093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0.0345761179230685</v>
      </c>
      <c r="D320" s="2" t="n">
        <v>0.0167081675554762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0.0208988599146431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0.0110501420615599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0.0103660401720999</v>
      </c>
      <c r="D324" s="2" t="n">
        <v>2.08005736973585E-016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6.55359997271545E-020</v>
      </c>
      <c r="D325" s="2" t="n">
        <v>0</v>
      </c>
      <c r="E325" s="2" t="n">
        <v>6.55359997271545E-020</v>
      </c>
    </row>
    <row r="326" customFormat="false" ht="13.8" hidden="false" customHeight="false" outlineLevel="0" collapsed="false">
      <c r="B326" s="2" t="n">
        <v>324</v>
      </c>
      <c r="C326" s="2" t="n">
        <v>3.27679999658946E-020</v>
      </c>
      <c r="D326" s="2" t="n">
        <v>0</v>
      </c>
      <c r="E326" s="2" t="n">
        <v>3.27679999658946E-020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0.00669348259442457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1.68955052176375E-010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9.20906316725744E-019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6.55359999610234E-020</v>
      </c>
      <c r="D331" s="2" t="n">
        <v>0</v>
      </c>
      <c r="E331" s="2" t="n">
        <v>6.55359999610234E-020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1.84181263377097E-018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6.55359685120911E-020</v>
      </c>
      <c r="D333" s="2" t="n">
        <v>0</v>
      </c>
      <c r="E333" s="2" t="n">
        <v>6.55359999696852E-020</v>
      </c>
    </row>
    <row r="334" customFormat="false" ht="13.8" hidden="false" customHeight="false" outlineLevel="0" collapsed="false">
      <c r="B334" s="2" t="n">
        <v>332</v>
      </c>
      <c r="C334" s="2" t="n">
        <v>6.55359999727168E-020</v>
      </c>
      <c r="D334" s="2" t="n">
        <v>0</v>
      </c>
      <c r="E334" s="2" t="n">
        <v>6.55359999727168E-020</v>
      </c>
    </row>
    <row r="335" customFormat="false" ht="13.8" hidden="false" customHeight="false" outlineLevel="0" collapsed="false">
      <c r="B335" s="2" t="n">
        <v>333</v>
      </c>
      <c r="C335" s="2" t="n">
        <v>8.44771039557758E-011</v>
      </c>
      <c r="D335" s="2" t="n">
        <v>0</v>
      </c>
      <c r="E335" s="2" t="n">
        <v>3.27679999937994E-020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9.20906316553704E-019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1.84181263336018E-018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6.04505435639903E-017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1.84181263329172E-018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1.90734886392179E-018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1.41999198483871E-016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9.20906316507137E-019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6.55359999870088E-020</v>
      </c>
      <c r="D345" s="2" t="n">
        <v>0</v>
      </c>
      <c r="E345" s="2" t="n">
        <v>6.55359999870088E-020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0.00755129812232699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0.0126014829247494</v>
      </c>
      <c r="D348" s="2" t="n">
        <v>9.53674316571667E-019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0.017118451060505</v>
      </c>
      <c r="D349" s="2" t="n">
        <v>0</v>
      </c>
      <c r="E349" s="2" t="n">
        <v>3.22317213090516E-018</v>
      </c>
    </row>
    <row r="350" customFormat="false" ht="13.8" hidden="false" customHeight="false" outlineLevel="0" collapsed="false">
      <c r="B350" s="2" t="n">
        <v>348</v>
      </c>
      <c r="C350" s="2" t="n">
        <v>0.021502352529594</v>
      </c>
      <c r="D350" s="2" t="n">
        <v>0</v>
      </c>
      <c r="E350" s="2" t="n">
        <v>8.73222610170903E-018</v>
      </c>
    </row>
    <row r="351" customFormat="false" ht="13.8" hidden="false" customHeight="false" outlineLevel="0" collapsed="false">
      <c r="B351" s="2" t="n">
        <v>349</v>
      </c>
      <c r="C351" s="2" t="n">
        <v>0.026153103998683</v>
      </c>
      <c r="D351" s="2" t="n">
        <v>0.00436784562085379</v>
      </c>
      <c r="E351" s="2" t="n">
        <v>2.53433845965845E-010</v>
      </c>
    </row>
    <row r="352" customFormat="false" ht="13.8" hidden="false" customHeight="false" outlineLevel="0" collapsed="false">
      <c r="B352" s="2" t="n">
        <v>350</v>
      </c>
      <c r="C352" s="2" t="n">
        <v>0.0240969964798242</v>
      </c>
      <c r="D352" s="2" t="n">
        <v>0.0106216775866332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0.0420407889609654</v>
      </c>
      <c r="D353" s="2" t="n">
        <v>0.0298755095524127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0.0499846307055664</v>
      </c>
      <c r="D354" s="2" t="n">
        <v>0.039379307750452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0.0579285065389228</v>
      </c>
      <c r="D355" s="2" t="n">
        <v>0.0601331730684498</v>
      </c>
      <c r="E355" s="2" t="n">
        <v>9.2090631640626E-019</v>
      </c>
    </row>
    <row r="356" customFormat="false" ht="13.8" hidden="false" customHeight="false" outlineLevel="0" collapsed="false">
      <c r="B356" s="2" t="n">
        <v>354</v>
      </c>
      <c r="C356" s="2" t="n">
        <v>0.0609720503036928</v>
      </c>
      <c r="D356" s="2" t="n">
        <v>0.0195611123760881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0.047848944068463</v>
      </c>
      <c r="D357" s="2" t="n">
        <v>0.0799883850170599</v>
      </c>
      <c r="E357" s="2" t="n">
        <v>9.2090631640626E-019</v>
      </c>
    </row>
    <row r="358" customFormat="false" ht="13.8" hidden="false" customHeight="false" outlineLevel="0" collapsed="false">
      <c r="B358" s="2" t="n">
        <v>356</v>
      </c>
      <c r="C358" s="2" t="n">
        <v>0.0751424211665668</v>
      </c>
      <c r="D358" s="2" t="n">
        <v>0.0586657909913653</v>
      </c>
      <c r="E358" s="2" t="n">
        <v>9.2090631640626E-019</v>
      </c>
    </row>
    <row r="359" customFormat="false" ht="13.8" hidden="false" customHeight="false" outlineLevel="0" collapsed="false">
      <c r="B359" s="2" t="n">
        <v>357</v>
      </c>
      <c r="C359" s="2" t="n">
        <v>0.0444691982646708</v>
      </c>
      <c r="D359" s="2" t="n">
        <v>0.0846767802990041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0.0848686860568537</v>
      </c>
      <c r="D360" s="2" t="n">
        <v>0.0535912934914776</v>
      </c>
      <c r="E360" s="2" t="n">
        <v>1.84181263281254E-018</v>
      </c>
    </row>
    <row r="361" customFormat="false" ht="13.8" hidden="false" customHeight="false" outlineLevel="0" collapsed="false">
      <c r="B361" s="2" t="n">
        <v>359</v>
      </c>
      <c r="C361" s="2" t="n">
        <v>0.0526346738490367</v>
      </c>
      <c r="D361" s="2" t="n">
        <v>0.0631888900172846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0.09240081164122</v>
      </c>
      <c r="D362" s="2" t="n">
        <v>0.0656026365430918</v>
      </c>
      <c r="E362" s="2" t="n">
        <v>8.4847648476573E-018</v>
      </c>
    </row>
    <row r="363" customFormat="false" ht="13.8" hidden="false" customHeight="false" outlineLevel="0" collapsed="false">
      <c r="B363" s="2" t="n">
        <v>361</v>
      </c>
      <c r="C363" s="2" t="n">
        <v>0.0510006994334035</v>
      </c>
      <c r="D363" s="2" t="n">
        <v>0.0537338830688992</v>
      </c>
      <c r="E363" s="2" t="n">
        <v>1.84181263281254E-018</v>
      </c>
    </row>
    <row r="364" customFormat="false" ht="13.8" hidden="false" customHeight="false" outlineLevel="0" collapsed="false">
      <c r="B364" s="2" t="n">
        <v>362</v>
      </c>
      <c r="C364" s="2" t="n">
        <v>0.0900011994522872</v>
      </c>
      <c r="D364" s="2" t="n">
        <v>0.0550845497544527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0.063018149471171</v>
      </c>
      <c r="D365" s="2" t="n">
        <v>0.10198539977334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0.117152066156722</v>
      </c>
      <c r="D366" s="2" t="n">
        <v>0.060553149792227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0.0912363495089393</v>
      </c>
      <c r="D367" s="2" t="n">
        <v>0.102053849811114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0.123754149527824</v>
      </c>
      <c r="D368" s="2" t="n">
        <v>0.0374549164966688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0.091020716213375</v>
      </c>
      <c r="D369" s="2" t="n">
        <v>0.0468045831822233</v>
      </c>
      <c r="E369" s="2" t="n">
        <v>6.90679737304693E-019</v>
      </c>
    </row>
    <row r="370" customFormat="false" ht="13.8" hidden="false" customHeight="false" outlineLevel="0" collapsed="false">
      <c r="B370" s="2" t="n">
        <v>368</v>
      </c>
      <c r="C370" s="2" t="n">
        <v>0.132520882898927</v>
      </c>
      <c r="D370" s="2" t="n">
        <v>0.0495872665344447</v>
      </c>
      <c r="E370" s="2" t="n">
        <v>1.84181263281254E-018</v>
      </c>
    </row>
    <row r="371" customFormat="false" ht="13.8" hidden="false" customHeight="false" outlineLevel="0" collapsed="false">
      <c r="B371" s="2" t="n">
        <v>369</v>
      </c>
      <c r="C371" s="2" t="n">
        <v>0.107003866251145</v>
      </c>
      <c r="D371" s="2" t="n">
        <v>0.0757035498866663</v>
      </c>
      <c r="E371" s="2" t="n">
        <v>1.84181263281254E-018</v>
      </c>
    </row>
    <row r="372" customFormat="false" ht="13.8" hidden="false" customHeight="false" outlineLevel="0" collapsed="false">
      <c r="B372" s="2" t="n">
        <v>370</v>
      </c>
      <c r="C372" s="2" t="n">
        <v>0.150203282936697</v>
      </c>
      <c r="D372" s="2" t="n">
        <v>0.083235833238888</v>
      </c>
      <c r="E372" s="2" t="n">
        <v>1.84181263281254E-018</v>
      </c>
    </row>
    <row r="373" customFormat="false" ht="13.8" hidden="false" customHeight="false" outlineLevel="0" collapsed="false">
      <c r="B373" s="2" t="n">
        <v>371</v>
      </c>
      <c r="C373" s="2" t="n">
        <v>0.110736632955582</v>
      </c>
      <c r="D373" s="2" t="n">
        <v>0.0814535832577767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0.145737282974468</v>
      </c>
      <c r="D374" s="2" t="n">
        <v>0.0675545999433322</v>
      </c>
      <c r="E374" s="2" t="n">
        <v>1.84181263281254E-018</v>
      </c>
    </row>
    <row r="375" customFormat="false" ht="13.8" hidden="false" customHeight="false" outlineLevel="0" collapsed="false">
      <c r="B375" s="2" t="n">
        <v>373</v>
      </c>
      <c r="C375" s="2" t="n">
        <v>0.0894544163266871</v>
      </c>
      <c r="D375" s="2" t="n">
        <v>0.0763707999622213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0.0792382663455731</v>
      </c>
      <c r="D376" s="2" t="n">
        <v>0.0992538333144439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0.083254183031126</v>
      </c>
      <c r="D377" s="2" t="n">
        <v>0.0159004296836711</v>
      </c>
      <c r="E377" s="2" t="n">
        <v>1.8418126328125E-018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0.0747544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3.63051595565769E-009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3.63055226166538E-009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0.0795870330311133</v>
      </c>
      <c r="D381" s="2" t="n">
        <v>9.07701318528785E-010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0.0716862996977768</v>
      </c>
      <c r="D382" s="2" t="n">
        <v>1.13463235031127E-009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0.0777532163644403</v>
      </c>
      <c r="D383" s="2" t="n">
        <v>1.36156566392902E-009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0.0595872496977705</v>
      </c>
      <c r="D384" s="2" t="n">
        <v>1.58850125840104E-009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0.0286692663644341</v>
      </c>
      <c r="D385" s="2" t="n">
        <v>1.81543913402476E-009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0.076386216364431</v>
      </c>
      <c r="D386" s="2" t="n">
        <v>2.04237929121831E-009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0.0751863663644279</v>
      </c>
      <c r="D387" s="2" t="n">
        <v>2.26932172914195E-009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0.0134359163644248</v>
      </c>
      <c r="D388" s="2" t="n">
        <v>2.49626644910911E-009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0.090568049697755</v>
      </c>
      <c r="D389" s="2" t="n">
        <v>2.7232134498361E-009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0.024150949697752</v>
      </c>
      <c r="D390" s="2" t="n">
        <v>2.95016273138537E-009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0.0707169830310823</v>
      </c>
      <c r="D391" s="2" t="n">
        <v>3.17711429553637E-009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0.0230001330310792</v>
      </c>
      <c r="D392" s="2" t="n">
        <v>3.4040681416662E-009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0.0354048118565377</v>
      </c>
      <c r="D393" s="2" t="n">
        <v>3.63102426793343E-009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0.054516966062196</v>
      </c>
      <c r="D394" s="2" t="n">
        <v>3.85798267385254E-009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0.0338334493955231</v>
      </c>
      <c r="D395" s="2" t="n">
        <v>4.0849433633551E-009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0.0519002493955169</v>
      </c>
      <c r="D396" s="2" t="n">
        <v>4.3119063335253E-009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0.0334335160621774</v>
      </c>
      <c r="D397" s="2" t="n">
        <v>4.53887158495983E-009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0.0226008993955046</v>
      </c>
      <c r="D398" s="2" t="n">
        <v>4.76583911898336E-009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0.0683670493954984</v>
      </c>
      <c r="D399" s="2" t="n">
        <v>4.99280893337671E-009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0.0170667993954922</v>
      </c>
      <c r="D400" s="2" t="n">
        <v>5.2197810308465E-009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0.0661169327288194</v>
      </c>
      <c r="D401" s="2" t="n">
        <v>5.44675540933494E-009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0.00516724939547995</v>
      </c>
      <c r="D402" s="2" t="n">
        <v>5.67373206833246E-009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0.0619669327288072</v>
      </c>
      <c r="D403" s="2" t="n">
        <v>5.90071100966069E-009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0.0219834160621344</v>
      </c>
      <c r="D404" s="2" t="n">
        <v>6.12769223241715E-009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0.0591003993954616</v>
      </c>
      <c r="D405" s="2" t="n">
        <v>6.35467573755955E-009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0.0211169327287889</v>
      </c>
      <c r="D406" s="2" t="n">
        <v>6.58166152395632E-009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0.0484168160621161</v>
      </c>
      <c r="D407" s="2" t="n">
        <v>6.80864959160759E-009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0.0447954291243478</v>
      </c>
      <c r="D408" s="2" t="n">
        <v>7.03563994136905E-009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0.0679232255199129</v>
      </c>
      <c r="D409" s="2" t="n">
        <v>7.26263257262177E-009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0.0473181885443655</v>
      </c>
      <c r="D410" s="2" t="n">
        <v>7.48962748589815E-009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0.0540301016065968</v>
      </c>
      <c r="D411" s="2" t="n">
        <v>7.71662468125328E-009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0.0358404599908096</v>
      </c>
      <c r="D412" s="2" t="n">
        <v>0.0265055503068949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0.0546833510660014</v>
      </c>
      <c r="D413" s="2" t="n">
        <v>0.0123169732713381</v>
      </c>
      <c r="E413" s="2" t="n">
        <v>1.84181263281254E-018</v>
      </c>
    </row>
    <row r="414" customFormat="false" ht="13.8" hidden="false" customHeight="false" outlineLevel="0" collapsed="false">
      <c r="B414" s="2" t="n">
        <v>412</v>
      </c>
      <c r="C414" s="2" t="n">
        <v>0.0233768754745266</v>
      </c>
      <c r="D414" s="2" t="n">
        <v>0.000198129845375691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0.0568536665497184</v>
      </c>
      <c r="D415" s="2" t="n">
        <v>0.0023029946146161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0.00232275744138479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0.0498239983330512</v>
      </c>
      <c r="D417" s="2" t="n">
        <v>0.0341200518419642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0.0253624967830507</v>
      </c>
      <c r="D419" s="2" t="n">
        <v>0.00688744240264555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8.44771051325797E-011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0.0208966988074316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5.79708847616854E-010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1.63839999829472E-020</v>
      </c>
      <c r="E428" s="2" t="n">
        <v>1.63839999829472E-020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5.79708849445647E-010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4.72241501900552E-011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1.88896548279195E-010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4.19142424890326E-016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5.7970884876936E-010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5.72789950688086E-010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1.73914393391783E-009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0.00411328491486027</v>
      </c>
      <c r="D441" s="2" t="n">
        <v>0</v>
      </c>
      <c r="E441" s="2" t="n">
        <v>5.96046447753907E-020</v>
      </c>
    </row>
    <row r="442" customFormat="false" ht="13.8" hidden="false" customHeight="false" outlineLevel="0" collapsed="false">
      <c r="B442" s="2" t="n">
        <v>440</v>
      </c>
      <c r="C442" s="2" t="n">
        <v>0.00941407356110898</v>
      </c>
      <c r="D442" s="2" t="n">
        <v>0</v>
      </c>
      <c r="E442" s="2" t="n">
        <v>8.44771051325797E-011</v>
      </c>
    </row>
    <row r="443" customFormat="false" ht="13.8" hidden="false" customHeight="false" outlineLevel="0" collapsed="false">
      <c r="B443" s="2" t="n">
        <v>441</v>
      </c>
      <c r="C443" s="2" t="n">
        <v>0.0440644622073577</v>
      </c>
      <c r="D443" s="2" t="n">
        <v>0.0198790626864282</v>
      </c>
      <c r="E443" s="2" t="n">
        <v>1.68955052176375E-010</v>
      </c>
    </row>
    <row r="444" customFormat="false" ht="13.8" hidden="false" customHeight="false" outlineLevel="0" collapsed="false">
      <c r="B444" s="2" t="n">
        <v>442</v>
      </c>
      <c r="C444" s="2" t="n">
        <v>0.0278591008156066</v>
      </c>
      <c r="D444" s="2" t="n">
        <v>9.53674316973438E-019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0.0291870227571889</v>
      </c>
      <c r="D445" s="2" t="n">
        <v>0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0.0140254868365072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0.0460923666403535</v>
      </c>
      <c r="D447" s="2" t="n">
        <v>9.20906316597943E-019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0.00413876995844677</v>
      </c>
      <c r="D448" s="2" t="n">
        <v>0.0210483886168026</v>
      </c>
      <c r="E448" s="2" t="n">
        <v>0</v>
      </c>
    </row>
    <row r="449" customFormat="false" ht="13.8" hidden="false" customHeight="false" outlineLevel="0" collapsed="false">
      <c r="B449" s="2" t="n">
        <v>447</v>
      </c>
      <c r="C449" s="2" t="n">
        <v>0.0544349232765401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0.0350428815547719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0.0625295811119517</v>
      </c>
      <c r="D451" s="2" t="n">
        <v>0.00888605314094346</v>
      </c>
      <c r="E451" s="2" t="n">
        <v>8.44771027134358E-011</v>
      </c>
    </row>
    <row r="452" customFormat="false" ht="13.8" hidden="false" customHeight="false" outlineLevel="0" collapsed="false">
      <c r="B452" s="2" t="n">
        <v>450</v>
      </c>
      <c r="C452" s="2" t="n">
        <v>0.0270619886868788</v>
      </c>
      <c r="D452" s="2" t="n">
        <v>0.0470571189187972</v>
      </c>
      <c r="E452" s="2" t="n">
        <v>1.68955053385947E-010</v>
      </c>
    </row>
    <row r="453" customFormat="false" ht="13.8" hidden="false" customHeight="false" outlineLevel="0" collapsed="false">
      <c r="B453" s="2" t="n">
        <v>451</v>
      </c>
      <c r="C453" s="2" t="n">
        <v>0.0785920618520335</v>
      </c>
      <c r="D453" s="2" t="n">
        <v>0.0242277680394297</v>
      </c>
      <c r="E453" s="2" t="n">
        <v>2.53433850804133E-010</v>
      </c>
    </row>
    <row r="454" customFormat="false" ht="13.8" hidden="false" customHeight="false" outlineLevel="0" collapsed="false">
      <c r="B454" s="2" t="n">
        <v>452</v>
      </c>
      <c r="C454" s="2" t="n">
        <v>0.0266285050154463</v>
      </c>
      <c r="D454" s="2" t="n">
        <v>0.0634762988260076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0.0756565425826466</v>
      </c>
      <c r="D455" s="2" t="n">
        <v>0.0365694152891281</v>
      </c>
      <c r="E455" s="2" t="n">
        <v>0</v>
      </c>
    </row>
    <row r="456" customFormat="false" ht="13.8" hidden="false" customHeight="false" outlineLevel="0" collapsed="false">
      <c r="B456" s="2" t="n">
        <v>454</v>
      </c>
      <c r="C456" s="2" t="n">
        <v>0.0361084664179379</v>
      </c>
      <c r="D456" s="2" t="n">
        <v>0.0315462797187818</v>
      </c>
      <c r="E456" s="2" t="n">
        <v>3.68362526562501E-018</v>
      </c>
    </row>
    <row r="457" customFormat="false" ht="13.8" hidden="false" customHeight="false" outlineLevel="0" collapsed="false">
      <c r="B457" s="2" t="n">
        <v>455</v>
      </c>
      <c r="C457" s="2" t="n">
        <v>0.081227206919896</v>
      </c>
      <c r="D457" s="2" t="n">
        <v>0.0281896608151023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0.0447129474218542</v>
      </c>
      <c r="D458" s="2" t="n">
        <v>0.0461327085780897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0.0586323879238127</v>
      </c>
      <c r="D459" s="2" t="n">
        <v>0.0669102230077439</v>
      </c>
      <c r="E459" s="2" t="n">
        <v>8.57787617421897E-017</v>
      </c>
    </row>
    <row r="460" customFormat="false" ht="13.8" hidden="false" customHeight="false" outlineLevel="0" collapsed="false">
      <c r="B460" s="2" t="n">
        <v>458</v>
      </c>
      <c r="C460" s="2" t="n">
        <v>0.0493961532398402</v>
      </c>
      <c r="D460" s="2" t="n">
        <v>0.0556920212761029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0.0789591185558678</v>
      </c>
      <c r="D461" s="2" t="n">
        <v>0.0576570195444622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0.0709728672052289</v>
      </c>
      <c r="D462" s="2" t="n">
        <v>0.0575381678128215</v>
      </c>
      <c r="E462" s="2" t="n">
        <v>1.52587890625001E-017</v>
      </c>
    </row>
    <row r="463" customFormat="false" ht="13.8" hidden="false" customHeight="false" outlineLevel="0" collapsed="false">
      <c r="B463" s="2" t="n">
        <v>461</v>
      </c>
      <c r="C463" s="2" t="n">
        <v>0.0860525325212569</v>
      </c>
      <c r="D463" s="2" t="n">
        <v>0.121337132747848</v>
      </c>
      <c r="E463" s="2" t="n">
        <v>3.68362526562501E-018</v>
      </c>
    </row>
    <row r="464" customFormat="false" ht="13.8" hidden="false" customHeight="false" outlineLevel="0" collapsed="false">
      <c r="B464" s="2" t="n">
        <v>462</v>
      </c>
      <c r="C464" s="2" t="n">
        <v>0.0711198825401384</v>
      </c>
      <c r="D464" s="2" t="n">
        <v>0.0423044161000649</v>
      </c>
      <c r="E464" s="2" t="n">
        <v>5.52543789843751E-018</v>
      </c>
    </row>
    <row r="465" customFormat="false" ht="13.8" hidden="false" customHeight="false" outlineLevel="0" collapsed="false">
      <c r="B465" s="2" t="n">
        <v>463</v>
      </c>
      <c r="C465" s="2" t="n">
        <v>0.104519649225687</v>
      </c>
      <c r="D465" s="2" t="n">
        <v>0.118020966118949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0.102652882577902</v>
      </c>
      <c r="D466" s="2" t="n">
        <v>0.0847872994711664</v>
      </c>
      <c r="E466" s="2" t="n">
        <v>1.8418126328125E-018</v>
      </c>
    </row>
    <row r="467" customFormat="false" ht="13.8" hidden="false" customHeight="false" outlineLevel="0" collapsed="false">
      <c r="B467" s="2" t="n">
        <v>465</v>
      </c>
      <c r="C467" s="2" t="n">
        <v>0.117420099263451</v>
      </c>
      <c r="D467" s="2" t="n">
        <v>0.131970382823384</v>
      </c>
      <c r="E467" s="2" t="n">
        <v>9.47120716406252E-018</v>
      </c>
    </row>
    <row r="468" customFormat="false" ht="13.8" hidden="false" customHeight="false" outlineLevel="0" collapsed="false">
      <c r="B468" s="2" t="n">
        <v>466</v>
      </c>
      <c r="C468" s="2" t="n">
        <v>0.0774041826156665</v>
      </c>
      <c r="D468" s="2" t="n">
        <v>0.0919038328422686</v>
      </c>
      <c r="E468" s="2" t="n">
        <v>3.68362526562501E-018</v>
      </c>
    </row>
    <row r="469" customFormat="false" ht="13.8" hidden="false" customHeight="false" outlineLevel="0" collapsed="false">
      <c r="B469" s="2" t="n">
        <v>467</v>
      </c>
      <c r="C469" s="2" t="n">
        <v>0.100970949301216</v>
      </c>
      <c r="D469" s="2" t="n">
        <v>0.113637482861153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0.0777703993200983</v>
      </c>
      <c r="D470" s="2" t="n">
        <v>0.067788149546705</v>
      </c>
      <c r="E470" s="2" t="n">
        <v>6.67572021484377E-018</v>
      </c>
    </row>
    <row r="471" customFormat="false" ht="13.8" hidden="false" customHeight="false" outlineLevel="0" collapsed="false">
      <c r="B471" s="2" t="n">
        <v>469</v>
      </c>
      <c r="C471" s="2" t="n">
        <v>0.0893876993389811</v>
      </c>
      <c r="D471" s="2" t="n">
        <v>0.0928214662322568</v>
      </c>
      <c r="E471" s="2" t="n">
        <v>1.8418126328125E-018</v>
      </c>
    </row>
    <row r="472" customFormat="false" ht="13.8" hidden="false" customHeight="false" outlineLevel="0" collapsed="false">
      <c r="B472" s="2" t="n">
        <v>470</v>
      </c>
      <c r="C472" s="2" t="n">
        <v>0.0997036993578642</v>
      </c>
      <c r="D472" s="2" t="n">
        <v>0.0651212495844754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0.0627541327100807</v>
      </c>
      <c r="D473" s="2" t="n">
        <v>0.106003782936694</v>
      </c>
      <c r="E473" s="2" t="n">
        <v>6.67572021484376E-018</v>
      </c>
    </row>
    <row r="474" customFormat="false" ht="13.8" hidden="false" customHeight="false" outlineLevel="0" collapsed="false">
      <c r="B474" s="2" t="n">
        <v>472</v>
      </c>
      <c r="C474" s="2" t="n">
        <v>0.0915040493956308</v>
      </c>
      <c r="D474" s="2" t="n">
        <v>0.0729703496222466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0.0661038160811811</v>
      </c>
      <c r="D475" s="2" t="n">
        <v>0.0945867663077991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0.0921705161000649</v>
      </c>
      <c r="D476" s="2" t="n">
        <v>0.0563875163266852</v>
      </c>
      <c r="E476" s="2" t="n">
        <v>3.68362526562501E-018</v>
      </c>
    </row>
    <row r="477" customFormat="false" ht="13.8" hidden="false" customHeight="false" outlineLevel="0" collapsed="false">
      <c r="B477" s="2" t="n">
        <v>475</v>
      </c>
      <c r="C477" s="2" t="n">
        <v>0.0544203661189489</v>
      </c>
      <c r="D477" s="2" t="n">
        <v>0.0906704996789048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0.0557041828044997</v>
      </c>
      <c r="D478" s="2" t="n">
        <v>0.0753533496977912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0.0303361494900507</v>
      </c>
      <c r="D479" s="2" t="n">
        <v>0.0659038497166779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0.053219116175602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0.0453190161944867</v>
      </c>
      <c r="D481" s="2" t="n">
        <v>0.0546199497544517</v>
      </c>
      <c r="E481" s="2" t="n">
        <v>5.98589105664064E-018</v>
      </c>
    </row>
    <row r="482" customFormat="false" ht="13.8" hidden="false" customHeight="false" outlineLevel="0" collapsed="false">
      <c r="B482" s="2" t="n">
        <v>480</v>
      </c>
      <c r="C482" s="2" t="n">
        <v>0.015119999546705</v>
      </c>
      <c r="D482" s="2" t="n">
        <v>0.00968686644000555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0.00851944956559009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0.0382693162511421</v>
      </c>
      <c r="D484" s="2" t="n">
        <v>0.0224524498111138</v>
      </c>
      <c r="E484" s="2" t="n">
        <v>4.27515042382813E-018</v>
      </c>
    </row>
    <row r="485" customFormat="false" ht="13.8" hidden="false" customHeight="false" outlineLevel="0" collapsed="false">
      <c r="B485" s="2" t="n">
        <v>483</v>
      </c>
      <c r="C485" s="2" t="n">
        <v>0.0700681496033609</v>
      </c>
      <c r="D485" s="2" t="n">
        <v>0.0510850498300016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0.0409677996222466</v>
      </c>
      <c r="D486" s="2" t="n">
        <v>0.0540003665155562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0.0519836996411325</v>
      </c>
      <c r="D487" s="2" t="n">
        <v>0.0563834998677777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0.0158502996600185</v>
      </c>
      <c r="D488" s="2" t="n">
        <v>0.0366668665533327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0.0210005163455714</v>
      </c>
      <c r="D489" s="2" t="n">
        <v>0.0437670832388879</v>
      </c>
      <c r="E489" s="2" t="n">
        <v>9.20906316406251E-019</v>
      </c>
    </row>
    <row r="490" customFormat="false" ht="13.8" hidden="false" customHeight="false" outlineLevel="0" collapsed="false">
      <c r="B490" s="2" t="n">
        <v>488</v>
      </c>
      <c r="C490" s="2" t="n">
        <v>0.0123500496977912</v>
      </c>
      <c r="D490" s="2" t="n">
        <v>0.0115005999244433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0.0940333497166778</v>
      </c>
      <c r="D491" s="2" t="n">
        <v>0.0124001999433322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0.0119833664022313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0.0898666997544517</v>
      </c>
      <c r="D493" s="2" t="n">
        <v>0.0119169833144439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0.0141001664400055</v>
      </c>
      <c r="D494" s="2" t="n">
        <v>0.0550871144498186</v>
      </c>
      <c r="E494" s="2" t="n">
        <v>9.20906316406251E-019</v>
      </c>
    </row>
    <row r="495" customFormat="false" ht="13.8" hidden="false" customHeight="false" outlineLevel="0" collapsed="false">
      <c r="B495" s="2" t="n">
        <v>493</v>
      </c>
      <c r="C495" s="2" t="n">
        <v>0.10086683310667</v>
      </c>
      <c r="D495" s="2" t="n">
        <v>2.26921889066982E-010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0.0431834831066677</v>
      </c>
      <c r="D496" s="2" t="n">
        <v>4.53846066143433E-010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0.103500083163335</v>
      </c>
      <c r="D497" s="2" t="n">
        <v>0.02175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0.0380002331066631</v>
      </c>
      <c r="D498" s="2" t="n">
        <v>9.07701216437639E-010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0.0988167832011111</v>
      </c>
      <c r="D499" s="2" t="n">
        <v>0.0195169166666667</v>
      </c>
      <c r="E499" s="2" t="n">
        <v>1.9073486328125E-018</v>
      </c>
    </row>
    <row r="500" customFormat="false" ht="13.8" hidden="false" customHeight="false" outlineLevel="0" collapsed="false">
      <c r="B500" s="2" t="n">
        <v>498</v>
      </c>
      <c r="C500" s="2" t="n">
        <v>0.0318335164399919</v>
      </c>
      <c r="D500" s="2" t="n">
        <v>1.36156544298316E-009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0.092116699773323</v>
      </c>
      <c r="D501" s="2" t="n">
        <v>1.58850095909388E-009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0.0304999997733207</v>
      </c>
      <c r="D502" s="2" t="n">
        <v>1.81543875089194E-009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0.0920501331066518</v>
      </c>
      <c r="D503" s="2" t="n">
        <v>2.04237880341331E-009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0.0312543840954691</v>
      </c>
      <c r="D504" s="2" t="n">
        <v>2.26932113881959E-009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0.0920255184176197</v>
      </c>
      <c r="D505" s="2" t="n">
        <v>2.49626572994346E-009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0.013457816378932</v>
      </c>
      <c r="D506" s="2" t="n">
        <v>2.72321260176747E-009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0.0910673370430314</v>
      </c>
      <c r="D507" s="2" t="n">
        <v>2.95016173071844E-009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3.67128899776658E-009</v>
      </c>
      <c r="D508" s="2" t="n">
        <v>6.97010426602735E-009</v>
      </c>
      <c r="E508" s="2" t="n">
        <v>2.55017737164005E-009</v>
      </c>
    </row>
    <row r="509" customFormat="false" ht="13.8" hidden="false" customHeight="false" outlineLevel="0" collapsed="false">
      <c r="B509" s="2" t="n">
        <v>507</v>
      </c>
      <c r="C509" s="2" t="n">
        <v>0.0908393614538353</v>
      </c>
      <c r="D509" s="2" t="n">
        <v>3.4040668198228E-009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4.31361390926387E-009</v>
      </c>
      <c r="D510" s="2" t="n">
        <v>7.61249516329756E-009</v>
      </c>
      <c r="E510" s="2" t="n">
        <v>2.62578738642008E-009</v>
      </c>
    </row>
    <row r="511" customFormat="false" ht="13.8" hidden="false" customHeight="false" outlineLevel="0" collapsed="false">
      <c r="B511" s="2" t="n">
        <v>509</v>
      </c>
      <c r="C511" s="2" t="n">
        <v>0.00444063740083141</v>
      </c>
      <c r="D511" s="2" t="n">
        <v>3.85798098202757E-009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0.0331644985896316</v>
      </c>
      <c r="D512" s="2" t="n">
        <v>0.00202771297072512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0.0848505276601417</v>
      </c>
      <c r="D513" s="2" t="n">
        <v>0.0133655675105106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0.0121865233973184</v>
      </c>
      <c r="D514" s="2" t="n">
        <v>0.0119471367005696</v>
      </c>
      <c r="E514" s="2" t="n">
        <v>0</v>
      </c>
    </row>
    <row r="515" customFormat="false" ht="13.8" hidden="false" customHeight="false" outlineLevel="0" collapsed="false">
      <c r="B515" s="2" t="n">
        <v>513</v>
      </c>
      <c r="C515" s="2" t="n">
        <v>0.0657732691344952</v>
      </c>
      <c r="D515" s="2" t="n">
        <v>4.60453158203126E-019</v>
      </c>
      <c r="E515" s="2" t="n">
        <v>1.8418126328125E-018</v>
      </c>
    </row>
    <row r="516" customFormat="false" ht="13.8" hidden="false" customHeight="false" outlineLevel="0" collapsed="false">
      <c r="B516" s="2" t="n">
        <v>514</v>
      </c>
      <c r="C516" s="2" t="n">
        <v>3.27680000000001E-020</v>
      </c>
      <c r="D516" s="2" t="n">
        <v>0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0.0518450032028158</v>
      </c>
      <c r="D517" s="2" t="n">
        <v>0.00406237190653065</v>
      </c>
      <c r="E517" s="2" t="n">
        <v>0</v>
      </c>
    </row>
    <row r="518" customFormat="false" ht="13.8" hidden="false" customHeight="false" outlineLevel="0" collapsed="false">
      <c r="B518" s="2" t="n">
        <v>516</v>
      </c>
      <c r="C518" s="2" t="n">
        <v>1.6384E-020</v>
      </c>
      <c r="D518" s="2" t="n">
        <v>1.6384E-020</v>
      </c>
      <c r="E518" s="2" t="n">
        <v>0</v>
      </c>
    </row>
    <row r="519" customFormat="false" ht="13.8" hidden="false" customHeight="false" outlineLevel="0" collapsed="false">
      <c r="B519" s="2" t="n">
        <v>517</v>
      </c>
      <c r="C519" s="2" t="n">
        <v>9.83040000000003E-020</v>
      </c>
      <c r="D519" s="2" t="n">
        <v>9.83040000000003E-020</v>
      </c>
      <c r="E519" s="2" t="n">
        <v>0</v>
      </c>
    </row>
    <row r="520" customFormat="false" ht="13.8" hidden="false" customHeight="false" outlineLevel="0" collapsed="false">
      <c r="B520" s="2" t="n">
        <v>518</v>
      </c>
      <c r="C520" s="2" t="n">
        <v>0.025434480517116</v>
      </c>
      <c r="D520" s="2" t="n">
        <v>0</v>
      </c>
      <c r="E520" s="2" t="n">
        <v>0</v>
      </c>
    </row>
    <row r="521" customFormat="false" ht="13.8" hidden="false" customHeight="false" outlineLevel="0" collapsed="false">
      <c r="B521" s="2" t="n">
        <v>519</v>
      </c>
      <c r="C521" s="2" t="n">
        <v>0.00226962376309559</v>
      </c>
      <c r="D521" s="2" t="n">
        <v>1.04308128356934E-018</v>
      </c>
      <c r="E521" s="2" t="n">
        <v>0</v>
      </c>
    </row>
    <row r="522" customFormat="false" ht="13.8" hidden="false" customHeight="false" outlineLevel="0" collapsed="false">
      <c r="B522" s="2" t="n">
        <v>520</v>
      </c>
      <c r="C522" s="2" t="n">
        <v>0.0119380336757418</v>
      </c>
      <c r="D522" s="2" t="n">
        <v>2.38418579101563E-019</v>
      </c>
      <c r="E522" s="2" t="n">
        <v>1.15932489550781E-018</v>
      </c>
    </row>
    <row r="523" customFormat="false" ht="13.8" hidden="false" customHeight="false" outlineLevel="0" collapsed="false">
      <c r="B523" s="2" t="n">
        <v>521</v>
      </c>
      <c r="C523" s="2" t="n">
        <v>0.00313944358838808</v>
      </c>
      <c r="D523" s="2" t="n">
        <v>2.08616256713867E-019</v>
      </c>
      <c r="E523" s="2" t="n">
        <v>0</v>
      </c>
    </row>
    <row r="524" customFormat="false" ht="13.8" hidden="false" customHeight="false" outlineLevel="0" collapsed="false">
      <c r="B524" s="2" t="n">
        <v>522</v>
      </c>
      <c r="C524" s="2" t="n">
        <v>0.00180119447223814</v>
      </c>
      <c r="D524" s="2" t="n">
        <v>0</v>
      </c>
      <c r="E524" s="2" t="n">
        <v>5.99930937902834E-018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3.63850316406249E-019</v>
      </c>
      <c r="E525" s="2" t="n">
        <v>1.50328153789063E-017</v>
      </c>
    </row>
    <row r="526" customFormat="false" ht="13.8" hidden="false" customHeight="false" outlineLevel="0" collapsed="false">
      <c r="B526" s="2" t="n">
        <v>524</v>
      </c>
      <c r="C526" s="2" t="n">
        <v>1.31072E-019</v>
      </c>
      <c r="D526" s="2" t="n">
        <v>0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9.83040000000003E-020</v>
      </c>
      <c r="D527" s="2" t="n">
        <v>1.01921031640647E-018</v>
      </c>
      <c r="E527" s="2" t="n">
        <v>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7.89834316406251E-019</v>
      </c>
      <c r="E528" s="2" t="n">
        <v>4.44069158203126E-018</v>
      </c>
    </row>
    <row r="529" customFormat="false" ht="13.8" hidden="false" customHeight="false" outlineLevel="0" collapsed="false">
      <c r="B529" s="2" t="n">
        <v>527</v>
      </c>
      <c r="C529" s="2" t="n">
        <v>9.83040000000002E-020</v>
      </c>
      <c r="D529" s="2" t="n">
        <v>1.01921031640647E-018</v>
      </c>
      <c r="E529" s="2" t="n">
        <v>5.82034989843751E-018</v>
      </c>
    </row>
    <row r="530" customFormat="false" ht="13.8" hidden="false" customHeight="false" outlineLevel="0" collapsed="false">
      <c r="B530" s="2" t="n">
        <v>528</v>
      </c>
      <c r="C530" s="2" t="n">
        <v>9.83040000000002E-020</v>
      </c>
      <c r="D530" s="2" t="n">
        <v>9.83040000000002E-020</v>
      </c>
      <c r="E530" s="2" t="n">
        <v>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5.34521389843751E-018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1.86181366445314E-017</v>
      </c>
    </row>
    <row r="533" customFormat="false" ht="13.8" hidden="false" customHeight="false" outlineLevel="0" collapsed="false">
      <c r="B533" s="2" t="n">
        <v>531</v>
      </c>
      <c r="C533" s="2" t="n">
        <v>0.0226011405856963</v>
      </c>
      <c r="D533" s="2" t="n">
        <v>0</v>
      </c>
      <c r="E533" s="2" t="n">
        <v>6.89041337304689E-018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6.75146316406471E-019</v>
      </c>
      <c r="E534" s="2" t="n">
        <v>5.50171247753908E-018</v>
      </c>
    </row>
    <row r="535" customFormat="false" ht="13.8" hidden="false" customHeight="false" outlineLevel="0" collapsed="false">
      <c r="B535" s="2" t="n">
        <v>533</v>
      </c>
      <c r="C535" s="2" t="n">
        <v>0.00212132271319979</v>
      </c>
      <c r="D535" s="2" t="n">
        <v>0</v>
      </c>
      <c r="E535" s="2" t="n">
        <v>3.47500900891114E-018</v>
      </c>
    </row>
    <row r="536" customFormat="false" ht="13.8" hidden="false" customHeight="false" outlineLevel="0" collapsed="false">
      <c r="B536" s="2" t="n">
        <v>534</v>
      </c>
      <c r="C536" s="2" t="n">
        <v>0.0206067649278406</v>
      </c>
      <c r="D536" s="2" t="n">
        <v>1.19209289550781E-018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0.0170438838011351</v>
      </c>
      <c r="E537" s="2" t="n">
        <v>7.62939453125002E-018</v>
      </c>
    </row>
    <row r="538" customFormat="false" ht="13.8" hidden="false" customHeight="false" outlineLevel="0" collapsed="false">
      <c r="B538" s="2" t="n">
        <v>536</v>
      </c>
      <c r="C538" s="2" t="n">
        <v>0.036077566023789</v>
      </c>
      <c r="D538" s="2" t="n">
        <v>0</v>
      </c>
      <c r="E538" s="2" t="n">
        <v>0</v>
      </c>
    </row>
    <row r="539" customFormat="false" ht="13.8" hidden="false" customHeight="false" outlineLevel="0" collapsed="false">
      <c r="B539" s="2" t="n">
        <v>537</v>
      </c>
      <c r="C539" s="2" t="n">
        <v>0.0409465582384298</v>
      </c>
      <c r="D539" s="2" t="n">
        <v>0.0336211985279597</v>
      </c>
      <c r="E539" s="2" t="n">
        <v>0</v>
      </c>
    </row>
    <row r="540" customFormat="false" ht="13.8" hidden="false" customHeight="false" outlineLevel="0" collapsed="false">
      <c r="B540" s="2" t="n">
        <v>538</v>
      </c>
      <c r="C540" s="2" t="n">
        <v>0.0526851759352115</v>
      </c>
      <c r="D540" s="2" t="n">
        <v>0.00452643696271451</v>
      </c>
      <c r="E540" s="2" t="n">
        <v>9.20906316406251E-019</v>
      </c>
    </row>
    <row r="541" customFormat="false" ht="13.8" hidden="false" customHeight="false" outlineLevel="0" collapsed="false">
      <c r="B541" s="2" t="n">
        <v>539</v>
      </c>
      <c r="C541" s="2" t="n">
        <v>0.0496780856532328</v>
      </c>
      <c r="D541" s="2" t="n">
        <v>0.0766039924442048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0.0339437664994222</v>
      </c>
      <c r="D542" s="2" t="n">
        <v>0.018720831248428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0.0250431806789451</v>
      </c>
      <c r="D543" s="2" t="n">
        <v>0.0930877367193181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0.0591180711458487</v>
      </c>
      <c r="D544" s="2" t="n">
        <v>0.0275942833858654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0.0660265782794191</v>
      </c>
      <c r="D545" s="2" t="n">
        <v>0.0931007633857463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0.0334350354129898</v>
      </c>
      <c r="D546" s="2" t="n">
        <v>0.0298571933856273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0.0615097258798939</v>
      </c>
      <c r="D547" s="2" t="n">
        <v>0.0990300067188419</v>
      </c>
      <c r="E547" s="2" t="n">
        <v>9.20906316406251E-019</v>
      </c>
    </row>
    <row r="548" customFormat="false" ht="13.8" hidden="false" customHeight="false" outlineLevel="0" collapsed="false">
      <c r="B548" s="2" t="n">
        <v>546</v>
      </c>
      <c r="C548" s="2" t="n">
        <v>0.0688919534821281</v>
      </c>
      <c r="D548" s="2" t="n">
        <v>0.0347600518291349</v>
      </c>
      <c r="E548" s="2" t="n">
        <v>1.8418126328125E-018</v>
      </c>
    </row>
    <row r="549" customFormat="false" ht="13.8" hidden="false" customHeight="false" outlineLevel="0" collapsed="false">
      <c r="B549" s="2" t="n">
        <v>547</v>
      </c>
      <c r="C549" s="2" t="n">
        <v>0.0615245310843625</v>
      </c>
      <c r="D549" s="2" t="n">
        <v>0.0997401469394281</v>
      </c>
      <c r="E549" s="2" t="n">
        <v>9.20906316406251E-019</v>
      </c>
    </row>
    <row r="550" customFormat="false" ht="13.8" hidden="false" customHeight="false" outlineLevel="0" collapsed="false">
      <c r="B550" s="2" t="n">
        <v>548</v>
      </c>
      <c r="C550" s="2" t="n">
        <v>0.069406658686597</v>
      </c>
      <c r="D550" s="2" t="n">
        <v>0</v>
      </c>
      <c r="E550" s="2" t="n">
        <v>1.8418126328125E-018</v>
      </c>
    </row>
    <row r="551" customFormat="false" ht="13.8" hidden="false" customHeight="false" outlineLevel="0" collapsed="false">
      <c r="B551" s="2" t="n">
        <v>549</v>
      </c>
      <c r="C551" s="2" t="n">
        <v>0.0632890362888318</v>
      </c>
      <c r="D551" s="2" t="n">
        <v>0.103533837160015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0.0731417895560896</v>
      </c>
      <c r="D552" s="2" t="n">
        <v>0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0.0662447594900143</v>
      </c>
      <c r="D553" s="2" t="n">
        <v>0.0993090768850065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0.0747808627572724</v>
      </c>
      <c r="D554" s="2" t="n">
        <v>9.20906316409181E-019</v>
      </c>
      <c r="E554" s="2" t="n">
        <v>9.20906316406251E-019</v>
      </c>
    </row>
    <row r="555" customFormat="false" ht="13.8" hidden="false" customHeight="false" outlineLevel="0" collapsed="false">
      <c r="B555" s="2" t="n">
        <v>553</v>
      </c>
      <c r="C555" s="2" t="n">
        <v>0.0684508493578642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0.097400716043414</v>
      </c>
      <c r="D556" s="2" t="n">
        <v>0.0747507999622213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0.0954513160622975</v>
      </c>
      <c r="D557" s="2" t="n">
        <v>0.0991842666477772</v>
      </c>
      <c r="E557" s="2" t="n">
        <v>4.60453158203126E-018</v>
      </c>
    </row>
    <row r="558" customFormat="false" ht="13.8" hidden="false" customHeight="false" outlineLevel="0" collapsed="false">
      <c r="B558" s="2" t="n">
        <v>556</v>
      </c>
      <c r="C558" s="2" t="n">
        <v>0.110118882747848</v>
      </c>
      <c r="D558" s="2" t="n">
        <v>0.0742776428006953</v>
      </c>
      <c r="E558" s="2" t="n">
        <v>1.1313019796875E-017</v>
      </c>
    </row>
    <row r="559" customFormat="false" ht="13.8" hidden="false" customHeight="false" outlineLevel="0" collapsed="false">
      <c r="B559" s="2" t="n">
        <v>557</v>
      </c>
      <c r="C559" s="2" t="n">
        <v>0.114819182766732</v>
      </c>
      <c r="D559" s="2" t="n">
        <v>0.109318433333333</v>
      </c>
      <c r="E559" s="2" t="n">
        <v>1.8418126328125E-018</v>
      </c>
    </row>
    <row r="560" customFormat="false" ht="13.8" hidden="false" customHeight="false" outlineLevel="0" collapsed="false">
      <c r="B560" s="2" t="n">
        <v>558</v>
      </c>
      <c r="C560" s="2" t="n">
        <v>0.108886466118949</v>
      </c>
      <c r="D560" s="2" t="n">
        <v>0.0439356166666667</v>
      </c>
      <c r="E560" s="2" t="n">
        <v>9.47120716406252E-018</v>
      </c>
    </row>
    <row r="561" customFormat="false" ht="13.8" hidden="false" customHeight="false" outlineLevel="0" collapsed="false">
      <c r="B561" s="2" t="n">
        <v>559</v>
      </c>
      <c r="C561" s="2" t="n">
        <v>0.0562206328044997</v>
      </c>
      <c r="D561" s="2" t="n">
        <v>0.09725245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0.079937199414491</v>
      </c>
      <c r="D562" s="2" t="n">
        <v>9.07701228097929E-010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0.100870666175602</v>
      </c>
      <c r="D563" s="2" t="n">
        <v>0.124970016666667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0.0698882161944867</v>
      </c>
      <c r="D564" s="2" t="n">
        <v>0.110970133333333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0.0747041328800383</v>
      </c>
      <c r="D565" s="2" t="n">
        <v>0.108452833333333</v>
      </c>
      <c r="E565" s="2" t="n">
        <v>3.68362526562501E-018</v>
      </c>
    </row>
    <row r="566" customFormat="false" ht="13.8" hidden="false" customHeight="false" outlineLevel="0" collapsed="false">
      <c r="B566" s="2" t="n">
        <v>564</v>
      </c>
      <c r="C566" s="2" t="n">
        <v>0.109936782747801</v>
      </c>
      <c r="D566" s="2" t="n">
        <v>1.81543875556811E-009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0.119786932917809</v>
      </c>
      <c r="D567" s="2" t="n">
        <v>0.0684546333333333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0.0930704662700276</v>
      </c>
      <c r="D568" s="2" t="n">
        <v>0.1023368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0.0827201496222466</v>
      </c>
      <c r="D569" s="2" t="n">
        <v>0.0808866166666667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0.0910877663077991</v>
      </c>
      <c r="D570" s="2" t="n">
        <v>0.0837368666666667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0.0627878829933519</v>
      </c>
      <c r="D571" s="2" t="n">
        <v>0.1009869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0.0860378663455714</v>
      </c>
      <c r="D572" s="2" t="n">
        <v>0.08018675</v>
      </c>
      <c r="E572" s="2" t="n">
        <v>1.9073486328125E-018</v>
      </c>
    </row>
    <row r="573" customFormat="false" ht="13.8" hidden="false" customHeight="false" outlineLevel="0" collapsed="false">
      <c r="B573" s="2" t="n">
        <v>571</v>
      </c>
      <c r="C573" s="2" t="n">
        <v>0.0955209830311245</v>
      </c>
      <c r="D573" s="2" t="n">
        <v>0.0867372666666667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0.0731370830500112</v>
      </c>
      <c r="D574" s="2" t="n">
        <v>0.0428375</v>
      </c>
      <c r="E574" s="2" t="n">
        <v>1.8418126328125E-018</v>
      </c>
    </row>
    <row r="575" customFormat="false" ht="13.8" hidden="false" customHeight="false" outlineLevel="0" collapsed="false">
      <c r="B575" s="2" t="n">
        <v>573</v>
      </c>
      <c r="C575" s="2" t="n">
        <v>0.0593541664022313</v>
      </c>
      <c r="D575" s="2" t="n">
        <v>0.0190872666666667</v>
      </c>
      <c r="E575" s="2" t="n">
        <v>2.86102294921875E-018</v>
      </c>
    </row>
    <row r="576" customFormat="false" ht="13.8" hidden="false" customHeight="false" outlineLevel="0" collapsed="false">
      <c r="B576" s="2" t="n">
        <v>574</v>
      </c>
      <c r="C576" s="2" t="n">
        <v>0.0501201997544517</v>
      </c>
      <c r="D576" s="2" t="n">
        <v>0.0447197833333333</v>
      </c>
      <c r="E576" s="2" t="n">
        <v>9.20906316406251E-019</v>
      </c>
    </row>
    <row r="577" customFormat="false" ht="13.8" hidden="false" customHeight="false" outlineLevel="0" collapsed="false">
      <c r="B577" s="2" t="n">
        <v>575</v>
      </c>
      <c r="C577" s="2" t="n">
        <v>0.0454029497733389</v>
      </c>
      <c r="D577" s="2" t="n">
        <v>0.0456196666666667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0.0520034331255596</v>
      </c>
      <c r="D578" s="2" t="n">
        <v>0.0368028666666667</v>
      </c>
      <c r="E578" s="2" t="n">
        <v>9.20906316406251E-019</v>
      </c>
    </row>
    <row r="579" customFormat="false" ht="13.8" hidden="false" customHeight="false" outlineLevel="0" collapsed="false">
      <c r="B579" s="2" t="n">
        <v>577</v>
      </c>
      <c r="C579" s="2" t="n">
        <v>0.0454856498111138</v>
      </c>
      <c r="D579" s="2" t="n">
        <v>0.0726852833333333</v>
      </c>
      <c r="E579" s="2" t="n">
        <v>4.73560358203126E-018</v>
      </c>
    </row>
    <row r="580" customFormat="false" ht="13.8" hidden="false" customHeight="false" outlineLevel="0" collapsed="false">
      <c r="B580" s="2" t="n">
        <v>578</v>
      </c>
      <c r="C580" s="2" t="n">
        <v>0.0283189498300016</v>
      </c>
      <c r="D580" s="2" t="n">
        <v>0.01331875</v>
      </c>
      <c r="E580" s="2" t="n">
        <v>4.60453158203126E-019</v>
      </c>
    </row>
    <row r="581" customFormat="false" ht="13.8" hidden="false" customHeight="false" outlineLevel="0" collapsed="false">
      <c r="B581" s="2" t="n">
        <v>579</v>
      </c>
      <c r="C581" s="2" t="n">
        <v>0.0844180665155562</v>
      </c>
      <c r="D581" s="2" t="n">
        <v>0.0671016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0.014084333201111</v>
      </c>
      <c r="D582" s="2" t="n">
        <v>0.03576835</v>
      </c>
      <c r="E582" s="2" t="n">
        <v>9.20906316406251E-019</v>
      </c>
    </row>
    <row r="583" customFormat="false" ht="13.8" hidden="false" customHeight="false" outlineLevel="0" collapsed="false">
      <c r="B583" s="2" t="n">
        <v>581</v>
      </c>
      <c r="C583" s="2" t="n">
        <v>0.0769670665533327</v>
      </c>
      <c r="D583" s="2" t="n">
        <v>0.0710838833333333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0.0269168160810288</v>
      </c>
      <c r="D584" s="2" t="n">
        <v>5.90070702779683E-009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0.0417001327476896</v>
      </c>
      <c r="D585" s="2" t="n">
        <v>6.1276879383695E-009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0.0666502994143504</v>
      </c>
      <c r="D586" s="2" t="n">
        <v>6.35467111344072E-009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0.0277668994143446</v>
      </c>
      <c r="D587" s="2" t="n">
        <v>6.58165657357266E-009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0.0314834994143387</v>
      </c>
      <c r="D588" s="2" t="n">
        <v>6.80864429094665E-009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0.0288863771884856</v>
      </c>
      <c r="D589" s="2" t="n">
        <v>7.03563427423792E-009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0.0193500327287707</v>
      </c>
      <c r="D590" s="2" t="n">
        <v>7.26262652776399E-009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0.0513334660432083</v>
      </c>
      <c r="D591" s="2" t="n">
        <v>7.48962106185271E-009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5.92523150673874E-009</v>
      </c>
      <c r="E592" s="2" t="n">
        <v>2.05576786811004E-011</v>
      </c>
    </row>
    <row r="593" customFormat="false" ht="13.8" hidden="false" customHeight="false" outlineLevel="0" collapsed="false">
      <c r="B593" s="2" t="n">
        <v>591</v>
      </c>
      <c r="C593" s="2" t="n">
        <v>0.0484833993387497</v>
      </c>
      <c r="D593" s="2" t="n">
        <v>7.94361692854922E-009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6.43313310627074E-009</v>
      </c>
      <c r="E594" s="2" t="n">
        <v>9.61170959733761E-011</v>
      </c>
    </row>
    <row r="595" customFormat="false" ht="13.8" hidden="false" customHeight="false" outlineLevel="0" collapsed="false">
      <c r="B595" s="2" t="n">
        <v>593</v>
      </c>
      <c r="C595" s="2" t="n">
        <v>0.0248502326342903</v>
      </c>
      <c r="D595" s="2" t="n">
        <v>8.39762188075885E-009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0.0466834326153936</v>
      </c>
      <c r="D596" s="2" t="n">
        <v>8.62462775546876E-009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0.0387168325964968</v>
      </c>
      <c r="D597" s="2" t="n">
        <v>8.85163591282922E-009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0.0246669659109331</v>
      </c>
      <c r="D598" s="2" t="n">
        <v>9.07864632931308E-009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0.0510168325587026</v>
      </c>
      <c r="D599" s="2" t="n">
        <v>9.30565902091826E-009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0.0246066207330836</v>
      </c>
      <c r="D600" s="2" t="n">
        <v>9.53267397289093E-009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0.0601455755741311</v>
      </c>
      <c r="D601" s="2" t="n">
        <v>9.75969119953406E-009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0.0624683970818451</v>
      </c>
      <c r="D602" s="2" t="n">
        <v>9.98671069817308E-009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0.0370583352562256</v>
      </c>
      <c r="D603" s="2" t="n">
        <v>1.02137324644822E-008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2.62513145817137E-011</v>
      </c>
      <c r="D604" s="2" t="n">
        <v>9.45446580279675E-009</v>
      </c>
      <c r="E604" s="2" t="n">
        <v>4.73936811601323E-010</v>
      </c>
    </row>
    <row r="605" customFormat="false" ht="13.8" hidden="false" customHeight="false" outlineLevel="0" collapsed="false">
      <c r="B605" s="2" t="n">
        <v>603</v>
      </c>
      <c r="C605" s="2" t="n">
        <v>0.0583437381358656</v>
      </c>
      <c r="D605" s="2" t="n">
        <v>0.0296680577551231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0.0409780975043213</v>
      </c>
      <c r="D606" s="2" t="n">
        <v>0.000605230688274901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0.0508798902469216</v>
      </c>
      <c r="D607" s="2" t="n">
        <v>0.0446706012301294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0.0372607620889349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0.0165247839309482</v>
      </c>
      <c r="D609" s="2" t="n">
        <v>0.0130286939993394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0.0063720891062948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5.02445168082287E-010</v>
      </c>
      <c r="D611" s="2" t="n">
        <v>5.02445168082287E-010</v>
      </c>
      <c r="E611" s="2" t="n">
        <v>5.02445168082287E-010</v>
      </c>
    </row>
    <row r="612" customFormat="false" ht="13.8" hidden="false" customHeight="false" outlineLevel="0" collapsed="false">
      <c r="B612" s="2" t="n">
        <v>610</v>
      </c>
      <c r="C612" s="2" t="n">
        <v>0.0323179390299986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5.72789951592538E-010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8.20129160182265E-010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1.84181264048051E-018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0.00809032119285402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0.000108450361755302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8.44771027134358E-011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5.46750038924691E-010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8.20129160182265E-010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2.3188701723965E-009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0.0128391448023711</v>
      </c>
      <c r="D624" s="2" t="n">
        <v>1.72260335092973E-018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1.64028292408058E-009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0.00493565465168144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1.49986412990065E-009</v>
      </c>
      <c r="D627" s="2" t="n">
        <v>3.68362529629704E-018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0.00753147547836118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5.79734935515582E-009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0.0324600906157437</v>
      </c>
      <c r="D630" s="2" t="n">
        <v>0</v>
      </c>
      <c r="E630" s="2" t="n">
        <v>1.31072206422189E-016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5.79708843971432E-010</v>
      </c>
    </row>
    <row r="632" customFormat="false" ht="13.8" hidden="false" customHeight="false" outlineLevel="0" collapsed="false">
      <c r="B632" s="2" t="n">
        <v>630</v>
      </c>
      <c r="C632" s="2" t="n">
        <v>0.0442471419970462</v>
      </c>
      <c r="D632" s="2" t="n">
        <v>0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2.68079896589153E-018</v>
      </c>
    </row>
    <row r="634" customFormat="false" ht="13.8" hidden="false" customHeight="false" outlineLevel="0" collapsed="false">
      <c r="B634" s="2" t="n">
        <v>632</v>
      </c>
      <c r="C634" s="2" t="n">
        <v>1.17161289550781E-019</v>
      </c>
      <c r="D634" s="2" t="n">
        <v>0.0039801821513582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1.63839999957369E-020</v>
      </c>
      <c r="D635" s="2" t="n">
        <v>7.31639737858758E-019</v>
      </c>
      <c r="E635" s="2" t="n">
        <v>2.53433848401373E-010</v>
      </c>
    </row>
    <row r="636" customFormat="false" ht="13.8" hidden="false" customHeight="false" outlineLevel="0" collapsed="false">
      <c r="B636" s="2" t="n">
        <v>634</v>
      </c>
      <c r="C636" s="2" t="n">
        <v>0.0514511672034016</v>
      </c>
      <c r="D636" s="2" t="n">
        <v>0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0.00911424279568822</v>
      </c>
      <c r="E637" s="2" t="n">
        <v>4.2239397013548E-010</v>
      </c>
    </row>
    <row r="638" customFormat="false" ht="13.8" hidden="false" customHeight="false" outlineLevel="0" collapsed="false">
      <c r="B638" s="2" t="n">
        <v>636</v>
      </c>
      <c r="C638" s="2" t="n">
        <v>0.0596228214071116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1.77627663388767E-018</v>
      </c>
    </row>
    <row r="640" customFormat="false" ht="13.8" hidden="false" customHeight="false" outlineLevel="0" collapsed="false">
      <c r="B640" s="2" t="n">
        <v>638</v>
      </c>
      <c r="C640" s="2" t="n">
        <v>0.0508581064281147</v>
      </c>
      <c r="D640" s="2" t="n">
        <v>0.0377654388473029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0.0385072893472627</v>
      </c>
      <c r="D641" s="2" t="n">
        <v>0.0370462219093778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0.0721564887253043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0.0538056883300065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0.0309926633168336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0.0808460716369942</v>
      </c>
      <c r="D645" s="2" t="n">
        <v>0</v>
      </c>
      <c r="E645" s="2" t="n">
        <v>0</v>
      </c>
    </row>
    <row r="646" customFormat="false" ht="13.8" hidden="false" customHeight="false" outlineLevel="0" collapsed="false">
      <c r="B646" s="2" t="n">
        <v>644</v>
      </c>
      <c r="C646" s="2" t="n">
        <v>0.0553664132904883</v>
      </c>
      <c r="D646" s="2" t="n">
        <v>0</v>
      </c>
      <c r="E646" s="2" t="n">
        <v>1.84181263281254E-018</v>
      </c>
    </row>
    <row r="647" customFormat="false" ht="13.8" hidden="false" customHeight="false" outlineLevel="0" collapsed="false">
      <c r="B647" s="2" t="n">
        <v>645</v>
      </c>
      <c r="C647" s="2" t="n">
        <v>0.086553138277316</v>
      </c>
      <c r="D647" s="2" t="n">
        <v>0</v>
      </c>
      <c r="E647" s="2" t="n">
        <v>1.84181263281254E-018</v>
      </c>
    </row>
    <row r="648" customFormat="false" ht="13.8" hidden="false" customHeight="false" outlineLevel="0" collapsed="false">
      <c r="B648" s="2" t="n">
        <v>646</v>
      </c>
      <c r="C648" s="2" t="n">
        <v>0.061789841198542</v>
      </c>
      <c r="D648" s="2" t="n">
        <v>0</v>
      </c>
      <c r="E648" s="2" t="n">
        <v>0</v>
      </c>
    </row>
    <row r="649" customFormat="false" ht="13.8" hidden="false" customHeight="false" outlineLevel="0" collapsed="false">
      <c r="B649" s="2" t="n">
        <v>647</v>
      </c>
      <c r="C649" s="2" t="n">
        <v>0.0860270774531016</v>
      </c>
      <c r="D649" s="2" t="n">
        <v>0</v>
      </c>
      <c r="E649" s="2" t="n">
        <v>0</v>
      </c>
    </row>
    <row r="650" customFormat="false" ht="13.8" hidden="false" customHeight="false" outlineLevel="0" collapsed="false">
      <c r="B650" s="2" t="n">
        <v>648</v>
      </c>
      <c r="C650" s="2" t="n">
        <v>0.0691803970409947</v>
      </c>
      <c r="D650" s="2" t="n">
        <v>0</v>
      </c>
      <c r="E650" s="2" t="n">
        <v>0</v>
      </c>
    </row>
    <row r="651" customFormat="false" ht="13.8" hidden="false" customHeight="false" outlineLevel="0" collapsed="false">
      <c r="B651" s="2" t="n">
        <v>649</v>
      </c>
      <c r="C651" s="2" t="n">
        <v>0.00266368486952634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0.0744679666477772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0.0338295575795498</v>
      </c>
      <c r="D653" s="2" t="n">
        <v>0</v>
      </c>
      <c r="E653" s="2" t="n">
        <v>9.2090631640626E-019</v>
      </c>
    </row>
    <row r="654" customFormat="false" ht="13.8" hidden="false" customHeight="false" outlineLevel="0" collapsed="false">
      <c r="B654" s="2" t="n">
        <v>652</v>
      </c>
      <c r="C654" s="2" t="n">
        <v>0.0779190664400064</v>
      </c>
      <c r="D654" s="2" t="n">
        <v>9.53674316406266E-019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0.0826531831255603</v>
      </c>
      <c r="D655" s="2" t="n">
        <v>0</v>
      </c>
      <c r="E655" s="2" t="n">
        <v>3.68362526562515E-018</v>
      </c>
    </row>
    <row r="656" customFormat="false" ht="13.8" hidden="false" customHeight="false" outlineLevel="0" collapsed="false">
      <c r="B656" s="2" t="n">
        <v>654</v>
      </c>
      <c r="C656" s="2" t="n">
        <v>0.111936266477781</v>
      </c>
      <c r="D656" s="2" t="n">
        <v>0.114535149830002</v>
      </c>
      <c r="E656" s="2" t="n">
        <v>3.68362526562515E-018</v>
      </c>
    </row>
    <row r="657" customFormat="false" ht="13.8" hidden="false" customHeight="false" outlineLevel="0" collapsed="false">
      <c r="B657" s="2" t="n">
        <v>655</v>
      </c>
      <c r="C657" s="2" t="n">
        <v>0.117602516496669</v>
      </c>
      <c r="D657" s="2" t="n">
        <v>0.0822858831822233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0.12325324984889</v>
      </c>
      <c r="D658" s="2" t="n">
        <v>0.106619116534445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0.0943036332011113</v>
      </c>
      <c r="D659" s="2" t="n">
        <v>0.0821689165533329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0.11740348322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0.089320233238888</v>
      </c>
      <c r="D661" s="2" t="n">
        <v>0.101419783257777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0.111270199924443</v>
      </c>
      <c r="D662" s="2" t="n">
        <v>0.0533367499433322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0.107920299943332</v>
      </c>
      <c r="D663" s="2" t="n">
        <v>0.109053933295555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0.126637133295555</v>
      </c>
      <c r="D664" s="2" t="n">
        <v>0</v>
      </c>
      <c r="E664" s="2" t="n">
        <v>4.60453158203147E-018</v>
      </c>
    </row>
    <row r="665" customFormat="false" ht="13.8" hidden="false" customHeight="false" outlineLevel="0" collapsed="false">
      <c r="B665" s="2" t="n">
        <v>663</v>
      </c>
      <c r="C665" s="2" t="n">
        <v>0.0764712333144439</v>
      </c>
      <c r="D665" s="2" t="n">
        <v>0.0605272115398389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0.102704383333333</v>
      </c>
      <c r="D666" s="2" t="n">
        <v>0.0552368333333333</v>
      </c>
      <c r="E666" s="2" t="n">
        <v>1.90734863281257E-018</v>
      </c>
    </row>
    <row r="667" customFormat="false" ht="13.8" hidden="false" customHeight="false" outlineLevel="0" collapsed="false">
      <c r="B667" s="2" t="n">
        <v>665</v>
      </c>
      <c r="C667" s="2" t="n">
        <v>0.0672212499622205</v>
      </c>
      <c r="D667" s="2" t="n">
        <v>4.53846097744954E-010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0.0953546165911077</v>
      </c>
      <c r="D668" s="2" t="n">
        <v>6.80772566561238E-010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0.0783206332577736</v>
      </c>
      <c r="D669" s="2" t="n">
        <v>9.07701318556446E-010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0.105570366572217</v>
      </c>
      <c r="D670" s="2" t="n">
        <v>1.13463235128375E-009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0.0650041332199926</v>
      </c>
      <c r="D671" s="2" t="n">
        <v>1.36156566440186E-009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0.0860038831822123</v>
      </c>
      <c r="D672" s="2" t="n">
        <v>1.5885012579482E-009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0.0755704165155441</v>
      </c>
      <c r="D673" s="2" t="n">
        <v>1.81543913374982E-009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3.27679999999994E-020</v>
      </c>
      <c r="E674" s="2" t="n">
        <v>3.27679999999994E-020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2" t="n">
        <f aca="false">SUM(C3:C674)</f>
        <v>0.0127570330088362</v>
      </c>
      <c r="D2" s="2" t="n">
        <f aca="false">SUM(D3:D674)</f>
        <v>0.0929509028928403</v>
      </c>
      <c r="E2" s="2" t="n">
        <f aca="false">SUM(E3:E674)</f>
        <v>42.7802281259464</v>
      </c>
    </row>
    <row r="3" customFormat="false" ht="13.8" hidden="false" customHeight="false" outlineLevel="0" collapsed="false">
      <c r="B3" s="2" t="n">
        <v>1</v>
      </c>
      <c r="C3" s="2" t="n">
        <v>1.13333749308305E-010</v>
      </c>
      <c r="D3" s="2" t="n">
        <v>0</v>
      </c>
      <c r="E3" s="2" t="n">
        <v>0.0120024666666667</v>
      </c>
    </row>
    <row r="4" customFormat="false" ht="13.8" hidden="false" customHeight="false" outlineLevel="0" collapsed="false">
      <c r="B4" s="2" t="n">
        <v>2</v>
      </c>
      <c r="C4" s="2" t="n">
        <v>3.27680000000003E-020</v>
      </c>
      <c r="D4" s="2" t="n">
        <v>0</v>
      </c>
      <c r="E4" s="2" t="n">
        <v>3.27680000000003E-020</v>
      </c>
    </row>
    <row r="5" customFormat="false" ht="13.8" hidden="false" customHeight="false" outlineLevel="0" collapsed="false">
      <c r="B5" s="2" t="n">
        <v>3</v>
      </c>
      <c r="C5" s="2" t="n">
        <v>7.5556635649994E-011</v>
      </c>
      <c r="D5" s="2" t="n">
        <v>0</v>
      </c>
      <c r="E5" s="2" t="n">
        <v>0.0551852666666667</v>
      </c>
    </row>
    <row r="6" customFormat="false" ht="13.8" hidden="false" customHeight="false" outlineLevel="0" collapsed="false">
      <c r="B6" s="2" t="n">
        <v>4</v>
      </c>
      <c r="C6" s="2" t="n">
        <v>5.66677777198268E-011</v>
      </c>
      <c r="D6" s="2" t="n">
        <v>0</v>
      </c>
      <c r="E6" s="2" t="n">
        <v>0.0531676</v>
      </c>
    </row>
    <row r="7" customFormat="false" ht="13.8" hidden="false" customHeight="false" outlineLevel="0" collapsed="false">
      <c r="B7" s="2" t="n">
        <v>5</v>
      </c>
      <c r="C7" s="2" t="n">
        <v>3.77787191348894E-011</v>
      </c>
      <c r="D7" s="2" t="n">
        <v>4.76837158203122E-019</v>
      </c>
      <c r="E7" s="2" t="n">
        <v>0.0542504333333333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0.0258536653796332</v>
      </c>
    </row>
    <row r="10" customFormat="false" ht="13.8" hidden="false" customHeight="false" outlineLevel="0" collapsed="false">
      <c r="B10" s="2" t="n">
        <v>8</v>
      </c>
      <c r="C10" s="2" t="n">
        <v>6.48607852458758E-010</v>
      </c>
      <c r="D10" s="2" t="n">
        <v>0</v>
      </c>
      <c r="E10" s="2" t="n">
        <v>0.0411168333333333</v>
      </c>
    </row>
    <row r="11" customFormat="false" ht="13.8" hidden="false" customHeight="false" outlineLevel="0" collapsed="false">
      <c r="B11" s="2" t="n">
        <v>9</v>
      </c>
      <c r="C11" s="2" t="n">
        <v>6.29725083883188E-010</v>
      </c>
      <c r="D11" s="2" t="n">
        <v>0</v>
      </c>
      <c r="E11" s="2" t="n">
        <v>0.0552501166666667</v>
      </c>
    </row>
    <row r="12" customFormat="false" ht="13.8" hidden="false" customHeight="false" outlineLevel="0" collapsed="false">
      <c r="B12" s="2" t="n">
        <v>10</v>
      </c>
      <c r="C12" s="2" t="n">
        <v>6.10842114660152E-010</v>
      </c>
      <c r="D12" s="2" t="n">
        <v>0</v>
      </c>
      <c r="E12" s="2" t="n">
        <v>0.0400502666666667</v>
      </c>
    </row>
    <row r="13" customFormat="false" ht="13.8" hidden="false" customHeight="false" outlineLevel="0" collapsed="false">
      <c r="B13" s="2" t="n">
        <v>11</v>
      </c>
      <c r="C13" s="2" t="n">
        <v>5.91958944789473E-010</v>
      </c>
      <c r="D13" s="2" t="n">
        <v>0</v>
      </c>
      <c r="E13" s="2" t="n">
        <v>0.0211667833333333</v>
      </c>
    </row>
    <row r="14" customFormat="false" ht="13.8" hidden="false" customHeight="false" outlineLevel="0" collapsed="false">
      <c r="B14" s="2" t="n">
        <v>12</v>
      </c>
      <c r="C14" s="2" t="n">
        <v>5.73075574270976E-010</v>
      </c>
      <c r="D14" s="2" t="n">
        <v>0</v>
      </c>
      <c r="E14" s="2" t="n">
        <v>0.0516</v>
      </c>
    </row>
    <row r="15" customFormat="false" ht="13.8" hidden="false" customHeight="false" outlineLevel="0" collapsed="false">
      <c r="B15" s="2" t="n">
        <v>13</v>
      </c>
      <c r="C15" s="2" t="n">
        <v>5.54192003581313E-010</v>
      </c>
      <c r="D15" s="2" t="n">
        <v>0</v>
      </c>
      <c r="E15" s="2" t="n">
        <v>0.0730501166666667</v>
      </c>
    </row>
    <row r="16" customFormat="false" ht="13.8" hidden="false" customHeight="false" outlineLevel="0" collapsed="false">
      <c r="B16" s="2" t="n">
        <v>14</v>
      </c>
      <c r="C16" s="2" t="n">
        <v>5.35308231289822E-010</v>
      </c>
      <c r="D16" s="2" t="n">
        <v>0</v>
      </c>
      <c r="E16" s="2" t="n">
        <v>0.0839666833333333</v>
      </c>
    </row>
    <row r="17" customFormat="false" ht="13.8" hidden="false" customHeight="false" outlineLevel="0" collapsed="false">
      <c r="B17" s="2" t="n">
        <v>15</v>
      </c>
      <c r="C17" s="2" t="n">
        <v>5.16424259747711E-010</v>
      </c>
      <c r="D17" s="2" t="n">
        <v>0</v>
      </c>
      <c r="E17" s="2" t="n">
        <v>0.0473166833333334</v>
      </c>
    </row>
    <row r="18" customFormat="false" ht="13.8" hidden="false" customHeight="false" outlineLevel="0" collapsed="false">
      <c r="B18" s="2" t="n">
        <v>16</v>
      </c>
      <c r="C18" s="2" t="n">
        <v>4.9754008571528E-010</v>
      </c>
      <c r="D18" s="2" t="n">
        <v>0</v>
      </c>
      <c r="E18" s="2" t="n">
        <v>0.0769001333333333</v>
      </c>
    </row>
    <row r="19" customFormat="false" ht="13.8" hidden="false" customHeight="false" outlineLevel="0" collapsed="false">
      <c r="B19" s="2" t="n">
        <v>17</v>
      </c>
      <c r="C19" s="2" t="n">
        <v>4.78655711955048E-010</v>
      </c>
      <c r="D19" s="2" t="n">
        <v>2.26660273005925E-010</v>
      </c>
      <c r="E19" s="2" t="n">
        <v>0.0593836333333333</v>
      </c>
    </row>
    <row r="20" customFormat="false" ht="13.8" hidden="false" customHeight="false" outlineLevel="0" collapsed="false">
      <c r="B20" s="2" t="n">
        <v>18</v>
      </c>
      <c r="C20" s="2" t="n">
        <v>4.59771137545941E-010</v>
      </c>
      <c r="D20" s="2" t="n">
        <v>2.07773020531975E-010</v>
      </c>
      <c r="E20" s="2" t="n">
        <v>0.136633883333333</v>
      </c>
    </row>
    <row r="21" customFormat="false" ht="13.8" hidden="false" customHeight="false" outlineLevel="0" collapsed="false">
      <c r="B21" s="2" t="n">
        <v>19</v>
      </c>
      <c r="C21" s="2" t="n">
        <v>4.40886362487782E-010</v>
      </c>
      <c r="D21" s="2" t="n">
        <v>0</v>
      </c>
      <c r="E21" s="2" t="n">
        <v>0.0409835166666667</v>
      </c>
    </row>
    <row r="22" customFormat="false" ht="13.8" hidden="false" customHeight="false" outlineLevel="0" collapsed="false">
      <c r="B22" s="2" t="n">
        <v>20</v>
      </c>
      <c r="C22" s="2" t="n">
        <v>4.22001386780395E-010</v>
      </c>
      <c r="D22" s="2" t="n">
        <v>0</v>
      </c>
      <c r="E22" s="2" t="n">
        <v>0.05368365</v>
      </c>
    </row>
    <row r="23" customFormat="false" ht="13.8" hidden="false" customHeight="false" outlineLevel="0" collapsed="false">
      <c r="B23" s="2" t="n">
        <v>21</v>
      </c>
      <c r="C23" s="2" t="n">
        <v>4.03116209946774E-010</v>
      </c>
      <c r="D23" s="2" t="n">
        <v>0</v>
      </c>
      <c r="E23" s="2" t="n">
        <v>0.0643004333333333</v>
      </c>
    </row>
    <row r="24" customFormat="false" ht="13.8" hidden="false" customHeight="false" outlineLevel="0" collapsed="false">
      <c r="B24" s="2" t="n">
        <v>22</v>
      </c>
      <c r="C24" s="2" t="n">
        <v>3.84230833417234E-010</v>
      </c>
      <c r="D24" s="2" t="n">
        <v>0</v>
      </c>
      <c r="E24" s="2" t="n">
        <v>0.0702377009888196</v>
      </c>
    </row>
    <row r="25" customFormat="false" ht="13.8" hidden="false" customHeight="false" outlineLevel="0" collapsed="false">
      <c r="B25" s="2" t="n">
        <v>23</v>
      </c>
      <c r="C25" s="2" t="n">
        <v>3.65345255284276E-010</v>
      </c>
      <c r="D25" s="2" t="n">
        <v>1.13333749568665E-010</v>
      </c>
      <c r="E25" s="2" t="n">
        <v>0.090678919568135</v>
      </c>
    </row>
    <row r="26" customFormat="false" ht="13.8" hidden="false" customHeight="false" outlineLevel="0" collapsed="false">
      <c r="B26" s="2" t="n">
        <v>24</v>
      </c>
      <c r="C26" s="2" t="n">
        <v>3.46459482026812E-010</v>
      </c>
      <c r="D26" s="2" t="n">
        <v>9.44452966244302E-011</v>
      </c>
      <c r="E26" s="2" t="n">
        <v>0.147576587685536</v>
      </c>
    </row>
    <row r="27" customFormat="false" ht="13.8" hidden="false" customHeight="false" outlineLevel="0" collapsed="false">
      <c r="B27" s="2" t="n">
        <v>25</v>
      </c>
      <c r="C27" s="2" t="n">
        <v>3.27573497545216E-010</v>
      </c>
      <c r="D27" s="2" t="n">
        <v>7.55566356597462E-011</v>
      </c>
      <c r="E27" s="2" t="n">
        <v>0.0893909558029368</v>
      </c>
    </row>
    <row r="28" customFormat="false" ht="13.8" hidden="false" customHeight="false" outlineLevel="0" collapsed="false">
      <c r="B28" s="2" t="n">
        <v>26</v>
      </c>
      <c r="C28" s="2" t="n">
        <v>3.08687317938763E-010</v>
      </c>
      <c r="D28" s="2" t="n">
        <v>0</v>
      </c>
      <c r="E28" s="2" t="n">
        <v>0.100261089478646</v>
      </c>
    </row>
    <row r="29" customFormat="false" ht="13.8" hidden="false" customHeight="false" outlineLevel="0" collapsed="false">
      <c r="B29" s="2" t="n">
        <v>27</v>
      </c>
      <c r="C29" s="2" t="n">
        <v>2.89800937205017E-010</v>
      </c>
      <c r="D29" s="2" t="n">
        <v>0</v>
      </c>
      <c r="E29" s="2" t="n">
        <v>0.0370880750020132</v>
      </c>
    </row>
    <row r="30" customFormat="false" ht="13.8" hidden="false" customHeight="false" outlineLevel="0" collapsed="false">
      <c r="B30" s="2" t="n">
        <v>28</v>
      </c>
      <c r="C30" s="2" t="n">
        <v>2.70914354866967E-010</v>
      </c>
      <c r="D30" s="2" t="n">
        <v>1.88894598956154E-011</v>
      </c>
      <c r="E30" s="2" t="n">
        <v>0.130793595484138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0.0539530439092704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0.133177876422724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0.0535328496897988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0.0726553229568731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0.0168944462239474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0.072017311063124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0.0201900925689673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0.0351426252441634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0.0718850722473205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0.0153045348829458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0.0103289211588181</v>
      </c>
    </row>
    <row r="42" customFormat="false" ht="13.8" hidden="false" customHeight="false" outlineLevel="0" collapsed="false">
      <c r="B42" s="2" t="n">
        <v>40</v>
      </c>
      <c r="C42" s="2" t="n">
        <v>3.27680000000034E-020</v>
      </c>
      <c r="D42" s="2" t="n">
        <v>0</v>
      </c>
      <c r="E42" s="2" t="n">
        <v>3.27680000000034E-020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3.27680000000034E-020</v>
      </c>
      <c r="D44" s="2" t="n">
        <v>0</v>
      </c>
      <c r="E44" s="2" t="n">
        <v>3.27680000000034E-020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8.88138316406162E-019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6.55360000000134E-020</v>
      </c>
      <c r="D47" s="2" t="n">
        <v>0</v>
      </c>
      <c r="E47" s="2" t="n">
        <v>6.55360000000134E-020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1.77627663281214E-018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6.55360000000134E-020</v>
      </c>
      <c r="D51" s="2" t="n">
        <v>0</v>
      </c>
      <c r="E51" s="2" t="n">
        <v>6.55360000000134E-020</v>
      </c>
    </row>
    <row r="52" customFormat="false" ht="13.8" hidden="false" customHeight="false" outlineLevel="0" collapsed="false">
      <c r="B52" s="2" t="n">
        <v>50</v>
      </c>
      <c r="C52" s="2" t="n">
        <v>3.27680000000034E-020</v>
      </c>
      <c r="D52" s="2" t="n">
        <v>0</v>
      </c>
      <c r="E52" s="2" t="n">
        <v>3.27680000000034E-020</v>
      </c>
    </row>
    <row r="53" customFormat="false" ht="13.8" hidden="false" customHeight="false" outlineLevel="0" collapsed="false">
      <c r="B53" s="2" t="n">
        <v>51</v>
      </c>
      <c r="C53" s="2" t="n">
        <v>1.31072000000053E-019</v>
      </c>
      <c r="D53" s="2" t="n">
        <v>0</v>
      </c>
      <c r="E53" s="2" t="n">
        <v>1.31072000000053E-019</v>
      </c>
    </row>
    <row r="54" customFormat="false" ht="13.8" hidden="false" customHeight="false" outlineLevel="0" collapsed="false">
      <c r="B54" s="2" t="n">
        <v>52</v>
      </c>
      <c r="C54" s="2" t="n">
        <v>1.31072000000053E-019</v>
      </c>
      <c r="D54" s="2" t="n">
        <v>0</v>
      </c>
      <c r="E54" s="2" t="n">
        <v>1.31072000000053E-019</v>
      </c>
    </row>
    <row r="55" customFormat="false" ht="13.8" hidden="false" customHeight="false" outlineLevel="0" collapsed="false">
      <c r="B55" s="2" t="n">
        <v>53</v>
      </c>
      <c r="C55" s="2" t="n">
        <v>1.31072000000053E-019</v>
      </c>
      <c r="D55" s="2" t="n">
        <v>0</v>
      </c>
      <c r="E55" s="2" t="n">
        <v>1.31072000000053E-019</v>
      </c>
    </row>
    <row r="56" customFormat="false" ht="13.8" hidden="false" customHeight="false" outlineLevel="0" collapsed="false">
      <c r="B56" s="2" t="n">
        <v>54</v>
      </c>
      <c r="C56" s="2" t="n">
        <v>6.55360000000134E-020</v>
      </c>
      <c r="D56" s="2" t="n">
        <v>0</v>
      </c>
      <c r="E56" s="2" t="n">
        <v>6.55360000000134E-020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3.68362526562311E-018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6.55360000000134E-020</v>
      </c>
      <c r="D58" s="2" t="n">
        <v>0</v>
      </c>
      <c r="E58" s="2" t="n">
        <v>6.55360000000134E-020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8.22602316406086E-019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1.77627663281214E-018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2.38418579101563E-019</v>
      </c>
      <c r="D62" s="2" t="n">
        <v>2.38418579101465E-018</v>
      </c>
      <c r="E62" s="2" t="n">
        <v>0.0111175674188415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0.0224266238162411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1.90734863281173E-018</v>
      </c>
      <c r="E64" s="2" t="n">
        <v>0.0266818647412703</v>
      </c>
    </row>
    <row r="65" customFormat="false" ht="13.8" hidden="false" customHeight="false" outlineLevel="0" collapsed="false">
      <c r="B65" s="2" t="n">
        <v>63</v>
      </c>
      <c r="C65" s="2" t="n">
        <v>4.76837158203126E-019</v>
      </c>
      <c r="D65" s="2" t="n">
        <v>0</v>
      </c>
      <c r="E65" s="2" t="n">
        <v>0.0189652908865626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0.0432027820374827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0.0428505681112299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0.0676541359085748</v>
      </c>
    </row>
    <row r="69" customFormat="false" ht="13.8" hidden="false" customHeight="false" outlineLevel="0" collapsed="false">
      <c r="B69" s="2" t="n">
        <v>67</v>
      </c>
      <c r="C69" s="2" t="n">
        <v>9.20906316406203E-019</v>
      </c>
      <c r="D69" s="2" t="n">
        <v>0</v>
      </c>
      <c r="E69" s="2" t="n">
        <v>0.0692906703725864</v>
      </c>
    </row>
    <row r="70" customFormat="false" ht="13.8" hidden="false" customHeight="false" outlineLevel="0" collapsed="false">
      <c r="B70" s="2" t="n">
        <v>68</v>
      </c>
      <c r="C70" s="2" t="n">
        <v>3.96636511393098E-010</v>
      </c>
      <c r="D70" s="2" t="n">
        <v>6.61011685530004E-010</v>
      </c>
      <c r="E70" s="2" t="n">
        <v>0.097677204836598</v>
      </c>
    </row>
    <row r="71" customFormat="false" ht="13.8" hidden="false" customHeight="false" outlineLevel="0" collapsed="false">
      <c r="B71" s="2" t="n">
        <v>69</v>
      </c>
      <c r="C71" s="2" t="n">
        <v>3.77751066385822E-010</v>
      </c>
      <c r="D71" s="2" t="n">
        <v>6.42129050018674E-010</v>
      </c>
      <c r="E71" s="2" t="n">
        <v>0.0988139559672762</v>
      </c>
    </row>
    <row r="72" customFormat="false" ht="13.8" hidden="false" customHeight="false" outlineLevel="0" collapsed="false">
      <c r="B72" s="2" t="n">
        <v>70</v>
      </c>
      <c r="C72" s="2" t="n">
        <v>3.58865421619231E-010</v>
      </c>
      <c r="D72" s="2" t="n">
        <v>6.2324621475127E-010</v>
      </c>
      <c r="E72" s="2" t="n">
        <v>0.121673154475457</v>
      </c>
    </row>
    <row r="73" customFormat="false" ht="13.8" hidden="false" customHeight="false" outlineLevel="0" collapsed="false">
      <c r="B73" s="2" t="n">
        <v>71</v>
      </c>
      <c r="C73" s="2" t="n">
        <v>3.39979572965452E-010</v>
      </c>
      <c r="D73" s="2" t="n">
        <v>6.04363175155851E-010</v>
      </c>
      <c r="E73" s="2" t="n">
        <v>0.119049102983638</v>
      </c>
    </row>
    <row r="74" customFormat="false" ht="13.8" hidden="false" customHeight="false" outlineLevel="0" collapsed="false">
      <c r="B74" s="2" t="n">
        <v>72</v>
      </c>
      <c r="C74" s="2" t="n">
        <v>3.21093523663878E-010</v>
      </c>
      <c r="D74" s="2" t="n">
        <v>5.85479936757678E-010</v>
      </c>
      <c r="E74" s="2" t="n">
        <v>0.140725034825152</v>
      </c>
    </row>
    <row r="75" customFormat="false" ht="13.8" hidden="false" customHeight="false" outlineLevel="0" collapsed="false">
      <c r="B75" s="2" t="n">
        <v>73</v>
      </c>
      <c r="C75" s="2" t="n">
        <v>3.02207275588886E-010</v>
      </c>
      <c r="D75" s="2" t="n">
        <v>5.66596496761108E-010</v>
      </c>
      <c r="E75" s="2" t="n">
        <v>0.145651266666667</v>
      </c>
    </row>
    <row r="76" customFormat="false" ht="13.8" hidden="false" customHeight="false" outlineLevel="0" collapsed="false">
      <c r="B76" s="2" t="n">
        <v>74</v>
      </c>
      <c r="C76" s="2" t="n">
        <v>2.8332082591207E-010</v>
      </c>
      <c r="D76" s="2" t="n">
        <v>5.47712857073276E-010</v>
      </c>
      <c r="E76" s="2" t="n">
        <v>0.168551933333333</v>
      </c>
    </row>
    <row r="77" customFormat="false" ht="13.8" hidden="false" customHeight="false" outlineLevel="0" collapsed="false">
      <c r="B77" s="2" t="n">
        <v>75</v>
      </c>
      <c r="C77" s="2" t="n">
        <v>2.64434175586919E-010</v>
      </c>
      <c r="D77" s="2" t="n">
        <v>5.28829015786692E-010</v>
      </c>
      <c r="E77" s="2" t="n">
        <v>0.160719516666667</v>
      </c>
    </row>
    <row r="78" customFormat="false" ht="13.8" hidden="false" customHeight="false" outlineLevel="0" collapsed="false">
      <c r="B78" s="2" t="n">
        <v>76</v>
      </c>
      <c r="C78" s="2" t="n">
        <v>2.45547324613257E-010</v>
      </c>
      <c r="D78" s="2" t="n">
        <v>5.09944972901179E-010</v>
      </c>
      <c r="E78" s="2" t="n">
        <v>0.12853755</v>
      </c>
    </row>
    <row r="79" customFormat="false" ht="13.8" hidden="false" customHeight="false" outlineLevel="0" collapsed="false">
      <c r="B79" s="2" t="n">
        <v>77</v>
      </c>
      <c r="C79" s="2" t="n">
        <v>2.26660272990908E-010</v>
      </c>
      <c r="D79" s="2" t="n">
        <v>4.91060734138512E-010</v>
      </c>
      <c r="E79" s="2" t="n">
        <v>0.201288166666667</v>
      </c>
    </row>
    <row r="80" customFormat="false" ht="13.8" hidden="false" customHeight="false" outlineLevel="0" collapsed="false">
      <c r="B80" s="2" t="n">
        <v>78</v>
      </c>
      <c r="C80" s="2" t="n">
        <v>2.07773020719695E-010</v>
      </c>
      <c r="D80" s="2" t="n">
        <v>4.72176289961929E-010</v>
      </c>
      <c r="E80" s="2" t="n">
        <v>0.165622266666667</v>
      </c>
    </row>
    <row r="81" customFormat="false" ht="13.8" hidden="false" customHeight="false" outlineLevel="0" collapsed="false">
      <c r="B81" s="2" t="n">
        <v>79</v>
      </c>
      <c r="C81" s="2" t="n">
        <v>1.88885568753111E-010</v>
      </c>
      <c r="D81" s="2" t="n">
        <v>4.53291647046865E-010</v>
      </c>
      <c r="E81" s="2" t="n">
        <v>0.256988383333333</v>
      </c>
    </row>
    <row r="82" customFormat="false" ht="13.8" hidden="false" customHeight="false" outlineLevel="0" collapsed="false">
      <c r="B82" s="2" t="n">
        <v>80</v>
      </c>
      <c r="C82" s="2" t="n">
        <v>1.69997914706809E-010</v>
      </c>
      <c r="D82" s="2" t="n">
        <v>4.34406800624846E-010</v>
      </c>
      <c r="E82" s="2" t="n">
        <v>0.161273883333333</v>
      </c>
    </row>
    <row r="83" customFormat="false" ht="13.8" hidden="false" customHeight="false" outlineLevel="0" collapsed="false">
      <c r="B83" s="2" t="n">
        <v>81</v>
      </c>
      <c r="C83" s="2" t="n">
        <v>1.51110060011116E-010</v>
      </c>
      <c r="D83" s="2" t="n">
        <v>4.15521759278639E-010</v>
      </c>
      <c r="E83" s="2" t="n">
        <v>0.2482066</v>
      </c>
    </row>
    <row r="84" customFormat="false" ht="13.8" hidden="false" customHeight="false" outlineLevel="0" collapsed="false">
      <c r="B84" s="2" t="n">
        <v>82</v>
      </c>
      <c r="C84" s="2" t="n">
        <v>1.32222005142689E-010</v>
      </c>
      <c r="D84" s="2" t="n">
        <v>3.96636513471463E-010</v>
      </c>
      <c r="E84" s="2" t="n">
        <v>0.196673583333333</v>
      </c>
    </row>
    <row r="85" customFormat="false" ht="13.8" hidden="false" customHeight="false" outlineLevel="0" collapsed="false">
      <c r="B85" s="2" t="n">
        <v>83</v>
      </c>
      <c r="C85" s="2" t="n">
        <v>1.13333749624518E-010</v>
      </c>
      <c r="D85" s="2" t="n">
        <v>3.77751067017784E-010</v>
      </c>
      <c r="E85" s="2" t="n">
        <v>0.234339983333333</v>
      </c>
    </row>
    <row r="86" customFormat="false" ht="13.8" hidden="false" customHeight="false" outlineLevel="0" collapsed="false">
      <c r="B86" s="2" t="n">
        <v>84</v>
      </c>
      <c r="C86" s="2" t="n">
        <v>9.44452925027566E-011</v>
      </c>
      <c r="D86" s="2" t="n">
        <v>3.58865419917424E-010</v>
      </c>
      <c r="E86" s="2" t="n">
        <v>0.255973</v>
      </c>
    </row>
    <row r="87" customFormat="false" ht="13.8" hidden="false" customHeight="false" outlineLevel="0" collapsed="false">
      <c r="B87" s="2" t="n">
        <v>85</v>
      </c>
      <c r="C87" s="2" t="n">
        <v>7.55566356845703E-011</v>
      </c>
      <c r="D87" s="2" t="n">
        <v>3.39979572170209E-010</v>
      </c>
      <c r="E87" s="2" t="n">
        <v>0.233673933333333</v>
      </c>
    </row>
    <row r="88" customFormat="false" ht="13.8" hidden="false" customHeight="false" outlineLevel="0" collapsed="false">
      <c r="B88" s="2" t="n">
        <v>86</v>
      </c>
      <c r="C88" s="2" t="n">
        <v>5.66677782161124E-011</v>
      </c>
      <c r="D88" s="2" t="n">
        <v>3.21093523775962E-010</v>
      </c>
      <c r="E88" s="2" t="n">
        <v>0.197374216666667</v>
      </c>
    </row>
    <row r="89" customFormat="false" ht="13.8" hidden="false" customHeight="false" outlineLevel="0" collapsed="false">
      <c r="B89" s="2" t="n">
        <v>87</v>
      </c>
      <c r="C89" s="2" t="n">
        <v>5.28858932282658E-010</v>
      </c>
      <c r="D89" s="2" t="n">
        <v>2.64430045665512E-010</v>
      </c>
      <c r="E89" s="2" t="n">
        <v>2.64430045665512E-010</v>
      </c>
    </row>
    <row r="90" customFormat="false" ht="13.8" hidden="false" customHeight="false" outlineLevel="0" collapsed="false">
      <c r="B90" s="2" t="n">
        <v>88</v>
      </c>
      <c r="C90" s="2" t="n">
        <v>1.88894603740038E-011</v>
      </c>
      <c r="D90" s="2" t="n">
        <v>2.83320825999335E-010</v>
      </c>
      <c r="E90" s="2" t="n">
        <v>0.211307066666667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0.0588647361550144</v>
      </c>
    </row>
    <row r="92" customFormat="false" ht="13.8" hidden="false" customHeight="false" outlineLevel="0" collapsed="false">
      <c r="B92" s="2" t="n">
        <v>90</v>
      </c>
      <c r="C92" s="2" t="n">
        <v>3.68362526562501E-018</v>
      </c>
      <c r="D92" s="2" t="n">
        <v>2.45547330204234E-010</v>
      </c>
      <c r="E92" s="2" t="n">
        <v>0.13944165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9.53674316406236E-019</v>
      </c>
      <c r="E93" s="2" t="n">
        <v>0.0380035833333333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0.09916985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0.0538019666666667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0.1106852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1.51110060035939E-010</v>
      </c>
      <c r="E97" s="2" t="n">
        <v>0.0754716333333333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1.32222005161694E-010</v>
      </c>
      <c r="E98" s="2" t="n">
        <v>0.0690723666666667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0.0310197333333333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0.110585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0.0397513666666667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5.66677779811853E-011</v>
      </c>
      <c r="E102" s="2" t="n">
        <v>0.0652351166666667</v>
      </c>
    </row>
    <row r="103" customFormat="false" ht="13.8" hidden="false" customHeight="false" outlineLevel="0" collapsed="false">
      <c r="B103" s="2" t="n">
        <v>101</v>
      </c>
      <c r="C103" s="2" t="n">
        <v>9.20906316406244E-019</v>
      </c>
      <c r="D103" s="2" t="n">
        <v>9.20906316406244E-019</v>
      </c>
      <c r="E103" s="2" t="n">
        <v>0.0529834833333333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9.20906316406244E-019</v>
      </c>
      <c r="E104" s="2" t="n">
        <v>0.0176836333333333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0.0926701552486231</v>
      </c>
    </row>
    <row r="106" customFormat="false" ht="13.8" hidden="false" customHeight="false" outlineLevel="0" collapsed="false">
      <c r="B106" s="2" t="n">
        <v>104</v>
      </c>
      <c r="C106" s="2" t="n">
        <v>1.88896548748017E-011</v>
      </c>
      <c r="D106" s="2" t="n">
        <v>3.77793035998174E-011</v>
      </c>
      <c r="E106" s="2" t="n">
        <v>0.012050183352223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0.106317183333333</v>
      </c>
    </row>
    <row r="108" customFormat="false" ht="13.8" hidden="false" customHeight="false" outlineLevel="0" collapsed="false">
      <c r="B108" s="2" t="n">
        <v>106</v>
      </c>
      <c r="C108" s="2" t="n">
        <v>2.30226579101562E-019</v>
      </c>
      <c r="D108" s="2" t="n">
        <v>0</v>
      </c>
      <c r="E108" s="2" t="n">
        <v>0.0653336833333333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0.130450266666667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0.0675671333333333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0.12026705</v>
      </c>
    </row>
    <row r="112" customFormat="false" ht="13.8" hidden="false" customHeight="false" outlineLevel="0" collapsed="false">
      <c r="B112" s="2" t="n">
        <v>110</v>
      </c>
      <c r="C112" s="2" t="n">
        <v>1.32231550693512E-010</v>
      </c>
      <c r="D112" s="2" t="n">
        <v>2.64462812643722E-010</v>
      </c>
      <c r="E112" s="2" t="n">
        <v>0.0313835667988982</v>
      </c>
    </row>
    <row r="113" customFormat="false" ht="13.8" hidden="false" customHeight="false" outlineLevel="0" collapsed="false">
      <c r="B113" s="2" t="n">
        <v>111</v>
      </c>
      <c r="C113" s="2" t="n">
        <v>1.51122527599335E-010</v>
      </c>
      <c r="D113" s="2" t="n">
        <v>3.02244678257922E-010</v>
      </c>
      <c r="E113" s="2" t="n">
        <v>0.0448835168177892</v>
      </c>
    </row>
    <row r="114" customFormat="false" ht="13.8" hidden="false" customHeight="false" outlineLevel="0" collapsed="false">
      <c r="B114" s="2" t="n">
        <v>112</v>
      </c>
      <c r="C114" s="2" t="n">
        <v>1.7001369380951E-010</v>
      </c>
      <c r="D114" s="2" t="n">
        <v>3.40026908782384E-010</v>
      </c>
      <c r="E114" s="2" t="n">
        <v>0.040733583503347</v>
      </c>
    </row>
    <row r="115" customFormat="false" ht="13.8" hidden="false" customHeight="false" outlineLevel="0" collapsed="false">
      <c r="B115" s="2" t="n">
        <v>113</v>
      </c>
      <c r="C115" s="2" t="n">
        <v>1.88905048847199E-010</v>
      </c>
      <c r="D115" s="2" t="n">
        <v>3.77809506535609E-010</v>
      </c>
      <c r="E115" s="2" t="n">
        <v>0.0390000001889051</v>
      </c>
    </row>
    <row r="116" customFormat="false" ht="13.8" hidden="false" customHeight="false" outlineLevel="0" collapsed="false">
      <c r="B116" s="2" t="n">
        <v>114</v>
      </c>
      <c r="C116" s="2" t="n">
        <v>2.07796592712403E-010</v>
      </c>
      <c r="D116" s="2" t="n">
        <v>4.15592470119708E-010</v>
      </c>
      <c r="E116" s="2" t="n">
        <v>0.0380501502077966</v>
      </c>
    </row>
    <row r="117" customFormat="false" ht="13.8" hidden="false" customHeight="false" outlineLevel="0" collapsed="false">
      <c r="B117" s="2" t="n">
        <v>115</v>
      </c>
      <c r="C117" s="2" t="n">
        <v>2.26688325405121E-010</v>
      </c>
      <c r="D117" s="2" t="n">
        <v>4.53375799534535E-010</v>
      </c>
      <c r="E117" s="2" t="n">
        <v>0.054833416893355</v>
      </c>
    </row>
    <row r="118" customFormat="false" ht="13.8" hidden="false" customHeight="false" outlineLevel="0" collapsed="false">
      <c r="B118" s="2" t="n">
        <v>116</v>
      </c>
      <c r="C118" s="2" t="n">
        <v>2.45580247402192E-010</v>
      </c>
      <c r="D118" s="2" t="n">
        <v>4.9115949525678E-010</v>
      </c>
      <c r="E118" s="2" t="n">
        <v>0.0224167502455802</v>
      </c>
    </row>
    <row r="119" customFormat="false" ht="13.8" hidden="false" customHeight="false" outlineLevel="0" collapsed="false">
      <c r="B119" s="2" t="n">
        <v>117</v>
      </c>
      <c r="C119" s="2" t="n">
        <v>2.64472358226776E-010</v>
      </c>
      <c r="D119" s="2" t="n">
        <v>5.28943557763126E-010</v>
      </c>
      <c r="E119" s="2" t="n">
        <v>0.055450016931139</v>
      </c>
    </row>
    <row r="120" customFormat="false" ht="13.8" hidden="false" customHeight="false" outlineLevel="0" collapsed="false">
      <c r="B120" s="2" t="n">
        <v>118</v>
      </c>
      <c r="C120" s="2" t="n">
        <v>2.83364657640458E-010</v>
      </c>
      <c r="D120" s="2" t="n">
        <v>5.66727984907673E-010</v>
      </c>
      <c r="E120" s="2" t="n">
        <v>0.0201126513659601</v>
      </c>
    </row>
    <row r="121" customFormat="false" ht="13.8" hidden="false" customHeight="false" outlineLevel="0" collapsed="false">
      <c r="B121" s="2" t="n">
        <v>119</v>
      </c>
      <c r="C121" s="2" t="n">
        <v>3.02257146120072E-010</v>
      </c>
      <c r="D121" s="2" t="n">
        <v>6.04512778597612E-010</v>
      </c>
      <c r="E121" s="2" t="n">
        <v>0.0279748024674481</v>
      </c>
    </row>
    <row r="122" customFormat="false" ht="13.8" hidden="false" customHeight="false" outlineLevel="0" collapsed="false">
      <c r="B122" s="2" t="n">
        <v>120</v>
      </c>
      <c r="C122" s="2" t="n">
        <v>3.21149823188782E-010</v>
      </c>
      <c r="D122" s="2" t="n">
        <v>6.42297937879126E-010</v>
      </c>
      <c r="E122" s="2" t="n">
        <v>0.0681705035689363</v>
      </c>
    </row>
    <row r="123" customFormat="false" ht="13.8" hidden="false" customHeight="false" outlineLevel="0" collapsed="false">
      <c r="B123" s="2" t="n">
        <v>121</v>
      </c>
      <c r="C123" s="2" t="n">
        <v>3.40042689979077E-010</v>
      </c>
      <c r="D123" s="2" t="n">
        <v>6.80083464361389E-010</v>
      </c>
      <c r="E123" s="2" t="n">
        <v>0.0053826046704246</v>
      </c>
    </row>
    <row r="124" customFormat="false" ht="13.8" hidden="false" customHeight="false" outlineLevel="0" collapsed="false">
      <c r="B124" s="2" t="n">
        <v>122</v>
      </c>
      <c r="C124" s="2" t="n">
        <v>1.19209289550781E-019</v>
      </c>
      <c r="D124" s="2" t="n">
        <v>1.19209289550781E-019</v>
      </c>
      <c r="E124" s="2" t="n">
        <v>0.0114673038332895</v>
      </c>
    </row>
    <row r="125" customFormat="false" ht="13.8" hidden="false" customHeight="false" outlineLevel="0" collapsed="false">
      <c r="B125" s="2" t="n">
        <v>123</v>
      </c>
      <c r="C125" s="2" t="n">
        <v>2.30226579101559E-019</v>
      </c>
      <c r="D125" s="2" t="n">
        <v>0</v>
      </c>
      <c r="E125" s="2" t="n">
        <v>0.0354974898629963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0.103975020349096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0.0155100273808392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0.0761091227739035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0.00279186356003208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0.0178314632814119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0.0177028035088908</v>
      </c>
    </row>
    <row r="135" customFormat="false" ht="13.8" hidden="false" customHeight="false" outlineLevel="0" collapsed="false">
      <c r="B135" s="2" t="n">
        <v>133</v>
      </c>
      <c r="C135" s="2" t="n">
        <v>2.83340572245162E-010</v>
      </c>
      <c r="D135" s="2" t="n">
        <v>2.83340572245162E-010</v>
      </c>
      <c r="E135" s="2" t="n">
        <v>2.83340572245162E-010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0.00499104773249637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1.41670408396179E-010</v>
      </c>
      <c r="D138" s="2" t="n">
        <v>1.41670994478635E-010</v>
      </c>
      <c r="E138" s="2" t="n">
        <v>1.41670994478635E-010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3.2818164926161E-010</v>
      </c>
      <c r="D141" s="2" t="n">
        <v>1.8889938162527E-010</v>
      </c>
      <c r="E141" s="2" t="n">
        <v>1.8889938162527E-010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4.32735687946047E-018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3.34351879785967E-018</v>
      </c>
      <c r="E147" s="2" t="n">
        <v>3.34351879785967E-018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1.31072000545689E-019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8.05878079630463E-018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6.21696819219642E-018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2.49092506599596E-018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5.96046447753907E-020</v>
      </c>
      <c r="D154" s="2" t="n">
        <v>0.00384803880176704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9.63343590958226E-010</v>
      </c>
      <c r="D155" s="2" t="n">
        <v>5.19527847485108E-010</v>
      </c>
      <c r="E155" s="2" t="n">
        <v>5.19527846054596E-010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8.22602315824098E-019</v>
      </c>
      <c r="E156" s="2" t="n">
        <v>1.74350863191088E-018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5.32882989104264E-018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6.2169682057851E-018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0.00735968566261157</v>
      </c>
      <c r="E159" s="2" t="n">
        <v>3.55255326294281E-018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0.0416987756797479</v>
      </c>
    </row>
    <row r="161" customFormat="false" ht="13.8" hidden="false" customHeight="false" outlineLevel="0" collapsed="false">
      <c r="B161" s="2" t="n">
        <v>159</v>
      </c>
      <c r="C161" s="2" t="n">
        <v>6.55360000209871E-020</v>
      </c>
      <c r="D161" s="2" t="n">
        <v>6.55360000209871E-020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0.0299883903653276</v>
      </c>
      <c r="E162" s="2" t="n">
        <v>0.0122566578032483</v>
      </c>
    </row>
    <row r="163" customFormat="false" ht="13.8" hidden="false" customHeight="false" outlineLevel="0" collapsed="false">
      <c r="B163" s="2" t="n">
        <v>161</v>
      </c>
      <c r="C163" s="2" t="n">
        <v>6.55360000181887E-020</v>
      </c>
      <c r="D163" s="2" t="n">
        <v>6.55360000181887E-020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0.0451907302150608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0.00162655517330404</v>
      </c>
      <c r="E165" s="2" t="n">
        <v>0.0367174695478744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1.84181263281231E-018</v>
      </c>
      <c r="E166" s="2" t="n">
        <v>0.0988338929151852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0.0709886992652474</v>
      </c>
    </row>
    <row r="168" customFormat="false" ht="13.8" hidden="false" customHeight="false" outlineLevel="0" collapsed="false">
      <c r="B168" s="2" t="n">
        <v>166</v>
      </c>
      <c r="C168" s="2" t="n">
        <v>7.93121076276442E-010</v>
      </c>
      <c r="D168" s="2" t="n">
        <v>0</v>
      </c>
      <c r="E168" s="2" t="n">
        <v>0.05343124459059</v>
      </c>
    </row>
    <row r="169" customFormat="false" ht="13.8" hidden="false" customHeight="false" outlineLevel="0" collapsed="false">
      <c r="B169" s="2" t="n">
        <v>167</v>
      </c>
      <c r="C169" s="2" t="n">
        <v>9.25347537377468E-010</v>
      </c>
      <c r="D169" s="2" t="n">
        <v>0.0056661074465642</v>
      </c>
      <c r="E169" s="2" t="n">
        <v>0.0472809668822273</v>
      </c>
    </row>
    <row r="170" customFormat="false" ht="13.8" hidden="false" customHeight="false" outlineLevel="0" collapsed="false">
      <c r="B170" s="2" t="n">
        <v>168</v>
      </c>
      <c r="C170" s="2" t="n">
        <v>9.06467709366313E-010</v>
      </c>
      <c r="D170" s="2" t="n">
        <v>0</v>
      </c>
      <c r="E170" s="2" t="n">
        <v>0.083721237940624</v>
      </c>
    </row>
    <row r="171" customFormat="false" ht="13.8" hidden="false" customHeight="false" outlineLevel="0" collapsed="false">
      <c r="B171" s="2" t="n">
        <v>169</v>
      </c>
      <c r="C171" s="2" t="n">
        <v>8.87587680714849E-010</v>
      </c>
      <c r="D171" s="2" t="n">
        <v>0</v>
      </c>
      <c r="E171" s="2" t="n">
        <v>0.0554958015524565</v>
      </c>
    </row>
    <row r="172" customFormat="false" ht="13.8" hidden="false" customHeight="false" outlineLevel="0" collapsed="false">
      <c r="B172" s="2" t="n">
        <v>170</v>
      </c>
      <c r="C172" s="2" t="n">
        <v>8.68707451422899E-010</v>
      </c>
      <c r="D172" s="2" t="n">
        <v>0</v>
      </c>
      <c r="E172" s="2" t="n">
        <v>0.0944977428310091</v>
      </c>
    </row>
    <row r="173" customFormat="false" ht="13.8" hidden="false" customHeight="false" outlineLevel="0" collapsed="false">
      <c r="B173" s="2" t="n">
        <v>171</v>
      </c>
      <c r="C173" s="2" t="n">
        <v>8.49827021490287E-010</v>
      </c>
      <c r="D173" s="2" t="n">
        <v>0</v>
      </c>
      <c r="E173" s="2" t="n">
        <v>0.0442327507762283</v>
      </c>
    </row>
    <row r="174" customFormat="false" ht="13.8" hidden="false" customHeight="false" outlineLevel="0" collapsed="false">
      <c r="B174" s="2" t="n">
        <v>172</v>
      </c>
      <c r="C174" s="2" t="n">
        <v>8.30946390916837E-010</v>
      </c>
      <c r="D174" s="2" t="n">
        <v>0</v>
      </c>
      <c r="E174" s="2" t="n">
        <v>0.0718015253881141</v>
      </c>
    </row>
    <row r="175" customFormat="false" ht="13.8" hidden="false" customHeight="false" outlineLevel="0" collapsed="false">
      <c r="B175" s="2" t="n">
        <v>173</v>
      </c>
      <c r="C175" s="2" t="n">
        <v>8.12065560179198E-010</v>
      </c>
      <c r="D175" s="2" t="n">
        <v>1.88894603739484E-011</v>
      </c>
      <c r="E175" s="2" t="n">
        <v>0.151788533333333</v>
      </c>
    </row>
    <row r="176" customFormat="false" ht="13.8" hidden="false" customHeight="false" outlineLevel="0" collapsed="false">
      <c r="B176" s="2" t="n">
        <v>174</v>
      </c>
      <c r="C176" s="2" t="n">
        <v>7.93184532483994E-010</v>
      </c>
      <c r="D176" s="2" t="n">
        <v>4.63729958203124E-018</v>
      </c>
      <c r="E176" s="2" t="n">
        <v>0.169936545757083</v>
      </c>
    </row>
    <row r="177" customFormat="false" ht="13.8" hidden="false" customHeight="false" outlineLevel="0" collapsed="false">
      <c r="B177" s="2" t="n">
        <v>175</v>
      </c>
      <c r="C177" s="2" t="n">
        <v>7.74303295826525E-010</v>
      </c>
      <c r="D177" s="2" t="n">
        <v>0</v>
      </c>
      <c r="E177" s="2" t="n">
        <v>0.1738403</v>
      </c>
    </row>
    <row r="178" customFormat="false" ht="13.8" hidden="false" customHeight="false" outlineLevel="0" collapsed="false">
      <c r="B178" s="2" t="n">
        <v>176</v>
      </c>
      <c r="C178" s="2" t="n">
        <v>7.55421863164788E-010</v>
      </c>
      <c r="D178" s="2" t="n">
        <v>0</v>
      </c>
      <c r="E178" s="2" t="n">
        <v>0.1771074</v>
      </c>
    </row>
    <row r="179" customFormat="false" ht="13.8" hidden="false" customHeight="false" outlineLevel="0" collapsed="false">
      <c r="B179" s="2" t="n">
        <v>177</v>
      </c>
      <c r="C179" s="2" t="n">
        <v>7.36540228907683E-010</v>
      </c>
      <c r="D179" s="2" t="n">
        <v>0</v>
      </c>
      <c r="E179" s="2" t="n">
        <v>0.183557566666667</v>
      </c>
    </row>
    <row r="180" customFormat="false" ht="13.8" hidden="false" customHeight="false" outlineLevel="0" collapsed="false">
      <c r="B180" s="2" t="n">
        <v>178</v>
      </c>
      <c r="C180" s="2" t="n">
        <v>7.17658394962335E-010</v>
      </c>
      <c r="D180" s="2" t="n">
        <v>0</v>
      </c>
      <c r="E180" s="2" t="n">
        <v>0.211840666666667</v>
      </c>
    </row>
    <row r="181" customFormat="false" ht="13.8" hidden="false" customHeight="false" outlineLevel="0" collapsed="false">
      <c r="B181" s="2" t="n">
        <v>179</v>
      </c>
      <c r="C181" s="2" t="n">
        <v>6.98776360374916E-010</v>
      </c>
      <c r="D181" s="2" t="n">
        <v>0</v>
      </c>
      <c r="E181" s="2" t="n">
        <v>0.20077395</v>
      </c>
    </row>
    <row r="182" customFormat="false" ht="13.8" hidden="false" customHeight="false" outlineLevel="0" collapsed="false">
      <c r="B182" s="2" t="n">
        <v>180</v>
      </c>
      <c r="C182" s="2" t="n">
        <v>6.79894124191599E-010</v>
      </c>
      <c r="D182" s="2" t="n">
        <v>0</v>
      </c>
      <c r="E182" s="2" t="n">
        <v>0.192274316666667</v>
      </c>
    </row>
    <row r="183" customFormat="false" ht="13.8" hidden="false" customHeight="false" outlineLevel="0" collapsed="false">
      <c r="B183" s="2" t="n">
        <v>181</v>
      </c>
      <c r="C183" s="2" t="n">
        <v>6.61011688319512E-010</v>
      </c>
      <c r="D183" s="2" t="n">
        <v>9.53674316406236E-019</v>
      </c>
      <c r="E183" s="2" t="n">
        <v>0.184008033333333</v>
      </c>
    </row>
    <row r="184" customFormat="false" ht="13.8" hidden="false" customHeight="false" outlineLevel="0" collapsed="false">
      <c r="B184" s="2" t="n">
        <v>182</v>
      </c>
      <c r="C184" s="2" t="n">
        <v>6.42129051804827E-010</v>
      </c>
      <c r="D184" s="2" t="n">
        <v>0</v>
      </c>
      <c r="E184" s="2" t="n">
        <v>0.1450581</v>
      </c>
    </row>
    <row r="185" customFormat="false" ht="13.8" hidden="false" customHeight="false" outlineLevel="0" collapsed="false">
      <c r="B185" s="2" t="n">
        <v>183</v>
      </c>
      <c r="C185" s="2" t="n">
        <v>6.23246214647368E-010</v>
      </c>
      <c r="D185" s="2" t="n">
        <v>0</v>
      </c>
      <c r="E185" s="2" t="n">
        <v>0.128740766666667</v>
      </c>
    </row>
    <row r="186" customFormat="false" ht="13.8" hidden="false" customHeight="false" outlineLevel="0" collapsed="false">
      <c r="B186" s="2" t="n">
        <v>184</v>
      </c>
      <c r="C186" s="2" t="n">
        <v>6.04363175416476E-010</v>
      </c>
      <c r="D186" s="2" t="n">
        <v>0</v>
      </c>
      <c r="E186" s="2" t="n">
        <v>0.147191616666667</v>
      </c>
    </row>
    <row r="187" customFormat="false" ht="13.8" hidden="false" customHeight="false" outlineLevel="0" collapsed="false">
      <c r="B187" s="2" t="n">
        <v>185</v>
      </c>
      <c r="C187" s="2" t="n">
        <v>5.85479937449768E-010</v>
      </c>
      <c r="D187" s="2" t="n">
        <v>0</v>
      </c>
      <c r="E187" s="2" t="n">
        <v>0.1781911</v>
      </c>
    </row>
    <row r="188" customFormat="false" ht="13.8" hidden="false" customHeight="false" outlineLevel="0" collapsed="false">
      <c r="B188" s="2" t="n">
        <v>186</v>
      </c>
      <c r="C188" s="2" t="n">
        <v>5.66596497409273E-010</v>
      </c>
      <c r="D188" s="2" t="n">
        <v>0</v>
      </c>
      <c r="E188" s="2" t="n">
        <v>0.13109085</v>
      </c>
    </row>
    <row r="189" customFormat="false" ht="13.8" hidden="false" customHeight="false" outlineLevel="0" collapsed="false">
      <c r="B189" s="2" t="n">
        <v>187</v>
      </c>
      <c r="C189" s="2" t="n">
        <v>5.47712857678956E-010</v>
      </c>
      <c r="D189" s="2" t="n">
        <v>0</v>
      </c>
      <c r="E189" s="2" t="n">
        <v>0.202289383333333</v>
      </c>
    </row>
    <row r="190" customFormat="false" ht="13.8" hidden="false" customHeight="false" outlineLevel="0" collapsed="false">
      <c r="B190" s="2" t="n">
        <v>188</v>
      </c>
      <c r="C190" s="2" t="n">
        <v>5.28829016351327E-010</v>
      </c>
      <c r="D190" s="2" t="n">
        <v>0</v>
      </c>
      <c r="E190" s="2" t="n">
        <v>0.159455666666667</v>
      </c>
    </row>
    <row r="191" customFormat="false" ht="13.8" hidden="false" customHeight="false" outlineLevel="0" collapsed="false">
      <c r="B191" s="2" t="n">
        <v>189</v>
      </c>
      <c r="C191" s="2" t="n">
        <v>5.09944975333525E-010</v>
      </c>
      <c r="D191" s="2" t="n">
        <v>9.53674316406237E-019</v>
      </c>
      <c r="E191" s="2" t="n">
        <v>0.177422616666667</v>
      </c>
    </row>
    <row r="192" customFormat="false" ht="13.8" hidden="false" customHeight="false" outlineLevel="0" collapsed="false">
      <c r="B192" s="2" t="n">
        <v>190</v>
      </c>
      <c r="C192" s="2" t="n">
        <v>4.91060733194887E-010</v>
      </c>
      <c r="D192" s="2" t="n">
        <v>0</v>
      </c>
      <c r="E192" s="2" t="n">
        <v>0.108673366666667</v>
      </c>
    </row>
    <row r="193" customFormat="false" ht="13.8" hidden="false" customHeight="false" outlineLevel="0" collapsed="false">
      <c r="B193" s="2" t="n">
        <v>191</v>
      </c>
      <c r="C193" s="2" t="n">
        <v>4.7217629065048E-010</v>
      </c>
      <c r="D193" s="2" t="n">
        <v>0</v>
      </c>
      <c r="E193" s="2" t="n">
        <v>0.07593905</v>
      </c>
    </row>
    <row r="194" customFormat="false" ht="13.8" hidden="false" customHeight="false" outlineLevel="0" collapsed="false">
      <c r="B194" s="2" t="n">
        <v>192</v>
      </c>
      <c r="C194" s="2" t="n">
        <v>4.53291646984885E-010</v>
      </c>
      <c r="D194" s="2" t="n">
        <v>1.19209289550779E-018</v>
      </c>
      <c r="E194" s="2" t="n">
        <v>0.0642061333333333</v>
      </c>
    </row>
    <row r="195" customFormat="false" ht="13.8" hidden="false" customHeight="false" outlineLevel="0" collapsed="false">
      <c r="B195" s="2" t="n">
        <v>193</v>
      </c>
      <c r="C195" s="2" t="n">
        <v>4.34406803032378E-010</v>
      </c>
      <c r="D195" s="2" t="n">
        <v>0</v>
      </c>
      <c r="E195" s="2" t="n">
        <v>0.0251384333333333</v>
      </c>
    </row>
    <row r="196" customFormat="false" ht="13.8" hidden="false" customHeight="false" outlineLevel="0" collapsed="false">
      <c r="B196" s="2" t="n">
        <v>194</v>
      </c>
      <c r="C196" s="2" t="n">
        <v>4.1552175724307E-010</v>
      </c>
      <c r="D196" s="2" t="n">
        <v>0</v>
      </c>
      <c r="E196" s="2" t="n">
        <v>0.122888</v>
      </c>
    </row>
    <row r="197" customFormat="false" ht="13.8" hidden="false" customHeight="false" outlineLevel="0" collapsed="false">
      <c r="B197" s="2" t="n">
        <v>195</v>
      </c>
      <c r="C197" s="2" t="n">
        <v>3.96636512835431E-010</v>
      </c>
      <c r="D197" s="2" t="n">
        <v>0</v>
      </c>
      <c r="E197" s="2" t="n">
        <v>0.0953031</v>
      </c>
    </row>
    <row r="198" customFormat="false" ht="13.8" hidden="false" customHeight="false" outlineLevel="0" collapsed="false">
      <c r="B198" s="2" t="n">
        <v>196</v>
      </c>
      <c r="C198" s="2" t="n">
        <v>7.93367111350387E-010</v>
      </c>
      <c r="D198" s="2" t="n">
        <v>8.3122922795412E-010</v>
      </c>
      <c r="E198" s="2" t="n">
        <v>0.0132504837489494</v>
      </c>
    </row>
    <row r="199" customFormat="false" ht="13.8" hidden="false" customHeight="false" outlineLevel="0" collapsed="false">
      <c r="B199" s="2" t="n">
        <v>197</v>
      </c>
      <c r="C199" s="2" t="n">
        <v>7.93377408904152E-010</v>
      </c>
      <c r="D199" s="2" t="n">
        <v>1.58674439041311E-009</v>
      </c>
      <c r="E199" s="2" t="n">
        <v>8.2652057213917E-009</v>
      </c>
    </row>
    <row r="200" customFormat="false" ht="13.8" hidden="false" customHeight="false" outlineLevel="0" collapsed="false">
      <c r="B200" s="2" t="n">
        <v>198</v>
      </c>
      <c r="C200" s="2" t="n">
        <v>7.93383428084995E-010</v>
      </c>
      <c r="D200" s="2" t="n">
        <v>9.0680430583533E-010</v>
      </c>
      <c r="E200" s="2" t="n">
        <v>0.0137501171200705</v>
      </c>
    </row>
    <row r="201" customFormat="false" ht="13.8" hidden="false" customHeight="false" outlineLevel="0" collapsed="false">
      <c r="B201" s="2" t="n">
        <v>199</v>
      </c>
      <c r="C201" s="2" t="n">
        <v>7.93391568665672E-010</v>
      </c>
      <c r="D201" s="2" t="n">
        <v>9.44592394113948E-010</v>
      </c>
      <c r="E201" s="2" t="n">
        <v>0.0465835838056314</v>
      </c>
    </row>
    <row r="202" customFormat="false" ht="13.8" hidden="false" customHeight="false" outlineLevel="0" collapsed="false">
      <c r="B202" s="2" t="n">
        <v>200</v>
      </c>
      <c r="C202" s="2" t="n">
        <v>7.93399697896734E-010</v>
      </c>
      <c r="D202" s="2" t="n">
        <v>9.82380847862722E-010</v>
      </c>
      <c r="E202" s="2" t="n">
        <v>0.0152500004911924</v>
      </c>
    </row>
    <row r="203" customFormat="false" ht="13.8" hidden="false" customHeight="false" outlineLevel="0" collapsed="false">
      <c r="B203" s="2" t="n">
        <v>201</v>
      </c>
      <c r="C203" s="2" t="n">
        <v>7.93407815564172E-010</v>
      </c>
      <c r="D203" s="2" t="n">
        <v>1.02016966720073E-009</v>
      </c>
      <c r="E203" s="2" t="n">
        <v>0.079916750510087</v>
      </c>
    </row>
    <row r="204" customFormat="false" ht="13.8" hidden="false" customHeight="false" outlineLevel="0" collapsed="false">
      <c r="B204" s="2" t="n">
        <v>202</v>
      </c>
      <c r="C204" s="2" t="n">
        <v>7.9341592080877E-010</v>
      </c>
      <c r="D204" s="2" t="n">
        <v>1.05795885475037E-009</v>
      </c>
      <c r="E204" s="2" t="n">
        <v>0.0146502338623151</v>
      </c>
    </row>
    <row r="205" customFormat="false" ht="13.8" hidden="false" customHeight="false" outlineLevel="0" collapsed="false">
      <c r="B205" s="2" t="n">
        <v>203</v>
      </c>
      <c r="C205" s="2" t="n">
        <v>7.93424014830633E-010</v>
      </c>
      <c r="D205" s="2" t="n">
        <v>1.09574840729291E-009</v>
      </c>
      <c r="E205" s="2" t="n">
        <v>0.0142169172145434</v>
      </c>
    </row>
    <row r="206" customFormat="false" ht="13.8" hidden="false" customHeight="false" outlineLevel="0" collapsed="false">
      <c r="B206" s="2" t="n">
        <v>204</v>
      </c>
      <c r="C206" s="2" t="n">
        <v>7.93432096079867E-010</v>
      </c>
      <c r="D206" s="2" t="n">
        <v>1.13353832482819E-009</v>
      </c>
      <c r="E206" s="2" t="n">
        <v>0.0700001339001052</v>
      </c>
    </row>
    <row r="207" customFormat="false" ht="13.8" hidden="false" customHeight="false" outlineLevel="0" collapsed="false">
      <c r="B207" s="2" t="n">
        <v>205</v>
      </c>
      <c r="C207" s="2" t="n">
        <v>7.93440881953698E-010</v>
      </c>
      <c r="D207" s="2" t="n">
        <v>1.58687133505966E-009</v>
      </c>
      <c r="E207" s="2" t="n">
        <v>1.04649891811472E-008</v>
      </c>
    </row>
    <row r="208" customFormat="false" ht="13.8" hidden="false" customHeight="false" outlineLevel="0" collapsed="false">
      <c r="B208" s="2" t="n">
        <v>206</v>
      </c>
      <c r="C208" s="2" t="n">
        <v>7.93448225266525E-010</v>
      </c>
      <c r="D208" s="2" t="n">
        <v>1.20911925976392E-009</v>
      </c>
      <c r="E208" s="2" t="n">
        <v>0.070250133937896</v>
      </c>
    </row>
    <row r="209" customFormat="false" ht="13.8" hidden="false" customHeight="false" outlineLevel="0" collapsed="false">
      <c r="B209" s="2" t="n">
        <v>207</v>
      </c>
      <c r="C209" s="2" t="n">
        <v>7.93456272369131E-010</v>
      </c>
      <c r="D209" s="2" t="n">
        <v>1.24691027680644E-009</v>
      </c>
      <c r="E209" s="2" t="n">
        <v>0.0190834006234584</v>
      </c>
    </row>
    <row r="210" customFormat="false" ht="13.8" hidden="false" customHeight="false" outlineLevel="0" collapsed="false">
      <c r="B210" s="2" t="n">
        <v>208</v>
      </c>
      <c r="C210" s="2" t="n">
        <v>7.93464307175243E-010</v>
      </c>
      <c r="D210" s="2" t="n">
        <v>1.28470165919875E-009</v>
      </c>
      <c r="E210" s="2" t="n">
        <v>0.0713834006423543</v>
      </c>
    </row>
    <row r="211" customFormat="false" ht="13.8" hidden="false" customHeight="false" outlineLevel="0" collapsed="false">
      <c r="B211" s="2" t="n">
        <v>209</v>
      </c>
      <c r="C211" s="2" t="n">
        <v>7.93472330876771E-010</v>
      </c>
      <c r="D211" s="2" t="n">
        <v>1.32249340837118E-009</v>
      </c>
      <c r="E211" s="2" t="n">
        <v>0.018533717327917</v>
      </c>
    </row>
    <row r="212" customFormat="false" ht="13.8" hidden="false" customHeight="false" outlineLevel="0" collapsed="false">
      <c r="B212" s="2" t="n">
        <v>210</v>
      </c>
      <c r="C212" s="2" t="n">
        <v>7.93480342758288E-010</v>
      </c>
      <c r="D212" s="2" t="n">
        <v>1.36028552241627E-009</v>
      </c>
      <c r="E212" s="2" t="n">
        <v>0.0441835840134799</v>
      </c>
    </row>
    <row r="213" customFormat="false" ht="13.8" hidden="false" customHeight="false" outlineLevel="0" collapsed="false">
      <c r="B213" s="2" t="n">
        <v>211</v>
      </c>
      <c r="C213" s="2" t="n">
        <v>7.93488342342779E-010</v>
      </c>
      <c r="D213" s="2" t="n">
        <v>1.39807800419484E-009</v>
      </c>
      <c r="E213" s="2" t="n">
        <v>0.0410000506990431</v>
      </c>
    </row>
    <row r="214" customFormat="false" ht="13.8" hidden="false" customHeight="false" outlineLevel="0" collapsed="false">
      <c r="B214" s="2" t="n">
        <v>212</v>
      </c>
      <c r="C214" s="2" t="n">
        <v>7.93496330106905E-010</v>
      </c>
      <c r="D214" s="2" t="n">
        <v>1.43587085036896E-009</v>
      </c>
      <c r="E214" s="2" t="n">
        <v>0.067166684051273</v>
      </c>
    </row>
    <row r="215" customFormat="false" ht="13.8" hidden="false" customHeight="false" outlineLevel="0" collapsed="false">
      <c r="B215" s="2" t="n">
        <v>213</v>
      </c>
      <c r="C215" s="2" t="n">
        <v>7.93504307004164E-010</v>
      </c>
      <c r="D215" s="2" t="n">
        <v>1.47366406427626E-009</v>
      </c>
      <c r="E215" s="2" t="n">
        <v>0.0835000007368365</v>
      </c>
    </row>
    <row r="216" customFormat="false" ht="13.8" hidden="false" customHeight="false" outlineLevel="0" collapsed="false">
      <c r="B216" s="2" t="n">
        <v>214</v>
      </c>
      <c r="C216" s="2" t="n">
        <v>7.93512295201638E-010</v>
      </c>
      <c r="D216" s="2" t="n">
        <v>1.58701416052979E-009</v>
      </c>
      <c r="E216" s="2" t="n">
        <v>1.29399559372842E-008</v>
      </c>
    </row>
    <row r="217" customFormat="false" ht="13.8" hidden="false" customHeight="false" outlineLevel="0" collapsed="false">
      <c r="B217" s="2" t="n">
        <v>215</v>
      </c>
      <c r="C217" s="2" t="n">
        <v>7.93520225336356E-010</v>
      </c>
      <c r="D217" s="2" t="n">
        <v>1.54925159052158E-009</v>
      </c>
      <c r="E217" s="2" t="n">
        <v>0.0746782826096129</v>
      </c>
    </row>
    <row r="218" customFormat="false" ht="13.8" hidden="false" customHeight="false" outlineLevel="0" collapsed="false">
      <c r="B218" s="2" t="n">
        <v>216</v>
      </c>
      <c r="C218" s="2" t="n">
        <v>7.93528165817262E-010</v>
      </c>
      <c r="D218" s="2" t="n">
        <v>1.5870459014288E-009</v>
      </c>
      <c r="E218" s="2" t="n">
        <v>0.0404491132788369</v>
      </c>
    </row>
    <row r="219" customFormat="false" ht="13.8" hidden="false" customHeight="false" outlineLevel="0" collapsed="false">
      <c r="B219" s="2" t="n">
        <v>217</v>
      </c>
      <c r="C219" s="2" t="n">
        <v>8.31315215875962E-010</v>
      </c>
      <c r="D219" s="2" t="n">
        <v>1.62484057816131E-009</v>
      </c>
      <c r="E219" s="2" t="n">
        <v>0.0710064644823901</v>
      </c>
    </row>
    <row r="220" customFormat="false" ht="13.8" hidden="false" customHeight="false" outlineLevel="0" collapsed="false">
      <c r="B220" s="2" t="n">
        <v>218</v>
      </c>
      <c r="C220" s="2" t="n">
        <v>8.31323534965516E-010</v>
      </c>
      <c r="D220" s="2" t="n">
        <v>1.66263562262628E-009</v>
      </c>
      <c r="E220" s="2" t="n">
        <v>0.0401110462419052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0.0927628455142658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0.0516416910051148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0.0837702031626305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0.0397497589289992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0.0349966646953678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0.00930983712840315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0.0203186652297889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0.00226686406088136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8.38869171321188E-026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6.55360002728459E-020</v>
      </c>
      <c r="D233" s="2" t="n">
        <v>0</v>
      </c>
      <c r="E233" s="2" t="n">
        <v>6.55360002728459E-020</v>
      </c>
    </row>
    <row r="234" customFormat="false" ht="13.8" hidden="false" customHeight="false" outlineLevel="0" collapsed="false">
      <c r="B234" s="2" t="n">
        <v>232</v>
      </c>
      <c r="C234" s="2" t="n">
        <v>8.20441826943077E-011</v>
      </c>
      <c r="D234" s="2" t="n">
        <v>4.72241369371875E-011</v>
      </c>
      <c r="E234" s="2" t="n">
        <v>4.72241369371875E-011</v>
      </c>
    </row>
    <row r="235" customFormat="false" ht="13.8" hidden="false" customHeight="false" outlineLevel="0" collapsed="false">
      <c r="B235" s="2" t="n">
        <v>233</v>
      </c>
      <c r="C235" s="2" t="n">
        <v>3.27686082513898E-020</v>
      </c>
      <c r="D235" s="2" t="n">
        <v>0</v>
      </c>
      <c r="E235" s="2" t="n">
        <v>3.27680000682115E-020</v>
      </c>
    </row>
    <row r="236" customFormat="false" ht="13.8" hidden="false" customHeight="false" outlineLevel="0" collapsed="false">
      <c r="B236" s="2" t="n">
        <v>234</v>
      </c>
      <c r="C236" s="2" t="n">
        <v>1.41670994478635E-010</v>
      </c>
      <c r="D236" s="2" t="n">
        <v>1.41670994478635E-010</v>
      </c>
      <c r="E236" s="2" t="n">
        <v>1.41670994478635E-010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7.75969448629142E-024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8.4937621467383E-024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8.89696943108963E-011</v>
      </c>
      <c r="E240" s="2" t="n">
        <v>4.72246093145315E-011</v>
      </c>
    </row>
    <row r="241" customFormat="false" ht="13.8" hidden="false" customHeight="false" outlineLevel="0" collapsed="false">
      <c r="B241" s="2" t="n">
        <v>239</v>
      </c>
      <c r="C241" s="2" t="n">
        <v>4.72250815659434E-011</v>
      </c>
      <c r="D241" s="2" t="n">
        <v>9.09412227327601E-011</v>
      </c>
      <c r="E241" s="2" t="n">
        <v>4.72250815659235E-011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3.28181648644967E-010</v>
      </c>
      <c r="E242" s="2" t="n">
        <v>1.88899381690806E-010</v>
      </c>
    </row>
    <row r="243" customFormat="false" ht="13.8" hidden="false" customHeight="false" outlineLevel="0" collapsed="false">
      <c r="B243" s="2" t="n">
        <v>241</v>
      </c>
      <c r="C243" s="2" t="n">
        <v>4.44874548622064E-010</v>
      </c>
      <c r="D243" s="2" t="n">
        <v>2.36137214008716E-010</v>
      </c>
      <c r="E243" s="2" t="n">
        <v>2.36137214485553E-010</v>
      </c>
    </row>
    <row r="244" customFormat="false" ht="13.8" hidden="false" customHeight="false" outlineLevel="0" collapsed="false">
      <c r="B244" s="2" t="n">
        <v>242</v>
      </c>
      <c r="C244" s="2" t="n">
        <v>9.51694078687956E-010</v>
      </c>
      <c r="D244" s="2" t="n">
        <v>7.72403693213954E-010</v>
      </c>
      <c r="E244" s="2" t="n">
        <v>6.13945891507151E-010</v>
      </c>
    </row>
    <row r="245" customFormat="false" ht="13.8" hidden="false" customHeight="false" outlineLevel="0" collapsed="false">
      <c r="B245" s="2" t="n">
        <v>243</v>
      </c>
      <c r="C245" s="2" t="n">
        <v>1.88905048786357E-010</v>
      </c>
      <c r="D245" s="2" t="n">
        <v>3.5231843165582E-010</v>
      </c>
      <c r="E245" s="2" t="n">
        <v>1.88905053423657E-010</v>
      </c>
    </row>
    <row r="246" customFormat="false" ht="13.8" hidden="false" customHeight="false" outlineLevel="0" collapsed="false">
      <c r="B246" s="2" t="n">
        <v>244</v>
      </c>
      <c r="C246" s="2" t="n">
        <v>1.88906938707381E-010</v>
      </c>
      <c r="D246" s="2" t="n">
        <v>3.55894423742447E-010</v>
      </c>
      <c r="E246" s="2" t="n">
        <v>1.88906929170637E-010</v>
      </c>
    </row>
    <row r="247" customFormat="false" ht="13.8" hidden="false" customHeight="false" outlineLevel="0" collapsed="false">
      <c r="B247" s="2" t="n">
        <v>245</v>
      </c>
      <c r="C247" s="2" t="n">
        <v>1.889088269429E-010</v>
      </c>
      <c r="D247" s="2" t="n">
        <v>3.58594627028759E-010</v>
      </c>
      <c r="E247" s="2" t="n">
        <v>1.88908828784713E-010</v>
      </c>
    </row>
    <row r="248" customFormat="false" ht="13.8" hidden="false" customHeight="false" outlineLevel="0" collapsed="false">
      <c r="B248" s="2" t="n">
        <v>246</v>
      </c>
      <c r="C248" s="2" t="n">
        <v>1.889107157877E-010</v>
      </c>
      <c r="D248" s="2" t="n">
        <v>3.60705301686121E-010</v>
      </c>
      <c r="E248" s="2" t="n">
        <v>1.8891072315495E-010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1.77627663175608E-018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1.03028520273182E-017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8.35709513848437E-018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5.32882989289144E-018</v>
      </c>
    </row>
    <row r="255" customFormat="false" ht="13.8" hidden="false" customHeight="false" outlineLevel="0" collapsed="false">
      <c r="B255" s="2" t="n">
        <v>253</v>
      </c>
      <c r="C255" s="2" t="n">
        <v>2.45760000295129E-019</v>
      </c>
      <c r="D255" s="2" t="n">
        <v>2.45760000295129E-019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6.61180894861179E-010</v>
      </c>
      <c r="D256" s="2" t="n">
        <v>6.61180894861179E-010</v>
      </c>
      <c r="E256" s="2" t="n">
        <v>1.1486932015189E-009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0.0172912795215338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0.0579032983875191</v>
      </c>
    </row>
    <row r="259" customFormat="false" ht="13.8" hidden="false" customHeight="false" outlineLevel="0" collapsed="false">
      <c r="B259" s="2" t="n">
        <v>257</v>
      </c>
      <c r="C259" s="2" t="n">
        <v>1.07637893975022E-009</v>
      </c>
      <c r="D259" s="2" t="n">
        <v>4.53291646045338E-010</v>
      </c>
      <c r="E259" s="2" t="n">
        <v>0.0676814172535044</v>
      </c>
    </row>
    <row r="260" customFormat="false" ht="13.8" hidden="false" customHeight="false" outlineLevel="0" collapsed="false">
      <c r="B260" s="2" t="n">
        <v>258</v>
      </c>
      <c r="C260" s="2" t="n">
        <v>1.05750071684269E-009</v>
      </c>
      <c r="D260" s="2" t="n">
        <v>4.34406804330004E-010</v>
      </c>
      <c r="E260" s="2" t="n">
        <v>0.145471274234915</v>
      </c>
    </row>
    <row r="261" customFormat="false" ht="13.8" hidden="false" customHeight="false" outlineLevel="0" collapsed="false">
      <c r="B261" s="2" t="n">
        <v>259</v>
      </c>
      <c r="C261" s="2" t="n">
        <v>1.03862229281966E-009</v>
      </c>
      <c r="D261" s="2" t="n">
        <v>4.15521757331095E-010</v>
      </c>
      <c r="E261" s="2" t="n">
        <v>0.0940111978829919</v>
      </c>
    </row>
    <row r="262" customFormat="false" ht="13.8" hidden="false" customHeight="false" outlineLevel="0" collapsed="false">
      <c r="B262" s="2" t="n">
        <v>260</v>
      </c>
      <c r="C262" s="2" t="n">
        <v>1.01974366815777E-009</v>
      </c>
      <c r="D262" s="2" t="n">
        <v>3.96636512481152E-010</v>
      </c>
      <c r="E262" s="2" t="n">
        <v>0.156467938197736</v>
      </c>
    </row>
    <row r="263" customFormat="false" ht="13.8" hidden="false" customHeight="false" outlineLevel="0" collapsed="false">
      <c r="B263" s="2" t="n">
        <v>261</v>
      </c>
      <c r="C263" s="2" t="n">
        <v>1.00086484333368E-009</v>
      </c>
      <c r="D263" s="2" t="n">
        <v>3.7775106650771E-010</v>
      </c>
      <c r="E263" s="2" t="n">
        <v>0.0987578951791462</v>
      </c>
    </row>
    <row r="264" customFormat="false" ht="13.8" hidden="false" customHeight="false" outlineLevel="0" collapsed="false">
      <c r="B264" s="2" t="n">
        <v>262</v>
      </c>
      <c r="C264" s="2" t="n">
        <v>9.81985817870369E-010</v>
      </c>
      <c r="D264" s="2" t="n">
        <v>3.58865419887423E-010</v>
      </c>
      <c r="E264" s="2" t="n">
        <v>0.16973545888436</v>
      </c>
    </row>
    <row r="265" customFormat="false" ht="13.8" hidden="false" customHeight="false" outlineLevel="0" collapsed="false">
      <c r="B265" s="2" t="n">
        <v>263</v>
      </c>
      <c r="C265" s="2" t="n">
        <v>9.6310659176768E-010</v>
      </c>
      <c r="D265" s="2" t="n">
        <v>3.39979572143282E-010</v>
      </c>
      <c r="E265" s="2" t="n">
        <v>0.11254598925624</v>
      </c>
    </row>
    <row r="266" customFormat="false" ht="13.8" hidden="false" customHeight="false" outlineLevel="0" collapsed="false">
      <c r="B266" s="2" t="n">
        <v>264</v>
      </c>
      <c r="C266" s="2" t="n">
        <v>9.4422716502543E-010</v>
      </c>
      <c r="D266" s="2" t="n">
        <v>3.21093523751944E-010</v>
      </c>
      <c r="E266" s="2" t="n">
        <v>0.180157186294787</v>
      </c>
    </row>
    <row r="267" customFormat="false" ht="13.8" hidden="false" customHeight="false" outlineLevel="0" collapsed="false">
      <c r="B267" s="2" t="n">
        <v>265</v>
      </c>
      <c r="C267" s="2" t="n">
        <v>9.25347537643445E-010</v>
      </c>
      <c r="D267" s="2" t="n">
        <v>3.02207275666897E-010</v>
      </c>
      <c r="E267" s="2" t="n">
        <v>0.112969483333333</v>
      </c>
    </row>
    <row r="268" customFormat="false" ht="13.8" hidden="false" customHeight="false" outlineLevel="0" collapsed="false">
      <c r="B268" s="2" t="n">
        <v>266</v>
      </c>
      <c r="C268" s="2" t="n">
        <v>9.06467709621547E-010</v>
      </c>
      <c r="D268" s="2" t="n">
        <v>2.83320825980635E-010</v>
      </c>
      <c r="E268" s="2" t="n">
        <v>0.155336816666667</v>
      </c>
    </row>
    <row r="269" customFormat="false" ht="13.8" hidden="false" customHeight="false" outlineLevel="0" collapsed="false">
      <c r="B269" s="2" t="n">
        <v>267</v>
      </c>
      <c r="C269" s="2" t="n">
        <v>8.87587681880453E-010</v>
      </c>
      <c r="D269" s="2" t="n">
        <v>2.64434173739316E-010</v>
      </c>
      <c r="E269" s="2" t="n">
        <v>0.1532051</v>
      </c>
    </row>
    <row r="270" customFormat="false" ht="13.8" hidden="false" customHeight="false" outlineLevel="0" collapsed="false">
      <c r="B270" s="2" t="n">
        <v>268</v>
      </c>
      <c r="C270" s="2" t="n">
        <v>8.68707451657311E-010</v>
      </c>
      <c r="D270" s="2" t="n">
        <v>2.45547326095258E-010</v>
      </c>
      <c r="E270" s="2" t="n">
        <v>0.167055816666667</v>
      </c>
    </row>
    <row r="271" customFormat="false" ht="13.8" hidden="false" customHeight="false" outlineLevel="0" collapsed="false">
      <c r="B271" s="2" t="n">
        <v>269</v>
      </c>
      <c r="C271" s="2" t="n">
        <v>8.49827022191444E-010</v>
      </c>
      <c r="D271" s="2" t="n">
        <v>2.26660273034791E-010</v>
      </c>
      <c r="E271" s="2" t="n">
        <v>0.150139066666667</v>
      </c>
    </row>
    <row r="272" customFormat="false" ht="13.8" hidden="false" customHeight="false" outlineLevel="0" collapsed="false">
      <c r="B272" s="2" t="n">
        <v>270</v>
      </c>
      <c r="C272" s="2" t="n">
        <v>8.30946392084961E-010</v>
      </c>
      <c r="D272" s="2" t="n">
        <v>2.07773020756569E-010</v>
      </c>
      <c r="E272" s="2" t="n">
        <v>0.2441884</v>
      </c>
    </row>
    <row r="273" customFormat="false" ht="13.8" hidden="false" customHeight="false" outlineLevel="0" collapsed="false">
      <c r="B273" s="2" t="n">
        <v>271</v>
      </c>
      <c r="C273" s="2" t="n">
        <v>8.12065560384038E-010</v>
      </c>
      <c r="D273" s="2" t="n">
        <v>1.88885565922581E-010</v>
      </c>
      <c r="E273" s="2" t="n">
        <v>0.15868945</v>
      </c>
    </row>
    <row r="274" customFormat="false" ht="13.8" hidden="false" customHeight="false" outlineLevel="0" collapsed="false">
      <c r="B274" s="2" t="n">
        <v>272</v>
      </c>
      <c r="C274" s="2" t="n">
        <v>7.93184528042145E-010</v>
      </c>
      <c r="D274" s="2" t="n">
        <v>1.69997916161998E-010</v>
      </c>
      <c r="E274" s="2" t="n">
        <v>0.22484025</v>
      </c>
    </row>
    <row r="275" customFormat="false" ht="13.8" hidden="false" customHeight="false" outlineLevel="0" collapsed="false">
      <c r="B275" s="2" t="n">
        <v>273</v>
      </c>
      <c r="C275" s="2" t="n">
        <v>7.74303296012757E-010</v>
      </c>
      <c r="D275" s="2" t="n">
        <v>1.5111006003062E-010</v>
      </c>
      <c r="E275" s="2" t="n">
        <v>0.178107433333333</v>
      </c>
    </row>
    <row r="276" customFormat="false" ht="13.8" hidden="false" customHeight="false" outlineLevel="0" collapsed="false">
      <c r="B276" s="2" t="n">
        <v>274</v>
      </c>
      <c r="C276" s="2" t="n">
        <v>7.55421863342048E-010</v>
      </c>
      <c r="D276" s="2" t="n">
        <v>1.32222005157622E-010</v>
      </c>
      <c r="E276" s="2" t="n">
        <v>0.237640966666667</v>
      </c>
    </row>
    <row r="277" customFormat="false" ht="13.8" hidden="false" customHeight="false" outlineLevel="0" collapsed="false">
      <c r="B277" s="2" t="n">
        <v>275</v>
      </c>
      <c r="C277" s="2" t="n">
        <v>7.36540229076192E-010</v>
      </c>
      <c r="D277" s="2" t="n">
        <v>1.1333374963549E-010</v>
      </c>
      <c r="E277" s="2" t="n">
        <v>0.1619418</v>
      </c>
    </row>
    <row r="278" customFormat="false" ht="13.8" hidden="false" customHeight="false" outlineLevel="0" collapsed="false">
      <c r="B278" s="2" t="n">
        <v>276</v>
      </c>
      <c r="C278" s="2" t="n">
        <v>7.17658393214966E-010</v>
      </c>
      <c r="D278" s="2" t="n">
        <v>9.44452906030272E-011</v>
      </c>
      <c r="E278" s="2" t="n">
        <v>0.198091016666667</v>
      </c>
    </row>
    <row r="279" customFormat="false" ht="13.8" hidden="false" customHeight="false" outlineLevel="0" collapsed="false">
      <c r="B279" s="2" t="n">
        <v>277</v>
      </c>
      <c r="C279" s="2" t="n">
        <v>6.98776364210214E-010</v>
      </c>
      <c r="D279" s="2" t="n">
        <v>7.55566412148821E-011</v>
      </c>
      <c r="E279" s="2" t="n">
        <v>0.212740833333333</v>
      </c>
    </row>
    <row r="280" customFormat="false" ht="13.8" hidden="false" customHeight="false" outlineLevel="0" collapsed="false">
      <c r="B280" s="2" t="n">
        <v>278</v>
      </c>
      <c r="C280" s="2" t="n">
        <v>6.79894125288838E-010</v>
      </c>
      <c r="D280" s="2" t="n">
        <v>5.66677782188553E-011</v>
      </c>
      <c r="E280" s="2" t="n">
        <v>0.261906866666667</v>
      </c>
    </row>
    <row r="281" customFormat="false" ht="13.8" hidden="false" customHeight="false" outlineLevel="0" collapsed="false">
      <c r="B281" s="2" t="n">
        <v>279</v>
      </c>
      <c r="C281" s="2" t="n">
        <v>6.6101168750158E-010</v>
      </c>
      <c r="D281" s="2" t="n">
        <v>3.77787191447528E-011</v>
      </c>
      <c r="E281" s="2" t="n">
        <v>0.223056683333333</v>
      </c>
    </row>
    <row r="282" customFormat="false" ht="13.8" hidden="false" customHeight="false" outlineLevel="0" collapsed="false">
      <c r="B282" s="2" t="n">
        <v>280</v>
      </c>
      <c r="C282" s="2" t="n">
        <v>6.42129051932905E-010</v>
      </c>
      <c r="D282" s="2" t="n">
        <v>1.88894622161206E-011</v>
      </c>
      <c r="E282" s="2" t="n">
        <v>0.224906916666667</v>
      </c>
    </row>
    <row r="283" customFormat="false" ht="13.8" hidden="false" customHeight="false" outlineLevel="0" collapsed="false">
      <c r="B283" s="2" t="n">
        <v>281</v>
      </c>
      <c r="C283" s="2" t="n">
        <v>6.23246213814369E-010</v>
      </c>
      <c r="D283" s="2" t="n">
        <v>0</v>
      </c>
      <c r="E283" s="2" t="n">
        <v>0.12054444841237</v>
      </c>
    </row>
    <row r="284" customFormat="false" ht="13.8" hidden="false" customHeight="false" outlineLevel="0" collapsed="false">
      <c r="B284" s="2" t="n">
        <v>282</v>
      </c>
      <c r="C284" s="2" t="n">
        <v>6.23252830166324E-010</v>
      </c>
      <c r="D284" s="2" t="n">
        <v>3.77793043149897E-011</v>
      </c>
      <c r="E284" s="2" t="n">
        <v>0.082470833352223</v>
      </c>
    </row>
    <row r="285" customFormat="false" ht="13.8" hidden="false" customHeight="false" outlineLevel="0" collapsed="false">
      <c r="B285" s="2" t="n">
        <v>283</v>
      </c>
      <c r="C285" s="2" t="n">
        <v>6.23259435894948E-010</v>
      </c>
      <c r="D285" s="2" t="n">
        <v>7.5558973031499E-011</v>
      </c>
      <c r="E285" s="2" t="n">
        <v>0.0292544667044462</v>
      </c>
    </row>
    <row r="286" customFormat="false" ht="13.8" hidden="false" customHeight="false" outlineLevel="0" collapsed="false">
      <c r="B286" s="2" t="n">
        <v>284</v>
      </c>
      <c r="C286" s="2" t="n">
        <v>6.23266029331187E-010</v>
      </c>
      <c r="D286" s="2" t="n">
        <v>1.13339009010402E-010</v>
      </c>
      <c r="E286" s="2" t="n">
        <v>0.0412705833900029</v>
      </c>
    </row>
    <row r="287" customFormat="false" ht="13.8" hidden="false" customHeight="false" outlineLevel="0" collapsed="false">
      <c r="B287" s="2" t="n">
        <v>285</v>
      </c>
      <c r="C287" s="2" t="n">
        <v>6.2327261071327E-010</v>
      </c>
      <c r="D287" s="2" t="n">
        <v>1.51119411297878E-010</v>
      </c>
      <c r="E287" s="2" t="n">
        <v>0.0563370500755598</v>
      </c>
    </row>
    <row r="288" customFormat="false" ht="13.8" hidden="false" customHeight="false" outlineLevel="0" collapsed="false">
      <c r="B288" s="2" t="n">
        <v>286</v>
      </c>
      <c r="C288" s="2" t="n">
        <v>6.23279180279434E-010</v>
      </c>
      <c r="D288" s="2" t="n">
        <v>1.88900178701688E-010</v>
      </c>
      <c r="E288" s="2" t="n">
        <v>0.0514531667611168</v>
      </c>
    </row>
    <row r="289" customFormat="false" ht="13.8" hidden="false" customHeight="false" outlineLevel="0" collapsed="false">
      <c r="B289" s="2" t="n">
        <v>287</v>
      </c>
      <c r="C289" s="2" t="n">
        <v>6.23285738029503E-010</v>
      </c>
      <c r="D289" s="2" t="n">
        <v>2.26681311936942E-010</v>
      </c>
      <c r="E289" s="2" t="n">
        <v>0.0474855667800074</v>
      </c>
    </row>
    <row r="290" customFormat="false" ht="13.8" hidden="false" customHeight="false" outlineLevel="0" collapsed="false">
      <c r="B290" s="2" t="n">
        <v>288</v>
      </c>
      <c r="C290" s="2" t="n">
        <v>6.23292284916968E-010</v>
      </c>
      <c r="D290" s="2" t="n">
        <v>2.64462812195582E-010</v>
      </c>
      <c r="E290" s="2" t="n">
        <v>0.0842696834655649</v>
      </c>
    </row>
    <row r="291" customFormat="false" ht="13.8" hidden="false" customHeight="false" outlineLevel="0" collapsed="false">
      <c r="B291" s="2" t="n">
        <v>289</v>
      </c>
      <c r="C291" s="2" t="n">
        <v>6.23298818438279E-010</v>
      </c>
      <c r="D291" s="2" t="n">
        <v>3.02244677331697E-010</v>
      </c>
      <c r="E291" s="2" t="n">
        <v>0.0143862001511225</v>
      </c>
    </row>
    <row r="292" customFormat="false" ht="13.8" hidden="false" customHeight="false" outlineLevel="0" collapsed="false">
      <c r="B292" s="2" t="n">
        <v>290</v>
      </c>
      <c r="C292" s="2" t="n">
        <v>6.23305341557083E-010</v>
      </c>
      <c r="D292" s="2" t="n">
        <v>3.40026909696555E-010</v>
      </c>
      <c r="E292" s="2" t="n">
        <v>0.0266355001700137</v>
      </c>
    </row>
    <row r="293" customFormat="false" ht="13.8" hidden="false" customHeight="false" outlineLevel="0" collapsed="false">
      <c r="B293" s="2" t="n">
        <v>291</v>
      </c>
      <c r="C293" s="2" t="n">
        <v>6.23311851818985E-010</v>
      </c>
      <c r="D293" s="2" t="n">
        <v>3.77809506050462E-010</v>
      </c>
      <c r="E293" s="2" t="n">
        <v>0.0496180501889051</v>
      </c>
    </row>
    <row r="294" customFormat="false" ht="13.8" hidden="false" customHeight="false" outlineLevel="0" collapsed="false">
      <c r="B294" s="2" t="n">
        <v>292</v>
      </c>
      <c r="C294" s="2" t="n">
        <v>6.23318350962777E-010</v>
      </c>
      <c r="D294" s="2" t="n">
        <v>4.1559247010965E-010</v>
      </c>
      <c r="E294" s="2" t="n">
        <v>0.0402171502077966</v>
      </c>
    </row>
    <row r="295" customFormat="false" ht="13.8" hidden="false" customHeight="false" outlineLevel="0" collapsed="false">
      <c r="B295" s="2" t="n">
        <v>293</v>
      </c>
      <c r="C295" s="2" t="n">
        <v>6.23324838289418E-010</v>
      </c>
      <c r="D295" s="2" t="n">
        <v>4.53375799991207E-010</v>
      </c>
      <c r="E295" s="2" t="n">
        <v>0.041850166893355</v>
      </c>
    </row>
    <row r="296" customFormat="false" ht="13.8" hidden="false" customHeight="false" outlineLevel="0" collapsed="false">
      <c r="B296" s="2" t="n">
        <v>294</v>
      </c>
      <c r="C296" s="2" t="n">
        <v>6.23331314275569E-010</v>
      </c>
      <c r="D296" s="2" t="n">
        <v>4.91159495719564E-010</v>
      </c>
      <c r="E296" s="2" t="n">
        <v>0.0441502502455802</v>
      </c>
    </row>
    <row r="297" customFormat="false" ht="13.8" hidden="false" customHeight="false" outlineLevel="0" collapsed="false">
      <c r="B297" s="2" t="n">
        <v>295</v>
      </c>
      <c r="C297" s="2" t="n">
        <v>6.23339911374336E-010</v>
      </c>
      <c r="D297" s="2" t="n">
        <v>1.24667338609933E-009</v>
      </c>
      <c r="E297" s="2" t="n">
        <v>5.37456826861881E-009</v>
      </c>
    </row>
    <row r="298" customFormat="false" ht="13.8" hidden="false" customHeight="false" outlineLevel="0" collapsed="false">
      <c r="B298" s="2" t="n">
        <v>296</v>
      </c>
      <c r="C298" s="2" t="n">
        <v>6.23344229841518E-010</v>
      </c>
      <c r="D298" s="2" t="n">
        <v>5.6672798465055E-010</v>
      </c>
      <c r="E298" s="2" t="n">
        <v>0.0369003502833647</v>
      </c>
    </row>
    <row r="299" customFormat="false" ht="13.8" hidden="false" customHeight="false" outlineLevel="0" collapsed="false">
      <c r="B299" s="2" t="n">
        <v>297</v>
      </c>
      <c r="C299" s="2" t="n">
        <v>6.23350670613051E-010</v>
      </c>
      <c r="D299" s="2" t="n">
        <v>6.04512779275197E-010</v>
      </c>
      <c r="E299" s="2" t="n">
        <v>0.0247334003022572</v>
      </c>
    </row>
    <row r="300" customFormat="false" ht="13.8" hidden="false" customHeight="false" outlineLevel="0" collapsed="false">
      <c r="B300" s="2" t="n">
        <v>298</v>
      </c>
      <c r="C300" s="2" t="n">
        <v>6.23357099089721E-010</v>
      </c>
      <c r="D300" s="2" t="n">
        <v>6.4229793880877E-010</v>
      </c>
      <c r="E300" s="2" t="n">
        <v>0.0483001669878165</v>
      </c>
    </row>
    <row r="301" customFormat="false" ht="13.8" hidden="false" customHeight="false" outlineLevel="0" collapsed="false">
      <c r="B301" s="2" t="n">
        <v>299</v>
      </c>
      <c r="C301" s="2" t="n">
        <v>6.23363515867389E-010</v>
      </c>
      <c r="D301" s="2" t="n">
        <v>6.80083464155639E-010</v>
      </c>
      <c r="E301" s="2" t="n">
        <v>0.0136336003400427</v>
      </c>
    </row>
    <row r="302" customFormat="false" ht="13.8" hidden="false" customHeight="false" outlineLevel="0" collapsed="false">
      <c r="B302" s="2" t="n">
        <v>300</v>
      </c>
      <c r="C302" s="2" t="n">
        <v>6.23369921541927E-010</v>
      </c>
      <c r="D302" s="2" t="n">
        <v>7.1786935628571E-010</v>
      </c>
      <c r="E302" s="2" t="n">
        <v>0.0416837503589358</v>
      </c>
    </row>
    <row r="303" customFormat="false" ht="13.8" hidden="false" customHeight="false" outlineLevel="0" collapsed="false">
      <c r="B303" s="2" t="n">
        <v>301</v>
      </c>
      <c r="C303" s="2" t="n">
        <v>6.23376314205823E-010</v>
      </c>
      <c r="D303" s="2" t="n">
        <v>7.55655613887543E-010</v>
      </c>
      <c r="E303" s="2" t="n">
        <v>0.0121502670444957</v>
      </c>
    </row>
    <row r="304" customFormat="false" ht="13.8" hidden="false" customHeight="false" outlineLevel="0" collapsed="false">
      <c r="B304" s="2" t="n">
        <v>302</v>
      </c>
      <c r="C304" s="2" t="n">
        <v>6.23382696465103E-010</v>
      </c>
      <c r="D304" s="2" t="n">
        <v>7.93442236126541E-010</v>
      </c>
      <c r="E304" s="2" t="n">
        <v>0.0279167503967224</v>
      </c>
    </row>
    <row r="305" customFormat="false" ht="13.8" hidden="false" customHeight="false" outlineLevel="0" collapsed="false">
      <c r="B305" s="2" t="n">
        <v>303</v>
      </c>
      <c r="C305" s="2" t="n">
        <v>6.2338906586536E-010</v>
      </c>
      <c r="D305" s="2" t="n">
        <v>8.31229227651655E-010</v>
      </c>
      <c r="E305" s="2" t="n">
        <v>0.047616700415616</v>
      </c>
    </row>
    <row r="306" customFormat="false" ht="13.8" hidden="false" customHeight="false" outlineLevel="0" collapsed="false">
      <c r="B306" s="2" t="n">
        <v>304</v>
      </c>
      <c r="C306" s="2" t="n">
        <v>6.23395423668567E-010</v>
      </c>
      <c r="D306" s="2" t="n">
        <v>8.69016584052059E-010</v>
      </c>
      <c r="E306" s="2" t="n">
        <v>0.0382336004345099</v>
      </c>
    </row>
    <row r="307" customFormat="false" ht="13.8" hidden="false" customHeight="false" outlineLevel="0" collapsed="false">
      <c r="B307" s="2" t="n">
        <v>305</v>
      </c>
      <c r="C307" s="2" t="n">
        <v>6.23401770129342E-010</v>
      </c>
      <c r="D307" s="2" t="n">
        <v>9.06804305327594E-010</v>
      </c>
      <c r="E307" s="2" t="n">
        <v>0.0493667504534039</v>
      </c>
    </row>
    <row r="308" customFormat="false" ht="13.8" hidden="false" customHeight="false" outlineLevel="0" collapsed="false">
      <c r="B308" s="2" t="n">
        <v>306</v>
      </c>
      <c r="C308" s="2" t="n">
        <v>6.23408104770683E-010</v>
      </c>
      <c r="D308" s="2" t="n">
        <v>9.44592394339116E-010</v>
      </c>
      <c r="E308" s="2" t="n">
        <v>0.0385835504722981</v>
      </c>
    </row>
    <row r="309" customFormat="false" ht="13.8" hidden="false" customHeight="false" outlineLevel="0" collapsed="false">
      <c r="B309" s="2" t="n">
        <v>307</v>
      </c>
      <c r="C309" s="2" t="n">
        <v>6.23414717025742E-010</v>
      </c>
      <c r="D309" s="2" t="n">
        <v>1.24682299618327E-009</v>
      </c>
      <c r="E309" s="2" t="n">
        <v>8.67396255479193E-009</v>
      </c>
    </row>
    <row r="310" customFormat="false" ht="13.8" hidden="false" customHeight="false" outlineLevel="0" collapsed="false">
      <c r="B310" s="2" t="n">
        <v>308</v>
      </c>
      <c r="C310" s="2" t="n">
        <v>6.23420951236042E-010</v>
      </c>
      <c r="D310" s="2" t="n">
        <v>1.24683546423535E-009</v>
      </c>
      <c r="E310" s="2" t="n">
        <v>8.94892995137575E-009</v>
      </c>
    </row>
    <row r="311" customFormat="false" ht="13.8" hidden="false" customHeight="false" outlineLevel="0" collapsed="false">
      <c r="B311" s="2" t="n">
        <v>309</v>
      </c>
      <c r="C311" s="2" t="n">
        <v>6.23427185507782E-010</v>
      </c>
      <c r="D311" s="2" t="n">
        <v>1.24684793306412E-009</v>
      </c>
      <c r="E311" s="2" t="n">
        <v>9.22390009733936E-009</v>
      </c>
    </row>
    <row r="312" customFormat="false" ht="13.8" hidden="false" customHeight="false" outlineLevel="0" collapsed="false">
      <c r="B312" s="2" t="n">
        <v>310</v>
      </c>
      <c r="C312" s="2" t="n">
        <v>6.23433419840962E-010</v>
      </c>
      <c r="D312" s="2" t="n">
        <v>1.24686040195433E-009</v>
      </c>
      <c r="E312" s="2" t="n">
        <v>9.49887299259335E-009</v>
      </c>
    </row>
    <row r="313" customFormat="false" ht="13.8" hidden="false" customHeight="false" outlineLevel="0" collapsed="false">
      <c r="B313" s="2" t="n">
        <v>311</v>
      </c>
      <c r="C313" s="2" t="n">
        <v>6.23439600679631E-010</v>
      </c>
      <c r="D313" s="2" t="n">
        <v>1.13353832539086E-009</v>
      </c>
      <c r="E313" s="2" t="n">
        <v>0.0365327043585562</v>
      </c>
    </row>
    <row r="314" customFormat="false" ht="13.8" hidden="false" customHeight="false" outlineLevel="0" collapsed="false">
      <c r="B314" s="2" t="n">
        <v>312</v>
      </c>
      <c r="C314" s="2" t="n">
        <v>6.23445864877476E-010</v>
      </c>
      <c r="D314" s="2" t="n">
        <v>1.17132860984805E-009</v>
      </c>
      <c r="E314" s="2" t="n">
        <v>0.0395070812733438</v>
      </c>
    </row>
    <row r="315" customFormat="false" ht="13.8" hidden="false" customHeight="false" outlineLevel="0" collapsed="false">
      <c r="B315" s="2" t="n">
        <v>313</v>
      </c>
      <c r="C315" s="2" t="n">
        <v>6.23452117731486E-010</v>
      </c>
      <c r="D315" s="2" t="n">
        <v>1.20911926060969E-009</v>
      </c>
      <c r="E315" s="2" t="n">
        <v>0.0650317581881315</v>
      </c>
    </row>
    <row r="316" customFormat="false" ht="13.8" hidden="false" customHeight="false" outlineLevel="0" collapsed="false">
      <c r="B316" s="2" t="n">
        <v>314</v>
      </c>
      <c r="C316" s="2" t="n">
        <v>6.23458358731881E-010</v>
      </c>
      <c r="D316" s="2" t="n">
        <v>1.2469102771988E-009</v>
      </c>
      <c r="E316" s="2" t="n">
        <v>0.0446910552349435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0.073916737682906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0.0550530232648805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0.0890250739621029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0.0512842854785447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0.0208988599146431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0.0110501420615599</v>
      </c>
    </row>
    <row r="324" customFormat="false" ht="13.8" hidden="false" customHeight="false" outlineLevel="0" collapsed="false">
      <c r="B324" s="2" t="n">
        <v>322</v>
      </c>
      <c r="C324" s="2" t="n">
        <v>1.1444091796875E-017</v>
      </c>
      <c r="D324" s="2" t="n">
        <v>0</v>
      </c>
      <c r="E324" s="2" t="n">
        <v>0.0103660401720999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1.77627662541734E-018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8.88138315481861E-019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0.00669348259442457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3.27680000113684E-020</v>
      </c>
      <c r="D330" s="2" t="n">
        <v>0</v>
      </c>
      <c r="E330" s="2" t="n">
        <v>3.27680000113684E-020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1.77627663175608E-018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6.55360000341047E-020</v>
      </c>
      <c r="D332" s="2" t="n">
        <v>0</v>
      </c>
      <c r="E332" s="2" t="n">
        <v>6.55360000341047E-020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1.77627663199085E-018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1.77627663207302E-018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8.88138316238188E-019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3.27680000052468E-020</v>
      </c>
      <c r="D337" s="2" t="n">
        <v>0</v>
      </c>
      <c r="E337" s="2" t="n">
        <v>3.27680000052468E-020</v>
      </c>
    </row>
    <row r="338" customFormat="false" ht="13.8" hidden="false" customHeight="false" outlineLevel="0" collapsed="false">
      <c r="B338" s="2" t="n">
        <v>336</v>
      </c>
      <c r="C338" s="2" t="n">
        <v>6.55360000194879E-020</v>
      </c>
      <c r="D338" s="2" t="n">
        <v>0</v>
      </c>
      <c r="E338" s="2" t="n">
        <v>6.55360000194879E-020</v>
      </c>
    </row>
    <row r="339" customFormat="false" ht="13.8" hidden="false" customHeight="false" outlineLevel="0" collapsed="false">
      <c r="B339" s="2" t="n">
        <v>337</v>
      </c>
      <c r="C339" s="2" t="n">
        <v>2.49102465517469E-018</v>
      </c>
      <c r="D339" s="2" t="n">
        <v>2.49102465517469E-018</v>
      </c>
      <c r="E339" s="2" t="n">
        <v>0</v>
      </c>
    </row>
    <row r="340" customFormat="false" ht="13.8" hidden="false" customHeight="false" outlineLevel="0" collapsed="false">
      <c r="B340" s="2" t="n">
        <v>338</v>
      </c>
      <c r="C340" s="2" t="n">
        <v>6.55360000170518E-020</v>
      </c>
      <c r="D340" s="2" t="n">
        <v>0</v>
      </c>
      <c r="E340" s="2" t="n">
        <v>6.55360000170518E-020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7.80511590212892E-018</v>
      </c>
      <c r="D342" s="2" t="n">
        <v>6.85144158550211E-018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3.27680000035898E-020</v>
      </c>
      <c r="D343" s="2" t="n">
        <v>0</v>
      </c>
      <c r="E343" s="2" t="n">
        <v>3.27680000035898E-020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1.77627663246039E-018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0.00755129812232699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0.0126014829247494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1.90734863217731E-018</v>
      </c>
      <c r="E349" s="2" t="n">
        <v>0.017118451060505</v>
      </c>
    </row>
    <row r="350" customFormat="false" ht="13.8" hidden="false" customHeight="false" outlineLevel="0" collapsed="false">
      <c r="B350" s="2" t="n">
        <v>348</v>
      </c>
      <c r="C350" s="2" t="n">
        <v>4.76837158203126E-019</v>
      </c>
      <c r="D350" s="2" t="n">
        <v>4.76837158203126E-019</v>
      </c>
      <c r="E350" s="2" t="n">
        <v>0.021502352529594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0.030520949366103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0.0347186740664575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0.0719162985133781</v>
      </c>
    </row>
    <row r="354" customFormat="false" ht="13.8" hidden="false" customHeight="false" outlineLevel="0" collapsed="false">
      <c r="B354" s="2" t="n">
        <v>352</v>
      </c>
      <c r="C354" s="2" t="n">
        <v>7.36540227854509E-010</v>
      </c>
      <c r="D354" s="2" t="n">
        <v>4.3440680231236E-010</v>
      </c>
      <c r="E354" s="2" t="n">
        <v>0.0893639396269654</v>
      </c>
    </row>
    <row r="355" customFormat="false" ht="13.8" hidden="false" customHeight="false" outlineLevel="0" collapsed="false">
      <c r="B355" s="2" t="n">
        <v>353</v>
      </c>
      <c r="C355" s="2" t="n">
        <v>7.17658393962467E-010</v>
      </c>
      <c r="D355" s="2" t="n">
        <v>4.15521758123867E-010</v>
      </c>
      <c r="E355" s="2" t="n">
        <v>0.118061680740553</v>
      </c>
    </row>
    <row r="356" customFormat="false" ht="13.8" hidden="false" customHeight="false" outlineLevel="0" collapsed="false">
      <c r="B356" s="2" t="n">
        <v>354</v>
      </c>
      <c r="C356" s="2" t="n">
        <v>6.98776359426971E-010</v>
      </c>
      <c r="D356" s="2" t="n">
        <v>3.96636512334556E-010</v>
      </c>
      <c r="E356" s="2" t="n">
        <v>0.0805331637751938</v>
      </c>
    </row>
    <row r="357" customFormat="false" ht="13.8" hidden="false" customHeight="false" outlineLevel="0" collapsed="false">
      <c r="B357" s="2" t="n">
        <v>355</v>
      </c>
      <c r="C357" s="2" t="n">
        <v>6.79894124691915E-010</v>
      </c>
      <c r="D357" s="2" t="n">
        <v>3.77751065897911E-010</v>
      </c>
      <c r="E357" s="2" t="n">
        <v>0.127837330143168</v>
      </c>
    </row>
    <row r="358" customFormat="false" ht="13.8" hidden="false" customHeight="false" outlineLevel="0" collapsed="false">
      <c r="B358" s="2" t="n">
        <v>356</v>
      </c>
      <c r="C358" s="2" t="n">
        <v>6.61011687471261E-010</v>
      </c>
      <c r="D358" s="2" t="n">
        <v>3.58865419767418E-010</v>
      </c>
      <c r="E358" s="2" t="n">
        <v>0.133808213177809</v>
      </c>
    </row>
    <row r="359" customFormat="false" ht="13.8" hidden="false" customHeight="false" outlineLevel="0" collapsed="false">
      <c r="B359" s="2" t="n">
        <v>357</v>
      </c>
      <c r="C359" s="2" t="n">
        <v>6.4212905052752E-010</v>
      </c>
      <c r="D359" s="2" t="n">
        <v>3.39979571081912E-010</v>
      </c>
      <c r="E359" s="2" t="n">
        <v>0.129145979545784</v>
      </c>
    </row>
    <row r="360" customFormat="false" ht="13.8" hidden="false" customHeight="false" outlineLevel="0" collapsed="false">
      <c r="B360" s="2" t="n">
        <v>358</v>
      </c>
      <c r="C360" s="2" t="n">
        <v>6.23246212939621E-010</v>
      </c>
      <c r="D360" s="2" t="n">
        <v>3.21093524132704E-010</v>
      </c>
      <c r="E360" s="2" t="n">
        <v>0.138459980492671</v>
      </c>
    </row>
    <row r="361" customFormat="false" ht="13.8" hidden="false" customHeight="false" outlineLevel="0" collapsed="false">
      <c r="B361" s="2" t="n">
        <v>359</v>
      </c>
      <c r="C361" s="2" t="n">
        <v>6.04363175184214E-010</v>
      </c>
      <c r="D361" s="2" t="n">
        <v>3.02207275581794E-010</v>
      </c>
      <c r="E361" s="2" t="n">
        <v>0.115823564772892</v>
      </c>
    </row>
    <row r="362" customFormat="false" ht="13.8" hidden="false" customHeight="false" outlineLevel="0" collapsed="false">
      <c r="B362" s="2" t="n">
        <v>360</v>
      </c>
      <c r="C362" s="2" t="n">
        <v>5.85479936784297E-010</v>
      </c>
      <c r="D362" s="2" t="n">
        <v>2.83320825905837E-010</v>
      </c>
      <c r="E362" s="2" t="n">
        <v>0.158003449053113</v>
      </c>
    </row>
    <row r="363" customFormat="false" ht="13.8" hidden="false" customHeight="false" outlineLevel="0" collapsed="false">
      <c r="B363" s="2" t="n">
        <v>361</v>
      </c>
      <c r="C363" s="2" t="n">
        <v>5.66596497262866E-010</v>
      </c>
      <c r="D363" s="2" t="n">
        <v>2.64434173674158E-010</v>
      </c>
      <c r="E363" s="2" t="n">
        <v>0.104734583333333</v>
      </c>
    </row>
    <row r="364" customFormat="false" ht="13.8" hidden="false" customHeight="false" outlineLevel="0" collapsed="false">
      <c r="B364" s="2" t="n">
        <v>362</v>
      </c>
      <c r="C364" s="2" t="n">
        <v>5.47712857096571E-010</v>
      </c>
      <c r="D364" s="2" t="n">
        <v>2.45547326039075E-010</v>
      </c>
      <c r="E364" s="2" t="n">
        <v>0.14508575</v>
      </c>
    </row>
    <row r="365" customFormat="false" ht="13.8" hidden="false" customHeight="false" outlineLevel="0" collapsed="false">
      <c r="B365" s="2" t="n">
        <v>363</v>
      </c>
      <c r="C365" s="2" t="n">
        <v>5.28829015808409E-010</v>
      </c>
      <c r="D365" s="2" t="n">
        <v>2.26660272986919E-010</v>
      </c>
      <c r="E365" s="2" t="n">
        <v>0.16500355</v>
      </c>
    </row>
    <row r="366" customFormat="false" ht="13.8" hidden="false" customHeight="false" outlineLevel="0" collapsed="false">
      <c r="B366" s="2" t="n">
        <v>364</v>
      </c>
      <c r="C366" s="2" t="n">
        <v>5.09944974828689E-010</v>
      </c>
      <c r="D366" s="2" t="n">
        <v>2.07773021193177E-010</v>
      </c>
      <c r="E366" s="2" t="n">
        <v>0.177705216666667</v>
      </c>
    </row>
    <row r="367" customFormat="false" ht="13.8" hidden="false" customHeight="false" outlineLevel="0" collapsed="false">
      <c r="B367" s="2" t="n">
        <v>365</v>
      </c>
      <c r="C367" s="2" t="n">
        <v>4.91060733203578E-010</v>
      </c>
      <c r="D367" s="2" t="n">
        <v>1.88885565889336E-010</v>
      </c>
      <c r="E367" s="2" t="n">
        <v>0.1932902</v>
      </c>
    </row>
    <row r="368" customFormat="false" ht="13.8" hidden="false" customHeight="false" outlineLevel="0" collapsed="false">
      <c r="B368" s="2" t="n">
        <v>366</v>
      </c>
      <c r="C368" s="2" t="n">
        <v>4.72176289979241E-010</v>
      </c>
      <c r="D368" s="2" t="n">
        <v>1.69997915658234E-010</v>
      </c>
      <c r="E368" s="2" t="n">
        <v>0.161209066666667</v>
      </c>
    </row>
    <row r="369" customFormat="false" ht="13.8" hidden="false" customHeight="false" outlineLevel="0" collapsed="false">
      <c r="B369" s="2" t="n">
        <v>367</v>
      </c>
      <c r="C369" s="2" t="n">
        <v>4.53291647062821E-010</v>
      </c>
      <c r="D369" s="2" t="n">
        <v>1.51110060009342E-010</v>
      </c>
      <c r="E369" s="2" t="n">
        <v>0.1378253</v>
      </c>
    </row>
    <row r="370" customFormat="false" ht="13.8" hidden="false" customHeight="false" outlineLevel="0" collapsed="false">
      <c r="B370" s="2" t="n">
        <v>368</v>
      </c>
      <c r="C370" s="2" t="n">
        <v>4.34406802546821E-010</v>
      </c>
      <c r="D370" s="2" t="n">
        <v>1.32222005141331E-010</v>
      </c>
      <c r="E370" s="2" t="n">
        <v>0.18210815</v>
      </c>
    </row>
    <row r="371" customFormat="false" ht="13.8" hidden="false" customHeight="false" outlineLevel="0" collapsed="false">
      <c r="B371" s="2" t="n">
        <v>369</v>
      </c>
      <c r="C371" s="2" t="n">
        <v>4.15521757384724E-010</v>
      </c>
      <c r="D371" s="2" t="n">
        <v>1.13333749623521E-010</v>
      </c>
      <c r="E371" s="2" t="n">
        <v>0.182707416666667</v>
      </c>
    </row>
    <row r="372" customFormat="false" ht="13.8" hidden="false" customHeight="false" outlineLevel="0" collapsed="false">
      <c r="B372" s="2" t="n">
        <v>370</v>
      </c>
      <c r="C372" s="2" t="n">
        <v>3.9663651348368E-010</v>
      </c>
      <c r="D372" s="2" t="n">
        <v>9.4445292502064E-011</v>
      </c>
      <c r="E372" s="2" t="n">
        <v>0.233439116666667</v>
      </c>
    </row>
    <row r="373" customFormat="false" ht="13.8" hidden="false" customHeight="false" outlineLevel="0" collapsed="false">
      <c r="B373" s="2" t="n">
        <v>371</v>
      </c>
      <c r="C373" s="2" t="n">
        <v>3.77751066075202E-010</v>
      </c>
      <c r="D373" s="2" t="n">
        <v>7.55566356841271E-011</v>
      </c>
      <c r="E373" s="2" t="n">
        <v>0.192190216666667</v>
      </c>
    </row>
    <row r="374" customFormat="false" ht="13.8" hidden="false" customHeight="false" outlineLevel="0" collapsed="false">
      <c r="B374" s="2" t="n">
        <v>372</v>
      </c>
      <c r="C374" s="2" t="n">
        <v>3.58865419927425E-010</v>
      </c>
      <c r="D374" s="2" t="n">
        <v>5.6667778215863E-011</v>
      </c>
      <c r="E374" s="2" t="n">
        <v>0.213291883333333</v>
      </c>
    </row>
    <row r="375" customFormat="false" ht="13.8" hidden="false" customHeight="false" outlineLevel="0" collapsed="false">
      <c r="B375" s="2" t="n">
        <v>373</v>
      </c>
      <c r="C375" s="2" t="n">
        <v>3.39979572179185E-010</v>
      </c>
      <c r="D375" s="2" t="n">
        <v>3.77787191434228E-011</v>
      </c>
      <c r="E375" s="2" t="n">
        <v>0.165825216666667</v>
      </c>
    </row>
    <row r="376" customFormat="false" ht="13.8" hidden="false" customHeight="false" outlineLevel="0" collapsed="false">
      <c r="B376" s="2" t="n">
        <v>374</v>
      </c>
      <c r="C376" s="2" t="n">
        <v>3.21093523783968E-010</v>
      </c>
      <c r="D376" s="2" t="n">
        <v>1.88894603739761E-011</v>
      </c>
      <c r="E376" s="2" t="n">
        <v>0.1784921</v>
      </c>
    </row>
    <row r="377" customFormat="false" ht="13.8" hidden="false" customHeight="false" outlineLevel="0" collapsed="false">
      <c r="B377" s="2" t="n">
        <v>375</v>
      </c>
      <c r="C377" s="2" t="n">
        <v>3.02207273787926E-010</v>
      </c>
      <c r="D377" s="2" t="n">
        <v>0</v>
      </c>
      <c r="E377" s="2" t="n">
        <v>0.0991546130170044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0.0747544</v>
      </c>
    </row>
    <row r="379" customFormat="false" ht="13.8" hidden="false" customHeight="false" outlineLevel="0" collapsed="false">
      <c r="B379" s="2" t="n">
        <v>377</v>
      </c>
      <c r="C379" s="2" t="n">
        <v>3.02214832819361E-010</v>
      </c>
      <c r="D379" s="2" t="n">
        <v>6.04428152860692E-010</v>
      </c>
      <c r="E379" s="2" t="n">
        <v>1.28961158800799E-009</v>
      </c>
    </row>
    <row r="380" customFormat="false" ht="13.8" hidden="false" customHeight="false" outlineLevel="0" collapsed="false">
      <c r="B380" s="2" t="n">
        <v>378</v>
      </c>
      <c r="C380" s="2" t="n">
        <v>3.02217854557691E-010</v>
      </c>
      <c r="D380" s="2" t="n">
        <v>6.0443419677206E-010</v>
      </c>
      <c r="E380" s="2" t="n">
        <v>1.56450514007164E-009</v>
      </c>
    </row>
    <row r="381" customFormat="false" ht="13.8" hidden="false" customHeight="false" outlineLevel="0" collapsed="false">
      <c r="B381" s="2" t="n">
        <v>379</v>
      </c>
      <c r="C381" s="2" t="n">
        <v>3.02220025515043E-010</v>
      </c>
      <c r="D381" s="2" t="n">
        <v>1.51119410338884E-010</v>
      </c>
      <c r="E381" s="2" t="n">
        <v>0.0795870334088931</v>
      </c>
    </row>
    <row r="382" customFormat="false" ht="13.8" hidden="false" customHeight="false" outlineLevel="0" collapsed="false">
      <c r="B382" s="2" t="n">
        <v>380</v>
      </c>
      <c r="C382" s="2" t="n">
        <v>3.02223183657552E-010</v>
      </c>
      <c r="D382" s="2" t="n">
        <v>1.88900178454956E-010</v>
      </c>
      <c r="E382" s="2" t="n">
        <v>0.0716863000944502</v>
      </c>
    </row>
    <row r="383" customFormat="false" ht="13.8" hidden="false" customHeight="false" outlineLevel="0" collapsed="false">
      <c r="B383" s="2" t="n">
        <v>381</v>
      </c>
      <c r="C383" s="2" t="n">
        <v>3.02226329979366E-010</v>
      </c>
      <c r="D383" s="2" t="n">
        <v>2.2668131192497E-010</v>
      </c>
      <c r="E383" s="2" t="n">
        <v>0.0777532167800074</v>
      </c>
    </row>
    <row r="384" customFormat="false" ht="13.8" hidden="false" customHeight="false" outlineLevel="0" collapsed="false">
      <c r="B384" s="2" t="n">
        <v>382</v>
      </c>
      <c r="C384" s="2" t="n">
        <v>3.02229465433983E-010</v>
      </c>
      <c r="D384" s="2" t="n">
        <v>2.64462811702452E-010</v>
      </c>
      <c r="E384" s="2" t="n">
        <v>0.0595872501322316</v>
      </c>
    </row>
    <row r="385" customFormat="false" ht="13.8" hidden="false" customHeight="false" outlineLevel="0" collapsed="false">
      <c r="B385" s="2" t="n">
        <v>383</v>
      </c>
      <c r="C385" s="2" t="n">
        <v>3.02232588113883E-010</v>
      </c>
      <c r="D385" s="2" t="n">
        <v>3.02244677548834E-010</v>
      </c>
      <c r="E385" s="2" t="n">
        <v>0.0286692668177892</v>
      </c>
    </row>
    <row r="386" customFormat="false" ht="13.8" hidden="false" customHeight="false" outlineLevel="0" collapsed="false">
      <c r="B386" s="2" t="n">
        <v>384</v>
      </c>
      <c r="C386" s="2" t="n">
        <v>3.02235698972562E-010</v>
      </c>
      <c r="D386" s="2" t="n">
        <v>3.40026908987135E-010</v>
      </c>
      <c r="E386" s="2" t="n">
        <v>0.0763862168366804</v>
      </c>
    </row>
    <row r="387" customFormat="false" ht="13.8" hidden="false" customHeight="false" outlineLevel="0" collapsed="false">
      <c r="B387" s="2" t="n">
        <v>385</v>
      </c>
      <c r="C387" s="2" t="n">
        <v>3.02238798963515E-010</v>
      </c>
      <c r="D387" s="2" t="n">
        <v>3.77809506970882E-010</v>
      </c>
      <c r="E387" s="2" t="n">
        <v>0.0751863668555717</v>
      </c>
    </row>
    <row r="388" customFormat="false" ht="13.8" hidden="false" customHeight="false" outlineLevel="0" collapsed="false">
      <c r="B388" s="2" t="n">
        <v>386</v>
      </c>
      <c r="C388" s="2" t="n">
        <v>3.02241885821594E-010</v>
      </c>
      <c r="D388" s="2" t="n">
        <v>4.15592470188624E-010</v>
      </c>
      <c r="E388" s="2" t="n">
        <v>0.0134359168744633</v>
      </c>
    </row>
    <row r="389" customFormat="false" ht="13.8" hidden="false" customHeight="false" outlineLevel="0" collapsed="false">
      <c r="B389" s="2" t="n">
        <v>387</v>
      </c>
      <c r="C389" s="2" t="n">
        <v>3.02244960619506E-010</v>
      </c>
      <c r="D389" s="2" t="n">
        <v>4.53375799951519E-010</v>
      </c>
      <c r="E389" s="2" t="n">
        <v>0.0905680502266883</v>
      </c>
    </row>
    <row r="390" customFormat="false" ht="13.8" hidden="false" customHeight="false" outlineLevel="0" collapsed="false">
      <c r="B390" s="2" t="n">
        <v>388</v>
      </c>
      <c r="C390" s="2" t="n">
        <v>3.02248025383626E-010</v>
      </c>
      <c r="D390" s="2" t="n">
        <v>4.91159496140201E-010</v>
      </c>
      <c r="E390" s="2" t="n">
        <v>0.0241509502455802</v>
      </c>
    </row>
    <row r="391" customFormat="false" ht="13.8" hidden="false" customHeight="false" outlineLevel="0" collapsed="false">
      <c r="B391" s="2" t="n">
        <v>389</v>
      </c>
      <c r="C391" s="2" t="n">
        <v>3.02251076895135E-010</v>
      </c>
      <c r="D391" s="2" t="n">
        <v>5.2894355720482E-010</v>
      </c>
      <c r="E391" s="2" t="n">
        <v>0.0707169835978057</v>
      </c>
    </row>
    <row r="392" customFormat="false" ht="13.8" hidden="false" customHeight="false" outlineLevel="0" collapsed="false">
      <c r="B392" s="2" t="n">
        <v>390</v>
      </c>
      <c r="C392" s="2" t="n">
        <v>3.02254117776459E-010</v>
      </c>
      <c r="D392" s="2" t="n">
        <v>5.66727983860484E-010</v>
      </c>
      <c r="E392" s="2" t="n">
        <v>0.023000133616698</v>
      </c>
    </row>
    <row r="393" customFormat="false" ht="13.8" hidden="false" customHeight="false" outlineLevel="0" collapsed="false">
      <c r="B393" s="2" t="n">
        <v>391</v>
      </c>
      <c r="C393" s="2" t="n">
        <v>3.02257145881653E-010</v>
      </c>
      <c r="D393" s="2" t="n">
        <v>6.04512777299119E-010</v>
      </c>
      <c r="E393" s="2" t="n">
        <v>0.035404812461052</v>
      </c>
    </row>
    <row r="394" customFormat="false" ht="13.8" hidden="false" customHeight="false" outlineLevel="0" collapsed="false">
      <c r="B394" s="2" t="n">
        <v>392</v>
      </c>
      <c r="C394" s="2" t="n">
        <v>6.0447064977092E-010</v>
      </c>
      <c r="D394" s="2" t="n">
        <v>6.42297938712668E-010</v>
      </c>
      <c r="E394" s="2" t="n">
        <v>0.0545169669878165</v>
      </c>
    </row>
    <row r="395" customFormat="false" ht="13.8" hidden="false" customHeight="false" outlineLevel="0" collapsed="false">
      <c r="B395" s="2" t="n">
        <v>393</v>
      </c>
      <c r="C395" s="2" t="n">
        <v>6.04476865555509E-010</v>
      </c>
      <c r="D395" s="2" t="n">
        <v>6.80083464047897E-010</v>
      </c>
      <c r="E395" s="2" t="n">
        <v>0.0338334503400427</v>
      </c>
    </row>
    <row r="396" customFormat="false" ht="13.8" hidden="false" customHeight="false" outlineLevel="0" collapsed="false">
      <c r="B396" s="2" t="n">
        <v>394</v>
      </c>
      <c r="C396" s="2" t="n">
        <v>6.04483069997656E-010</v>
      </c>
      <c r="D396" s="2" t="n">
        <v>7.17869356165664E-010</v>
      </c>
      <c r="E396" s="2" t="n">
        <v>0.0519002503589357</v>
      </c>
    </row>
    <row r="397" customFormat="false" ht="13.8" hidden="false" customHeight="false" outlineLevel="0" collapsed="false">
      <c r="B397" s="2" t="n">
        <v>395</v>
      </c>
      <c r="C397" s="2" t="n">
        <v>6.04489263097181E-010</v>
      </c>
      <c r="D397" s="2" t="n">
        <v>7.5565561455622E-010</v>
      </c>
      <c r="E397" s="2" t="n">
        <v>0.0334335170444957</v>
      </c>
    </row>
    <row r="398" customFormat="false" ht="13.8" hidden="false" customHeight="false" outlineLevel="0" collapsed="false">
      <c r="B398" s="2" t="n">
        <v>396</v>
      </c>
      <c r="C398" s="2" t="n">
        <v>6.04495443661824E-010</v>
      </c>
      <c r="D398" s="2" t="n">
        <v>7.93442237887213E-010</v>
      </c>
      <c r="E398" s="2" t="n">
        <v>0.0226009003967224</v>
      </c>
    </row>
    <row r="399" customFormat="false" ht="13.8" hidden="false" customHeight="false" outlineLevel="0" collapsed="false">
      <c r="B399" s="2" t="n">
        <v>397</v>
      </c>
      <c r="C399" s="2" t="n">
        <v>6.04501612883497E-010</v>
      </c>
      <c r="D399" s="2" t="n">
        <v>8.3122922844437E-010</v>
      </c>
      <c r="E399" s="2" t="n">
        <v>0.068367050415616</v>
      </c>
    </row>
    <row r="400" customFormat="false" ht="13.8" hidden="false" customHeight="false" outlineLevel="0" collapsed="false">
      <c r="B400" s="2" t="n">
        <v>398</v>
      </c>
      <c r="C400" s="2" t="n">
        <v>6.04507770046764E-010</v>
      </c>
      <c r="D400" s="2" t="n">
        <v>8.69016583518514E-010</v>
      </c>
      <c r="E400" s="2" t="n">
        <v>0.0170668004345099</v>
      </c>
    </row>
    <row r="401" customFormat="false" ht="13.8" hidden="false" customHeight="false" outlineLevel="0" collapsed="false">
      <c r="B401" s="2" t="n">
        <v>399</v>
      </c>
      <c r="C401" s="2" t="n">
        <v>6.04513915389875E-010</v>
      </c>
      <c r="D401" s="2" t="n">
        <v>9.06804305136043E-010</v>
      </c>
      <c r="E401" s="2" t="n">
        <v>0.0661169337867372</v>
      </c>
    </row>
    <row r="402" customFormat="false" ht="13.8" hidden="false" customHeight="false" outlineLevel="0" collapsed="false">
      <c r="B402" s="2" t="n">
        <v>400</v>
      </c>
      <c r="C402" s="2" t="n">
        <v>6.04520049627904E-010</v>
      </c>
      <c r="D402" s="2" t="n">
        <v>9.4459239389285E-010</v>
      </c>
      <c r="E402" s="2" t="n">
        <v>0.00516725047229804</v>
      </c>
    </row>
    <row r="403" customFormat="false" ht="13.8" hidden="false" customHeight="false" outlineLevel="0" collapsed="false">
      <c r="B403" s="2" t="n">
        <v>401</v>
      </c>
      <c r="C403" s="2" t="n">
        <v>6.04526172045422E-010</v>
      </c>
      <c r="D403" s="2" t="n">
        <v>9.82380848000666E-010</v>
      </c>
      <c r="E403" s="2" t="n">
        <v>0.0619669338245258</v>
      </c>
    </row>
    <row r="404" customFormat="false" ht="13.8" hidden="false" customHeight="false" outlineLevel="0" collapsed="false">
      <c r="B404" s="2" t="n">
        <v>402</v>
      </c>
      <c r="C404" s="2" t="n">
        <v>6.04532282165418E-010</v>
      </c>
      <c r="D404" s="2" t="n">
        <v>1.020169668413E-009</v>
      </c>
      <c r="E404" s="2" t="n">
        <v>0.0219834171767537</v>
      </c>
    </row>
    <row r="405" customFormat="false" ht="13.8" hidden="false" customHeight="false" outlineLevel="0" collapsed="false">
      <c r="B405" s="2" t="n">
        <v>403</v>
      </c>
      <c r="C405" s="2" t="n">
        <v>6.04538380464549E-010</v>
      </c>
      <c r="D405" s="2" t="n">
        <v>1.05795885417606E-009</v>
      </c>
      <c r="E405" s="2" t="n">
        <v>0.0591004005289817</v>
      </c>
    </row>
    <row r="406" customFormat="false" ht="13.8" hidden="false" customHeight="false" outlineLevel="0" collapsed="false">
      <c r="B406" s="2" t="n">
        <v>404</v>
      </c>
      <c r="C406" s="2" t="n">
        <v>6.04544467419477E-010</v>
      </c>
      <c r="D406" s="2" t="n">
        <v>1.09574840636256E-009</v>
      </c>
      <c r="E406" s="2" t="n">
        <v>0.02111693388121</v>
      </c>
    </row>
    <row r="407" customFormat="false" ht="13.8" hidden="false" customHeight="false" outlineLevel="0" collapsed="false">
      <c r="B407" s="2" t="n">
        <v>405</v>
      </c>
      <c r="C407" s="2" t="n">
        <v>6.04550542076353E-010</v>
      </c>
      <c r="D407" s="2" t="n">
        <v>1.13353832508336E-009</v>
      </c>
      <c r="E407" s="2" t="n">
        <v>0.0484168172334385</v>
      </c>
    </row>
    <row r="408" customFormat="false" ht="13.8" hidden="false" customHeight="false" outlineLevel="0" collapsed="false">
      <c r="B408" s="2" t="n">
        <v>406</v>
      </c>
      <c r="C408" s="2" t="n">
        <v>6.04556605627092E-010</v>
      </c>
      <c r="D408" s="2" t="n">
        <v>1.17132860952844E-009</v>
      </c>
      <c r="E408" s="2" t="n">
        <v>0.0447954303145716</v>
      </c>
    </row>
    <row r="409" customFormat="false" ht="13.8" hidden="false" customHeight="false" outlineLevel="0" collapsed="false">
      <c r="B409" s="2" t="n">
        <v>407</v>
      </c>
      <c r="C409" s="2" t="n">
        <v>6.04562657356263E-010</v>
      </c>
      <c r="D409" s="2" t="n">
        <v>1.20911926026913E-009</v>
      </c>
      <c r="E409" s="2" t="n">
        <v>0.0679232267290382</v>
      </c>
    </row>
    <row r="410" customFormat="false" ht="13.8" hidden="false" customHeight="false" outlineLevel="0" collapsed="false">
      <c r="B410" s="2" t="n">
        <v>408</v>
      </c>
      <c r="C410" s="2" t="n">
        <v>6.42347817709056E-010</v>
      </c>
      <c r="D410" s="2" t="n">
        <v>1.24691027683663E-009</v>
      </c>
      <c r="E410" s="2" t="n">
        <v>0.0473181898101717</v>
      </c>
    </row>
    <row r="411" customFormat="false" ht="13.8" hidden="false" customHeight="false" outlineLevel="0" collapsed="false">
      <c r="B411" s="2" t="n">
        <v>409</v>
      </c>
      <c r="C411" s="2" t="n">
        <v>6.42354247093202E-010</v>
      </c>
      <c r="D411" s="2" t="n">
        <v>1.28470165923079E-009</v>
      </c>
      <c r="E411" s="2" t="n">
        <v>0.0540301028913053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0.0623460102977045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0.0670003243373395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0.0235750053199023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0.0591566611643345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0.00232275744138479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0.0839440501750154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0.0322499391856962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0.0208966988074316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8.20441814610215E-011</v>
      </c>
      <c r="D424" s="2" t="n">
        <v>4.72241370682595E-011</v>
      </c>
      <c r="E424" s="2" t="n">
        <v>4.72241370682595E-011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4.44069157740928E-019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4.72241371337955E-011</v>
      </c>
      <c r="D429" s="2" t="n">
        <v>4.72241371337955E-011</v>
      </c>
      <c r="E429" s="2" t="n">
        <v>8.20441805741179E-011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2.08864338711111E-017</v>
      </c>
      <c r="D437" s="2" t="n">
        <v>2.08864338711111E-017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4.72241371010275E-011</v>
      </c>
      <c r="D438" s="2" t="n">
        <v>8.20441807794598E-011</v>
      </c>
      <c r="E438" s="2" t="n">
        <v>4.72241371010275E-011</v>
      </c>
    </row>
    <row r="439" customFormat="false" ht="13.8" hidden="false" customHeight="false" outlineLevel="0" collapsed="false">
      <c r="B439" s="2" t="n">
        <v>437</v>
      </c>
      <c r="C439" s="2" t="n">
        <v>4.72246093145315E-011</v>
      </c>
      <c r="D439" s="2" t="n">
        <v>8.89696959349784E-011</v>
      </c>
      <c r="E439" s="2" t="n">
        <v>4.72246074071828E-011</v>
      </c>
    </row>
    <row r="440" customFormat="false" ht="13.8" hidden="false" customHeight="false" outlineLevel="0" collapsed="false">
      <c r="B440" s="2" t="n">
        <v>438</v>
      </c>
      <c r="C440" s="2" t="n">
        <v>1.41673827876351E-010</v>
      </c>
      <c r="D440" s="2" t="n">
        <v>2.46135006086146E-010</v>
      </c>
      <c r="E440" s="2" t="n">
        <v>1.41673827876351E-010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8.61301671152789E-019</v>
      </c>
      <c r="E441" s="2" t="n">
        <v>0.00411328491486027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0.00941407347663188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0.0639435247248308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0.0278591008156066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1.90734863082736E-018</v>
      </c>
      <c r="E445" s="2" t="n">
        <v>0.0291870227571889</v>
      </c>
    </row>
    <row r="446" customFormat="false" ht="13.8" hidden="false" customHeight="false" outlineLevel="0" collapsed="false">
      <c r="B446" s="2" t="n">
        <v>444</v>
      </c>
      <c r="C446" s="2" t="n">
        <v>0.000768488634562102</v>
      </c>
      <c r="D446" s="2" t="n">
        <v>0</v>
      </c>
      <c r="E446" s="2" t="n">
        <v>0.0132569982019451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0.0460923666403535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0.0251871585752494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0.0544349232765401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0.0350428815547719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0.071415634168418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0.0741191073800507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0.102819829392457</v>
      </c>
    </row>
    <row r="454" customFormat="false" ht="13.8" hidden="false" customHeight="false" outlineLevel="0" collapsed="false">
      <c r="B454" s="2" t="n">
        <v>452</v>
      </c>
      <c r="C454" s="2" t="n">
        <v>4.44069158203103E-019</v>
      </c>
      <c r="D454" s="2" t="n">
        <v>0</v>
      </c>
      <c r="E454" s="2" t="n">
        <v>0.0901048038414539</v>
      </c>
    </row>
    <row r="455" customFormat="false" ht="13.8" hidden="false" customHeight="false" outlineLevel="0" collapsed="false">
      <c r="B455" s="2" t="n">
        <v>453</v>
      </c>
      <c r="C455" s="2" t="n">
        <v>9.63121860167769E-010</v>
      </c>
      <c r="D455" s="2" t="n">
        <v>7.36549157881574E-010</v>
      </c>
      <c r="E455" s="2" t="n">
        <v>0.112225959571446</v>
      </c>
    </row>
    <row r="456" customFormat="false" ht="13.8" hidden="false" customHeight="false" outlineLevel="0" collapsed="false">
      <c r="B456" s="2" t="n">
        <v>454</v>
      </c>
      <c r="C456" s="2" t="n">
        <v>9.44241845172972E-010</v>
      </c>
      <c r="D456" s="2" t="n">
        <v>7.17666875152955E-010</v>
      </c>
      <c r="E456" s="2" t="n">
        <v>0.0676547477986284</v>
      </c>
    </row>
    <row r="457" customFormat="false" ht="13.8" hidden="false" customHeight="false" outlineLevel="0" collapsed="false">
      <c r="B457" s="2" t="n">
        <v>455</v>
      </c>
      <c r="C457" s="2" t="n">
        <v>9.25361633647676E-010</v>
      </c>
      <c r="D457" s="2" t="n">
        <v>6.98784396814735E-010</v>
      </c>
      <c r="E457" s="2" t="n">
        <v>0.109416869359144</v>
      </c>
    </row>
    <row r="458" customFormat="false" ht="13.8" hidden="false" customHeight="false" outlineLevel="0" collapsed="false">
      <c r="B458" s="2" t="n">
        <v>456</v>
      </c>
      <c r="C458" s="2" t="n">
        <v>9.06481240785134E-010</v>
      </c>
      <c r="D458" s="2" t="n">
        <v>6.79901733768633E-010</v>
      </c>
      <c r="E458" s="2" t="n">
        <v>0.0908456575863269</v>
      </c>
    </row>
    <row r="459" customFormat="false" ht="13.8" hidden="false" customHeight="false" outlineLevel="0" collapsed="false">
      <c r="B459" s="2" t="n">
        <v>457</v>
      </c>
      <c r="C459" s="2" t="n">
        <v>8.87600659629397E-010</v>
      </c>
      <c r="D459" s="2" t="n">
        <v>6.6101889107793E-010</v>
      </c>
      <c r="E459" s="2" t="n">
        <v>0.125542612480176</v>
      </c>
    </row>
    <row r="460" customFormat="false" ht="13.8" hidden="false" customHeight="false" outlineLevel="0" collapsed="false">
      <c r="B460" s="2" t="n">
        <v>458</v>
      </c>
      <c r="C460" s="2" t="n">
        <v>8.68719877553322E-010</v>
      </c>
      <c r="D460" s="2" t="n">
        <v>6.42135839837487E-010</v>
      </c>
      <c r="E460" s="2" t="n">
        <v>0.105088176026799</v>
      </c>
    </row>
    <row r="461" customFormat="false" ht="13.8" hidden="false" customHeight="false" outlineLevel="0" collapsed="false">
      <c r="B461" s="2" t="n">
        <v>459</v>
      </c>
      <c r="C461" s="2" t="n">
        <v>8.49838861342149E-010</v>
      </c>
      <c r="D461" s="2" t="n">
        <v>6.23252557734261E-010</v>
      </c>
      <c r="E461" s="2" t="n">
        <v>0.136616139573423</v>
      </c>
    </row>
    <row r="462" customFormat="false" ht="13.8" hidden="false" customHeight="false" outlineLevel="0" collapsed="false">
      <c r="B462" s="2" t="n">
        <v>460</v>
      </c>
      <c r="C462" s="2" t="n">
        <v>8.30957759193929E-010</v>
      </c>
      <c r="D462" s="2" t="n">
        <v>6.04369189726748E-010</v>
      </c>
      <c r="E462" s="2" t="n">
        <v>0.128511036453377</v>
      </c>
    </row>
    <row r="463" customFormat="false" ht="13.8" hidden="false" customHeight="false" outlineLevel="0" collapsed="false">
      <c r="B463" s="2" t="n">
        <v>461</v>
      </c>
      <c r="C463" s="2" t="n">
        <v>8.1207641855354E-010</v>
      </c>
      <c r="D463" s="2" t="n">
        <v>5.85485579412359E-010</v>
      </c>
      <c r="E463" s="2" t="n">
        <v>0.207389666666667</v>
      </c>
    </row>
    <row r="464" customFormat="false" ht="13.8" hidden="false" customHeight="false" outlineLevel="0" collapsed="false">
      <c r="B464" s="2" t="n">
        <v>462</v>
      </c>
      <c r="C464" s="2" t="n">
        <v>7.93194886151025E-010</v>
      </c>
      <c r="D464" s="2" t="n">
        <v>5.66601782581043E-010</v>
      </c>
      <c r="E464" s="2" t="n">
        <v>0.1134243</v>
      </c>
    </row>
    <row r="465" customFormat="false" ht="13.8" hidden="false" customHeight="false" outlineLevel="0" collapsed="false">
      <c r="B465" s="2" t="n">
        <v>463</v>
      </c>
      <c r="C465" s="2" t="n">
        <v>7.74313166754753E-010</v>
      </c>
      <c r="D465" s="2" t="n">
        <v>5.47717797802288E-010</v>
      </c>
      <c r="E465" s="2" t="n">
        <v>0.222540616666667</v>
      </c>
    </row>
    <row r="466" customFormat="false" ht="13.8" hidden="false" customHeight="false" outlineLevel="0" collapsed="false">
      <c r="B466" s="2" t="n">
        <v>464</v>
      </c>
      <c r="C466" s="2" t="n">
        <v>7.55431258457377E-010</v>
      </c>
      <c r="D466" s="2" t="n">
        <v>5.28833621738234E-010</v>
      </c>
      <c r="E466" s="2" t="n">
        <v>0.187440183333333</v>
      </c>
    </row>
    <row r="467" customFormat="false" ht="13.8" hidden="false" customHeight="false" outlineLevel="0" collapsed="false">
      <c r="B467" s="2" t="n">
        <v>465</v>
      </c>
      <c r="C467" s="2" t="n">
        <v>7.36549161258896E-010</v>
      </c>
      <c r="D467" s="2" t="n">
        <v>5.09949256773066E-010</v>
      </c>
      <c r="E467" s="2" t="n">
        <v>0.249390483333333</v>
      </c>
    </row>
    <row r="468" customFormat="false" ht="13.8" hidden="false" customHeight="false" outlineLevel="0" collapsed="false">
      <c r="B468" s="2" t="n">
        <v>466</v>
      </c>
      <c r="C468" s="2" t="n">
        <v>7.17666874205636E-010</v>
      </c>
      <c r="D468" s="2" t="n">
        <v>4.91064702906785E-010</v>
      </c>
      <c r="E468" s="2" t="n">
        <v>0.169308016666667</v>
      </c>
    </row>
    <row r="469" customFormat="false" ht="13.8" hidden="false" customHeight="false" outlineLevel="0" collapsed="false">
      <c r="B469" s="2" t="n">
        <v>467</v>
      </c>
      <c r="C469" s="2" t="n">
        <v>6.98784399204946E-010</v>
      </c>
      <c r="D469" s="2" t="n">
        <v>4.72179961093065E-010</v>
      </c>
      <c r="E469" s="2" t="n">
        <v>0.214608433333333</v>
      </c>
    </row>
    <row r="470" customFormat="false" ht="13.8" hidden="false" customHeight="false" outlineLevel="0" collapsed="false">
      <c r="B470" s="2" t="n">
        <v>468</v>
      </c>
      <c r="C470" s="2" t="n">
        <v>6.79901735303152E-010</v>
      </c>
      <c r="D470" s="2" t="n">
        <v>4.53295029424557E-010</v>
      </c>
      <c r="E470" s="2" t="n">
        <v>0.14555855</v>
      </c>
    </row>
    <row r="471" customFormat="false" ht="13.8" hidden="false" customHeight="false" outlineLevel="0" collapsed="false">
      <c r="B471" s="2" t="n">
        <v>469</v>
      </c>
      <c r="C471" s="2" t="n">
        <v>6.61018882500253E-010</v>
      </c>
      <c r="D471" s="2" t="n">
        <v>4.3440990980861E-010</v>
      </c>
      <c r="E471" s="2" t="n">
        <v>0.182209166666667</v>
      </c>
    </row>
    <row r="472" customFormat="false" ht="13.8" hidden="false" customHeight="false" outlineLevel="0" collapsed="false">
      <c r="B472" s="2" t="n">
        <v>470</v>
      </c>
      <c r="C472" s="2" t="n">
        <v>6.42135839842575E-010</v>
      </c>
      <c r="D472" s="2" t="n">
        <v>4.15524602245224E-010</v>
      </c>
      <c r="E472" s="2" t="n">
        <v>0.16482495</v>
      </c>
    </row>
    <row r="473" customFormat="false" ht="13.8" hidden="false" customHeight="false" outlineLevel="0" collapsed="false">
      <c r="B473" s="2" t="n">
        <v>471</v>
      </c>
      <c r="C473" s="2" t="n">
        <v>6.23252610191141E-010</v>
      </c>
      <c r="D473" s="2" t="n">
        <v>3.96639102919701E-010</v>
      </c>
      <c r="E473" s="2" t="n">
        <v>0.168757916666667</v>
      </c>
    </row>
    <row r="474" customFormat="false" ht="13.8" hidden="false" customHeight="false" outlineLevel="0" collapsed="false">
      <c r="B474" s="2" t="n">
        <v>472</v>
      </c>
      <c r="C474" s="2" t="n">
        <v>6.04369189731254E-010</v>
      </c>
      <c r="D474" s="2" t="n">
        <v>3.77753415646739E-010</v>
      </c>
      <c r="E474" s="2" t="n">
        <v>0.1644744</v>
      </c>
    </row>
    <row r="475" customFormat="false" ht="13.8" hidden="false" customHeight="false" outlineLevel="0" collapsed="false">
      <c r="B475" s="2" t="n">
        <v>473</v>
      </c>
      <c r="C475" s="2" t="n">
        <v>5.85485581323937E-010</v>
      </c>
      <c r="D475" s="2" t="n">
        <v>3.58867540426339E-010</v>
      </c>
      <c r="E475" s="2" t="n">
        <v>0.160690583333333</v>
      </c>
    </row>
    <row r="476" customFormat="false" ht="13.8" hidden="false" customHeight="false" outlineLevel="0" collapsed="false">
      <c r="B476" s="2" t="n">
        <v>474</v>
      </c>
      <c r="C476" s="2" t="n">
        <v>5.66601784015516E-010</v>
      </c>
      <c r="D476" s="2" t="n">
        <v>3.39981473443802E-010</v>
      </c>
      <c r="E476" s="2" t="n">
        <v>0.148558033333333</v>
      </c>
    </row>
    <row r="477" customFormat="false" ht="13.8" hidden="false" customHeight="false" outlineLevel="0" collapsed="false">
      <c r="B477" s="2" t="n">
        <v>475</v>
      </c>
      <c r="C477" s="2" t="n">
        <v>5.47717796852315E-010</v>
      </c>
      <c r="D477" s="2" t="n">
        <v>3.210952194675E-010</v>
      </c>
      <c r="E477" s="2" t="n">
        <v>0.145090866666667</v>
      </c>
    </row>
    <row r="478" customFormat="false" ht="13.8" hidden="false" customHeight="false" outlineLevel="0" collapsed="false">
      <c r="B478" s="2" t="n">
        <v>476</v>
      </c>
      <c r="C478" s="2" t="n">
        <v>5.28833621741684E-010</v>
      </c>
      <c r="D478" s="2" t="n">
        <v>3.02208781358456E-010</v>
      </c>
      <c r="E478" s="2" t="n">
        <v>0.131057533333333</v>
      </c>
    </row>
    <row r="479" customFormat="false" ht="13.8" hidden="false" customHeight="false" outlineLevel="0" collapsed="false">
      <c r="B479" s="2" t="n">
        <v>477</v>
      </c>
      <c r="C479" s="2" t="n">
        <v>5.09949257014693E-010</v>
      </c>
      <c r="D479" s="2" t="n">
        <v>2.8332214576523E-010</v>
      </c>
      <c r="E479" s="2" t="n">
        <v>0.09624</v>
      </c>
    </row>
    <row r="480" customFormat="false" ht="13.8" hidden="false" customHeight="false" outlineLevel="0" collapsed="false">
      <c r="B480" s="2" t="n">
        <v>478</v>
      </c>
      <c r="C480" s="2" t="n">
        <v>4.91064703386597E-010</v>
      </c>
      <c r="D480" s="2" t="n">
        <v>0</v>
      </c>
      <c r="E480" s="2" t="n">
        <v>0.0532191166666667</v>
      </c>
    </row>
    <row r="481" customFormat="false" ht="13.8" hidden="false" customHeight="false" outlineLevel="0" collapsed="false">
      <c r="B481" s="2" t="n">
        <v>479</v>
      </c>
      <c r="C481" s="2" t="n">
        <v>4.72179960142141E-010</v>
      </c>
      <c r="D481" s="2" t="n">
        <v>2.45548316935343E-010</v>
      </c>
      <c r="E481" s="2" t="n">
        <v>0.0999389666666667</v>
      </c>
    </row>
    <row r="482" customFormat="false" ht="13.8" hidden="false" customHeight="false" outlineLevel="0" collapsed="false">
      <c r="B482" s="2" t="n">
        <v>480</v>
      </c>
      <c r="C482" s="2" t="n">
        <v>4.53295030499975E-010</v>
      </c>
      <c r="D482" s="2" t="n">
        <v>2.26661119764775E-010</v>
      </c>
      <c r="E482" s="2" t="n">
        <v>0.0248068666666667</v>
      </c>
    </row>
    <row r="483" customFormat="false" ht="13.8" hidden="false" customHeight="false" outlineLevel="0" collapsed="false">
      <c r="B483" s="2" t="n">
        <v>481</v>
      </c>
      <c r="C483" s="2" t="n">
        <v>4.34409910287775E-010</v>
      </c>
      <c r="D483" s="2" t="n">
        <v>0</v>
      </c>
      <c r="E483" s="2" t="n">
        <v>0.00851945</v>
      </c>
    </row>
    <row r="484" customFormat="false" ht="13.8" hidden="false" customHeight="false" outlineLevel="0" collapsed="false">
      <c r="B484" s="2" t="n">
        <v>482</v>
      </c>
      <c r="C484" s="2" t="n">
        <v>4.15524601293679E-010</v>
      </c>
      <c r="D484" s="2" t="n">
        <v>1.88886155978487E-010</v>
      </c>
      <c r="E484" s="2" t="n">
        <v>0.0607217666666667</v>
      </c>
    </row>
    <row r="485" customFormat="false" ht="13.8" hidden="false" customHeight="false" outlineLevel="0" collapsed="false">
      <c r="B485" s="2" t="n">
        <v>483</v>
      </c>
      <c r="C485" s="2" t="n">
        <v>3.96639102921642E-010</v>
      </c>
      <c r="D485" s="2" t="n">
        <v>1.69998390554858E-010</v>
      </c>
      <c r="E485" s="2" t="n">
        <v>0.1211532</v>
      </c>
    </row>
    <row r="486" customFormat="false" ht="13.8" hidden="false" customHeight="false" outlineLevel="0" collapsed="false">
      <c r="B486" s="2" t="n">
        <v>484</v>
      </c>
      <c r="C486" s="2" t="n">
        <v>3.77753416125337E-010</v>
      </c>
      <c r="D486" s="2" t="n">
        <v>1.51110436468535E-010</v>
      </c>
      <c r="E486" s="2" t="n">
        <v>0.0949681666666667</v>
      </c>
    </row>
    <row r="487" customFormat="false" ht="13.8" hidden="false" customHeight="false" outlineLevel="0" collapsed="false">
      <c r="B487" s="2" t="n">
        <v>485</v>
      </c>
      <c r="C487" s="2" t="n">
        <v>3.58867542713809E-010</v>
      </c>
      <c r="D487" s="2" t="n">
        <v>1.32222297230259E-010</v>
      </c>
      <c r="E487" s="2" t="n">
        <v>0.1083672</v>
      </c>
    </row>
    <row r="488" customFormat="false" ht="13.8" hidden="false" customHeight="false" outlineLevel="0" collapsed="false">
      <c r="B488" s="2" t="n">
        <v>486</v>
      </c>
      <c r="C488" s="2" t="n">
        <v>3.39981475352576E-010</v>
      </c>
      <c r="D488" s="2" t="n">
        <v>1.1333396111571E-010</v>
      </c>
      <c r="E488" s="2" t="n">
        <v>0.0525171666666667</v>
      </c>
    </row>
    <row r="489" customFormat="false" ht="13.8" hidden="false" customHeight="false" outlineLevel="0" collapsed="false">
      <c r="B489" s="2" t="n">
        <v>487</v>
      </c>
      <c r="C489" s="2" t="n">
        <v>3.21095221614539E-010</v>
      </c>
      <c r="D489" s="2" t="n">
        <v>9.44454398492092E-011</v>
      </c>
      <c r="E489" s="2" t="n">
        <v>0.0647676</v>
      </c>
    </row>
    <row r="490" customFormat="false" ht="13.8" hidden="false" customHeight="false" outlineLevel="0" collapsed="false">
      <c r="B490" s="2" t="n">
        <v>488</v>
      </c>
      <c r="C490" s="2" t="n">
        <v>3.02208778498559E-010</v>
      </c>
      <c r="D490" s="2" t="n">
        <v>7.55567295623852E-011</v>
      </c>
      <c r="E490" s="2" t="n">
        <v>0.02385065</v>
      </c>
    </row>
    <row r="491" customFormat="false" ht="13.8" hidden="false" customHeight="false" outlineLevel="0" collapsed="false">
      <c r="B491" s="2" t="n">
        <v>489</v>
      </c>
      <c r="C491" s="2" t="n">
        <v>2.83322147673568E-010</v>
      </c>
      <c r="D491" s="2" t="n">
        <v>5.66678266789597E-011</v>
      </c>
      <c r="E491" s="2" t="n">
        <v>0.10643355</v>
      </c>
    </row>
    <row r="492" customFormat="false" ht="13.8" hidden="false" customHeight="false" outlineLevel="0" collapsed="false">
      <c r="B492" s="2" t="n">
        <v>490</v>
      </c>
      <c r="C492" s="2" t="n">
        <v>2.64435327113008E-010</v>
      </c>
      <c r="D492" s="2" t="n">
        <v>0</v>
      </c>
      <c r="E492" s="2" t="n">
        <v>0.0119833666666667</v>
      </c>
    </row>
    <row r="493" customFormat="false" ht="13.8" hidden="false" customHeight="false" outlineLevel="0" collapsed="false">
      <c r="B493" s="2" t="n">
        <v>491</v>
      </c>
      <c r="C493" s="2" t="n">
        <v>2.45548317412924E-010</v>
      </c>
      <c r="D493" s="2" t="n">
        <v>1.88894656528597E-011</v>
      </c>
      <c r="E493" s="2" t="n">
        <v>0.101783683333333</v>
      </c>
    </row>
    <row r="494" customFormat="false" ht="13.8" hidden="false" customHeight="false" outlineLevel="0" collapsed="false">
      <c r="B494" s="2" t="n">
        <v>492</v>
      </c>
      <c r="C494" s="2" t="n">
        <v>2.26661118930944E-010</v>
      </c>
      <c r="D494" s="2" t="n">
        <v>0</v>
      </c>
      <c r="E494" s="2" t="n">
        <v>0.0691872811164853</v>
      </c>
    </row>
    <row r="495" customFormat="false" ht="13.8" hidden="false" customHeight="false" outlineLevel="0" collapsed="false">
      <c r="B495" s="2" t="n">
        <v>493</v>
      </c>
      <c r="C495" s="2" t="n">
        <v>2.2666338666108E-010</v>
      </c>
      <c r="D495" s="2" t="n">
        <v>3.77793078054552E-011</v>
      </c>
      <c r="E495" s="2" t="n">
        <v>0.100866833352223</v>
      </c>
    </row>
    <row r="496" customFormat="false" ht="13.8" hidden="false" customHeight="false" outlineLevel="0" collapsed="false">
      <c r="B496" s="2" t="n">
        <v>494</v>
      </c>
      <c r="C496" s="2" t="n">
        <v>2.26665654317626E-010</v>
      </c>
      <c r="D496" s="2" t="n">
        <v>7.55589960533638E-011</v>
      </c>
      <c r="E496" s="2" t="n">
        <v>0.0431834833711128</v>
      </c>
    </row>
    <row r="497" customFormat="false" ht="13.8" hidden="false" customHeight="false" outlineLevel="0" collapsed="false">
      <c r="B497" s="2" t="n">
        <v>495</v>
      </c>
      <c r="C497" s="2" t="n">
        <v>1.69998391032052E-010</v>
      </c>
      <c r="D497" s="2" t="n">
        <v>0</v>
      </c>
      <c r="E497" s="2" t="n">
        <v>0.125250083333333</v>
      </c>
    </row>
    <row r="498" customFormat="false" ht="13.8" hidden="false" customHeight="false" outlineLevel="0" collapsed="false">
      <c r="B498" s="2" t="n">
        <v>496</v>
      </c>
      <c r="C498" s="2" t="n">
        <v>2.26670188933111E-010</v>
      </c>
      <c r="D498" s="2" t="n">
        <v>1.51119503386123E-010</v>
      </c>
      <c r="E498" s="2" t="n">
        <v>0.0380002334088931</v>
      </c>
    </row>
    <row r="499" customFormat="false" ht="13.8" hidden="false" customHeight="false" outlineLevel="0" collapsed="false">
      <c r="B499" s="2" t="n">
        <v>497</v>
      </c>
      <c r="C499" s="2" t="n">
        <v>1.32222293958151E-010</v>
      </c>
      <c r="D499" s="2" t="n">
        <v>0</v>
      </c>
      <c r="E499" s="2" t="n">
        <v>0.1183337</v>
      </c>
    </row>
    <row r="500" customFormat="false" ht="13.8" hidden="false" customHeight="false" outlineLevel="0" collapsed="false">
      <c r="B500" s="2" t="n">
        <v>498</v>
      </c>
      <c r="C500" s="2" t="n">
        <v>2.26674723254236E-010</v>
      </c>
      <c r="D500" s="2" t="n">
        <v>2.26681521521441E-010</v>
      </c>
      <c r="E500" s="2" t="n">
        <v>0.0318335167800074</v>
      </c>
    </row>
    <row r="501" customFormat="false" ht="13.8" hidden="false" customHeight="false" outlineLevel="0" collapsed="false">
      <c r="B501" s="2" t="n">
        <v>499</v>
      </c>
      <c r="C501" s="2" t="n">
        <v>2.26676990542831E-010</v>
      </c>
      <c r="D501" s="2" t="n">
        <v>2.64463098272548E-010</v>
      </c>
      <c r="E501" s="2" t="n">
        <v>0.0921167001322315</v>
      </c>
    </row>
    <row r="502" customFormat="false" ht="13.8" hidden="false" customHeight="false" outlineLevel="0" collapsed="false">
      <c r="B502" s="2" t="n">
        <v>500</v>
      </c>
      <c r="C502" s="2" t="n">
        <v>2.26679257757837E-010</v>
      </c>
      <c r="D502" s="2" t="n">
        <v>3.02245052128248E-010</v>
      </c>
      <c r="E502" s="2" t="n">
        <v>0.0305000001511225</v>
      </c>
    </row>
    <row r="503" customFormat="false" ht="13.8" hidden="false" customHeight="false" outlineLevel="0" collapsed="false">
      <c r="B503" s="2" t="n">
        <v>501</v>
      </c>
      <c r="C503" s="2" t="n">
        <v>2.26681523945578E-010</v>
      </c>
      <c r="D503" s="2" t="n">
        <v>3.40027382730913E-010</v>
      </c>
      <c r="E503" s="2" t="n">
        <v>0.092050133503347</v>
      </c>
    </row>
    <row r="504" customFormat="false" ht="13.8" hidden="false" customHeight="false" outlineLevel="0" collapsed="false">
      <c r="B504" s="2" t="n">
        <v>502</v>
      </c>
      <c r="C504" s="2" t="n">
        <v>2.26683791967078E-010</v>
      </c>
      <c r="D504" s="2" t="n">
        <v>3.77810093537613E-010</v>
      </c>
      <c r="E504" s="2" t="n">
        <v>0.031254384511058</v>
      </c>
    </row>
    <row r="505" customFormat="false" ht="13.8" hidden="false" customHeight="false" outlineLevel="0" collapsed="false">
      <c r="B505" s="2" t="n">
        <v>503</v>
      </c>
      <c r="C505" s="2" t="n">
        <v>2.26686058007639E-010</v>
      </c>
      <c r="D505" s="2" t="n">
        <v>4.1559317906472E-010</v>
      </c>
      <c r="E505" s="2" t="n">
        <v>0.0920255188521024</v>
      </c>
    </row>
    <row r="506" customFormat="false" ht="13.8" hidden="false" customHeight="false" outlineLevel="0" collapsed="false">
      <c r="B506" s="2" t="n">
        <v>504</v>
      </c>
      <c r="C506" s="2" t="n">
        <v>2.26688324689865E-010</v>
      </c>
      <c r="D506" s="2" t="n">
        <v>4.53376646226373E-010</v>
      </c>
      <c r="E506" s="2" t="n">
        <v>0.0134578168323086</v>
      </c>
    </row>
    <row r="507" customFormat="false" ht="13.8" hidden="false" customHeight="false" outlineLevel="0" collapsed="false">
      <c r="B507" s="2" t="n">
        <v>505</v>
      </c>
      <c r="C507" s="2" t="n">
        <v>2.45580246925354E-010</v>
      </c>
      <c r="D507" s="2" t="n">
        <v>4.91160490969457E-010</v>
      </c>
      <c r="E507" s="2" t="n">
        <v>0.0910673375341919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1.5317671516462E-008</v>
      </c>
    </row>
    <row r="509" customFormat="false" ht="13.8" hidden="false" customHeight="false" outlineLevel="0" collapsed="false">
      <c r="B509" s="2" t="n">
        <v>507</v>
      </c>
      <c r="C509" s="2" t="n">
        <v>2.83364661216736E-010</v>
      </c>
      <c r="D509" s="2" t="n">
        <v>5.66729309385218E-010</v>
      </c>
      <c r="E509" s="2" t="n">
        <v>0.0908393620205645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1.57718239526269E-008</v>
      </c>
    </row>
    <row r="511" customFormat="false" ht="13.8" hidden="false" customHeight="false" outlineLevel="0" collapsed="false">
      <c r="B511" s="2" t="n">
        <v>509</v>
      </c>
      <c r="C511" s="2" t="n">
        <v>3.21149823963643E-010</v>
      </c>
      <c r="D511" s="2" t="n">
        <v>6.4229963723263E-010</v>
      </c>
      <c r="E511" s="2" t="n">
        <v>0.00444063804313106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1.72678440117188E-017</v>
      </c>
      <c r="E512" s="2" t="n">
        <v>0.0351922119003995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0.0982160951706523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0.024133660097888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0.0657732691344952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9.20906316406251E-019</v>
      </c>
      <c r="E516" s="2" t="n">
        <v>8.88138316406252E-019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0.0559073751093464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4.44069158203126E-019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2.66441494921876E-018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0.025434480517116</v>
      </c>
    </row>
    <row r="521" customFormat="false" ht="13.8" hidden="false" customHeight="false" outlineLevel="0" collapsed="false">
      <c r="B521" s="2" t="n">
        <v>519</v>
      </c>
      <c r="C521" s="2" t="n">
        <v>8.31499349243165E-019</v>
      </c>
      <c r="D521" s="2" t="n">
        <v>0</v>
      </c>
      <c r="E521" s="2" t="n">
        <v>0.00226962376309559</v>
      </c>
    </row>
    <row r="522" customFormat="false" ht="13.8" hidden="false" customHeight="false" outlineLevel="0" collapsed="false">
      <c r="B522" s="2" t="n">
        <v>520</v>
      </c>
      <c r="C522" s="2" t="n">
        <v>6.49719737304689E-019</v>
      </c>
      <c r="D522" s="2" t="n">
        <v>0</v>
      </c>
      <c r="E522" s="2" t="n">
        <v>0.0119380336757418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0.00313944358838809</v>
      </c>
    </row>
    <row r="524" customFormat="false" ht="13.8" hidden="false" customHeight="false" outlineLevel="0" collapsed="false">
      <c r="B524" s="2" t="n">
        <v>522</v>
      </c>
      <c r="C524" s="2" t="n">
        <v>4.4703483581543E-019</v>
      </c>
      <c r="D524" s="2" t="n">
        <v>4.4703483581543E-019</v>
      </c>
      <c r="E524" s="2" t="n">
        <v>0.00180119447223814</v>
      </c>
    </row>
    <row r="525" customFormat="false" ht="13.8" hidden="false" customHeight="false" outlineLevel="0" collapsed="false">
      <c r="B525" s="2" t="n">
        <v>523</v>
      </c>
      <c r="C525" s="2" t="n">
        <v>5.89824000000002E-019</v>
      </c>
      <c r="D525" s="2" t="n">
        <v>0</v>
      </c>
      <c r="E525" s="2" t="n">
        <v>0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2.69718294921875E-018</v>
      </c>
      <c r="E526" s="2" t="n">
        <v>2.63164694921876E-018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3.58532126562501E-018</v>
      </c>
    </row>
    <row r="528" customFormat="false" ht="13.8" hidden="false" customHeight="false" outlineLevel="0" collapsed="false">
      <c r="B528" s="2" t="n">
        <v>526</v>
      </c>
      <c r="C528" s="2" t="n">
        <v>1.63840000000001E-019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7.19436795214845E-018</v>
      </c>
    </row>
    <row r="531" customFormat="false" ht="13.8" hidden="false" customHeight="false" outlineLevel="0" collapsed="false">
      <c r="B531" s="2" t="n">
        <v>529</v>
      </c>
      <c r="C531" s="2" t="n">
        <v>1.80224000000001E-019</v>
      </c>
      <c r="D531" s="2" t="n">
        <v>6.40677158203126E-019</v>
      </c>
      <c r="E531" s="2" t="n">
        <v>0</v>
      </c>
    </row>
    <row r="532" customFormat="false" ht="13.8" hidden="false" customHeight="false" outlineLevel="0" collapsed="false">
      <c r="B532" s="2" t="n">
        <v>530</v>
      </c>
      <c r="C532" s="2" t="n">
        <v>6.88128000000003E-019</v>
      </c>
      <c r="D532" s="2" t="n">
        <v>6.55360000000003E-019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4.76837158203126E-019</v>
      </c>
      <c r="D533" s="2" t="n">
        <v>4.76837158203126E-018</v>
      </c>
      <c r="E533" s="2" t="n">
        <v>0.0226011405856963</v>
      </c>
    </row>
    <row r="534" customFormat="false" ht="13.8" hidden="false" customHeight="false" outlineLevel="0" collapsed="false">
      <c r="B534" s="2" t="n">
        <v>532</v>
      </c>
      <c r="C534" s="2" t="n">
        <v>2.45760000000001E-019</v>
      </c>
      <c r="D534" s="2" t="n">
        <v>0</v>
      </c>
      <c r="E534" s="2" t="n">
        <v>0</v>
      </c>
    </row>
    <row r="535" customFormat="false" ht="13.8" hidden="false" customHeight="false" outlineLevel="0" collapsed="false">
      <c r="B535" s="2" t="n">
        <v>533</v>
      </c>
      <c r="C535" s="2" t="n">
        <v>2.08616256713867E-019</v>
      </c>
      <c r="D535" s="2" t="n">
        <v>3.03687120593262E-018</v>
      </c>
      <c r="E535" s="2" t="n">
        <v>0.00212132271319978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0.0206067649278407</v>
      </c>
    </row>
    <row r="537" customFormat="false" ht="13.8" hidden="false" customHeight="false" outlineLevel="0" collapsed="false">
      <c r="B537" s="2" t="n">
        <v>535</v>
      </c>
      <c r="C537" s="2" t="n">
        <v>7.15255737304688E-019</v>
      </c>
      <c r="D537" s="2" t="n">
        <v>0</v>
      </c>
      <c r="E537" s="2" t="n">
        <v>0.0170438838011351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1.9073486328125E-018</v>
      </c>
      <c r="E538" s="2" t="n">
        <v>0.036077566023789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0.0745677567663895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0.057211612897926</v>
      </c>
    </row>
    <row r="541" customFormat="false" ht="13.8" hidden="false" customHeight="false" outlineLevel="0" collapsed="false">
      <c r="B541" s="2" t="n">
        <v>539</v>
      </c>
      <c r="C541" s="2" t="n">
        <v>9.06481275587568E-010</v>
      </c>
      <c r="D541" s="2" t="n">
        <v>3.2109522102644E-010</v>
      </c>
      <c r="E541" s="2" t="n">
        <v>0.126282079325014</v>
      </c>
    </row>
    <row r="542" customFormat="false" ht="13.8" hidden="false" customHeight="false" outlineLevel="0" collapsed="false">
      <c r="B542" s="2" t="n">
        <v>540</v>
      </c>
      <c r="C542" s="2" t="n">
        <v>8.8760069450711E-010</v>
      </c>
      <c r="D542" s="2" t="n">
        <v>3.02208784687983E-010</v>
      </c>
      <c r="E542" s="2" t="n">
        <v>0.0526645989376597</v>
      </c>
    </row>
    <row r="543" customFormat="false" ht="13.8" hidden="false" customHeight="false" outlineLevel="0" collapsed="false">
      <c r="B543" s="2" t="n">
        <v>541</v>
      </c>
      <c r="C543" s="2" t="n">
        <v>8.68719915025995E-010</v>
      </c>
      <c r="D543" s="2" t="n">
        <v>2.83322148041509E-010</v>
      </c>
      <c r="E543" s="2" t="n">
        <v>0.118130918550305</v>
      </c>
    </row>
    <row r="544" customFormat="false" ht="13.8" hidden="false" customHeight="false" outlineLevel="0" collapsed="false">
      <c r="B544" s="2" t="n">
        <v>542</v>
      </c>
      <c r="C544" s="2" t="n">
        <v>8.49838955132961E-010</v>
      </c>
      <c r="D544" s="2" t="n">
        <v>2.64435331936781E-010</v>
      </c>
      <c r="E544" s="2" t="n">
        <v>0.0867123556459884</v>
      </c>
    </row>
    <row r="545" customFormat="false" ht="13.8" hidden="false" customHeight="false" outlineLevel="0" collapsed="false">
      <c r="B545" s="2" t="n">
        <v>543</v>
      </c>
      <c r="C545" s="2" t="n">
        <v>8.3095779614774E-010</v>
      </c>
      <c r="D545" s="2" t="n">
        <v>2.4554832055455E-010</v>
      </c>
      <c r="E545" s="2" t="n">
        <v>0.159127342741672</v>
      </c>
    </row>
    <row r="546" customFormat="false" ht="13.8" hidden="false" customHeight="false" outlineLevel="0" collapsed="false">
      <c r="B546" s="2" t="n">
        <v>544</v>
      </c>
      <c r="C546" s="2" t="n">
        <v>8.12076443875998E-010</v>
      </c>
      <c r="D546" s="2" t="n">
        <v>2.26661112547927E-010</v>
      </c>
      <c r="E546" s="2" t="n">
        <v>0.0632922298373549</v>
      </c>
    </row>
    <row r="547" customFormat="false" ht="13.8" hidden="false" customHeight="false" outlineLevel="0" collapsed="false">
      <c r="B547" s="2" t="n">
        <v>545</v>
      </c>
      <c r="C547" s="2" t="n">
        <v>7.93194920860154E-010</v>
      </c>
      <c r="D547" s="2" t="n">
        <v>2.0777373379719E-010</v>
      </c>
      <c r="E547" s="2" t="n">
        <v>0.160539733599704</v>
      </c>
    </row>
    <row r="548" customFormat="false" ht="13.8" hidden="false" customHeight="false" outlineLevel="0" collapsed="false">
      <c r="B548" s="2" t="n">
        <v>546</v>
      </c>
      <c r="C548" s="2" t="n">
        <v>7.74313199920489E-010</v>
      </c>
      <c r="D548" s="2" t="n">
        <v>1.88886157122622E-010</v>
      </c>
      <c r="E548" s="2" t="n">
        <v>0.103652006274462</v>
      </c>
    </row>
    <row r="549" customFormat="false" ht="13.8" hidden="false" customHeight="false" outlineLevel="0" collapsed="false">
      <c r="B549" s="2" t="n">
        <v>547</v>
      </c>
      <c r="C549" s="2" t="n">
        <v>7.55431291070584E-010</v>
      </c>
      <c r="D549" s="2" t="n">
        <v>1.69998391584128E-010</v>
      </c>
      <c r="E549" s="2" t="n">
        <v>0.16126467894922</v>
      </c>
    </row>
    <row r="550" customFormat="false" ht="13.8" hidden="false" customHeight="false" outlineLevel="0" collapsed="false">
      <c r="B550" s="2" t="n">
        <v>548</v>
      </c>
      <c r="C550" s="2" t="n">
        <v>7.36549191449416E-010</v>
      </c>
      <c r="D550" s="2" t="n">
        <v>9.53674316406251E-019</v>
      </c>
      <c r="E550" s="2" t="n">
        <v>0.0694066594231462</v>
      </c>
    </row>
    <row r="551" customFormat="false" ht="13.8" hidden="false" customHeight="false" outlineLevel="0" collapsed="false">
      <c r="B551" s="2" t="n">
        <v>549</v>
      </c>
      <c r="C551" s="2" t="n">
        <v>7.17666902964334E-010</v>
      </c>
      <c r="D551" s="2" t="n">
        <v>1.32222294869037E-010</v>
      </c>
      <c r="E551" s="2" t="n">
        <v>0.166822874298736</v>
      </c>
    </row>
    <row r="552" customFormat="false" ht="13.8" hidden="false" customHeight="false" outlineLevel="0" collapsed="false">
      <c r="B552" s="2" t="n">
        <v>550</v>
      </c>
      <c r="C552" s="2" t="n">
        <v>6.98784425615337E-010</v>
      </c>
      <c r="D552" s="2" t="n">
        <v>2.38418579101563E-018</v>
      </c>
      <c r="E552" s="2" t="n">
        <v>0.073141790254874</v>
      </c>
    </row>
    <row r="553" customFormat="false" ht="13.8" hidden="false" customHeight="false" outlineLevel="0" collapsed="false">
      <c r="B553" s="2" t="n">
        <v>551</v>
      </c>
      <c r="C553" s="2" t="n">
        <v>6.79901767723351E-010</v>
      </c>
      <c r="D553" s="2" t="n">
        <v>9.44454472044704E-011</v>
      </c>
      <c r="E553" s="2" t="n">
        <v>0.165553837149368</v>
      </c>
    </row>
    <row r="554" customFormat="false" ht="13.8" hidden="false" customHeight="false" outlineLevel="0" collapsed="false">
      <c r="B554" s="2" t="n">
        <v>552</v>
      </c>
      <c r="C554" s="2" t="n">
        <v>6.61018905279274E-010</v>
      </c>
      <c r="D554" s="2" t="n">
        <v>0</v>
      </c>
      <c r="E554" s="2" t="n">
        <v>0.0747808634182913</v>
      </c>
    </row>
    <row r="555" customFormat="false" ht="13.8" hidden="false" customHeight="false" outlineLevel="0" collapsed="false">
      <c r="B555" s="2" t="n">
        <v>553</v>
      </c>
      <c r="C555" s="2" t="n">
        <v>6.42135862292209E-010</v>
      </c>
      <c r="D555" s="2" t="n">
        <v>0</v>
      </c>
      <c r="E555" s="2" t="n">
        <v>0.06845085</v>
      </c>
    </row>
    <row r="556" customFormat="false" ht="13.8" hidden="false" customHeight="false" outlineLevel="0" collapsed="false">
      <c r="B556" s="2" t="n">
        <v>554</v>
      </c>
      <c r="C556" s="2" t="n">
        <v>6.23252629487554E-010</v>
      </c>
      <c r="D556" s="2" t="n">
        <v>3.77787427174E-011</v>
      </c>
      <c r="E556" s="2" t="n">
        <v>0.172151516666667</v>
      </c>
    </row>
    <row r="557" customFormat="false" ht="13.8" hidden="false" customHeight="false" outlineLevel="0" collapsed="false">
      <c r="B557" s="2" t="n">
        <v>555</v>
      </c>
      <c r="C557" s="2" t="n">
        <v>6.0436920877266E-010</v>
      </c>
      <c r="D557" s="2" t="n">
        <v>1.88894662675E-011</v>
      </c>
      <c r="E557" s="2" t="n">
        <v>0.194635583333333</v>
      </c>
    </row>
    <row r="558" customFormat="false" ht="13.8" hidden="false" customHeight="false" outlineLevel="0" collapsed="false">
      <c r="B558" s="2" t="n">
        <v>556</v>
      </c>
      <c r="C558" s="2" t="n">
        <v>5.85485597286502E-010</v>
      </c>
      <c r="D558" s="2" t="n">
        <v>0</v>
      </c>
      <c r="E558" s="2" t="n">
        <v>0.184396526134029</v>
      </c>
    </row>
    <row r="559" customFormat="false" ht="13.8" hidden="false" customHeight="false" outlineLevel="0" collapsed="false">
      <c r="B559" s="2" t="n">
        <v>557</v>
      </c>
      <c r="C559" s="2" t="n">
        <v>5.66601798843779E-010</v>
      </c>
      <c r="D559" s="2" t="n">
        <v>0</v>
      </c>
      <c r="E559" s="2" t="n">
        <v>0.224137616666667</v>
      </c>
    </row>
    <row r="560" customFormat="false" ht="13.8" hidden="false" customHeight="false" outlineLevel="0" collapsed="false">
      <c r="B560" s="2" t="n">
        <v>558</v>
      </c>
      <c r="C560" s="2" t="n">
        <v>5.47717817062579E-010</v>
      </c>
      <c r="D560" s="2" t="n">
        <v>3.68362526562501E-018</v>
      </c>
      <c r="E560" s="2" t="n">
        <v>0.152822083333333</v>
      </c>
    </row>
    <row r="561" customFormat="false" ht="13.8" hidden="false" customHeight="false" outlineLevel="0" collapsed="false">
      <c r="B561" s="2" t="n">
        <v>559</v>
      </c>
      <c r="C561" s="2" t="n">
        <v>5.28833634889751E-010</v>
      </c>
      <c r="D561" s="2" t="n">
        <v>0</v>
      </c>
      <c r="E561" s="2" t="n">
        <v>0.153473083333333</v>
      </c>
    </row>
    <row r="562" customFormat="false" ht="13.8" hidden="false" customHeight="false" outlineLevel="0" collapsed="false">
      <c r="B562" s="2" t="n">
        <v>560</v>
      </c>
      <c r="C562" s="2" t="n">
        <v>5.85509022796416E-010</v>
      </c>
      <c r="D562" s="2" t="n">
        <v>1.51119506544649E-010</v>
      </c>
      <c r="E562" s="2" t="n">
        <v>0.0799372000755597</v>
      </c>
    </row>
    <row r="563" customFormat="false" ht="13.8" hidden="false" customHeight="false" outlineLevel="0" collapsed="false">
      <c r="B563" s="2" t="n">
        <v>561</v>
      </c>
      <c r="C563" s="2" t="n">
        <v>4.91064715480066E-010</v>
      </c>
      <c r="D563" s="2" t="n">
        <v>0</v>
      </c>
      <c r="E563" s="2" t="n">
        <v>0.225840683333333</v>
      </c>
    </row>
    <row r="564" customFormat="false" ht="13.8" hidden="false" customHeight="false" outlineLevel="0" collapsed="false">
      <c r="B564" s="2" t="n">
        <v>562</v>
      </c>
      <c r="C564" s="2" t="n">
        <v>4.72179971764096E-010</v>
      </c>
      <c r="D564" s="2" t="n">
        <v>0</v>
      </c>
      <c r="E564" s="2" t="n">
        <v>0.18085835</v>
      </c>
    </row>
    <row r="565" customFormat="false" ht="13.8" hidden="false" customHeight="false" outlineLevel="0" collapsed="false">
      <c r="B565" s="2" t="n">
        <v>563</v>
      </c>
      <c r="C565" s="2" t="n">
        <v>4.53295040137886E-010</v>
      </c>
      <c r="D565" s="2" t="n">
        <v>0</v>
      </c>
      <c r="E565" s="2" t="n">
        <v>0.183156966666667</v>
      </c>
    </row>
    <row r="566" customFormat="false" ht="13.8" hidden="false" customHeight="false" outlineLevel="0" collapsed="false">
      <c r="B566" s="2" t="n">
        <v>564</v>
      </c>
      <c r="C566" s="2" t="n">
        <v>5.85532447723934E-010</v>
      </c>
      <c r="D566" s="2" t="n">
        <v>3.02245054987189E-010</v>
      </c>
      <c r="E566" s="2" t="n">
        <v>0.109936783484456</v>
      </c>
    </row>
    <row r="567" customFormat="false" ht="13.8" hidden="false" customHeight="false" outlineLevel="0" collapsed="false">
      <c r="B567" s="2" t="n">
        <v>565</v>
      </c>
      <c r="C567" s="2" t="n">
        <v>4.15524609340048E-010</v>
      </c>
      <c r="D567" s="2" t="n">
        <v>0</v>
      </c>
      <c r="E567" s="2" t="n">
        <v>0.188241566666667</v>
      </c>
    </row>
    <row r="568" customFormat="false" ht="13.8" hidden="false" customHeight="false" outlineLevel="0" collapsed="false">
      <c r="B568" s="2" t="n">
        <v>566</v>
      </c>
      <c r="C568" s="2" t="n">
        <v>3.96639110168421E-010</v>
      </c>
      <c r="D568" s="2" t="n">
        <v>0</v>
      </c>
      <c r="E568" s="2" t="n">
        <v>0.195407266666667</v>
      </c>
    </row>
    <row r="569" customFormat="false" ht="13.8" hidden="false" customHeight="false" outlineLevel="0" collapsed="false">
      <c r="B569" s="2" t="n">
        <v>567</v>
      </c>
      <c r="C569" s="2" t="n">
        <v>3.77753423086553E-010</v>
      </c>
      <c r="D569" s="2" t="n">
        <v>0</v>
      </c>
      <c r="E569" s="2" t="n">
        <v>0.163606766666667</v>
      </c>
    </row>
    <row r="570" customFormat="false" ht="13.8" hidden="false" customHeight="false" outlineLevel="0" collapsed="false">
      <c r="B570" s="2" t="n">
        <v>568</v>
      </c>
      <c r="C570" s="2" t="n">
        <v>3.58867549870722E-010</v>
      </c>
      <c r="D570" s="2" t="n">
        <v>3.68362526562501E-018</v>
      </c>
      <c r="E570" s="2" t="n">
        <v>0.174824633333333</v>
      </c>
    </row>
    <row r="571" customFormat="false" ht="13.8" hidden="false" customHeight="false" outlineLevel="0" collapsed="false">
      <c r="B571" s="2" t="n">
        <v>569</v>
      </c>
      <c r="C571" s="2" t="n">
        <v>3.39981480423725E-010</v>
      </c>
      <c r="D571" s="2" t="n">
        <v>0</v>
      </c>
      <c r="E571" s="2" t="n">
        <v>0.163774783333333</v>
      </c>
    </row>
    <row r="572" customFormat="false" ht="13.8" hidden="false" customHeight="false" outlineLevel="0" collapsed="false">
      <c r="B572" s="2" t="n">
        <v>570</v>
      </c>
      <c r="C572" s="2" t="n">
        <v>3.21095226750114E-010</v>
      </c>
      <c r="D572" s="2" t="n">
        <v>0</v>
      </c>
      <c r="E572" s="2" t="n">
        <v>0.166224616666667</v>
      </c>
    </row>
    <row r="573" customFormat="false" ht="13.8" hidden="false" customHeight="false" outlineLevel="0" collapsed="false">
      <c r="B573" s="2" t="n">
        <v>571</v>
      </c>
      <c r="C573" s="2" t="n">
        <v>3.02208787896214E-010</v>
      </c>
      <c r="D573" s="2" t="n">
        <v>3.68362526562501E-018</v>
      </c>
      <c r="E573" s="2" t="n">
        <v>0.18225825</v>
      </c>
    </row>
    <row r="574" customFormat="false" ht="13.8" hidden="false" customHeight="false" outlineLevel="0" collapsed="false">
      <c r="B574" s="2" t="n">
        <v>572</v>
      </c>
      <c r="C574" s="2" t="n">
        <v>2.83322151857474E-010</v>
      </c>
      <c r="D574" s="2" t="n">
        <v>0</v>
      </c>
      <c r="E574" s="2" t="n">
        <v>0.115974583333333</v>
      </c>
    </row>
    <row r="575" customFormat="false" ht="13.8" hidden="false" customHeight="false" outlineLevel="0" collapsed="false">
      <c r="B575" s="2" t="n">
        <v>573</v>
      </c>
      <c r="C575" s="2" t="n">
        <v>2.64435331115282E-010</v>
      </c>
      <c r="D575" s="2" t="n">
        <v>1.19209289550781E-018</v>
      </c>
      <c r="E575" s="2" t="n">
        <v>0.0784414333333333</v>
      </c>
    </row>
    <row r="576" customFormat="false" ht="13.8" hidden="false" customHeight="false" outlineLevel="0" collapsed="false">
      <c r="B576" s="2" t="n">
        <v>574</v>
      </c>
      <c r="C576" s="2" t="n">
        <v>2.45548320078665E-010</v>
      </c>
      <c r="D576" s="2" t="n">
        <v>0</v>
      </c>
      <c r="E576" s="2" t="n">
        <v>0.0948399833333333</v>
      </c>
    </row>
    <row r="577" customFormat="false" ht="13.8" hidden="false" customHeight="false" outlineLevel="0" collapsed="false">
      <c r="B577" s="2" t="n">
        <v>575</v>
      </c>
      <c r="C577" s="2" t="n">
        <v>2.26661121131807E-010</v>
      </c>
      <c r="D577" s="2" t="n">
        <v>0</v>
      </c>
      <c r="E577" s="2" t="n">
        <v>0.0910226166666667</v>
      </c>
    </row>
    <row r="578" customFormat="false" ht="13.8" hidden="false" customHeight="false" outlineLevel="0" collapsed="false">
      <c r="B578" s="2" t="n">
        <v>576</v>
      </c>
      <c r="C578" s="2" t="n">
        <v>2.07773733797872E-010</v>
      </c>
      <c r="D578" s="2" t="n">
        <v>0</v>
      </c>
      <c r="E578" s="2" t="n">
        <v>0.0888063</v>
      </c>
    </row>
    <row r="579" customFormat="false" ht="13.8" hidden="false" customHeight="false" outlineLevel="0" collapsed="false">
      <c r="B579" s="2" t="n">
        <v>577</v>
      </c>
      <c r="C579" s="2" t="n">
        <v>1.88886157600022E-010</v>
      </c>
      <c r="D579" s="2" t="n">
        <v>0</v>
      </c>
      <c r="E579" s="2" t="n">
        <v>0.118170933333333</v>
      </c>
    </row>
    <row r="580" customFormat="false" ht="13.8" hidden="false" customHeight="false" outlineLevel="0" collapsed="false">
      <c r="B580" s="2" t="n">
        <v>578</v>
      </c>
      <c r="C580" s="2" t="n">
        <v>1.6999839229984E-010</v>
      </c>
      <c r="D580" s="2" t="n">
        <v>0</v>
      </c>
      <c r="E580" s="2" t="n">
        <v>0.0416377</v>
      </c>
    </row>
    <row r="581" customFormat="false" ht="13.8" hidden="false" customHeight="false" outlineLevel="0" collapsed="false">
      <c r="B581" s="2" t="n">
        <v>579</v>
      </c>
      <c r="C581" s="2" t="n">
        <v>1.51110436228394E-010</v>
      </c>
      <c r="D581" s="2" t="n">
        <v>0</v>
      </c>
      <c r="E581" s="2" t="n">
        <v>0.151519666666667</v>
      </c>
    </row>
    <row r="582" customFormat="false" ht="13.8" hidden="false" customHeight="false" outlineLevel="0" collapsed="false">
      <c r="B582" s="2" t="n">
        <v>580</v>
      </c>
      <c r="C582" s="2" t="n">
        <v>1.32222294273266E-010</v>
      </c>
      <c r="D582" s="2" t="n">
        <v>0</v>
      </c>
      <c r="E582" s="2" t="n">
        <v>0.0498526833333333</v>
      </c>
    </row>
    <row r="583" customFormat="false" ht="13.8" hidden="false" customHeight="false" outlineLevel="0" collapsed="false">
      <c r="B583" s="2" t="n">
        <v>581</v>
      </c>
      <c r="C583" s="2" t="n">
        <v>1.1333396083162E-010</v>
      </c>
      <c r="D583" s="2" t="n">
        <v>0</v>
      </c>
      <c r="E583" s="2" t="n">
        <v>0.14805095</v>
      </c>
    </row>
    <row r="584" customFormat="false" ht="13.8" hidden="false" customHeight="false" outlineLevel="0" collapsed="false">
      <c r="B584" s="2" t="n">
        <v>582</v>
      </c>
      <c r="C584" s="2" t="n">
        <v>5.85637862942601E-010</v>
      </c>
      <c r="D584" s="2" t="n">
        <v>9.82384832711433E-010</v>
      </c>
      <c r="E584" s="2" t="n">
        <v>0.0269168171578591</v>
      </c>
    </row>
    <row r="585" customFormat="false" ht="13.8" hidden="false" customHeight="false" outlineLevel="0" collapsed="false">
      <c r="B585" s="2" t="n">
        <v>583</v>
      </c>
      <c r="C585" s="2" t="n">
        <v>5.85643719858796E-010</v>
      </c>
      <c r="D585" s="2" t="n">
        <v>1.02017396505686E-009</v>
      </c>
      <c r="E585" s="2" t="n">
        <v>0.0417001338434203</v>
      </c>
    </row>
    <row r="586" customFormat="false" ht="13.8" hidden="false" customHeight="false" outlineLevel="0" collapsed="false">
      <c r="B586" s="2" t="n">
        <v>584</v>
      </c>
      <c r="C586" s="2" t="n">
        <v>5.85649576023335E-010</v>
      </c>
      <c r="D586" s="2" t="n">
        <v>1.05796347621299E-009</v>
      </c>
      <c r="E586" s="2" t="n">
        <v>0.0666503005289817</v>
      </c>
    </row>
    <row r="587" customFormat="false" ht="13.8" hidden="false" customHeight="false" outlineLevel="0" collapsed="false">
      <c r="B587" s="2" t="n">
        <v>585</v>
      </c>
      <c r="C587" s="2" t="n">
        <v>5.85655431913056E-010</v>
      </c>
      <c r="D587" s="2" t="n">
        <v>1.09575336260356E-009</v>
      </c>
      <c r="E587" s="2" t="n">
        <v>0.0277669005478767</v>
      </c>
    </row>
    <row r="588" customFormat="false" ht="13.8" hidden="false" customHeight="false" outlineLevel="0" collapsed="false">
      <c r="B588" s="2" t="n">
        <v>586</v>
      </c>
      <c r="C588" s="2" t="n">
        <v>5.85661289196889E-010</v>
      </c>
      <c r="D588" s="2" t="n">
        <v>1.13354362947377E-009</v>
      </c>
      <c r="E588" s="2" t="n">
        <v>0.0314835005667718</v>
      </c>
    </row>
    <row r="589" customFormat="false" ht="13.8" hidden="false" customHeight="false" outlineLevel="0" collapsed="false">
      <c r="B589" s="2" t="n">
        <v>587</v>
      </c>
      <c r="C589" s="2" t="n">
        <v>5.85667145490647E-010</v>
      </c>
      <c r="D589" s="2" t="n">
        <v>1.17133427467785E-009</v>
      </c>
      <c r="E589" s="2" t="n">
        <v>0.0288863783598199</v>
      </c>
    </row>
    <row r="590" customFormat="false" ht="13.8" hidden="false" customHeight="false" outlineLevel="0" collapsed="false">
      <c r="B590" s="2" t="n">
        <v>588</v>
      </c>
      <c r="C590" s="2" t="n">
        <v>6.04562656641007E-010</v>
      </c>
      <c r="D590" s="2" t="n">
        <v>1.20912529440111E-009</v>
      </c>
      <c r="E590" s="2" t="n">
        <v>0.019350033937896</v>
      </c>
    </row>
    <row r="591" customFormat="false" ht="13.8" hidden="false" customHeight="false" outlineLevel="0" collapsed="false">
      <c r="B591" s="2" t="n">
        <v>589</v>
      </c>
      <c r="C591" s="2" t="n">
        <v>6.23458357334138E-010</v>
      </c>
      <c r="D591" s="2" t="n">
        <v>1.24691669388875E-009</v>
      </c>
      <c r="E591" s="2" t="n">
        <v>0.051333467290125</v>
      </c>
    </row>
    <row r="592" customFormat="false" ht="13.8" hidden="false" customHeight="false" outlineLevel="0" collapsed="false">
      <c r="B592" s="2" t="n">
        <v>590</v>
      </c>
      <c r="C592" s="2" t="n">
        <v>2.00412963993032E-010</v>
      </c>
      <c r="D592" s="2" t="n">
        <v>6.21796559462897E-010</v>
      </c>
      <c r="E592" s="2" t="n">
        <v>8.097427084451E-009</v>
      </c>
    </row>
    <row r="593" customFormat="false" ht="13.8" hidden="false" customHeight="false" outlineLevel="0" collapsed="false">
      <c r="B593" s="2" t="n">
        <v>591</v>
      </c>
      <c r="C593" s="2" t="n">
        <v>6.61250325202943E-010</v>
      </c>
      <c r="D593" s="2" t="n">
        <v>1.32250062810408E-009</v>
      </c>
      <c r="E593" s="2" t="n">
        <v>0.0484834006612503</v>
      </c>
    </row>
    <row r="594" customFormat="false" ht="13.8" hidden="false" customHeight="false" outlineLevel="0" collapsed="false">
      <c r="B594" s="2" t="n">
        <v>592</v>
      </c>
      <c r="C594" s="2" t="n">
        <v>1.62637468867392E-010</v>
      </c>
      <c r="D594" s="2" t="n">
        <v>5.84029490526498E-010</v>
      </c>
      <c r="E594" s="2" t="n">
        <v>8.26427954747903E-009</v>
      </c>
    </row>
    <row r="595" customFormat="false" ht="13.8" hidden="false" customHeight="false" outlineLevel="0" collapsed="false">
      <c r="B595" s="2" t="n">
        <v>593</v>
      </c>
      <c r="C595" s="2" t="n">
        <v>6.99043048858644E-010</v>
      </c>
      <c r="D595" s="2" t="n">
        <v>1.39808607136337E-009</v>
      </c>
      <c r="E595" s="2" t="n">
        <v>0.0248502340323764</v>
      </c>
    </row>
    <row r="596" customFormat="false" ht="13.8" hidden="false" customHeight="false" outlineLevel="0" collapsed="false">
      <c r="B596" s="2" t="n">
        <v>594</v>
      </c>
      <c r="C596" s="2" t="n">
        <v>7.17939693927766E-010</v>
      </c>
      <c r="D596" s="2" t="n">
        <v>1.43587936156671E-009</v>
      </c>
      <c r="E596" s="2" t="n">
        <v>0.046683434051273</v>
      </c>
    </row>
    <row r="597" customFormat="false" ht="13.8" hidden="false" customHeight="false" outlineLevel="0" collapsed="false">
      <c r="B597" s="2" t="n">
        <v>595</v>
      </c>
      <c r="C597" s="2" t="n">
        <v>7.3683652830124E-010</v>
      </c>
      <c r="D597" s="2" t="n">
        <v>1.47367302891183E-009</v>
      </c>
      <c r="E597" s="2" t="n">
        <v>0.0387168340701699</v>
      </c>
    </row>
    <row r="598" customFormat="false" ht="13.8" hidden="false" customHeight="false" outlineLevel="0" collapsed="false">
      <c r="B598" s="2" t="n">
        <v>596</v>
      </c>
      <c r="C598" s="2" t="n">
        <v>7.55733551962682E-010</v>
      </c>
      <c r="D598" s="2" t="n">
        <v>1.5114670743524E-009</v>
      </c>
      <c r="E598" s="2" t="n">
        <v>0.0246669674224002</v>
      </c>
    </row>
    <row r="599" customFormat="false" ht="13.8" hidden="false" customHeight="false" outlineLevel="0" collapsed="false">
      <c r="B599" s="2" t="n">
        <v>597</v>
      </c>
      <c r="C599" s="2" t="n">
        <v>7.74630763530732E-010</v>
      </c>
      <c r="D599" s="2" t="n">
        <v>1.54926149645792E-009</v>
      </c>
      <c r="E599" s="2" t="n">
        <v>0.0510168341079641</v>
      </c>
    </row>
    <row r="600" customFormat="false" ht="13.8" hidden="false" customHeight="false" outlineLevel="0" collapsed="false">
      <c r="B600" s="2" t="n">
        <v>598</v>
      </c>
      <c r="C600" s="2" t="n">
        <v>7.93528164148332E-010</v>
      </c>
      <c r="D600" s="2" t="n">
        <v>1.58705629642048E-009</v>
      </c>
      <c r="E600" s="2" t="n">
        <v>0.0246066223201399</v>
      </c>
    </row>
    <row r="601" customFormat="false" ht="13.8" hidden="false" customHeight="false" outlineLevel="0" collapsed="false">
      <c r="B601" s="2" t="n">
        <v>599</v>
      </c>
      <c r="C601" s="2" t="n">
        <v>8.12425754070283E-010</v>
      </c>
      <c r="D601" s="2" t="n">
        <v>1.62485147400165E-009</v>
      </c>
      <c r="E601" s="2" t="n">
        <v>0.0601455771989827</v>
      </c>
    </row>
    <row r="602" customFormat="false" ht="13.8" hidden="false" customHeight="false" outlineLevel="0" collapsed="false">
      <c r="B602" s="2" t="n">
        <v>600</v>
      </c>
      <c r="C602" s="2" t="n">
        <v>8.31323532104493E-010</v>
      </c>
      <c r="D602" s="2" t="n">
        <v>1.66264703087037E-009</v>
      </c>
      <c r="E602" s="2" t="n">
        <v>0.0624683987444922</v>
      </c>
    </row>
    <row r="603" customFormat="false" ht="13.8" hidden="false" customHeight="false" outlineLevel="0" collapsed="false">
      <c r="B603" s="2" t="n">
        <v>601</v>
      </c>
      <c r="C603" s="2" t="n">
        <v>8.50221500873567E-010</v>
      </c>
      <c r="D603" s="2" t="n">
        <v>1.70044296580178E-009</v>
      </c>
      <c r="E603" s="2" t="n">
        <v>0.0370583369566686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3.95182848514016E-010</v>
      </c>
      <c r="E604" s="2" t="n">
        <v>9.14824716101933E-009</v>
      </c>
    </row>
    <row r="605" customFormat="false" ht="13.8" hidden="false" customHeight="false" outlineLevel="0" collapsed="false">
      <c r="B605" s="2" t="n">
        <v>603</v>
      </c>
      <c r="C605" s="2" t="n">
        <v>4.08187576637484E-011</v>
      </c>
      <c r="D605" s="2" t="n">
        <v>5.45990189843751E-018</v>
      </c>
      <c r="E605" s="2" t="n">
        <v>0.0880117959725989</v>
      </c>
    </row>
    <row r="606" customFormat="false" ht="13.8" hidden="false" customHeight="false" outlineLevel="0" collapsed="false">
      <c r="B606" s="2" t="n">
        <v>604</v>
      </c>
      <c r="C606" s="2" t="n">
        <v>4.08150007948674E-011</v>
      </c>
      <c r="D606" s="2" t="n">
        <v>2.72995094921876E-018</v>
      </c>
      <c r="E606" s="2" t="n">
        <v>0.0415833282742304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0.095550491477051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0.0372607620889349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0.0295534779302876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5.20057802739478E-019</v>
      </c>
      <c r="E610" s="2" t="n">
        <v>0.0063720891062948</v>
      </c>
    </row>
    <row r="611" customFormat="false" ht="13.8" hidden="false" customHeight="false" outlineLevel="0" collapsed="false">
      <c r="B611" s="2" t="n">
        <v>609</v>
      </c>
      <c r="C611" s="2" t="n">
        <v>1.41670994478635E-010</v>
      </c>
      <c r="D611" s="2" t="n">
        <v>1.41670994478635E-010</v>
      </c>
      <c r="E611" s="2" t="n">
        <v>1.41670994478635E-010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0.0323179390299986</v>
      </c>
    </row>
    <row r="613" customFormat="false" ht="13.8" hidden="false" customHeight="false" outlineLevel="0" collapsed="false">
      <c r="B613" s="2" t="n">
        <v>611</v>
      </c>
      <c r="C613" s="2" t="n">
        <v>8.89696950574013E-011</v>
      </c>
      <c r="D613" s="2" t="n">
        <v>4.72246092489955E-011</v>
      </c>
      <c r="E613" s="2" t="n">
        <v>4.72246092489955E-011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6.55360002728459E-020</v>
      </c>
      <c r="D615" s="2" t="n">
        <v>0</v>
      </c>
      <c r="E615" s="2" t="n">
        <v>6.55360002728459E-020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0.00809032119285402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0.000108450361755302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3.28181649569932E-010</v>
      </c>
      <c r="D623" s="2" t="n">
        <v>1.88899381592502E-010</v>
      </c>
      <c r="E623" s="2" t="n">
        <v>1.88899381592502E-010</v>
      </c>
    </row>
    <row r="624" customFormat="false" ht="13.8" hidden="false" customHeight="false" outlineLevel="0" collapsed="false">
      <c r="B624" s="2" t="n">
        <v>622</v>
      </c>
      <c r="C624" s="2" t="n">
        <v>1.19209289550781E-019</v>
      </c>
      <c r="D624" s="2" t="n">
        <v>0</v>
      </c>
      <c r="E624" s="2" t="n">
        <v>0.0128391448023711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0.00493565465168144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1.31072001091383E-019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0.00753147547836118</v>
      </c>
    </row>
    <row r="629" customFormat="false" ht="13.8" hidden="false" customHeight="false" outlineLevel="0" collapsed="false">
      <c r="B629" s="2" t="n">
        <v>627</v>
      </c>
      <c r="C629" s="2" t="n">
        <v>8.20478734364732E-010</v>
      </c>
      <c r="D629" s="2" t="n">
        <v>4.72262622223049E-010</v>
      </c>
      <c r="E629" s="2" t="n">
        <v>4.72262622223049E-010</v>
      </c>
    </row>
    <row r="630" customFormat="false" ht="13.8" hidden="false" customHeight="false" outlineLevel="0" collapsed="false">
      <c r="B630" s="2" t="n">
        <v>628</v>
      </c>
      <c r="C630" s="2" t="n">
        <v>1.62124633789063E-017</v>
      </c>
      <c r="D630" s="2" t="n">
        <v>1.62124633789063E-017</v>
      </c>
      <c r="E630" s="2" t="n">
        <v>0.0324600906157436</v>
      </c>
    </row>
    <row r="631" customFormat="false" ht="13.8" hidden="false" customHeight="false" outlineLevel="0" collapsed="false">
      <c r="B631" s="2" t="n">
        <v>629</v>
      </c>
      <c r="C631" s="2" t="n">
        <v>4.72241461532833E-011</v>
      </c>
      <c r="D631" s="2" t="n">
        <v>4.72240908128438E-011</v>
      </c>
      <c r="E631" s="2" t="n">
        <v>8.2044188403056E-011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1.90734861693079E-018</v>
      </c>
      <c r="E632" s="2" t="n">
        <v>0.0442471419970462</v>
      </c>
    </row>
    <row r="633" customFormat="false" ht="13.8" hidden="false" customHeight="false" outlineLevel="0" collapsed="false">
      <c r="B633" s="2" t="n">
        <v>631</v>
      </c>
      <c r="C633" s="2" t="n">
        <v>8.19200006224294E-020</v>
      </c>
      <c r="D633" s="2" t="n">
        <v>5.42373158585931E-019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0.00287410371106468</v>
      </c>
      <c r="D634" s="2" t="n">
        <v>0</v>
      </c>
      <c r="E634" s="2" t="n">
        <v>0.00110607844029353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9.20906316406251E-019</v>
      </c>
      <c r="D636" s="2" t="n">
        <v>0.00631183733922553</v>
      </c>
      <c r="E636" s="2" t="n">
        <v>0.045139329864176</v>
      </c>
    </row>
    <row r="637" customFormat="false" ht="13.8" hidden="false" customHeight="false" outlineLevel="0" collapsed="false">
      <c r="B637" s="2" t="n">
        <v>635</v>
      </c>
      <c r="C637" s="2" t="n">
        <v>0.00911424279568822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0.0596228214071116</v>
      </c>
    </row>
    <row r="639" customFormat="false" ht="13.8" hidden="false" customHeight="false" outlineLevel="0" collapsed="false">
      <c r="B639" s="2" t="n">
        <v>637</v>
      </c>
      <c r="C639" s="2" t="n">
        <v>6.5536000038977E-020</v>
      </c>
      <c r="D639" s="2" t="n">
        <v>6.5536000038977E-020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0.0886235452754175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0.0755535112566405</v>
      </c>
    </row>
    <row r="642" customFormat="false" ht="13.8" hidden="false" customHeight="false" outlineLevel="0" collapsed="false">
      <c r="B642" s="2" t="n">
        <v>640</v>
      </c>
      <c r="C642" s="2" t="n">
        <v>2.07773021643193E-010</v>
      </c>
      <c r="D642" s="2" t="n">
        <v>0</v>
      </c>
      <c r="E642" s="2" t="n">
        <v>0.0721564889330773</v>
      </c>
    </row>
    <row r="643" customFormat="false" ht="13.8" hidden="false" customHeight="false" outlineLevel="0" collapsed="false">
      <c r="B643" s="2" t="n">
        <v>641</v>
      </c>
      <c r="C643" s="2" t="n">
        <v>1.88885567774509E-010</v>
      </c>
      <c r="D643" s="2" t="n">
        <v>0</v>
      </c>
      <c r="E643" s="2" t="n">
        <v>0.053805688518892</v>
      </c>
    </row>
    <row r="644" customFormat="false" ht="13.8" hidden="false" customHeight="false" outlineLevel="0" collapsed="false">
      <c r="B644" s="2" t="n">
        <v>642</v>
      </c>
      <c r="C644" s="2" t="n">
        <v>1.69997914686613E-010</v>
      </c>
      <c r="D644" s="2" t="n">
        <v>0</v>
      </c>
      <c r="E644" s="2" t="n">
        <v>0.0309926634868315</v>
      </c>
    </row>
    <row r="645" customFormat="false" ht="13.8" hidden="false" customHeight="false" outlineLevel="0" collapsed="false">
      <c r="B645" s="2" t="n">
        <v>643</v>
      </c>
      <c r="C645" s="2" t="n">
        <v>1.51110059995157E-010</v>
      </c>
      <c r="D645" s="2" t="n">
        <v>0</v>
      </c>
      <c r="E645" s="2" t="n">
        <v>0.0808460717881042</v>
      </c>
    </row>
    <row r="646" customFormat="false" ht="13.8" hidden="false" customHeight="false" outlineLevel="0" collapsed="false">
      <c r="B646" s="2" t="n">
        <v>644</v>
      </c>
      <c r="C646" s="2" t="n">
        <v>1.32222005130471E-010</v>
      </c>
      <c r="D646" s="2" t="n">
        <v>0</v>
      </c>
      <c r="E646" s="2" t="n">
        <v>0.0553664134227103</v>
      </c>
    </row>
    <row r="647" customFormat="false" ht="13.8" hidden="false" customHeight="false" outlineLevel="0" collapsed="false">
      <c r="B647" s="2" t="n">
        <v>645</v>
      </c>
      <c r="C647" s="2" t="n">
        <v>1.13333749615542E-010</v>
      </c>
      <c r="D647" s="2" t="n">
        <v>9.20906316406244E-019</v>
      </c>
      <c r="E647" s="2" t="n">
        <v>0.0865531383906498</v>
      </c>
    </row>
    <row r="648" customFormat="false" ht="13.8" hidden="false" customHeight="false" outlineLevel="0" collapsed="false">
      <c r="B648" s="2" t="n">
        <v>646</v>
      </c>
      <c r="C648" s="2" t="n">
        <v>9.44452924965229E-011</v>
      </c>
      <c r="D648" s="2" t="n">
        <v>0</v>
      </c>
      <c r="E648" s="2" t="n">
        <v>0.0617898412929873</v>
      </c>
    </row>
    <row r="649" customFormat="false" ht="13.8" hidden="false" customHeight="false" outlineLevel="0" collapsed="false">
      <c r="B649" s="2" t="n">
        <v>647</v>
      </c>
      <c r="C649" s="2" t="n">
        <v>7.55566356805807E-011</v>
      </c>
      <c r="D649" s="2" t="n">
        <v>0</v>
      </c>
      <c r="E649" s="2" t="n">
        <v>0.0860270775286582</v>
      </c>
    </row>
    <row r="650" customFormat="false" ht="13.8" hidden="false" customHeight="false" outlineLevel="0" collapsed="false">
      <c r="B650" s="2" t="n">
        <v>648</v>
      </c>
      <c r="C650" s="2" t="n">
        <v>5.66677782138682E-011</v>
      </c>
      <c r="D650" s="2" t="n">
        <v>0</v>
      </c>
      <c r="E650" s="2" t="n">
        <v>0.0691803970976624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0.00266368486952634</v>
      </c>
    </row>
    <row r="652" customFormat="false" ht="13.8" hidden="false" customHeight="false" outlineLevel="0" collapsed="false">
      <c r="B652" s="2" t="n">
        <v>650</v>
      </c>
      <c r="C652" s="2" t="n">
        <v>1.88894603737545E-011</v>
      </c>
      <c r="D652" s="2" t="n">
        <v>0</v>
      </c>
      <c r="E652" s="2" t="n">
        <v>0.0744679666666667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0.0338295575795498</v>
      </c>
    </row>
    <row r="654" customFormat="false" ht="13.8" hidden="false" customHeight="false" outlineLevel="0" collapsed="false">
      <c r="B654" s="2" t="n">
        <v>652</v>
      </c>
      <c r="C654" s="2" t="n">
        <v>2.26660273006865E-010</v>
      </c>
      <c r="D654" s="2" t="n">
        <v>0</v>
      </c>
      <c r="E654" s="2" t="n">
        <v>0.0779190666666667</v>
      </c>
    </row>
    <row r="655" customFormat="false" ht="13.8" hidden="false" customHeight="false" outlineLevel="0" collapsed="false">
      <c r="B655" s="2" t="n">
        <v>653</v>
      </c>
      <c r="C655" s="2" t="n">
        <v>2.07773020733104E-010</v>
      </c>
      <c r="D655" s="2" t="n">
        <v>9.53674316406236E-019</v>
      </c>
      <c r="E655" s="2" t="n">
        <v>0.0826531833333333</v>
      </c>
    </row>
    <row r="656" customFormat="false" ht="13.8" hidden="false" customHeight="false" outlineLevel="0" collapsed="false">
      <c r="B656" s="2" t="n">
        <v>654</v>
      </c>
      <c r="C656" s="2" t="n">
        <v>1.88885567810524E-010</v>
      </c>
      <c r="D656" s="2" t="n">
        <v>1.69997914236707E-010</v>
      </c>
      <c r="E656" s="2" t="n">
        <v>0.226471416666667</v>
      </c>
    </row>
    <row r="657" customFormat="false" ht="13.8" hidden="false" customHeight="false" outlineLevel="0" collapsed="false">
      <c r="B657" s="2" t="n">
        <v>655</v>
      </c>
      <c r="C657" s="2" t="n">
        <v>1.69997914238951E-010</v>
      </c>
      <c r="D657" s="2" t="n">
        <v>1.51110060016435E-010</v>
      </c>
      <c r="E657" s="2" t="n">
        <v>0.1998884</v>
      </c>
    </row>
    <row r="658" customFormat="false" ht="13.8" hidden="false" customHeight="false" outlineLevel="0" collapsed="false">
      <c r="B658" s="2" t="n">
        <v>656</v>
      </c>
      <c r="C658" s="2" t="n">
        <v>1.51110060018208E-010</v>
      </c>
      <c r="D658" s="2" t="n">
        <v>1.32222005146761E-010</v>
      </c>
      <c r="E658" s="2" t="n">
        <v>0.229872366666667</v>
      </c>
    </row>
    <row r="659" customFormat="false" ht="13.8" hidden="false" customHeight="false" outlineLevel="0" collapsed="false">
      <c r="B659" s="2" t="n">
        <v>657</v>
      </c>
      <c r="C659" s="2" t="n">
        <v>1.32222005148119E-010</v>
      </c>
      <c r="D659" s="2" t="n">
        <v>1.1333374962751E-010</v>
      </c>
      <c r="E659" s="2" t="n">
        <v>0.17647255</v>
      </c>
    </row>
    <row r="660" customFormat="false" ht="13.8" hidden="false" customHeight="false" outlineLevel="0" collapsed="false">
      <c r="B660" s="2" t="n">
        <v>658</v>
      </c>
      <c r="C660" s="2" t="n">
        <v>1.13333749628508E-010</v>
      </c>
      <c r="D660" s="2" t="n">
        <v>0</v>
      </c>
      <c r="E660" s="2" t="n">
        <v>0.117403483333333</v>
      </c>
    </row>
    <row r="661" customFormat="false" ht="13.8" hidden="false" customHeight="false" outlineLevel="0" collapsed="false">
      <c r="B661" s="2" t="n">
        <v>659</v>
      </c>
      <c r="C661" s="2" t="n">
        <v>9.44452925055272E-011</v>
      </c>
      <c r="D661" s="2" t="n">
        <v>7.55566366395722E-011</v>
      </c>
      <c r="E661" s="2" t="n">
        <v>0.190740016666667</v>
      </c>
    </row>
    <row r="662" customFormat="false" ht="13.8" hidden="false" customHeight="false" outlineLevel="0" collapsed="false">
      <c r="B662" s="2" t="n">
        <v>660</v>
      </c>
      <c r="C662" s="2" t="n">
        <v>7.55566356863435E-011</v>
      </c>
      <c r="D662" s="2" t="n">
        <v>5.66677767863517E-011</v>
      </c>
      <c r="E662" s="2" t="n">
        <v>0.16460695</v>
      </c>
    </row>
    <row r="663" customFormat="false" ht="13.8" hidden="false" customHeight="false" outlineLevel="0" collapsed="false">
      <c r="B663" s="2" t="n">
        <v>661</v>
      </c>
      <c r="C663" s="2" t="n">
        <v>5.66677782171098E-011</v>
      </c>
      <c r="D663" s="2" t="n">
        <v>3.77787191438661E-011</v>
      </c>
      <c r="E663" s="2" t="n">
        <v>0.216974233333333</v>
      </c>
    </row>
    <row r="664" customFormat="false" ht="13.8" hidden="false" customHeight="false" outlineLevel="0" collapsed="false">
      <c r="B664" s="2" t="n">
        <v>662</v>
      </c>
      <c r="C664" s="2" t="n">
        <v>3.77787200976501E-011</v>
      </c>
      <c r="D664" s="2" t="n">
        <v>0</v>
      </c>
      <c r="E664" s="2" t="n">
        <v>0.126637133333333</v>
      </c>
    </row>
    <row r="665" customFormat="false" ht="13.8" hidden="false" customHeight="false" outlineLevel="0" collapsed="false">
      <c r="B665" s="2" t="n">
        <v>663</v>
      </c>
      <c r="C665" s="2" t="n">
        <v>1.88894603741147E-011</v>
      </c>
      <c r="D665" s="2" t="n">
        <v>0</v>
      </c>
      <c r="E665" s="2" t="n">
        <v>0.136998444873172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0.157941216666667</v>
      </c>
    </row>
    <row r="667" customFormat="false" ht="13.8" hidden="false" customHeight="false" outlineLevel="0" collapsed="false">
      <c r="B667" s="2" t="n">
        <v>665</v>
      </c>
      <c r="C667" s="2" t="n">
        <v>3.77794981002808E-011</v>
      </c>
      <c r="D667" s="2" t="n">
        <v>7.55589725537751E-011</v>
      </c>
      <c r="E667" s="2" t="n">
        <v>0.0672212500377795</v>
      </c>
    </row>
    <row r="668" customFormat="false" ht="13.8" hidden="false" customHeight="false" outlineLevel="0" collapsed="false">
      <c r="B668" s="2" t="n">
        <v>666</v>
      </c>
      <c r="C668" s="2" t="n">
        <v>7.55589912427281E-011</v>
      </c>
      <c r="D668" s="2" t="n">
        <v>1.13339009485243E-010</v>
      </c>
      <c r="E668" s="2" t="n">
        <v>0.0953546167233362</v>
      </c>
    </row>
    <row r="669" customFormat="false" ht="13.8" hidden="false" customHeight="false" outlineLevel="0" collapsed="false">
      <c r="B669" s="2" t="n">
        <v>667</v>
      </c>
      <c r="C669" s="2" t="n">
        <v>7.55597524642945E-011</v>
      </c>
      <c r="D669" s="2" t="n">
        <v>1.51119410340658E-010</v>
      </c>
      <c r="E669" s="2" t="n">
        <v>0.0783206334088931</v>
      </c>
    </row>
    <row r="670" customFormat="false" ht="13.8" hidden="false" customHeight="false" outlineLevel="0" collapsed="false">
      <c r="B670" s="2" t="n">
        <v>668</v>
      </c>
      <c r="C670" s="2" t="n">
        <v>9.44501628875734E-011</v>
      </c>
      <c r="D670" s="2" t="n">
        <v>1.88900177980892E-010</v>
      </c>
      <c r="E670" s="2" t="n">
        <v>0.105570366761117</v>
      </c>
    </row>
    <row r="671" customFormat="false" ht="13.8" hidden="false" customHeight="false" outlineLevel="0" collapsed="false">
      <c r="B671" s="2" t="n">
        <v>669</v>
      </c>
      <c r="C671" s="2" t="n">
        <v>1.13340762138367E-010</v>
      </c>
      <c r="D671" s="2" t="n">
        <v>2.26681311452125E-010</v>
      </c>
      <c r="E671" s="2" t="n">
        <v>0.0650041334466741</v>
      </c>
    </row>
    <row r="672" customFormat="false" ht="13.8" hidden="false" customHeight="false" outlineLevel="0" collapsed="false">
      <c r="B672" s="2" t="n">
        <v>670</v>
      </c>
      <c r="C672" s="2" t="n">
        <v>1.51121011544658E-010</v>
      </c>
      <c r="D672" s="2" t="n">
        <v>2.6446281218472E-010</v>
      </c>
      <c r="E672" s="2" t="n">
        <v>0.0860038834655649</v>
      </c>
    </row>
    <row r="673" customFormat="false" ht="13.8" hidden="false" customHeight="false" outlineLevel="0" collapsed="false">
      <c r="B673" s="2" t="n">
        <v>671</v>
      </c>
      <c r="C673" s="2" t="n">
        <v>1.51122528076172E-010</v>
      </c>
      <c r="D673" s="2" t="n">
        <v>3.02244677794346E-010</v>
      </c>
      <c r="E673" s="2" t="n">
        <v>0.0755704168177892</v>
      </c>
    </row>
    <row r="674" customFormat="false" ht="13.8" hidden="false" customHeight="false" outlineLevel="0" collapsed="false">
      <c r="B674" s="2" t="n">
        <v>672</v>
      </c>
      <c r="C674" s="2" t="n">
        <v>8.88138316406233E-019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2.26667711176592E-010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1.51113365825012E-010</v>
      </c>
      <c r="D5" s="2" t="n">
        <v>0</v>
      </c>
      <c r="E5" s="2" t="n">
        <v>1.84181263281247E-018</v>
      </c>
    </row>
    <row r="6" customFormat="false" ht="13.8" hidden="false" customHeight="false" outlineLevel="0" collapsed="false">
      <c r="B6" s="2" t="n">
        <v>4</v>
      </c>
      <c r="C6" s="2" t="n">
        <v>1.13335609236093E-010</v>
      </c>
      <c r="D6" s="2" t="n">
        <v>0</v>
      </c>
      <c r="E6" s="2" t="n">
        <v>9.88866982769523E-017</v>
      </c>
    </row>
    <row r="7" customFormat="false" ht="13.8" hidden="false" customHeight="false" outlineLevel="0" collapsed="false">
      <c r="B7" s="2" t="n">
        <v>5</v>
      </c>
      <c r="C7" s="2" t="n">
        <v>7.55574623065814E-011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1.23073766398438E-017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4.60453158203124E-019</v>
      </c>
    </row>
    <row r="10" customFormat="false" ht="13.8" hidden="false" customHeight="false" outlineLevel="0" collapsed="false">
      <c r="B10" s="2" t="n">
        <v>8</v>
      </c>
      <c r="C10" s="2" t="n">
        <v>1.29722267757338E-009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1.25945674038341E-009</v>
      </c>
      <c r="D11" s="2" t="n">
        <v>0</v>
      </c>
      <c r="E11" s="2" t="n">
        <v>9.84262451187491E-017</v>
      </c>
    </row>
    <row r="12" customFormat="false" ht="13.8" hidden="false" customHeight="false" outlineLevel="0" collapsed="false">
      <c r="B12" s="2" t="n">
        <v>10</v>
      </c>
      <c r="C12" s="2" t="n">
        <v>1.22169041371423E-009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1.18392369756055E-009</v>
      </c>
      <c r="D13" s="2" t="n">
        <v>0</v>
      </c>
      <c r="E13" s="2" t="n">
        <v>9.20906316406243E-019</v>
      </c>
    </row>
    <row r="14" customFormat="false" ht="13.8" hidden="false" customHeight="false" outlineLevel="0" collapsed="false">
      <c r="B14" s="2" t="n">
        <v>12</v>
      </c>
      <c r="C14" s="2" t="n">
        <v>1.14615659192115E-009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1.10838909726963E-009</v>
      </c>
      <c r="D15" s="2" t="n">
        <v>0</v>
      </c>
      <c r="E15" s="2" t="n">
        <v>9.20906316406243E-019</v>
      </c>
    </row>
    <row r="16" customFormat="false" ht="13.8" hidden="false" customHeight="false" outlineLevel="0" collapsed="false">
      <c r="B16" s="2" t="n">
        <v>14</v>
      </c>
      <c r="C16" s="2" t="n">
        <v>1.0706212121784E-009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1.03285293893218E-009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9.9508427447125E-010</v>
      </c>
      <c r="D18" s="2" t="n">
        <v>0</v>
      </c>
      <c r="E18" s="2" t="n">
        <v>9.66172004859364E-017</v>
      </c>
    </row>
    <row r="19" customFormat="false" ht="13.8" hidden="false" customHeight="false" outlineLevel="0" collapsed="false">
      <c r="B19" s="2" t="n">
        <v>17</v>
      </c>
      <c r="C19" s="2" t="n">
        <v>9.5731522137201E-010</v>
      </c>
      <c r="D19" s="2" t="n">
        <v>4.5332139895197E-010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9.19545778780886E-010</v>
      </c>
      <c r="D20" s="2" t="n">
        <v>4.15546756722772E-010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8.81775946685415E-010</v>
      </c>
      <c r="D21" s="2" t="n">
        <v>0</v>
      </c>
      <c r="E21" s="2" t="n">
        <v>4.60453158203124E-019</v>
      </c>
    </row>
    <row r="22" customFormat="false" ht="13.8" hidden="false" customHeight="false" outlineLevel="0" collapsed="false">
      <c r="B22" s="2" t="n">
        <v>20</v>
      </c>
      <c r="C22" s="2" t="n">
        <v>8.44005725090541E-010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8.06235113513111E-010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7.68464113384467E-010</v>
      </c>
      <c r="D24" s="2" t="n">
        <v>0</v>
      </c>
      <c r="E24" s="2" t="n">
        <v>9.84590131187493E-017</v>
      </c>
    </row>
    <row r="25" customFormat="false" ht="13.8" hidden="false" customHeight="false" outlineLevel="0" collapsed="false">
      <c r="B25" s="2" t="n">
        <v>23</v>
      </c>
      <c r="C25" s="2" t="n">
        <v>7.30692722795061E-010</v>
      </c>
      <c r="D25" s="2" t="n">
        <v>2.26667711436951E-010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6.92920944417463E-010</v>
      </c>
      <c r="D26" s="2" t="n">
        <v>1.88890733805368E-010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6.55148773559809E-010</v>
      </c>
      <c r="D27" s="2" t="n">
        <v>1.51113366693071E-010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6.17376214911564E-010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5.79603266266394E-010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7.77882147177241E-010</v>
      </c>
      <c r="D30" s="2" t="n">
        <v>3.77789258952187E-011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4.72118599317555E-011</v>
      </c>
      <c r="E31" s="2" t="n">
        <v>3.68362526562487E-018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9.56635261695299E-017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1.06088407652828E-016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0.00954653450268618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0.0470223631798765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4.29153442382813E-019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0.0850051678835128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0.0476379763610199</v>
      </c>
      <c r="D43" s="2" t="n">
        <v>0.0625542035686643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0.0542170979968238</v>
      </c>
      <c r="D44" s="2" t="n">
        <v>0.0912617947566499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1.5771560890252E-009</v>
      </c>
      <c r="D45" s="2" t="n">
        <v>0.0789693359446356</v>
      </c>
      <c r="E45" s="2" t="n">
        <v>1.06088407655184E-016</v>
      </c>
    </row>
    <row r="46" customFormat="false" ht="13.8" hidden="false" customHeight="false" outlineLevel="0" collapsed="false">
      <c r="B46" s="2" t="n">
        <v>44</v>
      </c>
      <c r="C46" s="2" t="n">
        <v>2.10577222816055E-009</v>
      </c>
      <c r="D46" s="2" t="n">
        <v>0.115326943799288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0.0619345183206069</v>
      </c>
      <c r="E47" s="2" t="n">
        <v>1.06088407656221E-016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0.12531730280181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0.042196101596029</v>
      </c>
      <c r="D49" s="2" t="n">
        <v>0.0674176206163461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0.0610757560221694</v>
      </c>
      <c r="D50" s="2" t="n">
        <v>0.126517538430882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0.0666172395787521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0.126335667840948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0.0932708961031446</v>
      </c>
      <c r="E53" s="2" t="n">
        <v>1.06088407665552E-016</v>
      </c>
    </row>
    <row r="54" customFormat="false" ht="13.8" hidden="false" customHeight="false" outlineLevel="0" collapsed="false">
      <c r="B54" s="2" t="n">
        <v>52</v>
      </c>
      <c r="C54" s="2" t="n">
        <v>3.31526273907118E-018</v>
      </c>
      <c r="D54" s="2" t="n">
        <v>0.100589841032008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0.0965923526275372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0.0933474590605118</v>
      </c>
      <c r="E56" s="2" t="n">
        <v>0.846568020583215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0.0864363321601529</v>
      </c>
      <c r="E57" s="2" t="n">
        <v>0.77347087667707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0.0818083885931275</v>
      </c>
      <c r="E58" s="2" t="n">
        <v>0.788040999437585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0.078697795026102</v>
      </c>
      <c r="E59" s="2" t="n">
        <v>0.71452755553144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0.0645957207978441</v>
      </c>
      <c r="E60" s="2" t="n">
        <v>0.675175395667869</v>
      </c>
    </row>
    <row r="61" customFormat="false" ht="13.8" hidden="false" customHeight="false" outlineLevel="0" collapsed="false">
      <c r="B61" s="2" t="n">
        <v>59</v>
      </c>
      <c r="C61" s="2" t="n">
        <v>2.25620633505076E-005</v>
      </c>
      <c r="D61" s="2" t="n">
        <v>0.0523601799029195</v>
      </c>
      <c r="E61" s="2" t="n">
        <v>0.0176577497487182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0.0767908056746615</v>
      </c>
      <c r="E62" s="2" t="n">
        <v>0.46185370852189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0.385192392260921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0.0424410381846153</v>
      </c>
      <c r="E64" s="2" t="n">
        <v>0.318123253993744</v>
      </c>
    </row>
    <row r="65" customFormat="false" ht="13.8" hidden="false" customHeight="false" outlineLevel="0" collapsed="false">
      <c r="B65" s="2" t="n">
        <v>63</v>
      </c>
      <c r="C65" s="2" t="n">
        <v>3.31526273906251E-018</v>
      </c>
      <c r="D65" s="2" t="n">
        <v>0.0128266782561605</v>
      </c>
      <c r="E65" s="2" t="n">
        <v>0.302025930506304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0.214974542013236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0.191512858597341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0.100592686164461</v>
      </c>
    </row>
    <row r="69" customFormat="false" ht="13.8" hidden="false" customHeight="false" outlineLevel="0" collapsed="false">
      <c r="B69" s="2" t="n">
        <v>67</v>
      </c>
      <c r="C69" s="2" t="n">
        <v>9.20906316406204E-019</v>
      </c>
      <c r="D69" s="2" t="n">
        <v>0</v>
      </c>
      <c r="E69" s="2" t="n">
        <v>5.66454854028676E-009</v>
      </c>
    </row>
    <row r="70" customFormat="false" ht="13.8" hidden="false" customHeight="false" outlineLevel="0" collapsed="false">
      <c r="B70" s="2" t="n">
        <v>68</v>
      </c>
      <c r="C70" s="2" t="n">
        <v>7.93275631685762E-010</v>
      </c>
      <c r="D70" s="2" t="n">
        <v>1.322030608908E-009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7.55504497133809E-010</v>
      </c>
      <c r="D71" s="2" t="n">
        <v>1.28426493258703E-009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7.17732973106886E-010</v>
      </c>
      <c r="D72" s="2" t="n">
        <v>1.24649886336112E-009</v>
      </c>
      <c r="E72" s="2" t="n">
        <v>1.84181263281247E-018</v>
      </c>
    </row>
    <row r="73" customFormat="false" ht="13.8" hidden="false" customHeight="false" outlineLevel="0" collapsed="false">
      <c r="B73" s="2" t="n">
        <v>71</v>
      </c>
      <c r="C73" s="2" t="n">
        <v>6.79961060048888E-010</v>
      </c>
      <c r="D73" s="2" t="n">
        <v>1.20873240123007E-009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6.42188755673766E-010</v>
      </c>
      <c r="D74" s="2" t="n">
        <v>1.17096555992662E-009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6.04416063697712E-010</v>
      </c>
      <c r="D75" s="2" t="n">
        <v>1.13319831103113E-009</v>
      </c>
      <c r="E75" s="2" t="n">
        <v>1.84181263281247E-018</v>
      </c>
    </row>
    <row r="76" customFormat="false" ht="13.8" hidden="false" customHeight="false" outlineLevel="0" collapsed="false">
      <c r="B76" s="2" t="n">
        <v>74</v>
      </c>
      <c r="C76" s="2" t="n">
        <v>5.6664298129232E-010</v>
      </c>
      <c r="D76" s="2" t="n">
        <v>1.09543068391654E-009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5.28869509411077E-010</v>
      </c>
      <c r="D77" s="2" t="n">
        <v>1.05766266294245E-009</v>
      </c>
      <c r="E77" s="2" t="n">
        <v>1.84181263281247E-018</v>
      </c>
    </row>
    <row r="78" customFormat="false" ht="13.8" hidden="false" customHeight="false" outlineLevel="0" collapsed="false">
      <c r="B78" s="2" t="n">
        <v>76</v>
      </c>
      <c r="C78" s="2" t="n">
        <v>4.91095648053809E-010</v>
      </c>
      <c r="D78" s="2" t="n">
        <v>1.0198942746308E-009</v>
      </c>
      <c r="E78" s="2" t="n">
        <v>1.00300825751562E-016</v>
      </c>
    </row>
    <row r="79" customFormat="false" ht="13.8" hidden="false" customHeight="false" outlineLevel="0" collapsed="false">
      <c r="B79" s="2" t="n">
        <v>77</v>
      </c>
      <c r="C79" s="2" t="n">
        <v>4.53321395503726E-010</v>
      </c>
      <c r="D79" s="2" t="n">
        <v>9.82125445137047E-010</v>
      </c>
      <c r="E79" s="2" t="n">
        <v>9.47753878531235E-017</v>
      </c>
    </row>
    <row r="80" customFormat="false" ht="13.8" hidden="false" customHeight="false" outlineLevel="0" collapsed="false">
      <c r="B80" s="2" t="n">
        <v>78</v>
      </c>
      <c r="C80" s="2" t="n">
        <v>4.15546760225754E-010</v>
      </c>
      <c r="D80" s="2" t="n">
        <v>9.44356271956558E-010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3.77771728077757E-010</v>
      </c>
      <c r="D81" s="2" t="n">
        <v>9.06586694043936E-010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3.39996308337791E-010</v>
      </c>
      <c r="D82" s="2" t="n">
        <v>8.68816760618628E-010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3.02220497404304E-010</v>
      </c>
      <c r="D83" s="2" t="n">
        <v>8.31046359498366E-010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2.64444302502446E-010</v>
      </c>
      <c r="D84" s="2" t="n">
        <v>7.93275629377226E-010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2.26667709776191E-010</v>
      </c>
      <c r="D85" s="2" t="n">
        <v>7.55504492615929E-010</v>
      </c>
      <c r="E85" s="2" t="n">
        <v>1.84181263281247E-018</v>
      </c>
    </row>
    <row r="86" customFormat="false" ht="13.8" hidden="false" customHeight="false" outlineLevel="0" collapsed="false">
      <c r="B86" s="2" t="n">
        <v>84</v>
      </c>
      <c r="C86" s="2" t="n">
        <v>1.88890736682582E-010</v>
      </c>
      <c r="D86" s="2" t="n">
        <v>7.1773297668012E-010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1.51113366717896E-010</v>
      </c>
      <c r="D87" s="2" t="n">
        <v>6.79961054103804E-010</v>
      </c>
      <c r="E87" s="2" t="n">
        <v>3.68362526562487E-018</v>
      </c>
    </row>
    <row r="88" customFormat="false" ht="13.8" hidden="false" customHeight="false" outlineLevel="0" collapsed="false">
      <c r="B88" s="2" t="n">
        <v>86</v>
      </c>
      <c r="C88" s="2" t="n">
        <v>1.13335608874071E-010</v>
      </c>
      <c r="D88" s="2" t="n">
        <v>6.42188752352623E-010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2.64428886617147E-010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3.77789263736071E-011</v>
      </c>
      <c r="D90" s="2" t="n">
        <v>5.66642984812812E-010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1.272365575625E-017</v>
      </c>
      <c r="E91" s="2" t="n">
        <v>4.92295065593749E-017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4.91095646527934E-010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2.17636862468748E-017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1.65763136953125E-018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4.64667876101558E-017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3.022204939959E-010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2.64444304356031E-010</v>
      </c>
      <c r="E98" s="2" t="n">
        <v>9.20906316406243E-019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2.30226579101562E-019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1.13335615505599E-010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9.20906316406244E-019</v>
      </c>
      <c r="D103" s="2" t="n">
        <v>9.20906316406244E-019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9.20906316406244E-019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1.88896487250157E-011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1.84181263281247E-018</v>
      </c>
    </row>
    <row r="108" customFormat="false" ht="13.8" hidden="false" customHeight="false" outlineLevel="0" collapsed="false">
      <c r="B108" s="2" t="n">
        <v>106</v>
      </c>
      <c r="C108" s="2" t="n">
        <v>2.30226579101562E-019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9.20906316406243E-019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1.65763136953125E-018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1.3223126195021E-010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7.36725053124994E-019</v>
      </c>
      <c r="D113" s="2" t="n">
        <v>1.5112215018175E-010</v>
      </c>
      <c r="E113" s="2" t="n">
        <v>1.36723521144531E-017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1.70013214972875E-010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1.8890445768841E-010</v>
      </c>
      <c r="E115" s="2" t="n">
        <v>9.20906316406243E-019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2.07795877407306E-010</v>
      </c>
      <c r="E116" s="2" t="n">
        <v>1.84181263281247E-018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2.26687474129414E-010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2.45579244421361E-010</v>
      </c>
      <c r="E118" s="2" t="n">
        <v>8.47233811093748E-018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2.64471199536349E-010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2.83363325550602E-010</v>
      </c>
      <c r="E120" s="2" t="n">
        <v>2.83842558085937E-018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3.0225563247754E-010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1.65763136953125E-018</v>
      </c>
      <c r="D122" s="2" t="n">
        <v>3.21148113832037E-010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3.40040776039943E-010</v>
      </c>
      <c r="E123" s="2" t="n">
        <v>5.04996219492803E-010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0.00826613630676292</v>
      </c>
      <c r="D125" s="2" t="n">
        <v>0</v>
      </c>
      <c r="E125" s="2" t="n">
        <v>0.0179144424611521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1.84318156800001E-021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0.00286691775387293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0.0312987654558244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4.14407842382813E-019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0.042395527526394</v>
      </c>
      <c r="D135" s="2" t="n">
        <v>0.0676957397682188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0.0949355723781542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0.000719427311605927</v>
      </c>
      <c r="D137" s="2" t="n">
        <v>0.128092471654757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1.05455646071831E-009</v>
      </c>
      <c r="D138" s="2" t="n">
        <v>0.0662662375980252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1.57715609144434E-009</v>
      </c>
      <c r="D139" s="2" t="n">
        <v>0.114573603541294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2.36574596344799E-009</v>
      </c>
      <c r="D140" s="2" t="n">
        <v>0.0732391527186579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0.0669714946224082</v>
      </c>
      <c r="D141" s="2" t="n">
        <v>0.117521051896022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3.94294936855197E-009</v>
      </c>
      <c r="D142" s="2" t="n">
        <v>0.107169601073386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4.73156290059368E-009</v>
      </c>
      <c r="D143" s="2" t="n">
        <v>0.155952166917416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5.52018432078209E-009</v>
      </c>
      <c r="D144" s="2" t="n">
        <v>0.0862571292088248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6.30881362220671E-009</v>
      </c>
      <c r="D145" s="2" t="n">
        <v>0.1390954581669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7.09745081438861E-009</v>
      </c>
      <c r="D146" s="2" t="n">
        <v>0.0888667537916417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7.88609589332947E-009</v>
      </c>
      <c r="D147" s="2" t="n">
        <v>0.143337866083051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8.67474885548255E-009</v>
      </c>
      <c r="D148" s="2" t="n">
        <v>7.88574103083292E-010</v>
      </c>
      <c r="E148" s="2" t="n">
        <v>0.356235983669237</v>
      </c>
    </row>
    <row r="149" customFormat="false" ht="13.8" hidden="false" customHeight="false" outlineLevel="0" collapsed="false">
      <c r="B149" s="2" t="n">
        <v>147</v>
      </c>
      <c r="C149" s="2" t="n">
        <v>9.46340970454403E-009</v>
      </c>
      <c r="D149" s="2" t="n">
        <v>0.132137289505821</v>
      </c>
      <c r="E149" s="2" t="n">
        <v>6.23566673375181E-010</v>
      </c>
    </row>
    <row r="150" customFormat="false" ht="13.8" hidden="false" customHeight="false" outlineLevel="0" collapsed="false">
      <c r="B150" s="2" t="n">
        <v>148</v>
      </c>
      <c r="C150" s="2" t="n">
        <v>1.02520784418609E-008</v>
      </c>
      <c r="D150" s="2" t="n">
        <v>0</v>
      </c>
      <c r="E150" s="2" t="n">
        <v>0.932309188554713</v>
      </c>
    </row>
    <row r="151" customFormat="false" ht="13.8" hidden="false" customHeight="false" outlineLevel="0" collapsed="false">
      <c r="B151" s="2" t="n">
        <v>149</v>
      </c>
      <c r="C151" s="2" t="n">
        <v>1.10407550667992E-008</v>
      </c>
      <c r="D151" s="2" t="n">
        <v>0.148437279595259</v>
      </c>
      <c r="E151" s="2" t="n">
        <v>0.852963092460077</v>
      </c>
    </row>
    <row r="152" customFormat="false" ht="13.8" hidden="false" customHeight="false" outlineLevel="0" collapsed="false">
      <c r="B152" s="2" t="n">
        <v>150</v>
      </c>
      <c r="C152" s="2" t="n">
        <v>1.18294395772296E-008</v>
      </c>
      <c r="D152" s="2" t="n">
        <v>7.01916172429073E-010</v>
      </c>
      <c r="E152" s="2" t="n">
        <v>0.875592438399198</v>
      </c>
    </row>
    <row r="153" customFormat="false" ht="13.8" hidden="false" customHeight="false" outlineLevel="0" collapsed="false">
      <c r="B153" s="2" t="n">
        <v>151</v>
      </c>
      <c r="C153" s="2" t="n">
        <v>1.2546481270354E-008</v>
      </c>
      <c r="D153" s="2" t="n">
        <v>0.00194025346654602</v>
      </c>
      <c r="E153" s="2" t="n">
        <v>0.806438601004986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7.88574100664149E-010</v>
      </c>
      <c r="E154" s="2" t="n">
        <v>0.78048463027744</v>
      </c>
    </row>
    <row r="155" customFormat="false" ht="13.8" hidden="false" customHeight="false" outlineLevel="0" collapsed="false">
      <c r="B155" s="2" t="n">
        <v>153</v>
      </c>
      <c r="C155" s="2" t="n">
        <v>0.060893317934918</v>
      </c>
      <c r="D155" s="2" t="n">
        <v>0.0878733394395212</v>
      </c>
      <c r="E155" s="2" t="n">
        <v>0.758647509549894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0.0864315860907944</v>
      </c>
      <c r="E156" s="2" t="n">
        <v>0.702439421704865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0.103739966075401</v>
      </c>
      <c r="E157" s="2" t="n">
        <v>0.592764867193169</v>
      </c>
    </row>
    <row r="158" customFormat="false" ht="13.8" hidden="false" customHeight="false" outlineLevel="0" collapsed="false">
      <c r="B158" s="2" t="n">
        <v>156</v>
      </c>
      <c r="C158" s="2" t="n">
        <v>6.15353613955664E-006</v>
      </c>
      <c r="D158" s="2" t="n">
        <v>1.94332552087377E-005</v>
      </c>
      <c r="E158" s="2" t="n">
        <v>0.574090412681473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0.49074854150311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0.414509006541542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0.38766732293947</v>
      </c>
    </row>
    <row r="162" customFormat="false" ht="13.8" hidden="false" customHeight="false" outlineLevel="0" collapsed="false">
      <c r="B162" s="2" t="n">
        <v>160</v>
      </c>
      <c r="C162" s="2" t="n">
        <v>3.31526273906251E-018</v>
      </c>
      <c r="D162" s="2" t="n">
        <v>0</v>
      </c>
      <c r="E162" s="2" t="n">
        <v>0.350036689187734</v>
      </c>
    </row>
    <row r="163" customFormat="false" ht="13.8" hidden="false" customHeight="false" outlineLevel="0" collapsed="false">
      <c r="B163" s="2" t="n">
        <v>161</v>
      </c>
      <c r="C163" s="2" t="n">
        <v>1.0255791007706E-005</v>
      </c>
      <c r="D163" s="2" t="n">
        <v>9.71643327371849E-005</v>
      </c>
      <c r="E163" s="2" t="n">
        <v>0.297919371042496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0.216576571701077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3.88663160847772E-005</v>
      </c>
      <c r="E165" s="2" t="n">
        <v>0.150231029908571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1.84181263281231E-018</v>
      </c>
      <c r="E166" s="2" t="n">
        <v>0.0918790207482357</v>
      </c>
    </row>
    <row r="167" customFormat="false" ht="13.8" hidden="false" customHeight="false" outlineLevel="0" collapsed="false">
      <c r="B167" s="2" t="n">
        <v>165</v>
      </c>
      <c r="C167" s="2" t="n">
        <v>3.31526273906251E-018</v>
      </c>
      <c r="D167" s="2" t="n">
        <v>0</v>
      </c>
      <c r="E167" s="2" t="n">
        <v>0.030905611938482</v>
      </c>
    </row>
    <row r="168" customFormat="false" ht="13.8" hidden="false" customHeight="false" outlineLevel="0" collapsed="false">
      <c r="B168" s="2" t="n">
        <v>166</v>
      </c>
      <c r="C168" s="2" t="n">
        <v>1.58625257537617E-009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1.85070926299392E-009</v>
      </c>
      <c r="D169" s="2" t="n">
        <v>2.30226579101562E-019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1.81294903356218E-009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1.7751884146626E-009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1.73742740629503E-009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1.6996660101759E-009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1.66190422287179E-009</v>
      </c>
      <c r="D174" s="2" t="n">
        <v>0</v>
      </c>
      <c r="E174" s="2" t="n">
        <v>4.35273724937492E-017</v>
      </c>
    </row>
    <row r="175" customFormat="false" ht="13.8" hidden="false" customHeight="false" outlineLevel="0" collapsed="false">
      <c r="B175" s="2" t="n">
        <v>173</v>
      </c>
      <c r="C175" s="2" t="n">
        <v>1.62414204657599E-009</v>
      </c>
      <c r="D175" s="2" t="n">
        <v>3.77789272318586E-011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1.58637948081148E-009</v>
      </c>
      <c r="D176" s="2" t="n">
        <v>0</v>
      </c>
      <c r="E176" s="2" t="n">
        <v>1.84181263281247E-018</v>
      </c>
    </row>
    <row r="177" customFormat="false" ht="13.8" hidden="false" customHeight="false" outlineLevel="0" collapsed="false">
      <c r="B177" s="2" t="n">
        <v>175</v>
      </c>
      <c r="C177" s="2" t="n">
        <v>1.54861652634105E-009</v>
      </c>
      <c r="D177" s="2" t="n">
        <v>2.55684275960938E-017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1.51085318163861E-009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1.47308944651327E-009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1.43532532287219E-009</v>
      </c>
      <c r="D180" s="2" t="n">
        <v>0</v>
      </c>
      <c r="E180" s="2" t="n">
        <v>1.84181263281247E-018</v>
      </c>
    </row>
    <row r="181" customFormat="false" ht="13.8" hidden="false" customHeight="false" outlineLevel="0" collapsed="false">
      <c r="B181" s="2" t="n">
        <v>179</v>
      </c>
      <c r="C181" s="2" t="n">
        <v>1.39756080976151E-009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1.3597959112593E-009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1.32203061589367E-009</v>
      </c>
      <c r="D183" s="2" t="n">
        <v>0</v>
      </c>
      <c r="E183" s="2" t="n">
        <v>3.68362526562487E-018</v>
      </c>
    </row>
    <row r="184" customFormat="false" ht="13.8" hidden="false" customHeight="false" outlineLevel="0" collapsed="false">
      <c r="B184" s="2" t="n">
        <v>182</v>
      </c>
      <c r="C184" s="2" t="n">
        <v>1.28426493437319E-009</v>
      </c>
      <c r="D184" s="2" t="n">
        <v>2.55684275960938E-017</v>
      </c>
      <c r="E184" s="2" t="n">
        <v>1.84181263281247E-018</v>
      </c>
    </row>
    <row r="185" customFormat="false" ht="13.8" hidden="false" customHeight="false" outlineLevel="0" collapsed="false">
      <c r="B185" s="2" t="n">
        <v>183</v>
      </c>
      <c r="C185" s="2" t="n">
        <v>1.24649886338242E-009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1.2087324060785E-009</v>
      </c>
      <c r="D186" s="2" t="n">
        <v>0</v>
      </c>
      <c r="E186" s="2" t="n">
        <v>1.84181263281247E-018</v>
      </c>
    </row>
    <row r="187" customFormat="false" ht="13.8" hidden="false" customHeight="false" outlineLevel="0" collapsed="false">
      <c r="B187" s="2" t="n">
        <v>185</v>
      </c>
      <c r="C187" s="2" t="n">
        <v>1.17096555203565E-009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1.13319831671117E-009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1.09543068452222E-009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1.05766266694032E-009</v>
      </c>
      <c r="D190" s="2" t="n">
        <v>0</v>
      </c>
      <c r="E190" s="2" t="n">
        <v>3.68362526562487E-018</v>
      </c>
    </row>
    <row r="191" customFormat="false" ht="13.8" hidden="false" customHeight="false" outlineLevel="0" collapsed="false">
      <c r="B191" s="2" t="n">
        <v>189</v>
      </c>
      <c r="C191" s="2" t="n">
        <v>1.01989425912411E-009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9.8212546135956E-010</v>
      </c>
      <c r="D192" s="2" t="n">
        <v>2.64893339125001E-017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9.44356274361724E-010</v>
      </c>
      <c r="D193" s="2" t="n">
        <v>0</v>
      </c>
      <c r="E193" s="2" t="n">
        <v>2.76271894921868E-018</v>
      </c>
    </row>
    <row r="194" customFormat="false" ht="13.8" hidden="false" customHeight="false" outlineLevel="0" collapsed="false">
      <c r="B194" s="2" t="n">
        <v>192</v>
      </c>
      <c r="C194" s="2" t="n">
        <v>9.06586697415184E-010</v>
      </c>
      <c r="D194" s="2" t="n">
        <v>0</v>
      </c>
      <c r="E194" s="2" t="n">
        <v>1.84181263281247E-018</v>
      </c>
    </row>
    <row r="195" customFormat="false" ht="13.8" hidden="false" customHeight="false" outlineLevel="0" collapsed="false">
      <c r="B195" s="2" t="n">
        <v>193</v>
      </c>
      <c r="C195" s="2" t="n">
        <v>8.68816733070831E-010</v>
      </c>
      <c r="D195" s="2" t="n">
        <v>2.55684275960938E-017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8.31046377299223E-010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7.93275632174421E-010</v>
      </c>
      <c r="D197" s="2" t="n">
        <v>0</v>
      </c>
      <c r="E197" s="2" t="n">
        <v>4.73876939265622E-017</v>
      </c>
    </row>
    <row r="198" customFormat="false" ht="13.8" hidden="false" customHeight="false" outlineLevel="0" collapsed="false">
      <c r="B198" s="2" t="n">
        <v>196</v>
      </c>
      <c r="C198" s="2" t="n">
        <v>7.55504497577041E-010</v>
      </c>
      <c r="D198" s="2" t="n">
        <v>4.15613183432788E-010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7.93366981508962E-010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6.7996105960622E-010</v>
      </c>
      <c r="D200" s="2" t="n">
        <v>4.53400450273119E-010</v>
      </c>
      <c r="E200" s="2" t="n">
        <v>2.30226579101562E-019</v>
      </c>
    </row>
    <row r="201" customFormat="false" ht="13.8" hidden="false" customHeight="false" outlineLevel="0" collapsed="false">
      <c r="B201" s="2" t="n">
        <v>199</v>
      </c>
      <c r="C201" s="2" t="n">
        <v>6.42188756852317E-010</v>
      </c>
      <c r="D201" s="2" t="n">
        <v>4.72294349432398E-010</v>
      </c>
      <c r="E201" s="2" t="n">
        <v>1.84181263281247E-018</v>
      </c>
    </row>
    <row r="202" customFormat="false" ht="13.8" hidden="false" customHeight="false" outlineLevel="0" collapsed="false">
      <c r="B202" s="2" t="n">
        <v>200</v>
      </c>
      <c r="C202" s="2" t="n">
        <v>6.04416065392416E-010</v>
      </c>
      <c r="D202" s="2" t="n">
        <v>4.91188425591947E-010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5.6664298154165E-010</v>
      </c>
      <c r="D203" s="2" t="n">
        <v>5.10082691059012E-010</v>
      </c>
      <c r="E203" s="2" t="n">
        <v>2.08983600140621E-017</v>
      </c>
    </row>
    <row r="204" customFormat="false" ht="13.8" hidden="false" customHeight="false" outlineLevel="0" collapsed="false">
      <c r="B204" s="2" t="n">
        <v>202</v>
      </c>
      <c r="C204" s="2" t="n">
        <v>5.28869510605789E-010</v>
      </c>
      <c r="D204" s="2" t="n">
        <v>5.2897710299847E-010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4.91095648479505E-010</v>
      </c>
      <c r="D205" s="2" t="n">
        <v>5.47871717501232E-010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4.53321399037547E-010</v>
      </c>
      <c r="D206" s="2" t="n">
        <v>5.66766501898807E-010</v>
      </c>
      <c r="E206" s="2" t="n">
        <v>9.20906316406243E-019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7.9343045310596E-010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3.77771727234908E-010</v>
      </c>
      <c r="D208" s="2" t="n">
        <v>6.04556602407659E-010</v>
      </c>
      <c r="E208" s="2" t="n">
        <v>6.90679737304684E-019</v>
      </c>
    </row>
    <row r="209" customFormat="false" ht="13.8" hidden="false" customHeight="false" outlineLevel="0" collapsed="false">
      <c r="B209" s="2" t="n">
        <v>207</v>
      </c>
      <c r="C209" s="2" t="n">
        <v>3.39996308189138E-010</v>
      </c>
      <c r="D209" s="2" t="n">
        <v>6.23451918995469E-010</v>
      </c>
      <c r="E209" s="2" t="n">
        <v>1.13537023234374E-017</v>
      </c>
    </row>
    <row r="210" customFormat="false" ht="13.8" hidden="false" customHeight="false" outlineLevel="0" collapsed="false">
      <c r="B210" s="2" t="n">
        <v>208</v>
      </c>
      <c r="C210" s="2" t="n">
        <v>3.02220498333537E-010</v>
      </c>
      <c r="D210" s="2" t="n">
        <v>6.42347412105547E-010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2.64444300099793E-010</v>
      </c>
      <c r="D211" s="2" t="n">
        <v>6.612430826914E-010</v>
      </c>
      <c r="E211" s="2" t="n">
        <v>1.84181263281247E-018</v>
      </c>
    </row>
    <row r="212" customFormat="false" ht="13.8" hidden="false" customHeight="false" outlineLevel="0" collapsed="false">
      <c r="B212" s="2" t="n">
        <v>210</v>
      </c>
      <c r="C212" s="2" t="n">
        <v>2.26667711532701E-010</v>
      </c>
      <c r="D212" s="2" t="n">
        <v>6.80138942583453E-010</v>
      </c>
      <c r="E212" s="2" t="n">
        <v>2.30226579101562E-019</v>
      </c>
    </row>
    <row r="213" customFormat="false" ht="13.8" hidden="false" customHeight="false" outlineLevel="0" collapsed="false">
      <c r="B213" s="2" t="n">
        <v>211</v>
      </c>
      <c r="C213" s="2" t="n">
        <v>1.88890733871862E-010</v>
      </c>
      <c r="D213" s="2" t="n">
        <v>6.99034954859363E-010</v>
      </c>
      <c r="E213" s="2" t="n">
        <v>9.20906316406243E-019</v>
      </c>
    </row>
    <row r="214" customFormat="false" ht="13.8" hidden="false" customHeight="false" outlineLevel="0" collapsed="false">
      <c r="B214" s="2" t="n">
        <v>212</v>
      </c>
      <c r="C214" s="2" t="n">
        <v>1.51113365877321E-010</v>
      </c>
      <c r="D214" s="2" t="n">
        <v>7.17931162594879E-010</v>
      </c>
      <c r="E214" s="2" t="n">
        <v>6.63052547812501E-018</v>
      </c>
    </row>
    <row r="215" customFormat="false" ht="13.8" hidden="false" customHeight="false" outlineLevel="0" collapsed="false">
      <c r="B215" s="2" t="n">
        <v>213</v>
      </c>
      <c r="C215" s="2" t="n">
        <v>1.13335609742353E-010</v>
      </c>
      <c r="D215" s="2" t="n">
        <v>7.36827532064955E-010</v>
      </c>
      <c r="E215" s="2" t="n">
        <v>4.60453158203124E-019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7.9350186361154E-010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3.77789261601387E-011</v>
      </c>
      <c r="D217" s="2" t="n">
        <v>7.74620832190858E-010</v>
      </c>
      <c r="E217" s="2" t="n">
        <v>5.15707537187497E-018</v>
      </c>
    </row>
    <row r="218" customFormat="false" ht="13.8" hidden="false" customHeight="false" outlineLevel="0" collapsed="false">
      <c r="B218" s="2" t="n">
        <v>216</v>
      </c>
      <c r="C218" s="2" t="n">
        <v>2.07203921191407E-019</v>
      </c>
      <c r="D218" s="2" t="n">
        <v>7.93517734753229E-010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3.77789263079676E-011</v>
      </c>
      <c r="D219" s="2" t="n">
        <v>8.1241482223136E-010</v>
      </c>
      <c r="E219" s="2" t="n">
        <v>6.2161176357422E-019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8.31312087660767E-010</v>
      </c>
      <c r="E220" s="2" t="n">
        <v>9.20906316406243E-019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0.00874910202133158</v>
      </c>
      <c r="D228" s="2" t="n">
        <v>0.0147996469794806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0.0586708382906109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0.0481175698569057</v>
      </c>
      <c r="D230" s="2" t="n">
        <v>0.029708629601741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7.45578879410833E-010</v>
      </c>
      <c r="D231" s="2" t="n">
        <v>0.0817796875795378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0.0165836929922387</v>
      </c>
      <c r="D232" s="2" t="n">
        <v>0.0519859269437712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0.00912867235610392</v>
      </c>
      <c r="D233" s="2" t="n">
        <v>0.0996254829746716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0.0241132047954838</v>
      </c>
      <c r="D234" s="2" t="n">
        <v>0.0625823890055719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1.74611114362072E-009</v>
      </c>
      <c r="D235" s="2" t="n">
        <v>0.131004861703139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2.7984010245306E-009</v>
      </c>
      <c r="D236" s="2" t="n">
        <v>0.0846905991085966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3.15434372409697E-009</v>
      </c>
      <c r="D237" s="2" t="n">
        <v>0.118392086514055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4.36534333989703E-009</v>
      </c>
      <c r="D238" s="2" t="n">
        <v>0.113427290586179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5.23843819989517E-009</v>
      </c>
      <c r="D239" s="2" t="n">
        <v>0.0310883281461703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5.5201843215151E-009</v>
      </c>
      <c r="D240" s="2" t="n">
        <v>0.126923593173565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6.98465411324889E-009</v>
      </c>
      <c r="D241" s="2" t="n">
        <v>0.0960513249823861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7.09745081438861E-009</v>
      </c>
      <c r="D242" s="2" t="n">
        <v>0.124095740218135</v>
      </c>
      <c r="E242" s="2" t="n">
        <v>0.315382108563399</v>
      </c>
    </row>
    <row r="243" customFormat="false" ht="13.8" hidden="false" customHeight="false" outlineLevel="0" collapsed="false">
      <c r="B243" s="2" t="n">
        <v>241</v>
      </c>
      <c r="C243" s="2" t="n">
        <v>0.0201406924781638</v>
      </c>
      <c r="D243" s="2" t="n">
        <v>0.139855955219036</v>
      </c>
      <c r="E243" s="2" t="n">
        <v>7.08043778507761E-010</v>
      </c>
    </row>
    <row r="244" customFormat="false" ht="13.8" hidden="false" customHeight="false" outlineLevel="0" collapsed="false">
      <c r="B244" s="2" t="n">
        <v>242</v>
      </c>
      <c r="C244" s="2" t="n">
        <v>0.0783007310228639</v>
      </c>
      <c r="D244" s="2" t="n">
        <v>0.146978001097266</v>
      </c>
      <c r="E244" s="2" t="n">
        <v>0.954442299720026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0.104183430155328</v>
      </c>
      <c r="E245" s="2" t="n">
        <v>0.898596426970257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0.116738859212008</v>
      </c>
      <c r="E246" s="2" t="n">
        <v>0.905251204220489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0.101561554934479</v>
      </c>
      <c r="E247" s="2" t="n">
        <v>0.888739548137386</v>
      </c>
    </row>
    <row r="248" customFormat="false" ht="13.8" hidden="false" customHeight="false" outlineLevel="0" collapsed="false">
      <c r="B248" s="2" t="n">
        <v>246</v>
      </c>
      <c r="C248" s="2" t="n">
        <v>3.31526273907769E-018</v>
      </c>
      <c r="D248" s="2" t="n">
        <v>0.109344695485985</v>
      </c>
      <c r="E248" s="2" t="n">
        <v>0.837724319067586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0.850208673331119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3.88663160847772E-005</v>
      </c>
      <c r="E250" s="2" t="n">
        <v>0.784526710927986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0.818927915191519</v>
      </c>
    </row>
    <row r="252" customFormat="false" ht="13.8" hidden="false" customHeight="false" outlineLevel="0" collapsed="false">
      <c r="B252" s="2" t="n">
        <v>250</v>
      </c>
      <c r="C252" s="2" t="n">
        <v>1.64090194766187E-005</v>
      </c>
      <c r="D252" s="2" t="n">
        <v>3.88663160847772E-005</v>
      </c>
      <c r="E252" s="2" t="n">
        <v>0.69608242598743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0.703486170116674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3.88663160847772E-005</v>
      </c>
      <c r="E254" s="2" t="n">
        <v>0.619723130912585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1.94332552087377E-005</v>
      </c>
      <c r="E255" s="2" t="n">
        <v>0.615460008375162</v>
      </c>
    </row>
    <row r="256" customFormat="false" ht="13.8" hidden="false" customHeight="false" outlineLevel="0" collapsed="false">
      <c r="B256" s="2" t="n">
        <v>254</v>
      </c>
      <c r="C256" s="2" t="n">
        <v>8.20467382932225E-006</v>
      </c>
      <c r="D256" s="2" t="n">
        <v>1.94332552087377E-005</v>
      </c>
      <c r="E256" s="2" t="n">
        <v>0.403050142414962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0.304515429291538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0.0656599773111742</v>
      </c>
    </row>
    <row r="259" customFormat="false" ht="13.8" hidden="false" customHeight="false" outlineLevel="0" collapsed="false">
      <c r="B259" s="2" t="n">
        <v>257</v>
      </c>
      <c r="C259" s="2" t="n">
        <v>2.15277707550767E-009</v>
      </c>
      <c r="D259" s="2" t="n">
        <v>9.06586693042409E-010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2.11501996683154E-009</v>
      </c>
      <c r="D260" s="2" t="n">
        <v>8.68816737801684E-010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2.07726245986526E-009</v>
      </c>
      <c r="D261" s="2" t="n">
        <v>8.31046371283732E-010</v>
      </c>
      <c r="E261" s="2" t="n">
        <v>1.84181263281247E-018</v>
      </c>
    </row>
    <row r="262" customFormat="false" ht="13.8" hidden="false" customHeight="false" outlineLevel="0" collapsed="false">
      <c r="B262" s="2" t="n">
        <v>260</v>
      </c>
      <c r="C262" s="2" t="n">
        <v>2.03950456674786E-009</v>
      </c>
      <c r="D262" s="2" t="n">
        <v>7.93275628386915E-010</v>
      </c>
      <c r="E262" s="2" t="n">
        <v>1.84181263281247E-018</v>
      </c>
    </row>
    <row r="263" customFormat="false" ht="13.8" hidden="false" customHeight="false" outlineLevel="0" collapsed="false">
      <c r="B263" s="2" t="n">
        <v>261</v>
      </c>
      <c r="C263" s="2" t="n">
        <v>2.00174628464074E-009</v>
      </c>
      <c r="D263" s="2" t="n">
        <v>7.55504492105855E-010</v>
      </c>
      <c r="E263" s="2" t="n">
        <v>1.84181263281247E-018</v>
      </c>
    </row>
    <row r="264" customFormat="false" ht="13.8" hidden="false" customHeight="false" outlineLevel="0" collapsed="false">
      <c r="B264" s="2" t="n">
        <v>262</v>
      </c>
      <c r="C264" s="2" t="n">
        <v>1.9639876130669E-009</v>
      </c>
      <c r="D264" s="2" t="n">
        <v>7.17732976650119E-010</v>
      </c>
      <c r="E264" s="2" t="n">
        <v>1.84181263281247E-018</v>
      </c>
    </row>
    <row r="265" customFormat="false" ht="13.8" hidden="false" customHeight="false" outlineLevel="0" collapsed="false">
      <c r="B265" s="2" t="n">
        <v>263</v>
      </c>
      <c r="C265" s="2" t="n">
        <v>1.92622855374278E-009</v>
      </c>
      <c r="D265" s="2" t="n">
        <v>6.79961054076877E-010</v>
      </c>
      <c r="E265" s="2" t="n">
        <v>9.20906316406243E-019</v>
      </c>
    </row>
    <row r="266" customFormat="false" ht="13.8" hidden="false" customHeight="false" outlineLevel="0" collapsed="false">
      <c r="B266" s="2" t="n">
        <v>264</v>
      </c>
      <c r="C266" s="2" t="n">
        <v>1.88846910323497E-009</v>
      </c>
      <c r="D266" s="2" t="n">
        <v>6.42188752328605E-010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1.8507092632599E-009</v>
      </c>
      <c r="D267" s="2" t="n">
        <v>6.04416058625882E-010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1.81294903381741E-009</v>
      </c>
      <c r="D268" s="2" t="n">
        <v>5.66642984794112E-010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1.77518841582821E-009</v>
      </c>
      <c r="D269" s="2" t="n">
        <v>5.28869528935735E-010</v>
      </c>
      <c r="E269" s="2" t="n">
        <v>9.66172004859365E-017</v>
      </c>
    </row>
    <row r="270" customFormat="false" ht="13.8" hidden="false" customHeight="false" outlineLevel="0" collapsed="false">
      <c r="B270" s="2" t="n">
        <v>268</v>
      </c>
      <c r="C270" s="2" t="n">
        <v>1.73742740652944E-009</v>
      </c>
      <c r="D270" s="2" t="n">
        <v>4.91095632369673E-010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1.69966601087705E-009</v>
      </c>
      <c r="D271" s="2" t="n">
        <v>4.53321392114381E-010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1.66190422403992E-009</v>
      </c>
      <c r="D272" s="2" t="n">
        <v>4.15546760380593E-010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1.62414204678083E-009</v>
      </c>
      <c r="D273" s="2" t="n">
        <v>3.77771746619488E-010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1.58637947833664E-009</v>
      </c>
      <c r="D274" s="2" t="n">
        <v>3.39996292626842E-010</v>
      </c>
      <c r="E274" s="2" t="n">
        <v>9.84590131187493E-017</v>
      </c>
    </row>
    <row r="275" customFormat="false" ht="13.8" hidden="false" customHeight="false" outlineLevel="0" collapsed="false">
      <c r="B275" s="2" t="n">
        <v>273</v>
      </c>
      <c r="C275" s="2" t="n">
        <v>1.54861652812593E-009</v>
      </c>
      <c r="D275" s="2" t="n">
        <v>3.02220493990581E-010</v>
      </c>
      <c r="E275" s="2" t="n">
        <v>1.90734863281243E-018</v>
      </c>
    </row>
    <row r="276" customFormat="false" ht="13.8" hidden="false" customHeight="false" outlineLevel="0" collapsed="false">
      <c r="B276" s="2" t="n">
        <v>274</v>
      </c>
      <c r="C276" s="2" t="n">
        <v>1.51085318181587E-009</v>
      </c>
      <c r="D276" s="2" t="n">
        <v>2.64444304351958E-010</v>
      </c>
      <c r="E276" s="2" t="n">
        <v>1.84181263281247E-018</v>
      </c>
    </row>
    <row r="277" customFormat="false" ht="13.8" hidden="false" customHeight="false" outlineLevel="0" collapsed="false">
      <c r="B277" s="2" t="n">
        <v>275</v>
      </c>
      <c r="C277" s="2" t="n">
        <v>1.47308944668178E-009</v>
      </c>
      <c r="D277" s="2" t="n">
        <v>2.26667708070548E-010</v>
      </c>
      <c r="E277" s="2" t="n">
        <v>3.68362526562487E-018</v>
      </c>
    </row>
    <row r="278" customFormat="false" ht="13.8" hidden="false" customHeight="false" outlineLevel="0" collapsed="false">
      <c r="B278" s="2" t="n">
        <v>276</v>
      </c>
      <c r="C278" s="2" t="n">
        <v>1.43532532131555E-009</v>
      </c>
      <c r="D278" s="2" t="n">
        <v>1.88890731658325E-010</v>
      </c>
      <c r="E278" s="2" t="n">
        <v>3.68362526562487E-018</v>
      </c>
    </row>
    <row r="279" customFormat="false" ht="13.8" hidden="false" customHeight="false" outlineLevel="0" collapsed="false">
      <c r="B279" s="2" t="n">
        <v>277</v>
      </c>
      <c r="C279" s="2" t="n">
        <v>1.39756081322845E-009</v>
      </c>
      <c r="D279" s="2" t="n">
        <v>1.51113365131355E-010</v>
      </c>
      <c r="E279" s="2" t="n">
        <v>1.84181263281247E-018</v>
      </c>
    </row>
    <row r="280" customFormat="false" ht="13.8" hidden="false" customHeight="false" outlineLevel="0" collapsed="false">
      <c r="B280" s="2" t="n">
        <v>278</v>
      </c>
      <c r="C280" s="2" t="n">
        <v>1.35979590732467E-009</v>
      </c>
      <c r="D280" s="2" t="n">
        <v>1.13335615743269E-010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1.322030618391E-009</v>
      </c>
      <c r="D281" s="2" t="n">
        <v>7.55574605998309E-011</v>
      </c>
      <c r="E281" s="2" t="n">
        <v>4.91639705593747E-017</v>
      </c>
    </row>
    <row r="282" customFormat="false" ht="13.8" hidden="false" customHeight="false" outlineLevel="0" collapsed="false">
      <c r="B282" s="2" t="n">
        <v>280</v>
      </c>
      <c r="C282" s="2" t="n">
        <v>1.28426493450127E-009</v>
      </c>
      <c r="D282" s="2" t="n">
        <v>3.77789290740308E-011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1.24649886426603E-009</v>
      </c>
      <c r="D283" s="2" t="n">
        <v>0</v>
      </c>
      <c r="E283" s="2" t="n">
        <v>3.68362526562487E-018</v>
      </c>
    </row>
    <row r="284" customFormat="false" ht="13.8" hidden="false" customHeight="false" outlineLevel="0" collapsed="false">
      <c r="B284" s="2" t="n">
        <v>282</v>
      </c>
      <c r="C284" s="2" t="n">
        <v>1.20873240284394E-009</v>
      </c>
      <c r="D284" s="2" t="n">
        <v>1.88896492017695E-011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1.17096555362032E-009</v>
      </c>
      <c r="D285" s="2" t="n">
        <v>3.7779474454381E-011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1.13319831397245E-009</v>
      </c>
      <c r="D286" s="2" t="n">
        <v>5.66694776650346E-011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1.0954306846154E-009</v>
      </c>
      <c r="D287" s="2" t="n">
        <v>7.55596583567459E-011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1.05766266750401E-009</v>
      </c>
      <c r="D288" s="2" t="n">
        <v>9.44500153372777E-011</v>
      </c>
      <c r="E288" s="2" t="n">
        <v>1.84181263281247E-018</v>
      </c>
    </row>
    <row r="289" customFormat="false" ht="13.8" hidden="false" customHeight="false" outlineLevel="0" collapsed="false">
      <c r="B289" s="2" t="n">
        <v>287</v>
      </c>
      <c r="C289" s="2" t="n">
        <v>1.01989425920489E-009</v>
      </c>
      <c r="D289" s="2" t="n">
        <v>1.13340549321738E-010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9.82125461911292E-010</v>
      </c>
      <c r="D290" s="2" t="n">
        <v>1.32231261025232E-010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9.44356274311769E-010</v>
      </c>
      <c r="D291" s="2" t="n">
        <v>1.51122149493943E-010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9.06586698177872E-010</v>
      </c>
      <c r="D292" s="2" t="n">
        <v>1.70013215887045E-010</v>
      </c>
      <c r="E292" s="2" t="n">
        <v>9.20906316406243E-019</v>
      </c>
    </row>
    <row r="293" customFormat="false" ht="13.8" hidden="false" customHeight="false" outlineLevel="0" collapsed="false">
      <c r="B293" s="2" t="n">
        <v>291</v>
      </c>
      <c r="C293" s="2" t="n">
        <v>8.68816733010239E-010</v>
      </c>
      <c r="D293" s="2" t="n">
        <v>1.88904457203263E-010</v>
      </c>
      <c r="E293" s="2" t="n">
        <v>9.20906316406243E-019</v>
      </c>
    </row>
    <row r="294" customFormat="false" ht="13.8" hidden="false" customHeight="false" outlineLevel="0" collapsed="false">
      <c r="B294" s="2" t="n">
        <v>292</v>
      </c>
      <c r="C294" s="2" t="n">
        <v>8.31046377352853E-010</v>
      </c>
      <c r="D294" s="2" t="n">
        <v>2.07795877397247E-010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7.93275632223287E-010</v>
      </c>
      <c r="D295" s="2" t="n">
        <v>2.26687474586086E-010</v>
      </c>
      <c r="E295" s="2" t="n">
        <v>9.20906316406243E-019</v>
      </c>
    </row>
    <row r="296" customFormat="false" ht="13.8" hidden="false" customHeight="false" outlineLevel="0" collapsed="false">
      <c r="B296" s="2" t="n">
        <v>294</v>
      </c>
      <c r="C296" s="2" t="n">
        <v>7.55504497621364E-010</v>
      </c>
      <c r="D296" s="2" t="n">
        <v>2.45579248317373E-010</v>
      </c>
      <c r="E296" s="2" t="n">
        <v>1.84181263281247E-018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6.23333474724991E-010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6.79961059522915E-010</v>
      </c>
      <c r="D298" s="2" t="n">
        <v>2.83363327248511E-010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6.42188756502867E-010</v>
      </c>
      <c r="D299" s="2" t="n">
        <v>3.02255633155125E-010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6.04416063532927E-010</v>
      </c>
      <c r="D300" s="2" t="n">
        <v>3.21148115143151E-010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5.66642981447375E-010</v>
      </c>
      <c r="D301" s="2" t="n">
        <v>3.40040774355376E-010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5.28869508410213E-010</v>
      </c>
      <c r="D302" s="2" t="n">
        <v>3.58933611046452E-010</v>
      </c>
      <c r="E302" s="2" t="n">
        <v>1.84181263281247E-018</v>
      </c>
    </row>
    <row r="303" customFormat="false" ht="13.8" hidden="false" customHeight="false" outlineLevel="0" collapsed="false">
      <c r="B303" s="2" t="n">
        <v>301</v>
      </c>
      <c r="C303" s="2" t="n">
        <v>4.91095651575079E-010</v>
      </c>
      <c r="D303" s="2" t="n">
        <v>3.77826624500984E-010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4.53321398094741E-010</v>
      </c>
      <c r="D304" s="2" t="n">
        <v>3.96719826787799E-010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4.1554675581821E-010</v>
      </c>
      <c r="D305" s="2" t="n">
        <v>4.15613183130323E-010</v>
      </c>
      <c r="E305" s="2" t="n">
        <v>4.60453158203124E-019</v>
      </c>
    </row>
    <row r="306" customFormat="false" ht="13.8" hidden="false" customHeight="false" outlineLevel="0" collapsed="false">
      <c r="B306" s="2" t="n">
        <v>304</v>
      </c>
      <c r="C306" s="2" t="n">
        <v>3.77771730561253E-010</v>
      </c>
      <c r="D306" s="2" t="n">
        <v>4.34506728304835E-010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3.39996308436532E-010</v>
      </c>
      <c r="D307" s="2" t="n">
        <v>4.53400450003802E-010</v>
      </c>
      <c r="E307" s="2" t="n">
        <v>1.18305394816406E-017</v>
      </c>
    </row>
    <row r="308" customFormat="false" ht="13.8" hidden="false" customHeight="false" outlineLevel="0" collapsed="false">
      <c r="B308" s="2" t="n">
        <v>306</v>
      </c>
      <c r="C308" s="2" t="n">
        <v>3.02220499198936E-010</v>
      </c>
      <c r="D308" s="2" t="n">
        <v>4.72294349657566E-010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6.23408279157523E-010</v>
      </c>
      <c r="E309" s="2" t="n">
        <v>6.15368831992188E-018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6.2341451299931E-010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6.23420747556338E-010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6.23426982113367E-010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1.13335608864183E-010</v>
      </c>
      <c r="D313" s="2" t="n">
        <v>5.66766500744862E-010</v>
      </c>
      <c r="E313" s="2" t="n">
        <v>1.47345010624997E-018</v>
      </c>
    </row>
    <row r="314" customFormat="false" ht="13.8" hidden="false" customHeight="false" outlineLevel="0" collapsed="false">
      <c r="B314" s="2" t="n">
        <v>312</v>
      </c>
      <c r="C314" s="2" t="n">
        <v>7.55574621055253E-011</v>
      </c>
      <c r="D314" s="2" t="n">
        <v>5.85661467434243E-010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3.77789263211821E-011</v>
      </c>
      <c r="D315" s="2" t="n">
        <v>6.04556603253423E-010</v>
      </c>
      <c r="E315" s="2" t="n">
        <v>5.52543789843732E-019</v>
      </c>
    </row>
    <row r="316" customFormat="false" ht="13.8" hidden="false" customHeight="false" outlineLevel="0" collapsed="false">
      <c r="B316" s="2" t="n">
        <v>314</v>
      </c>
      <c r="C316" s="2" t="n">
        <v>5.05001270852851E-010</v>
      </c>
      <c r="D316" s="2" t="n">
        <v>6.23451919387828E-010</v>
      </c>
      <c r="E316" s="2" t="n">
        <v>5.20301736911094E-010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9.44449684918275E-011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0.0169098977261901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2.07203921191682E-019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0.028348636130889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0.00160187838402677</v>
      </c>
      <c r="D325" s="2" t="n">
        <v>0.0244769759079329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0.0109863802734868</v>
      </c>
      <c r="D326" s="2" t="n">
        <v>0.0547556278450545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0.0416208821629469</v>
      </c>
      <c r="D327" s="2" t="n">
        <v>0.037868029782176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0.0682899850578032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1.36241766497403E-009</v>
      </c>
      <c r="D329" s="2" t="n">
        <v>0.0611452903334303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0.00921113789083271</v>
      </c>
      <c r="D330" s="2" t="n">
        <v>0.0917171289423908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0.0809726842180179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0.0195571798724581</v>
      </c>
      <c r="D332" s="2" t="n">
        <v>0.104818744019418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7.8639329619002E-010</v>
      </c>
      <c r="D333" s="2" t="n">
        <v>0.0864812538208185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0.0227455266837849</v>
      </c>
      <c r="D334" s="2" t="n">
        <v>0.0930105636222188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7.01916188244601E-010</v>
      </c>
      <c r="D335" s="2" t="n">
        <v>0.119189390090286</v>
      </c>
      <c r="E335" s="2" t="n">
        <v>0.867349778380596</v>
      </c>
    </row>
    <row r="336" customFormat="false" ht="13.8" hidden="false" customHeight="false" outlineLevel="0" collapsed="false">
      <c r="B336" s="2" t="n">
        <v>334</v>
      </c>
      <c r="C336" s="2" t="n">
        <v>0.0208977843721269</v>
      </c>
      <c r="D336" s="2" t="n">
        <v>0.117078504972747</v>
      </c>
      <c r="E336" s="2" t="n">
        <v>6.5554155370172E-010</v>
      </c>
    </row>
    <row r="337" customFormat="false" ht="13.8" hidden="false" customHeight="false" outlineLevel="0" collapsed="false">
      <c r="B337" s="2" t="n">
        <v>335</v>
      </c>
      <c r="C337" s="2" t="n">
        <v>1.65763136954886E-018</v>
      </c>
      <c r="D337" s="2" t="n">
        <v>0.130900636521875</v>
      </c>
      <c r="E337" s="2" t="n">
        <v>0.871651962039011</v>
      </c>
    </row>
    <row r="338" customFormat="false" ht="13.8" hidden="false" customHeight="false" outlineLevel="0" collapsed="false">
      <c r="B338" s="2" t="n">
        <v>336</v>
      </c>
      <c r="C338" s="2" t="n">
        <v>0.0128803862708176</v>
      </c>
      <c r="D338" s="2" t="n">
        <v>0.0688894180710025</v>
      </c>
      <c r="E338" s="2" t="n">
        <v>0.821920003868223</v>
      </c>
    </row>
    <row r="339" customFormat="false" ht="13.8" hidden="false" customHeight="false" outlineLevel="0" collapsed="false">
      <c r="B339" s="2" t="n">
        <v>337</v>
      </c>
      <c r="C339" s="2" t="n">
        <v>0.0567051705534962</v>
      </c>
      <c r="D339" s="2" t="n">
        <v>0.120512532953464</v>
      </c>
      <c r="E339" s="2" t="n">
        <v>0.885054195697431</v>
      </c>
    </row>
    <row r="340" customFormat="false" ht="13.8" hidden="false" customHeight="false" outlineLevel="0" collapsed="false">
      <c r="B340" s="2" t="n">
        <v>338</v>
      </c>
      <c r="C340" s="2" t="n">
        <v>0.0089262955428752</v>
      </c>
      <c r="D340" s="2" t="n">
        <v>0.046820351021663</v>
      </c>
      <c r="E340" s="2" t="n">
        <v>0.863676000147314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0.119860885756529</v>
      </c>
      <c r="E341" s="2" t="n">
        <v>0.864131954597205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0.0599348704913953</v>
      </c>
      <c r="E342" s="2" t="n">
        <v>0.780619909047092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0.124992355226261</v>
      </c>
      <c r="E343" s="2" t="n">
        <v>0.834958463496974</v>
      </c>
    </row>
    <row r="344" customFormat="false" ht="13.8" hidden="false" customHeight="false" outlineLevel="0" collapsed="false">
      <c r="B344" s="2" t="n">
        <v>342</v>
      </c>
      <c r="C344" s="2" t="n">
        <v>3.31526273909288E-018</v>
      </c>
      <c r="D344" s="2" t="n">
        <v>0.0632021073193168</v>
      </c>
      <c r="E344" s="2" t="n">
        <v>0.728617047078696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0.0607124594123722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1.23068876749079E-005</v>
      </c>
      <c r="D346" s="2" t="n">
        <v>0.0285052781720944</v>
      </c>
      <c r="E346" s="2" t="n">
        <v>0.533368280908796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0.0367483302651498</v>
      </c>
      <c r="E347" s="2" t="n">
        <v>0.45925944970152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0.047281936293649</v>
      </c>
      <c r="E348" s="2" t="n">
        <v>0.375945686762173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0.0405651589888147</v>
      </c>
      <c r="E349" s="2" t="n">
        <v>0.40855455914295</v>
      </c>
    </row>
    <row r="350" customFormat="false" ht="13.8" hidden="false" customHeight="false" outlineLevel="0" collapsed="false">
      <c r="B350" s="2" t="n">
        <v>348</v>
      </c>
      <c r="C350" s="2" t="n">
        <v>3.31526273906251E-018</v>
      </c>
      <c r="D350" s="2" t="n">
        <v>0.00959883168398046</v>
      </c>
      <c r="E350" s="2" t="n">
        <v>0.316810213863665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1.87071871141555E-009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0.203307757084203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0.106101557871546</v>
      </c>
    </row>
    <row r="354" customFormat="false" ht="13.8" hidden="false" customHeight="false" outlineLevel="0" collapsed="false">
      <c r="B354" s="2" t="n">
        <v>352</v>
      </c>
      <c r="C354" s="2" t="n">
        <v>1.4730894454601E-009</v>
      </c>
      <c r="D354" s="2" t="n">
        <v>8.6881673578404E-010</v>
      </c>
      <c r="E354" s="2" t="n">
        <v>1.84181263281247E-018</v>
      </c>
    </row>
    <row r="355" customFormat="false" ht="13.8" hidden="false" customHeight="false" outlineLevel="0" collapsed="false">
      <c r="B355" s="2" t="n">
        <v>353</v>
      </c>
      <c r="C355" s="2" t="n">
        <v>1.43532532187232E-009</v>
      </c>
      <c r="D355" s="2" t="n">
        <v>8.31046372076505E-010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1.39756081053018E-009</v>
      </c>
      <c r="D356" s="2" t="n">
        <v>7.93275628240318E-010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1.35979590844436E-009</v>
      </c>
      <c r="D357" s="2" t="n">
        <v>7.55504491496056E-010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1.32203061504542E-009</v>
      </c>
      <c r="D358" s="2" t="n">
        <v>7.17732976530113E-010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1.28426493309588E-009</v>
      </c>
      <c r="D359" s="2" t="n">
        <v>6.79961053015507E-010</v>
      </c>
      <c r="E359" s="2" t="n">
        <v>9.20906316406243E-019</v>
      </c>
    </row>
    <row r="360" customFormat="false" ht="13.8" hidden="false" customHeight="false" outlineLevel="0" collapsed="false">
      <c r="B360" s="2" t="n">
        <v>358</v>
      </c>
      <c r="C360" s="2" t="n">
        <v>1.24649886339128E-009</v>
      </c>
      <c r="D360" s="2" t="n">
        <v>6.42188752709365E-010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1.20873240297505E-009</v>
      </c>
      <c r="D361" s="2" t="n">
        <v>6.04416058540779E-010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1.17096555308679E-009</v>
      </c>
      <c r="D362" s="2" t="n">
        <v>5.66642984719314E-010</v>
      </c>
      <c r="E362" s="2" t="n">
        <v>9.76036428023431E-017</v>
      </c>
    </row>
    <row r="363" customFormat="false" ht="13.8" hidden="false" customHeight="false" outlineLevel="0" collapsed="false">
      <c r="B363" s="2" t="n">
        <v>361</v>
      </c>
      <c r="C363" s="2" t="n">
        <v>1.1331983132495E-009</v>
      </c>
      <c r="D363" s="2" t="n">
        <v>5.28869528870576E-010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1.09543068393983E-009</v>
      </c>
      <c r="D364" s="2" t="n">
        <v>4.9109563231349E-010</v>
      </c>
      <c r="E364" s="2" t="n">
        <v>1.84181263281247E-018</v>
      </c>
    </row>
    <row r="365" customFormat="false" ht="13.8" hidden="false" customHeight="false" outlineLevel="0" collapsed="false">
      <c r="B365" s="2" t="n">
        <v>363</v>
      </c>
      <c r="C365" s="2" t="n">
        <v>1.05766266971266E-009</v>
      </c>
      <c r="D365" s="2" t="n">
        <v>4.53321392066509E-010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1.01989425861928E-009</v>
      </c>
      <c r="D366" s="2" t="n">
        <v>4.155467608172E-010</v>
      </c>
      <c r="E366" s="2" t="n">
        <v>1.84181263281247E-018</v>
      </c>
    </row>
    <row r="367" customFormat="false" ht="13.8" hidden="false" customHeight="false" outlineLevel="0" collapsed="false">
      <c r="B367" s="2" t="n">
        <v>365</v>
      </c>
      <c r="C367" s="2" t="n">
        <v>9.82125461368252E-010</v>
      </c>
      <c r="D367" s="2" t="n">
        <v>3.77771746586242E-010</v>
      </c>
      <c r="E367" s="2" t="n">
        <v>1.84181263281247E-018</v>
      </c>
    </row>
    <row r="368" customFormat="false" ht="13.8" hidden="false" customHeight="false" outlineLevel="0" collapsed="false">
      <c r="B368" s="2" t="n">
        <v>366</v>
      </c>
      <c r="C368" s="2" t="n">
        <v>9.44356271973871E-010</v>
      </c>
      <c r="D368" s="2" t="n">
        <v>3.39996292123078E-010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9.06586700808382E-010</v>
      </c>
      <c r="D369" s="2" t="n">
        <v>3.02220493969304E-010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8.6881673086866E-010</v>
      </c>
      <c r="D370" s="2" t="n">
        <v>2.64444304335667E-010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8.31046379802466E-010</v>
      </c>
      <c r="D371" s="2" t="n">
        <v>2.26667708058579E-010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7.93275632822669E-010</v>
      </c>
      <c r="D372" s="2" t="n">
        <v>1.88890731650013E-010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7.55504496823188E-010</v>
      </c>
      <c r="D373" s="2" t="n">
        <v>1.51113363284225E-010</v>
      </c>
      <c r="E373" s="2" t="n">
        <v>3.68362526562487E-018</v>
      </c>
    </row>
    <row r="374" customFormat="false" ht="13.8" hidden="false" customHeight="false" outlineLevel="0" collapsed="false">
      <c r="B374" s="2" t="n">
        <v>372</v>
      </c>
      <c r="C374" s="2" t="n">
        <v>7.17732973256893E-010</v>
      </c>
      <c r="D374" s="2" t="n">
        <v>1.13335615740277E-010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6.7996105926262E-010</v>
      </c>
      <c r="D375" s="2" t="n">
        <v>7.5557460598501E-011</v>
      </c>
      <c r="E375" s="2" t="n">
        <v>1.84181263281247E-018</v>
      </c>
    </row>
    <row r="376" customFormat="false" ht="13.8" hidden="false" customHeight="false" outlineLevel="0" collapsed="false">
      <c r="B376" s="2" t="n">
        <v>374</v>
      </c>
      <c r="C376" s="2" t="n">
        <v>6.42188755793857E-010</v>
      </c>
      <c r="D376" s="2" t="n">
        <v>3.77789272318863E-011</v>
      </c>
      <c r="E376" s="2" t="n">
        <v>4.76837158203081E-018</v>
      </c>
    </row>
    <row r="377" customFormat="false" ht="13.8" hidden="false" customHeight="false" outlineLevel="0" collapsed="false">
      <c r="B377" s="2" t="n">
        <v>375</v>
      </c>
      <c r="C377" s="2" t="n">
        <v>6.04416062850426E-010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1.84181263281247E-018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3.02213320041331E-010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3.02216341737532E-010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4.53321397602045E-010</v>
      </c>
      <c r="D381" s="2" t="n">
        <v>7.55596578745899E-011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4.15546757175351E-010</v>
      </c>
      <c r="D382" s="2" t="n">
        <v>9.44500155673831E-011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3.77771727165646E-010</v>
      </c>
      <c r="D383" s="2" t="n">
        <v>1.13340549786603E-010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3.39996308049587E-010</v>
      </c>
      <c r="D384" s="2" t="n">
        <v>1.3223126100894E-010</v>
      </c>
      <c r="E384" s="2" t="n">
        <v>1.84181263281247E-018</v>
      </c>
    </row>
    <row r="385" customFormat="false" ht="13.8" hidden="false" customHeight="false" outlineLevel="0" collapsed="false">
      <c r="B385" s="2" t="n">
        <v>383</v>
      </c>
      <c r="C385" s="2" t="n">
        <v>3.02220498742202E-010</v>
      </c>
      <c r="D385" s="2" t="n">
        <v>1.5112214971108E-010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2.64444299958565E-010</v>
      </c>
      <c r="D386" s="2" t="n">
        <v>1.70013215177625E-010</v>
      </c>
      <c r="E386" s="2" t="n">
        <v>9.20906316406243E-019</v>
      </c>
    </row>
    <row r="387" customFormat="false" ht="13.8" hidden="false" customHeight="false" outlineLevel="0" collapsed="false">
      <c r="B387" s="2" t="n">
        <v>385</v>
      </c>
      <c r="C387" s="2" t="n">
        <v>2.2666771182963E-010</v>
      </c>
      <c r="D387" s="2" t="n">
        <v>1.88904457646846E-010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1.88890733747257E-010</v>
      </c>
      <c r="D388" s="2" t="n">
        <v>2.07795877357012E-010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1.51113365127143E-010</v>
      </c>
      <c r="D389" s="2" t="n">
        <v>2.2668747406956E-010</v>
      </c>
      <c r="E389" s="2" t="n">
        <v>2.55028915960937E-017</v>
      </c>
    </row>
    <row r="390" customFormat="false" ht="13.8" hidden="false" customHeight="false" outlineLevel="0" collapsed="false">
      <c r="B390" s="2" t="n">
        <v>388</v>
      </c>
      <c r="C390" s="2" t="n">
        <v>1.13335609068547E-010</v>
      </c>
      <c r="D390" s="2" t="n">
        <v>2.45579241871555E-010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7.55574621023113E-011</v>
      </c>
      <c r="D391" s="2" t="n">
        <v>2.6447119945488E-010</v>
      </c>
      <c r="E391" s="2" t="n">
        <v>1.84181263281247E-018</v>
      </c>
    </row>
    <row r="392" customFormat="false" ht="13.8" hidden="false" customHeight="false" outlineLevel="0" collapsed="false">
      <c r="B392" s="2" t="n">
        <v>390</v>
      </c>
      <c r="C392" s="2" t="n">
        <v>3.77789260283159E-011</v>
      </c>
      <c r="D392" s="2" t="n">
        <v>2.83363339259043E-010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3.02255637812062E-010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5.66642981985545E-010</v>
      </c>
      <c r="D394" s="2" t="n">
        <v>3.21148115047048E-010</v>
      </c>
      <c r="E394" s="2" t="n">
        <v>9.20906316406243E-019</v>
      </c>
    </row>
    <row r="395" customFormat="false" ht="13.8" hidden="false" customHeight="false" outlineLevel="0" collapsed="false">
      <c r="B395" s="2" t="n">
        <v>393</v>
      </c>
      <c r="C395" s="2" t="n">
        <v>5.28869510062063E-010</v>
      </c>
      <c r="D395" s="2" t="n">
        <v>3.40040774247634E-010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4.91095648618878E-010</v>
      </c>
      <c r="D396" s="2" t="n">
        <v>3.58933610926405E-010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4.53321398130805E-010</v>
      </c>
      <c r="D397" s="2" t="n">
        <v>3.77826625050452E-010</v>
      </c>
      <c r="E397" s="2" t="n">
        <v>9.20906316406243E-019</v>
      </c>
    </row>
    <row r="398" customFormat="false" ht="13.8" hidden="false" customHeight="false" outlineLevel="0" collapsed="false">
      <c r="B398" s="2" t="n">
        <v>396</v>
      </c>
      <c r="C398" s="2" t="n">
        <v>4.15546757408656E-010</v>
      </c>
      <c r="D398" s="2" t="n">
        <v>3.9671981528742E-010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3.77771727162384E-010</v>
      </c>
      <c r="D399" s="2" t="n">
        <v>4.156131834462E-010</v>
      </c>
      <c r="E399" s="2" t="n">
        <v>9.20906316406243E-019</v>
      </c>
    </row>
    <row r="400" customFormat="false" ht="13.8" hidden="false" customHeight="false" outlineLevel="0" collapsed="false">
      <c r="B400" s="2" t="n">
        <v>398</v>
      </c>
      <c r="C400" s="2" t="n">
        <v>3.399963078666E-010</v>
      </c>
      <c r="D400" s="2" t="n">
        <v>4.34506728009709E-010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3.02220498568483E-010</v>
      </c>
      <c r="D401" s="2" t="n">
        <v>4.53400449812251E-010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2.64444299981062E-010</v>
      </c>
      <c r="D402" s="2" t="n">
        <v>4.72294349449719E-010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2.26667711860622E-010</v>
      </c>
      <c r="D403" s="2" t="n">
        <v>4.91188425610681E-010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1.88890733728105E-010</v>
      </c>
      <c r="D404" s="2" t="n">
        <v>5.10082679248651E-010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1.51113366062217E-010</v>
      </c>
      <c r="D405" s="2" t="n">
        <v>5.28977109409824E-010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1.13335609096081E-010</v>
      </c>
      <c r="D406" s="2" t="n">
        <v>5.47871720243766E-010</v>
      </c>
      <c r="E406" s="2" t="n">
        <v>9.20906316406243E-019</v>
      </c>
    </row>
    <row r="407" customFormat="false" ht="13.8" hidden="false" customHeight="false" outlineLevel="0" collapsed="false">
      <c r="B407" s="2" t="n">
        <v>405</v>
      </c>
      <c r="C407" s="2" t="n">
        <v>7.55574621122174E-011</v>
      </c>
      <c r="D407" s="2" t="n">
        <v>5.66766502153974E-010</v>
      </c>
      <c r="E407" s="2" t="n">
        <v>6.63052547812501E-018</v>
      </c>
    </row>
    <row r="408" customFormat="false" ht="13.8" hidden="false" customHeight="false" outlineLevel="0" collapsed="false">
      <c r="B408" s="2" t="n">
        <v>406</v>
      </c>
      <c r="C408" s="2" t="n">
        <v>3.77789258277539E-011</v>
      </c>
      <c r="D408" s="2" t="n">
        <v>5.85661467114641E-010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6.04556602912866E-010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3.77789258298574E-011</v>
      </c>
      <c r="D410" s="2" t="n">
        <v>6.23451919025651E-010</v>
      </c>
      <c r="E410" s="2" t="n">
        <v>3.98955847636719E-018</v>
      </c>
    </row>
    <row r="411" customFormat="false" ht="13.8" hidden="false" customHeight="false" outlineLevel="0" collapsed="false">
      <c r="B411" s="2" t="n">
        <v>409</v>
      </c>
      <c r="C411" s="2" t="n">
        <v>5.20306940461365E-010</v>
      </c>
      <c r="D411" s="2" t="n">
        <v>6.42347411976653E-010</v>
      </c>
      <c r="E411" s="2" t="n">
        <v>5.50907722508868E-010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0.00368439258893467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5.36441802978516E-020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9.44449684918275E-011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0.0190734774419491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2.94909050880001E-020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0.0128871247643779</v>
      </c>
      <c r="D420" s="2" t="n">
        <v>0.0615124953677413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6.61101818550774E-010</v>
      </c>
      <c r="D421" s="2" t="n">
        <v>0.0093127664714615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0.0763129042418483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0.0605529727399969</v>
      </c>
      <c r="D423" s="2" t="n">
        <v>0.0269631920122352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0.00541306748026236</v>
      </c>
      <c r="D424" s="2" t="n">
        <v>0.0933585961657056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0.040404083652509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0.0108663568563331</v>
      </c>
      <c r="D426" s="2" t="n">
        <v>0.076649604472646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0.0245123430097809</v>
      </c>
      <c r="D427" s="2" t="n">
        <v>0.0886783086261164</v>
      </c>
      <c r="E427" s="2" t="n">
        <v>0.784266480252152</v>
      </c>
    </row>
    <row r="428" customFormat="false" ht="13.8" hidden="false" customHeight="false" outlineLevel="0" collapsed="false">
      <c r="B428" s="2" t="n">
        <v>426</v>
      </c>
      <c r="C428" s="2" t="n">
        <v>0.0718212250071125</v>
      </c>
      <c r="D428" s="2" t="n">
        <v>0.121560891771194</v>
      </c>
      <c r="E428" s="2" t="n">
        <v>0.818091727756071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0.111943358249606</v>
      </c>
      <c r="E429" s="2" t="n">
        <v>0.802099908628143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0.113992074728018</v>
      </c>
      <c r="E430" s="2" t="n">
        <v>0.850224789430569</v>
      </c>
    </row>
    <row r="431" customFormat="false" ht="13.8" hidden="false" customHeight="false" outlineLevel="0" collapsed="false">
      <c r="B431" s="2" t="n">
        <v>429</v>
      </c>
      <c r="C431" s="2" t="n">
        <v>6.15353613956121E-006</v>
      </c>
      <c r="D431" s="2" t="n">
        <v>0.0831241578730954</v>
      </c>
      <c r="E431" s="2" t="n">
        <v>0.85080080360116</v>
      </c>
    </row>
    <row r="432" customFormat="false" ht="13.8" hidden="false" customHeight="false" outlineLevel="0" collapsed="false">
      <c r="B432" s="2" t="n">
        <v>430</v>
      </c>
      <c r="C432" s="2" t="n">
        <v>2.05119922347752E-006</v>
      </c>
      <c r="D432" s="2" t="n">
        <v>0.111444951120901</v>
      </c>
      <c r="E432" s="2" t="n">
        <v>0.83547407015403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0.0830991110353735</v>
      </c>
      <c r="E433" s="2" t="n">
        <v>6.49044914020073E-010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0.121419787616512</v>
      </c>
      <c r="E434" s="2" t="n">
        <v>0.897270936593106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0.0997405308643182</v>
      </c>
      <c r="E435" s="2" t="n">
        <v>0.929327819812647</v>
      </c>
    </row>
    <row r="436" customFormat="false" ht="13.8" hidden="false" customHeight="false" outlineLevel="0" collapsed="false">
      <c r="B436" s="2" t="n">
        <v>434</v>
      </c>
      <c r="C436" s="2" t="n">
        <v>3.31526273906684E-018</v>
      </c>
      <c r="D436" s="2" t="n">
        <v>0.131394342808691</v>
      </c>
      <c r="E436" s="2" t="n">
        <v>0.91554435576295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0.0520882909166698</v>
      </c>
      <c r="E437" s="2" t="n">
        <v>0.923811608379919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0.125852366732255</v>
      </c>
      <c r="E438" s="2" t="n">
        <v>0.920345360996885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0.0909231286835521</v>
      </c>
      <c r="E439" s="2" t="n">
        <v>0.893529313613857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0.0948056309142094</v>
      </c>
      <c r="E440" s="2" t="n">
        <v>0.736397934470661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0.0640215996443561</v>
      </c>
      <c r="E441" s="2" t="n">
        <v>0.547403587079267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0.0185713351456306</v>
      </c>
      <c r="E442" s="2" t="n">
        <v>6.23566687108092E-010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1.2471395558809E-009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0.02106092370799</v>
      </c>
      <c r="E444" s="2" t="n">
        <v>1.96664512877206E-009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0.00631819343574136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0.019064099557911</v>
      </c>
      <c r="E447" s="2" t="n">
        <v>0.326100717402971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6.49044914011048E-010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3.88663160847772E-005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3.69184478845535E-005</v>
      </c>
      <c r="D450" s="2" t="n">
        <v>1.94332552087357E-005</v>
      </c>
      <c r="E450" s="2" t="n">
        <v>0.167728515210101</v>
      </c>
    </row>
    <row r="451" customFormat="false" ht="13.8" hidden="false" customHeight="false" outlineLevel="0" collapsed="false">
      <c r="B451" s="2" t="n">
        <v>449</v>
      </c>
      <c r="C451" s="2" t="n">
        <v>2.05119922510138E-006</v>
      </c>
      <c r="D451" s="2" t="n">
        <v>0</v>
      </c>
      <c r="E451" s="2" t="n">
        <v>6.23566689527236E-010</v>
      </c>
    </row>
    <row r="452" customFormat="false" ht="13.8" hidden="false" customHeight="false" outlineLevel="0" collapsed="false">
      <c r="B452" s="2" t="n">
        <v>450</v>
      </c>
      <c r="C452" s="2" t="n">
        <v>2.0511992251032E-006</v>
      </c>
      <c r="D452" s="2" t="n">
        <v>9.91010298115407E-010</v>
      </c>
      <c r="E452" s="2" t="n">
        <v>1.24713955467133E-009</v>
      </c>
    </row>
    <row r="453" customFormat="false" ht="13.8" hidden="false" customHeight="false" outlineLevel="0" collapsed="false">
      <c r="B453" s="2" t="n">
        <v>451</v>
      </c>
      <c r="C453" s="2" t="n">
        <v>2.14717681374039E-009</v>
      </c>
      <c r="D453" s="2" t="n">
        <v>2.14717681891823E-009</v>
      </c>
      <c r="E453" s="2" t="n">
        <v>1.87071870657726E-009</v>
      </c>
    </row>
    <row r="454" customFormat="false" ht="13.8" hidden="false" customHeight="false" outlineLevel="0" collapsed="false">
      <c r="B454" s="2" t="n">
        <v>452</v>
      </c>
      <c r="C454" s="2" t="n">
        <v>4.10237793821789E-006</v>
      </c>
      <c r="D454" s="2" t="n">
        <v>7.77318548471505E-005</v>
      </c>
      <c r="E454" s="2" t="n">
        <v>0.0120818050529004</v>
      </c>
    </row>
    <row r="455" customFormat="false" ht="13.8" hidden="false" customHeight="false" outlineLevel="0" collapsed="false">
      <c r="B455" s="2" t="n">
        <v>453</v>
      </c>
      <c r="C455" s="2" t="n">
        <v>1.92624382519463E-009</v>
      </c>
      <c r="D455" s="2" t="n">
        <v>1.47309837682231E-009</v>
      </c>
      <c r="E455" s="2" t="n">
        <v>1.26364175664062E-016</v>
      </c>
    </row>
    <row r="456" customFormat="false" ht="13.8" hidden="false" customHeight="false" outlineLevel="0" collapsed="false">
      <c r="B456" s="2" t="n">
        <v>454</v>
      </c>
      <c r="C456" s="2" t="n">
        <v>1.88848378166589E-009</v>
      </c>
      <c r="D456" s="2" t="n">
        <v>1.43533380477942E-009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1.85072335869193E-009</v>
      </c>
      <c r="D457" s="2" t="n">
        <v>1.39756885249558E-009</v>
      </c>
      <c r="E457" s="2" t="n">
        <v>2.63718203335157E-016</v>
      </c>
    </row>
    <row r="458" customFormat="false" ht="13.8" hidden="false" customHeight="false" outlineLevel="0" collapsed="false">
      <c r="B458" s="2" t="n">
        <v>456</v>
      </c>
      <c r="C458" s="2" t="n">
        <v>1.81296256645445E-009</v>
      </c>
      <c r="D458" s="2" t="n">
        <v>1.35980356872347E-009</v>
      </c>
      <c r="E458" s="2" t="n">
        <v>1.8418126328125E-018</v>
      </c>
    </row>
    <row r="459" customFormat="false" ht="13.8" hidden="false" customHeight="false" outlineLevel="0" collapsed="false">
      <c r="B459" s="2" t="n">
        <v>457</v>
      </c>
      <c r="C459" s="2" t="n">
        <v>1.77520138594776E-009</v>
      </c>
      <c r="D459" s="2" t="n">
        <v>1.32203779213994E-009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1.73743983242545E-009</v>
      </c>
      <c r="D460" s="2" t="n">
        <v>1.28427172240585E-009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1.69967789980956E-009</v>
      </c>
      <c r="D461" s="2" t="n">
        <v>1.24650525968434E-009</v>
      </c>
      <c r="E461" s="2" t="n">
        <v>1.14654229685929E-015</v>
      </c>
    </row>
    <row r="462" customFormat="false" ht="13.8" hidden="false" customHeight="false" outlineLevel="0" collapsed="false">
      <c r="B462" s="2" t="n">
        <v>460</v>
      </c>
      <c r="C462" s="2" t="n">
        <v>1.66191558943227E-009</v>
      </c>
      <c r="D462" s="2" t="n">
        <v>1.20873841580097E-009</v>
      </c>
      <c r="E462" s="2" t="n">
        <v>1.969180262375E-016</v>
      </c>
    </row>
    <row r="463" customFormat="false" ht="13.8" hidden="false" customHeight="false" outlineLevel="0" collapsed="false">
      <c r="B463" s="2" t="n">
        <v>461</v>
      </c>
      <c r="C463" s="2" t="n">
        <v>1.62415290495033E-009</v>
      </c>
      <c r="D463" s="2" t="n">
        <v>1.1709712153705E-009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1.58638983911581E-009</v>
      </c>
      <c r="D464" s="2" t="n">
        <v>1.13320359780474E-009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1.54862639555267E-009</v>
      </c>
      <c r="D465" s="2" t="n">
        <v>1.09543561091264E-009</v>
      </c>
      <c r="E465" s="2" t="n">
        <v>7.62939453125E-018</v>
      </c>
    </row>
    <row r="466" customFormat="false" ht="13.8" hidden="false" customHeight="false" outlineLevel="0" collapsed="false">
      <c r="B466" s="2" t="n">
        <v>464</v>
      </c>
      <c r="C466" s="2" t="n">
        <v>1.51086257693119E-009</v>
      </c>
      <c r="D466" s="2" t="n">
        <v>1.057667268894E-009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1.47309837714787E-009</v>
      </c>
      <c r="D467" s="2" t="n">
        <v>1.0198985457135E-009</v>
      </c>
      <c r="E467" s="2" t="n">
        <v>9.66172004859376E-017</v>
      </c>
    </row>
    <row r="468" customFormat="false" ht="13.8" hidden="false" customHeight="false" outlineLevel="0" collapsed="false">
      <c r="B468" s="2" t="n">
        <v>466</v>
      </c>
      <c r="C468" s="2" t="n">
        <v>1.43533380543075E-009</v>
      </c>
      <c r="D468" s="2" t="n">
        <v>9.82129427638231E-010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1.39756884859154E-009</v>
      </c>
      <c r="D469" s="2" t="n">
        <v>9.44359943087695E-010</v>
      </c>
      <c r="E469" s="2" t="n">
        <v>1.8418126328125E-018</v>
      </c>
    </row>
    <row r="470" customFormat="false" ht="13.8" hidden="false" customHeight="false" outlineLevel="0" collapsed="false">
      <c r="B470" s="2" t="n">
        <v>468</v>
      </c>
      <c r="C470" s="2" t="n">
        <v>1.35980351733898E-009</v>
      </c>
      <c r="D470" s="2" t="n">
        <v>9.06590076421628E-010</v>
      </c>
      <c r="E470" s="2" t="n">
        <v>1.00300825751563E-016</v>
      </c>
    </row>
    <row r="471" customFormat="false" ht="13.8" hidden="false" customHeight="false" outlineLevel="0" collapsed="false">
      <c r="B471" s="2" t="n">
        <v>469</v>
      </c>
      <c r="C471" s="2" t="n">
        <v>1.32203781007441E-009</v>
      </c>
      <c r="D471" s="2" t="n">
        <v>8.6881984328029E-010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1.28427172069432E-009</v>
      </c>
      <c r="D472" s="2" t="n">
        <v>8.31049202464951E-010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1.24650526395806E-009</v>
      </c>
      <c r="D473" s="2" t="n">
        <v>7.93278218825463E-010</v>
      </c>
      <c r="E473" s="2" t="n">
        <v>1.00300825751563E-016</v>
      </c>
    </row>
    <row r="474" customFormat="false" ht="13.8" hidden="false" customHeight="false" outlineLevel="0" collapsed="false">
      <c r="B474" s="2" t="n">
        <v>472</v>
      </c>
      <c r="C474" s="2" t="n">
        <v>1.20873841752209E-009</v>
      </c>
      <c r="D474" s="2" t="n">
        <v>7.55506841244885E-010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1.17097119762643E-009</v>
      </c>
      <c r="D475" s="2" t="n">
        <v>7.17735097189034E-010</v>
      </c>
      <c r="E475" s="2" t="n">
        <v>1.8418126328125E-018</v>
      </c>
    </row>
    <row r="476" customFormat="false" ht="13.8" hidden="false" customHeight="false" outlineLevel="0" collapsed="false">
      <c r="B476" s="2" t="n">
        <v>474</v>
      </c>
      <c r="C476" s="2" t="n">
        <v>1.13320360000215E-009</v>
      </c>
      <c r="D476" s="2" t="n">
        <v>6.79962981899498E-010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1.09543562872745E-009</v>
      </c>
      <c r="D477" s="2" t="n">
        <v>6.42190474566262E-010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1.05766727061406E-009</v>
      </c>
      <c r="D478" s="2" t="n">
        <v>6.0441755058453E-010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1.01989854412054E-009</v>
      </c>
      <c r="D479" s="2" t="n">
        <v>5.66644331100808E-010</v>
      </c>
      <c r="E479" s="2" t="n">
        <v>1.8418126328125E-018</v>
      </c>
    </row>
    <row r="480" customFormat="false" ht="13.8" hidden="false" customHeight="false" outlineLevel="0" collapsed="false">
      <c r="B480" s="2" t="n">
        <v>478</v>
      </c>
      <c r="C480" s="2" t="n">
        <v>9.82129431551271E-010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9.44359944807059E-010</v>
      </c>
      <c r="D481" s="2" t="n">
        <v>4.91096637896342E-010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9.06590082646888E-010</v>
      </c>
      <c r="D482" s="2" t="n">
        <v>4.53322238844366E-010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8.68819840326228E-010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8.31049220396158E-010</v>
      </c>
      <c r="D484" s="2" t="n">
        <v>3.77772310153292E-010</v>
      </c>
      <c r="E484" s="2" t="n">
        <v>4.87690534011719E-017</v>
      </c>
    </row>
    <row r="485" customFormat="false" ht="13.8" hidden="false" customHeight="false" outlineLevel="0" collapsed="false">
      <c r="B485" s="2" t="n">
        <v>483</v>
      </c>
      <c r="C485" s="2" t="n">
        <v>7.93278225575895E-010</v>
      </c>
      <c r="D485" s="2" t="n">
        <v>3.39996780752613E-010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7.55506846873323E-010</v>
      </c>
      <c r="D486" s="2" t="n">
        <v>3.02220870428496E-010</v>
      </c>
      <c r="E486" s="2" t="n">
        <v>9.20906316406251E-019</v>
      </c>
    </row>
    <row r="487" customFormat="false" ht="13.8" hidden="false" customHeight="false" outlineLevel="0" collapsed="false">
      <c r="B487" s="2" t="n">
        <v>485</v>
      </c>
      <c r="C487" s="2" t="n">
        <v>7.17735097516728E-010</v>
      </c>
      <c r="D487" s="2" t="n">
        <v>2.64444567116962E-010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6.79962962436012E-010</v>
      </c>
      <c r="D488" s="2" t="n">
        <v>2.26667919550769E-010</v>
      </c>
      <c r="E488" s="2" t="n">
        <v>9.20906316406251E-019</v>
      </c>
    </row>
    <row r="489" customFormat="false" ht="13.8" hidden="false" customHeight="false" outlineLevel="0" collapsed="false">
      <c r="B489" s="2" t="n">
        <v>487</v>
      </c>
      <c r="C489" s="2" t="n">
        <v>6.42190453624427E-010</v>
      </c>
      <c r="D489" s="2" t="n">
        <v>1.88890878997159E-010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6.04417569922648E-010</v>
      </c>
      <c r="D490" s="2" t="n">
        <v>1.51113457162483E-010</v>
      </c>
      <c r="E490" s="2" t="n">
        <v>9.20906316406251E-019</v>
      </c>
    </row>
    <row r="491" customFormat="false" ht="13.8" hidden="false" customHeight="false" outlineLevel="0" collapsed="false">
      <c r="B491" s="2" t="n">
        <v>489</v>
      </c>
      <c r="C491" s="2" t="n">
        <v>5.66644303053818E-010</v>
      </c>
      <c r="D491" s="2" t="n">
        <v>1.13335703514668E-010</v>
      </c>
      <c r="E491" s="2" t="n">
        <v>1.8418126328125E-018</v>
      </c>
    </row>
    <row r="492" customFormat="false" ht="13.8" hidden="false" customHeight="false" outlineLevel="0" collapsed="false">
      <c r="B492" s="2" t="n">
        <v>490</v>
      </c>
      <c r="C492" s="2" t="n">
        <v>5.28870659220552E-010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4.91096640853476E-010</v>
      </c>
      <c r="D493" s="2" t="n">
        <v>3.77789325107699E-011</v>
      </c>
      <c r="E493" s="2" t="n">
        <v>9.20906316406251E-019</v>
      </c>
    </row>
    <row r="494" customFormat="false" ht="13.8" hidden="false" customHeight="false" outlineLevel="0" collapsed="false">
      <c r="B494" s="2" t="n">
        <v>492</v>
      </c>
      <c r="C494" s="2" t="n">
        <v>4.53322243160376E-010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4.15547470408944E-010</v>
      </c>
      <c r="D495" s="2" t="n">
        <v>1.88896536459093E-011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3.77772315541992E-010</v>
      </c>
      <c r="D496" s="2" t="n">
        <v>3.77794979530829E-011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3.3999678294642E-010</v>
      </c>
      <c r="D497" s="2" t="n">
        <v>0</v>
      </c>
      <c r="E497" s="2" t="n">
        <v>1.8418126328125E-018</v>
      </c>
    </row>
    <row r="498" customFormat="false" ht="13.8" hidden="false" customHeight="false" outlineLevel="0" collapsed="false">
      <c r="B498" s="2" t="n">
        <v>496</v>
      </c>
      <c r="C498" s="2" t="n">
        <v>3.02220876055456E-010</v>
      </c>
      <c r="D498" s="2" t="n">
        <v>7.55597513986659E-011</v>
      </c>
      <c r="E498" s="2" t="n">
        <v>2.55356595960938E-017</v>
      </c>
    </row>
    <row r="499" customFormat="false" ht="13.8" hidden="false" customHeight="false" outlineLevel="0" collapsed="false">
      <c r="B499" s="2" t="n">
        <v>497</v>
      </c>
      <c r="C499" s="2" t="n">
        <v>2.64444589719259E-010</v>
      </c>
      <c r="D499" s="2" t="n">
        <v>2.55684275960938E-017</v>
      </c>
      <c r="E499" s="2" t="n">
        <v>1.17699814398438E-017</v>
      </c>
    </row>
    <row r="500" customFormat="false" ht="13.8" hidden="false" customHeight="false" outlineLevel="0" collapsed="false">
      <c r="B500" s="2" t="n">
        <v>498</v>
      </c>
      <c r="C500" s="2" t="n">
        <v>2.26667925177606E-010</v>
      </c>
      <c r="D500" s="2" t="n">
        <v>1.13340759859912E-010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1.88890881190719E-010</v>
      </c>
      <c r="D501" s="2" t="n">
        <v>1.32231548055873E-010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1.51113461430246E-010</v>
      </c>
      <c r="D502" s="2" t="n">
        <v>1.51122524767332E-010</v>
      </c>
      <c r="E502" s="2" t="n">
        <v>9.20906316406251E-019</v>
      </c>
    </row>
    <row r="503" customFormat="false" ht="13.8" hidden="false" customHeight="false" outlineLevel="0" collapsed="false">
      <c r="B503" s="2" t="n">
        <v>501</v>
      </c>
      <c r="C503" s="2" t="n">
        <v>1.13335663464316E-010</v>
      </c>
      <c r="D503" s="2" t="n">
        <v>1.70013689875078E-010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7.55574862915711E-011</v>
      </c>
      <c r="D504" s="2" t="n">
        <v>1.88905044690414E-010</v>
      </c>
      <c r="E504" s="2" t="n">
        <v>9.20906316406251E-019</v>
      </c>
    </row>
    <row r="505" customFormat="false" ht="13.8" hidden="false" customHeight="false" outlineLevel="0" collapsed="false">
      <c r="B505" s="2" t="n">
        <v>503</v>
      </c>
      <c r="C505" s="2" t="n">
        <v>3.77789364220835E-011</v>
      </c>
      <c r="D505" s="2" t="n">
        <v>2.07796587305992E-010</v>
      </c>
      <c r="E505" s="2" t="n">
        <v>7.36725053125001E-018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2.26688320582834E-010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3.31526273906251E-018</v>
      </c>
      <c r="D507" s="2" t="n">
        <v>2.45580202845372E-010</v>
      </c>
      <c r="E507" s="2" t="n">
        <v>1.8418126328125E-018</v>
      </c>
    </row>
    <row r="508" customFormat="false" ht="13.8" hidden="false" customHeight="false" outlineLevel="0" collapsed="false">
      <c r="B508" s="2" t="n">
        <v>506</v>
      </c>
      <c r="C508" s="2" t="n">
        <v>4.60453158203126E-019</v>
      </c>
      <c r="D508" s="2" t="n">
        <v>0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2.83364661429533E-010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6.15368831992188E-018</v>
      </c>
      <c r="D510" s="2" t="n">
        <v>4.76837158203126E-019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1.90359411071386E-010</v>
      </c>
      <c r="D511" s="2" t="n">
        <v>3.21149813268988E-010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1.91751926445313E-017</v>
      </c>
      <c r="E512" s="2" t="n">
        <v>6.80085367856953E-010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0.139722481214111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0.0235879607760381</v>
      </c>
      <c r="E515" s="2" t="n">
        <v>0.0914651370533257</v>
      </c>
    </row>
    <row r="516" customFormat="false" ht="13.8" hidden="false" customHeight="false" outlineLevel="0" collapsed="false">
      <c r="B516" s="2" t="n">
        <v>514</v>
      </c>
      <c r="C516" s="2" t="n">
        <v>0.00239938883134453</v>
      </c>
      <c r="D516" s="2" t="n">
        <v>0.0267463611014204</v>
      </c>
      <c r="E516" s="2" t="n">
        <v>0.269205582269839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0.202548616575844</v>
      </c>
    </row>
    <row r="518" customFormat="false" ht="13.8" hidden="false" customHeight="false" outlineLevel="0" collapsed="false">
      <c r="B518" s="2" t="n">
        <v>516</v>
      </c>
      <c r="C518" s="2" t="n">
        <v>0.0176607214296905</v>
      </c>
      <c r="D518" s="2" t="n">
        <v>0.00269556175218495</v>
      </c>
      <c r="E518" s="2" t="n">
        <v>0.389656117767209</v>
      </c>
    </row>
    <row r="519" customFormat="false" ht="13.8" hidden="false" customHeight="false" outlineLevel="0" collapsed="false">
      <c r="B519" s="2" t="n">
        <v>517</v>
      </c>
      <c r="C519" s="2" t="n">
        <v>0.00710056272886356</v>
      </c>
      <c r="D519" s="2" t="n">
        <v>0.0191038120775672</v>
      </c>
      <c r="E519" s="2" t="n">
        <v>0.405156860515894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0.0142940985393483</v>
      </c>
      <c r="E520" s="2" t="n">
        <v>0.384216548313904</v>
      </c>
    </row>
    <row r="521" customFormat="false" ht="13.8" hidden="false" customHeight="false" outlineLevel="0" collapsed="false">
      <c r="B521" s="2" t="n">
        <v>519</v>
      </c>
      <c r="C521" s="2" t="n">
        <v>9.20906316406251E-019</v>
      </c>
      <c r="D521" s="2" t="n">
        <v>0.0244843683344628</v>
      </c>
      <c r="E521" s="2" t="n">
        <v>0.441825690049716</v>
      </c>
    </row>
    <row r="522" customFormat="false" ht="13.8" hidden="false" customHeight="false" outlineLevel="0" collapsed="false">
      <c r="B522" s="2" t="n">
        <v>520</v>
      </c>
      <c r="C522" s="2" t="n">
        <v>8.88138316406252E-019</v>
      </c>
      <c r="D522" s="2" t="n">
        <v>0.0214244381295773</v>
      </c>
      <c r="E522" s="2" t="n">
        <v>0.444934631785528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0.0311480245913584</v>
      </c>
      <c r="E523" s="2" t="n">
        <v>0.454927290188007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0.0384489229878853</v>
      </c>
      <c r="E524" s="2" t="n">
        <v>0.569350230418922</v>
      </c>
    </row>
    <row r="525" customFormat="false" ht="13.8" hidden="false" customHeight="false" outlineLevel="0" collapsed="false">
      <c r="B525" s="2" t="n">
        <v>523</v>
      </c>
      <c r="C525" s="2" t="n">
        <v>0.0125372213105785</v>
      </c>
      <c r="D525" s="2" t="n">
        <v>0.0590330880510789</v>
      </c>
      <c r="E525" s="2" t="n">
        <v>0.589652716005924</v>
      </c>
    </row>
    <row r="526" customFormat="false" ht="13.8" hidden="false" customHeight="false" outlineLevel="0" collapsed="false">
      <c r="B526" s="2" t="n">
        <v>524</v>
      </c>
      <c r="C526" s="2" t="n">
        <v>0.0116256870933951</v>
      </c>
      <c r="D526" s="2" t="n">
        <v>0.0800341364476058</v>
      </c>
      <c r="E526" s="2" t="n">
        <v>0.705486857120689</v>
      </c>
    </row>
    <row r="527" customFormat="false" ht="13.8" hidden="false" customHeight="false" outlineLevel="0" collapsed="false">
      <c r="B527" s="2" t="n">
        <v>525</v>
      </c>
      <c r="C527" s="2" t="n">
        <v>0.0244643528762116</v>
      </c>
      <c r="D527" s="2" t="n">
        <v>0.112202051510799</v>
      </c>
      <c r="E527" s="2" t="n">
        <v>0.708237548235454</v>
      </c>
    </row>
    <row r="528" customFormat="false" ht="13.8" hidden="false" customHeight="false" outlineLevel="0" collapsed="false">
      <c r="B528" s="2" t="n">
        <v>526</v>
      </c>
      <c r="C528" s="2" t="n">
        <v>0.0142780667092772</v>
      </c>
      <c r="D528" s="2" t="n">
        <v>0.106981170231124</v>
      </c>
      <c r="E528" s="2" t="n">
        <v>0.731525492664493</v>
      </c>
    </row>
    <row r="529" customFormat="false" ht="13.8" hidden="false" customHeight="false" outlineLevel="0" collapsed="false">
      <c r="B529" s="2" t="n">
        <v>527</v>
      </c>
      <c r="C529" s="2" t="n">
        <v>0.0160916805423428</v>
      </c>
      <c r="D529" s="2" t="n">
        <v>0.0952936389514478</v>
      </c>
      <c r="E529" s="2" t="n">
        <v>0.6149799537602</v>
      </c>
    </row>
    <row r="530" customFormat="false" ht="13.8" hidden="false" customHeight="false" outlineLevel="0" collapsed="false">
      <c r="B530" s="2" t="n">
        <v>528</v>
      </c>
      <c r="C530" s="2" t="n">
        <v>0.000405094375408296</v>
      </c>
      <c r="D530" s="2" t="n">
        <v>0.0295393243384387</v>
      </c>
      <c r="E530" s="2" t="n">
        <v>0.67266724818924</v>
      </c>
    </row>
    <row r="531" customFormat="false" ht="13.8" hidden="false" customHeight="false" outlineLevel="0" collapsed="false">
      <c r="B531" s="2" t="n">
        <v>529</v>
      </c>
      <c r="C531" s="2" t="n">
        <v>0.0078851748751405</v>
      </c>
      <c r="D531" s="2" t="n">
        <v>0.10341795972543</v>
      </c>
      <c r="E531" s="2" t="n">
        <v>0.597455009284947</v>
      </c>
    </row>
    <row r="532" customFormat="false" ht="13.8" hidden="false" customHeight="false" outlineLevel="0" collapsed="false">
      <c r="B532" s="2" t="n">
        <v>530</v>
      </c>
      <c r="C532" s="2" t="n">
        <v>0.0385668421447221</v>
      </c>
      <c r="D532" s="2" t="n">
        <v>0.0677046900254946</v>
      </c>
      <c r="E532" s="2" t="n">
        <v>0.572132455521264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0.0869422036588928</v>
      </c>
      <c r="E533" s="2" t="n">
        <v>0.537675294505219</v>
      </c>
    </row>
    <row r="534" customFormat="false" ht="13.8" hidden="false" customHeight="false" outlineLevel="0" collapsed="false">
      <c r="B534" s="2" t="n">
        <v>532</v>
      </c>
      <c r="C534" s="2" t="n">
        <v>0.025713743350552</v>
      </c>
      <c r="D534" s="2" t="n">
        <v>0.0643130006256246</v>
      </c>
      <c r="E534" s="2" t="n">
        <v>0.586887081327233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0.0555334475923561</v>
      </c>
      <c r="E535" s="2" t="n">
        <v>0.538293521517017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0.0404947735622772</v>
      </c>
      <c r="E536" s="2" t="n">
        <v>0.408928780602226</v>
      </c>
    </row>
    <row r="537" customFormat="false" ht="13.8" hidden="false" customHeight="false" outlineLevel="0" collapsed="false">
      <c r="B537" s="2" t="n">
        <v>535</v>
      </c>
      <c r="C537" s="2" t="n">
        <v>0.0264075261908519</v>
      </c>
      <c r="D537" s="2" t="n">
        <v>0</v>
      </c>
      <c r="E537" s="2" t="n">
        <v>0.312479629695448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0.00491755883545259</v>
      </c>
      <c r="E538" s="2" t="n">
        <v>0.238816832105977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0.0377639926632268</v>
      </c>
    </row>
    <row r="540" customFormat="false" ht="13.8" hidden="false" customHeight="false" outlineLevel="0" collapsed="false">
      <c r="B540" s="2" t="n">
        <v>538</v>
      </c>
      <c r="C540" s="2" t="n">
        <v>6.15353613955469E-006</v>
      </c>
      <c r="D540" s="2" t="n">
        <v>3.88663160846847E-005</v>
      </c>
      <c r="E540" s="2" t="n">
        <v>0.0778335775875974</v>
      </c>
    </row>
    <row r="541" customFormat="false" ht="13.8" hidden="false" customHeight="false" outlineLevel="0" collapsed="false">
      <c r="B541" s="2" t="n">
        <v>539</v>
      </c>
      <c r="C541" s="2" t="n">
        <v>1.81296260741283E-009</v>
      </c>
      <c r="D541" s="2" t="n">
        <v>6.42190457232495E-010</v>
      </c>
      <c r="E541" s="2" t="n">
        <v>3.93766004264843E-016</v>
      </c>
    </row>
    <row r="542" customFormat="false" ht="13.8" hidden="false" customHeight="false" outlineLevel="0" collapsed="false">
      <c r="B542" s="2" t="n">
        <v>540</v>
      </c>
      <c r="C542" s="2" t="n">
        <v>1.77520142845487E-009</v>
      </c>
      <c r="D542" s="2" t="n">
        <v>6.04417567646968E-010</v>
      </c>
      <c r="E542" s="2" t="n">
        <v>9.20906316406251E-019</v>
      </c>
    </row>
    <row r="543" customFormat="false" ht="13.8" hidden="false" customHeight="false" outlineLevel="0" collapsed="false">
      <c r="B543" s="2" t="n">
        <v>541</v>
      </c>
      <c r="C543" s="2" t="n">
        <v>1.73743986913519E-009</v>
      </c>
      <c r="D543" s="2" t="n">
        <v>5.66644334330763E-010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1.69967794345021E-009</v>
      </c>
      <c r="D544" s="2" t="n">
        <v>5.28870683449574E-010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1.6619156281027E-009</v>
      </c>
      <c r="D545" s="2" t="n">
        <v>4.91096626828964E-010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1.62415294312479E-009</v>
      </c>
      <c r="D546" s="2" t="n">
        <v>4.5332224116426E-010</v>
      </c>
      <c r="E546" s="2" t="n">
        <v>2.22502282886718E-016</v>
      </c>
    </row>
    <row r="547" customFormat="false" ht="13.8" hidden="false" customHeight="false" outlineLevel="0" collapsed="false">
      <c r="B547" s="2" t="n">
        <v>545</v>
      </c>
      <c r="C547" s="2" t="n">
        <v>1.58638987287126E-009</v>
      </c>
      <c r="D547" s="2" t="n">
        <v>4.15547473421214E-010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1.54862643470395E-009</v>
      </c>
      <c r="D548" s="2" t="n">
        <v>3.77772312251101E-010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1.51086261126101E-009</v>
      </c>
      <c r="D549" s="2" t="n">
        <v>3.39996808303984E-010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1.47309841077162E-009</v>
      </c>
      <c r="D550" s="2" t="n">
        <v>0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1.4353338325908E-009</v>
      </c>
      <c r="D551" s="2" t="n">
        <v>2.64444594063373E-010</v>
      </c>
      <c r="E551" s="2" t="n">
        <v>7.36725053125001E-018</v>
      </c>
    </row>
    <row r="552" customFormat="false" ht="13.8" hidden="false" customHeight="false" outlineLevel="0" collapsed="false">
      <c r="B552" s="2" t="n">
        <v>550</v>
      </c>
      <c r="C552" s="2" t="n">
        <v>1.39756887671855E-009</v>
      </c>
      <c r="D552" s="2" t="n">
        <v>0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1.35980354239193E-009</v>
      </c>
      <c r="D553" s="2" t="n">
        <v>1.88890878985169E-010</v>
      </c>
      <c r="E553" s="2" t="n">
        <v>5.52543789843751E-018</v>
      </c>
    </row>
    <row r="554" customFormat="false" ht="13.8" hidden="false" customHeight="false" outlineLevel="0" collapsed="false">
      <c r="B554" s="2" t="n">
        <v>552</v>
      </c>
      <c r="C554" s="2" t="n">
        <v>1.32203783285343E-009</v>
      </c>
      <c r="D554" s="2" t="n">
        <v>0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1.28427174486057E-009</v>
      </c>
      <c r="D555" s="2" t="n">
        <v>0</v>
      </c>
      <c r="E555" s="2" t="n">
        <v>9.20906316406251E-019</v>
      </c>
    </row>
    <row r="556" customFormat="false" ht="13.8" hidden="false" customHeight="false" outlineLevel="0" collapsed="false">
      <c r="B556" s="2" t="n">
        <v>554</v>
      </c>
      <c r="C556" s="2" t="n">
        <v>1.2465052782226E-009</v>
      </c>
      <c r="D556" s="2" t="n">
        <v>7.55574841724782E-011</v>
      </c>
      <c r="E556" s="2" t="n">
        <v>4.60453158203125E-018</v>
      </c>
    </row>
    <row r="557" customFormat="false" ht="13.8" hidden="false" customHeight="false" outlineLevel="0" collapsed="false">
      <c r="B557" s="2" t="n">
        <v>555</v>
      </c>
      <c r="C557" s="2" t="n">
        <v>1.20873843656349E-009</v>
      </c>
      <c r="D557" s="2" t="n">
        <v>3.77789193925001E-011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1.17097121377973E-009</v>
      </c>
      <c r="D558" s="2" t="n">
        <v>0</v>
      </c>
      <c r="E558" s="2" t="n">
        <v>9.84590131187501E-017</v>
      </c>
    </row>
    <row r="559" customFormat="false" ht="13.8" hidden="false" customHeight="false" outlineLevel="0" collapsed="false">
      <c r="B559" s="2" t="n">
        <v>557</v>
      </c>
      <c r="C559" s="2" t="n">
        <v>1.13320361814568E-009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1.09543564022222E-009</v>
      </c>
      <c r="D560" s="2" t="n">
        <v>0</v>
      </c>
      <c r="E560" s="2" t="n">
        <v>9.29335752203126E-017</v>
      </c>
    </row>
    <row r="561" customFormat="false" ht="13.8" hidden="false" customHeight="false" outlineLevel="0" collapsed="false">
      <c r="B561" s="2" t="n">
        <v>559</v>
      </c>
      <c r="C561" s="2" t="n">
        <v>1.05766728376213E-009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1.01989854973581E-009</v>
      </c>
      <c r="D562" s="2" t="n">
        <v>7.55597531266801E-011</v>
      </c>
      <c r="E562" s="2" t="n">
        <v>9.66172004859376E-017</v>
      </c>
    </row>
    <row r="563" customFormat="false" ht="13.8" hidden="false" customHeight="false" outlineLevel="0" collapsed="false">
      <c r="B563" s="2" t="n">
        <v>561</v>
      </c>
      <c r="C563" s="2" t="n">
        <v>9.82129450275265E-010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9.4435995547534E-010</v>
      </c>
      <c r="D564" s="2" t="n">
        <v>2.55684275960938E-017</v>
      </c>
      <c r="E564" s="2" t="n">
        <v>1.8418126328125E-018</v>
      </c>
    </row>
    <row r="565" customFormat="false" ht="13.8" hidden="false" customHeight="false" outlineLevel="0" collapsed="false">
      <c r="B565" s="2" t="n">
        <v>563</v>
      </c>
      <c r="C565" s="2" t="n">
        <v>9.06590090568185E-010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8.68819846252987E-010</v>
      </c>
      <c r="D566" s="2" t="n">
        <v>1.51122526911017E-010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8.3104923175779E-010</v>
      </c>
      <c r="D567" s="2" t="n">
        <v>0</v>
      </c>
      <c r="E567" s="2" t="n">
        <v>3.68362526562501E-018</v>
      </c>
    </row>
    <row r="568" customFormat="false" ht="13.8" hidden="false" customHeight="false" outlineLevel="0" collapsed="false">
      <c r="B568" s="2" t="n">
        <v>566</v>
      </c>
      <c r="C568" s="2" t="n">
        <v>7.93278227790797E-010</v>
      </c>
      <c r="D568" s="2" t="n">
        <v>0</v>
      </c>
      <c r="E568" s="2" t="n">
        <v>1.8418126328125E-018</v>
      </c>
    </row>
    <row r="569" customFormat="false" ht="13.8" hidden="false" customHeight="false" outlineLevel="0" collapsed="false">
      <c r="B569" s="2" t="n">
        <v>567</v>
      </c>
      <c r="C569" s="2" t="n">
        <v>7.55506857149802E-010</v>
      </c>
      <c r="D569" s="2" t="n">
        <v>0</v>
      </c>
      <c r="E569" s="2" t="n">
        <v>1.8418126328125E-018</v>
      </c>
    </row>
    <row r="570" customFormat="false" ht="13.8" hidden="false" customHeight="false" outlineLevel="0" collapsed="false">
      <c r="B570" s="2" t="n">
        <v>568</v>
      </c>
      <c r="C570" s="2" t="n">
        <v>7.17735099516565E-010</v>
      </c>
      <c r="D570" s="2" t="n">
        <v>0</v>
      </c>
      <c r="E570" s="2" t="n">
        <v>9.20906316406251E-018</v>
      </c>
    </row>
    <row r="571" customFormat="false" ht="13.8" hidden="false" customHeight="false" outlineLevel="0" collapsed="false">
      <c r="B571" s="2" t="n">
        <v>569</v>
      </c>
      <c r="C571" s="2" t="n">
        <v>6.79962967507161E-010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6.42190458760002E-010</v>
      </c>
      <c r="D572" s="2" t="n">
        <v>2.55684275960938E-017</v>
      </c>
      <c r="E572" s="2" t="n">
        <v>5.29131318250001E-017</v>
      </c>
    </row>
    <row r="573" customFormat="false" ht="13.8" hidden="false" customHeight="false" outlineLevel="0" collapsed="false">
      <c r="B573" s="2" t="n">
        <v>571</v>
      </c>
      <c r="C573" s="2" t="n">
        <v>6.04417572321415E-010</v>
      </c>
      <c r="D573" s="2" t="n">
        <v>0</v>
      </c>
      <c r="E573" s="2" t="n">
        <v>9.20906316406251E-018</v>
      </c>
    </row>
    <row r="574" customFormat="false" ht="13.8" hidden="false" customHeight="false" outlineLevel="0" collapsed="false">
      <c r="B574" s="2" t="n">
        <v>572</v>
      </c>
      <c r="C574" s="2" t="n">
        <v>5.66644307237723E-010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5.28870664939441E-010</v>
      </c>
      <c r="D575" s="2" t="n">
        <v>0</v>
      </c>
      <c r="E575" s="2" t="n">
        <v>5.10713191921876E-017</v>
      </c>
    </row>
    <row r="576" customFormat="false" ht="13.8" hidden="false" customHeight="false" outlineLevel="0" collapsed="false">
      <c r="B576" s="2" t="n">
        <v>574</v>
      </c>
      <c r="C576" s="2" t="n">
        <v>4.91096647788154E-010</v>
      </c>
      <c r="D576" s="2" t="n">
        <v>0</v>
      </c>
      <c r="E576" s="2" t="n">
        <v>9.20906316406251E-019</v>
      </c>
    </row>
    <row r="577" customFormat="false" ht="13.8" hidden="false" customHeight="false" outlineLevel="0" collapsed="false">
      <c r="B577" s="2" t="n">
        <v>575</v>
      </c>
      <c r="C577" s="2" t="n">
        <v>4.53322248676501E-010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4.15547468272054E-010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3.77772320239931E-010</v>
      </c>
      <c r="D579" s="2" t="n">
        <v>0</v>
      </c>
      <c r="E579" s="2" t="n">
        <v>4.83086002429688E-017</v>
      </c>
    </row>
    <row r="580" customFormat="false" ht="13.8" hidden="false" customHeight="false" outlineLevel="0" collapsed="false">
      <c r="B580" s="2" t="n">
        <v>578</v>
      </c>
      <c r="C580" s="2" t="n">
        <v>3.39996785930822E-010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3.02220873621583E-010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2.64444590034375E-010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2.26667922699906E-010</v>
      </c>
      <c r="D583" s="2" t="n">
        <v>0</v>
      </c>
      <c r="E583" s="2" t="n">
        <v>9.20906316406251E-019</v>
      </c>
    </row>
    <row r="584" customFormat="false" ht="13.8" hidden="false" customHeight="false" outlineLevel="0" collapsed="false">
      <c r="B584" s="2" t="n">
        <v>582</v>
      </c>
      <c r="C584" s="2" t="n">
        <v>1.88890879462147E-010</v>
      </c>
      <c r="D584" s="2" t="n">
        <v>4.9119241008303E-010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1.5111346148935E-010</v>
      </c>
      <c r="D585" s="2" t="n">
        <v>5.10086975654085E-010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1.13335661915058E-010</v>
      </c>
      <c r="D586" s="2" t="n">
        <v>5.28981717713845E-010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7.55574900877705E-011</v>
      </c>
      <c r="D587" s="2" t="n">
        <v>5.4787668548186E-010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3.77789309319649E-011</v>
      </c>
      <c r="D588" s="2" t="n">
        <v>5.66771819328597E-010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5.85667129187201E-010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6.04562637760099E-010</v>
      </c>
      <c r="E590" s="2" t="n">
        <v>1.8418126328125E-018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6.23458342949209E-010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4.2138360186446E-010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4.97289410859376E-018</v>
      </c>
      <c r="D593" s="2" t="n">
        <v>6.61250302901136E-010</v>
      </c>
      <c r="E593" s="2" t="n">
        <v>1.27514457980469E-017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4.21392021659106E-010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6.99043035321706E-010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7.1793966763894E-010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7.36836500610586E-010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1.28926884296875E-018</v>
      </c>
      <c r="D598" s="2" t="n">
        <v>7.55733519416945E-010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7.74630732927189E-010</v>
      </c>
      <c r="E599" s="2" t="n">
        <v>5.70961916171876E-018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7.93528132272145E-010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8.28815684765626E-019</v>
      </c>
      <c r="D601" s="2" t="n">
        <v>8.12425718214754E-010</v>
      </c>
      <c r="E601" s="2" t="n">
        <v>9.20906316406251E-019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8.31323497812205E-010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8.50221462767532E-010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4.41398693619304E-010</v>
      </c>
      <c r="D604" s="2" t="n">
        <v>4.21434163924545E-010</v>
      </c>
      <c r="E604" s="2" t="n">
        <v>2.38561177543465E-010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8.16266238597457E-011</v>
      </c>
      <c r="D606" s="2" t="n">
        <v>0</v>
      </c>
      <c r="E606" s="2" t="n">
        <v>6.63601494225034E-011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0.0197836107185989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0.0435586679493889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0.000780705718358624</v>
      </c>
      <c r="D611" s="2" t="n">
        <v>0.0124452298981173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0.0919569445033064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0.014266532930056</v>
      </c>
      <c r="D613" s="2" t="n">
        <v>0.0348193757751619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2.1057730208569E-009</v>
      </c>
      <c r="D614" s="2" t="n">
        <v>0.0681147237136844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0.0545434883188733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0.0845761792393619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0.0339339475560287</v>
      </c>
      <c r="D617" s="2" t="n">
        <v>0.0733920034931838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0.102008327747006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0.0306738954286175</v>
      </c>
      <c r="D619" s="2" t="n">
        <v>0.0905747520008278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7.88574103941599E-010</v>
      </c>
      <c r="D620" s="2" t="n">
        <v>0.118098593228509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1.57715609023477E-009</v>
      </c>
      <c r="D621" s="2" t="n">
        <v>0.0987892677895232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2.36574596344799E-009</v>
      </c>
      <c r="D622" s="2" t="n">
        <v>0.124280342350537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0.0822086769282329</v>
      </c>
      <c r="D623" s="2" t="n">
        <v>0.144787266911552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0.0782150924120351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4.73156290059368E-009</v>
      </c>
      <c r="D625" s="2" t="n">
        <v>0.118510167912519</v>
      </c>
      <c r="E625" s="2" t="n">
        <v>0.926206777374154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0.0941383434130019</v>
      </c>
      <c r="E626" s="2" t="n">
        <v>0.823599195510524</v>
      </c>
    </row>
    <row r="627" customFormat="false" ht="13.8" hidden="false" customHeight="false" outlineLevel="0" collapsed="false">
      <c r="B627" s="2" t="n">
        <v>625</v>
      </c>
      <c r="C627" s="2" t="n">
        <v>6.30881362341629E-009</v>
      </c>
      <c r="D627" s="2" t="n">
        <v>0.112849635580153</v>
      </c>
      <c r="E627" s="2" t="n">
        <v>0.892362489616928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0.0605229793883679</v>
      </c>
      <c r="E628" s="2" t="n">
        <v>0.6961820038744</v>
      </c>
    </row>
    <row r="629" customFormat="false" ht="13.8" hidden="false" customHeight="false" outlineLevel="0" collapsed="false">
      <c r="B629" s="2" t="n">
        <v>627</v>
      </c>
      <c r="C629" s="2" t="n">
        <v>0.0432706589678303</v>
      </c>
      <c r="D629" s="2" t="n">
        <v>0.0874966065299164</v>
      </c>
      <c r="E629" s="2" t="n">
        <v>0.683497502421934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0.0142372336714648</v>
      </c>
      <c r="E630" s="2" t="n">
        <v>0.473822101542027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0.049893944146347</v>
      </c>
      <c r="E631" s="2" t="n">
        <v>0.47045046526176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0.0030133131582225</v>
      </c>
      <c r="E632" s="2" t="n">
        <v>0.103335709316239</v>
      </c>
    </row>
    <row r="633" customFormat="false" ht="13.8" hidden="false" customHeight="false" outlineLevel="0" collapsed="false">
      <c r="B633" s="2" t="n">
        <v>631</v>
      </c>
      <c r="C633" s="2" t="n">
        <v>3.31526273907263E-018</v>
      </c>
      <c r="D633" s="2" t="n">
        <v>0.0594831321700988</v>
      </c>
      <c r="E633" s="2" t="n">
        <v>0.444155293334486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0.369551503947966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0.0667556201938515</v>
      </c>
      <c r="E635" s="2" t="n">
        <v>1.8707187089964E-009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0.00955074302652272</v>
      </c>
      <c r="E636" s="2" t="n">
        <v>0.279666909114834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3.11789572195804E-009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0.0202421840428753</v>
      </c>
      <c r="E638" s="2" t="n">
        <v>0.207010919312521</v>
      </c>
    </row>
    <row r="639" customFormat="false" ht="13.8" hidden="false" customHeight="false" outlineLevel="0" collapsed="false">
      <c r="B639" s="2" t="n">
        <v>637</v>
      </c>
      <c r="C639" s="2" t="n">
        <v>2.05110692360868E-005</v>
      </c>
      <c r="D639" s="2" t="n">
        <v>0.0070153442147721</v>
      </c>
      <c r="E639" s="2" t="n">
        <v>0.269547224923277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0.0749931803295702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0.0272993650300581</v>
      </c>
    </row>
    <row r="642" customFormat="false" ht="13.8" hidden="false" customHeight="false" outlineLevel="0" collapsed="false">
      <c r="B642" s="2" t="n">
        <v>640</v>
      </c>
      <c r="C642" s="2" t="n">
        <v>4.15546756117375E-010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3.77771730414418E-010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3.39996308317594E-010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3.0222049910496E-010</v>
      </c>
      <c r="D645" s="2" t="n">
        <v>0</v>
      </c>
      <c r="E645" s="2" t="n">
        <v>1.84181263281247E-018</v>
      </c>
    </row>
    <row r="646" customFormat="false" ht="13.8" hidden="false" customHeight="false" outlineLevel="0" collapsed="false">
      <c r="B646" s="2" t="n">
        <v>644</v>
      </c>
      <c r="C646" s="2" t="n">
        <v>2.64444299174965E-010</v>
      </c>
      <c r="D646" s="2" t="n">
        <v>0</v>
      </c>
      <c r="E646" s="2" t="n">
        <v>0</v>
      </c>
    </row>
    <row r="647" customFormat="false" ht="13.8" hidden="false" customHeight="false" outlineLevel="0" collapsed="false">
      <c r="B647" s="2" t="n">
        <v>645</v>
      </c>
      <c r="C647" s="2" t="n">
        <v>2.26667711483828E-010</v>
      </c>
      <c r="D647" s="2" t="n">
        <v>9.20906316406244E-019</v>
      </c>
      <c r="E647" s="2" t="n">
        <v>0</v>
      </c>
    </row>
    <row r="648" customFormat="false" ht="13.8" hidden="false" customHeight="false" outlineLevel="0" collapsed="false">
      <c r="B648" s="2" t="n">
        <v>646</v>
      </c>
      <c r="C648" s="2" t="n">
        <v>1.88890733361086E-010</v>
      </c>
      <c r="D648" s="2" t="n">
        <v>0</v>
      </c>
      <c r="E648" s="2" t="n">
        <v>0</v>
      </c>
    </row>
    <row r="649" customFormat="false" ht="13.8" hidden="false" customHeight="false" outlineLevel="0" collapsed="false">
      <c r="B649" s="2" t="n">
        <v>647</v>
      </c>
      <c r="C649" s="2" t="n">
        <v>1.51113366713906E-010</v>
      </c>
      <c r="D649" s="2" t="n">
        <v>0</v>
      </c>
      <c r="E649" s="2" t="n">
        <v>9.20906316406243E-019</v>
      </c>
    </row>
    <row r="650" customFormat="false" ht="13.8" hidden="false" customHeight="false" outlineLevel="0" collapsed="false">
      <c r="B650" s="2" t="n">
        <v>648</v>
      </c>
      <c r="C650" s="2" t="n">
        <v>1.13335608871827E-010</v>
      </c>
      <c r="D650" s="2" t="n">
        <v>0</v>
      </c>
      <c r="E650" s="2" t="n">
        <v>1.84181263281247E-018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3.77789263733578E-011</v>
      </c>
      <c r="D652" s="2" t="n">
        <v>0</v>
      </c>
      <c r="E652" s="2" t="n">
        <v>1.84181263281247E-018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4.53321397547282E-010</v>
      </c>
      <c r="D654" s="2" t="n">
        <v>1.23073766398438E-017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4.15546757080752E-010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3.77771727087581E-010</v>
      </c>
      <c r="D656" s="2" t="n">
        <v>3.39996304434461E-010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3.39996307568616E-010</v>
      </c>
      <c r="D657" s="2" t="n">
        <v>3.02220500842851E-010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3.02220498521632E-010</v>
      </c>
      <c r="D658" s="2" t="n">
        <v>2.64444297474642E-010</v>
      </c>
      <c r="E658" s="2" t="n">
        <v>3.68362526562487E-018</v>
      </c>
    </row>
    <row r="659" customFormat="false" ht="13.8" hidden="false" customHeight="false" outlineLevel="0" collapsed="false">
      <c r="B659" s="2" t="n">
        <v>657</v>
      </c>
      <c r="C659" s="2" t="n">
        <v>2.64444299943383E-010</v>
      </c>
      <c r="D659" s="2" t="n">
        <v>2.26667714929024E-010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2.26667711832668E-010</v>
      </c>
      <c r="D660" s="2" t="n">
        <v>0</v>
      </c>
      <c r="E660" s="2" t="n">
        <v>1.84181263281247E-018</v>
      </c>
    </row>
    <row r="661" customFormat="false" ht="13.8" hidden="false" customHeight="false" outlineLevel="0" collapsed="false">
      <c r="B661" s="2" t="n">
        <v>659</v>
      </c>
      <c r="C661" s="2" t="n">
        <v>1.88890733231544E-010</v>
      </c>
      <c r="D661" s="2" t="n">
        <v>1.51113357373215E-010</v>
      </c>
      <c r="E661" s="2" t="n">
        <v>1.84181263281247E-018</v>
      </c>
    </row>
    <row r="662" customFormat="false" ht="13.8" hidden="false" customHeight="false" outlineLevel="0" collapsed="false">
      <c r="B662" s="2" t="n">
        <v>660</v>
      </c>
      <c r="C662" s="2" t="n">
        <v>1.51113366047176E-010</v>
      </c>
      <c r="D662" s="2" t="n">
        <v>1.13335620705362E-010</v>
      </c>
      <c r="E662" s="2" t="n">
        <v>2.76271894921868E-018</v>
      </c>
    </row>
    <row r="663" customFormat="false" ht="13.8" hidden="false" customHeight="false" outlineLevel="0" collapsed="false">
      <c r="B663" s="2" t="n">
        <v>661</v>
      </c>
      <c r="C663" s="2" t="n">
        <v>1.13335609325718E-010</v>
      </c>
      <c r="D663" s="2" t="n">
        <v>7.55574605989443E-011</v>
      </c>
      <c r="E663" s="2" t="n">
        <v>1.84181263281247E-018</v>
      </c>
    </row>
    <row r="664" customFormat="false" ht="13.8" hidden="false" customHeight="false" outlineLevel="0" collapsed="false">
      <c r="B664" s="2" t="n">
        <v>662</v>
      </c>
      <c r="C664" s="2" t="n">
        <v>7.55574630639222E-011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3.77789263038427E-011</v>
      </c>
      <c r="D665" s="2" t="n">
        <v>0</v>
      </c>
      <c r="E665" s="2" t="n">
        <v>3.68362526562487E-018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2.46147532796875E-017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3.77794810840198E-011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3.77789263090458E-011</v>
      </c>
      <c r="D668" s="2" t="n">
        <v>5.66694751834846E-011</v>
      </c>
      <c r="E668" s="2" t="n">
        <v>1.84181263281247E-018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7.55596561597495E-011</v>
      </c>
      <c r="E669" s="2" t="n">
        <v>1.84181263281247E-018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9.44500150933183E-011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1.13340549313758E-010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3.77789263060847E-011</v>
      </c>
      <c r="D672" s="2" t="n">
        <v>1.32231261843186E-010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1.51122149718174E-010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9.20906316406232E-019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6.28271457858817E-009</v>
      </c>
      <c r="D3" s="2" t="n">
        <v>0.0503855</v>
      </c>
      <c r="E3" s="2" t="n">
        <v>0.0535048333333333</v>
      </c>
    </row>
    <row r="4" customFormat="false" ht="13.8" hidden="false" customHeight="false" outlineLevel="0" collapsed="false">
      <c r="B4" s="2" t="n">
        <v>2</v>
      </c>
      <c r="C4" s="2" t="n">
        <v>0.0483854833333333</v>
      </c>
      <c r="D4" s="2" t="n">
        <v>0.039502</v>
      </c>
      <c r="E4" s="2" t="n">
        <v>0.0417854666666667</v>
      </c>
    </row>
    <row r="5" customFormat="false" ht="13.8" hidden="false" customHeight="false" outlineLevel="0" collapsed="false">
      <c r="B5" s="2" t="n">
        <v>3</v>
      </c>
      <c r="C5" s="2" t="n">
        <v>1.17093437788596E-009</v>
      </c>
      <c r="D5" s="2" t="n">
        <v>0.04846815</v>
      </c>
      <c r="E5" s="2" t="n">
        <v>0.118103183333333</v>
      </c>
    </row>
    <row r="6" customFormat="false" ht="13.8" hidden="false" customHeight="false" outlineLevel="0" collapsed="false">
      <c r="B6" s="2" t="n">
        <v>4</v>
      </c>
      <c r="C6" s="2" t="n">
        <v>8.78205156120879E-010</v>
      </c>
      <c r="D6" s="2" t="n">
        <v>0.0632340666666667</v>
      </c>
      <c r="E6" s="2" t="n">
        <v>0.0729519499999999</v>
      </c>
    </row>
    <row r="7" customFormat="false" ht="13.8" hidden="false" customHeight="false" outlineLevel="0" collapsed="false">
      <c r="B7" s="2" t="n">
        <v>5</v>
      </c>
      <c r="C7" s="2" t="n">
        <v>5.85473019776308E-010</v>
      </c>
      <c r="D7" s="2" t="n">
        <v>0.0253500833333334</v>
      </c>
      <c r="E7" s="2" t="n">
        <v>0.1337341</v>
      </c>
    </row>
    <row r="8" customFormat="false" ht="13.8" hidden="false" customHeight="false" outlineLevel="0" collapsed="false">
      <c r="B8" s="2" t="n">
        <v>6</v>
      </c>
      <c r="C8" s="2" t="n">
        <v>0.03973355</v>
      </c>
      <c r="D8" s="2" t="n">
        <v>0.0673668</v>
      </c>
      <c r="E8" s="2" t="n">
        <v>0.0168667833333333</v>
      </c>
    </row>
    <row r="9" customFormat="false" ht="13.8" hidden="false" customHeight="false" outlineLevel="0" collapsed="false">
      <c r="B9" s="2" t="n">
        <v>7</v>
      </c>
      <c r="C9" s="2" t="n">
        <v>0.0281798012870335</v>
      </c>
      <c r="D9" s="2" t="n">
        <v>0.0218001333333333</v>
      </c>
      <c r="E9" s="2" t="n">
        <v>0.0452373487129665</v>
      </c>
    </row>
    <row r="10" customFormat="false" ht="13.8" hidden="false" customHeight="false" outlineLevel="0" collapsed="false">
      <c r="B10" s="2" t="n">
        <v>8</v>
      </c>
      <c r="C10" s="2" t="n">
        <v>1.00518624657323E-008</v>
      </c>
      <c r="D10" s="2" t="n">
        <v>0.04200045</v>
      </c>
      <c r="E10" s="2" t="n">
        <v>0.0756004500000002</v>
      </c>
    </row>
    <row r="11" customFormat="false" ht="13.8" hidden="false" customHeight="false" outlineLevel="0" collapsed="false">
      <c r="B11" s="2" t="n">
        <v>9</v>
      </c>
      <c r="C11" s="2" t="n">
        <v>9.75922169607739E-009</v>
      </c>
      <c r="D11" s="2" t="n">
        <v>0.0455836166666667</v>
      </c>
      <c r="E11" s="2" t="n">
        <v>0.0796336333333332</v>
      </c>
    </row>
    <row r="12" customFormat="false" ht="13.8" hidden="false" customHeight="false" outlineLevel="0" collapsed="false">
      <c r="B12" s="2" t="n">
        <v>10</v>
      </c>
      <c r="C12" s="2" t="n">
        <v>9.46657801180259E-009</v>
      </c>
      <c r="D12" s="2" t="n">
        <v>0.0118668666666667</v>
      </c>
      <c r="E12" s="2" t="n">
        <v>0.108033633333333</v>
      </c>
    </row>
    <row r="13" customFormat="false" ht="13.8" hidden="false" customHeight="false" outlineLevel="0" collapsed="false">
      <c r="B13" s="2" t="n">
        <v>11</v>
      </c>
      <c r="C13" s="2" t="n">
        <v>9.17393141290305E-009</v>
      </c>
      <c r="D13" s="2" t="n">
        <v>0.04341685</v>
      </c>
      <c r="E13" s="2" t="n">
        <v>0.0588335333333333</v>
      </c>
    </row>
    <row r="14" customFormat="false" ht="13.8" hidden="false" customHeight="false" outlineLevel="0" collapsed="false">
      <c r="B14" s="2" t="n">
        <v>12</v>
      </c>
      <c r="C14" s="2" t="n">
        <v>8.88128189928683E-009</v>
      </c>
      <c r="D14" s="2" t="n">
        <v>0.0636168</v>
      </c>
      <c r="E14" s="2" t="n">
        <v>0.11885</v>
      </c>
    </row>
    <row r="15" customFormat="false" ht="13.8" hidden="false" customHeight="false" outlineLevel="0" collapsed="false">
      <c r="B15" s="2" t="n">
        <v>13</v>
      </c>
      <c r="C15" s="2" t="n">
        <v>8.5886294704689E-009</v>
      </c>
      <c r="D15" s="2" t="n">
        <v>0.026</v>
      </c>
      <c r="E15" s="2" t="n">
        <v>0.111133483333333</v>
      </c>
    </row>
    <row r="16" customFormat="false" ht="13.8" hidden="false" customHeight="false" outlineLevel="0" collapsed="false">
      <c r="B16" s="2" t="n">
        <v>14</v>
      </c>
      <c r="C16" s="2" t="n">
        <v>8.29597412788831E-009</v>
      </c>
      <c r="D16" s="2" t="n">
        <v>0.0641668</v>
      </c>
      <c r="E16" s="2" t="n">
        <v>0.153233383333333</v>
      </c>
    </row>
    <row r="17" customFormat="false" ht="13.8" hidden="false" customHeight="false" outlineLevel="0" collapsed="false">
      <c r="B17" s="2" t="n">
        <v>15</v>
      </c>
      <c r="C17" s="2" t="n">
        <v>8.00331586922679E-009</v>
      </c>
      <c r="D17" s="2" t="n">
        <v>0.0110003</v>
      </c>
      <c r="E17" s="2" t="n">
        <v>0.0859834333333335</v>
      </c>
    </row>
    <row r="18" customFormat="false" ht="13.8" hidden="false" customHeight="false" outlineLevel="0" collapsed="false">
      <c r="B18" s="2" t="n">
        <v>16</v>
      </c>
      <c r="C18" s="2" t="n">
        <v>7.71065469744262E-009</v>
      </c>
      <c r="D18" s="2" t="n">
        <v>0.0792002833333333</v>
      </c>
      <c r="E18" s="2" t="n">
        <v>0.142866966666667</v>
      </c>
    </row>
    <row r="19" customFormat="false" ht="13.8" hidden="false" customHeight="false" outlineLevel="0" collapsed="false">
      <c r="B19" s="2" t="n">
        <v>17</v>
      </c>
      <c r="C19" s="2" t="n">
        <v>7.41799060989057E-009</v>
      </c>
      <c r="D19" s="2" t="n">
        <v>3.51266319062976E-009</v>
      </c>
      <c r="E19" s="2" t="n">
        <v>0.0962503333333335</v>
      </c>
    </row>
    <row r="20" customFormat="false" ht="13.8" hidden="false" customHeight="false" outlineLevel="0" collapsed="false">
      <c r="B20" s="2" t="n">
        <v>18</v>
      </c>
      <c r="C20" s="2" t="n">
        <v>7.12532360757768E-009</v>
      </c>
      <c r="D20" s="2" t="n">
        <v>3.2199572946473E-009</v>
      </c>
      <c r="E20" s="2" t="n">
        <v>0.18106755</v>
      </c>
    </row>
    <row r="21" customFormat="false" ht="13.8" hidden="false" customHeight="false" outlineLevel="0" collapsed="false">
      <c r="B21" s="2" t="n">
        <v>19</v>
      </c>
      <c r="C21" s="2" t="n">
        <v>6.83265369029643E-009</v>
      </c>
      <c r="D21" s="2" t="n">
        <v>0.0562833666666667</v>
      </c>
      <c r="E21" s="2" t="n">
        <v>0.0649336</v>
      </c>
    </row>
    <row r="22" customFormat="false" ht="13.8" hidden="false" customHeight="false" outlineLevel="0" collapsed="false">
      <c r="B22" s="2" t="n">
        <v>20</v>
      </c>
      <c r="C22" s="2" t="n">
        <v>6.53998085813242E-009</v>
      </c>
      <c r="D22" s="2" t="n">
        <v>0.0529834</v>
      </c>
      <c r="E22" s="2" t="n">
        <v>0.1305838</v>
      </c>
    </row>
    <row r="23" customFormat="false" ht="13.8" hidden="false" customHeight="false" outlineLevel="0" collapsed="false">
      <c r="B23" s="2" t="n">
        <v>21</v>
      </c>
      <c r="C23" s="2" t="n">
        <v>6.24730511143872E-009</v>
      </c>
      <c r="D23" s="2" t="n">
        <v>0.05325</v>
      </c>
      <c r="E23" s="2" t="n">
        <v>0.0947672</v>
      </c>
    </row>
    <row r="24" customFormat="false" ht="13.8" hidden="false" customHeight="false" outlineLevel="0" collapsed="false">
      <c r="B24" s="2" t="n">
        <v>22</v>
      </c>
      <c r="C24" s="2" t="n">
        <v>5.95462644883692E-009</v>
      </c>
      <c r="D24" s="2" t="n">
        <v>0.052976733795248</v>
      </c>
      <c r="E24" s="2" t="n">
        <v>0.151471492956758</v>
      </c>
    </row>
    <row r="25" customFormat="false" ht="13.8" hidden="false" customHeight="false" outlineLevel="0" collapsed="false">
      <c r="B25" s="2" t="n">
        <v>23</v>
      </c>
      <c r="C25" s="2" t="n">
        <v>5.66194487214409E-009</v>
      </c>
      <c r="D25" s="2" t="n">
        <v>1.7563840736921E-009</v>
      </c>
      <c r="E25" s="2" t="n">
        <v>0.110163170170679</v>
      </c>
    </row>
    <row r="26" customFormat="false" ht="13.8" hidden="false" customHeight="false" outlineLevel="0" collapsed="false">
      <c r="B26" s="2" t="n">
        <v>24</v>
      </c>
      <c r="C26" s="2" t="n">
        <v>5.36926037877489E-009</v>
      </c>
      <c r="D26" s="2" t="n">
        <v>1.46366068308138E-009</v>
      </c>
      <c r="E26" s="2" t="n">
        <v>0.237144663589351</v>
      </c>
    </row>
    <row r="27" customFormat="false" ht="13.8" hidden="false" customHeight="false" outlineLevel="0" collapsed="false">
      <c r="B27" s="2" t="n">
        <v>25</v>
      </c>
      <c r="C27" s="2" t="n">
        <v>5.07657297311303E-009</v>
      </c>
      <c r="D27" s="2" t="n">
        <v>1.17093437688274E-009</v>
      </c>
      <c r="E27" s="2" t="n">
        <v>0.105842940341357</v>
      </c>
    </row>
    <row r="28" customFormat="false" ht="13.8" hidden="false" customHeight="false" outlineLevel="0" collapsed="false">
      <c r="B28" s="2" t="n">
        <v>26</v>
      </c>
      <c r="C28" s="2" t="n">
        <v>4.78388265071151E-009</v>
      </c>
      <c r="D28" s="2" t="n">
        <v>0.0499918906624694</v>
      </c>
      <c r="E28" s="2" t="n">
        <v>0.172772830113164</v>
      </c>
    </row>
    <row r="29" customFormat="false" ht="13.8" hidden="false" customHeight="false" outlineLevel="0" collapsed="false">
      <c r="B29" s="2" t="n">
        <v>27</v>
      </c>
      <c r="C29" s="2" t="n">
        <v>4.49118941358874E-009</v>
      </c>
      <c r="D29" s="2" t="n">
        <v>0.0845099294772802</v>
      </c>
      <c r="E29" s="2" t="n">
        <v>0.0252095883992972</v>
      </c>
    </row>
    <row r="30" customFormat="false" ht="13.8" hidden="false" customHeight="false" outlineLevel="0" collapsed="false">
      <c r="B30" s="2" t="n">
        <v>28</v>
      </c>
      <c r="C30" s="2" t="n">
        <v>3.08327049019644E-009</v>
      </c>
      <c r="D30" s="2" t="n">
        <v>2.92737967752802E-010</v>
      </c>
      <c r="E30" s="2" t="n">
        <v>0.170524631644188</v>
      </c>
    </row>
    <row r="31" customFormat="false" ht="13.8" hidden="false" customHeight="false" outlineLevel="0" collapsed="false">
      <c r="B31" s="2" t="n">
        <v>29</v>
      </c>
      <c r="C31" s="2" t="n">
        <v>8.83799274712886E-010</v>
      </c>
      <c r="D31" s="2" t="n">
        <v>0.0487686091880935</v>
      </c>
      <c r="E31" s="2" t="n">
        <v>0.0717432694987516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5.82856644966733E-011</v>
      </c>
      <c r="E32" s="2" t="n">
        <v>0.0693026099367285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1.30973342777778E-016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5.11614620225695E-019</v>
      </c>
      <c r="E38" s="2" t="n">
        <v>1.30973342777778E-016</v>
      </c>
    </row>
    <row r="39" customFormat="false" ht="13.8" hidden="false" customHeight="false" outlineLevel="0" collapsed="false">
      <c r="B39" s="2" t="n">
        <v>37</v>
      </c>
      <c r="C39" s="2" t="n">
        <v>1.76090399083738E-018</v>
      </c>
      <c r="D39" s="2" t="n">
        <v>1.02322924045139E-018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4.09291696180556E-018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9.20906316406344E-019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2.63403801170769E-010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3.95107677295706E-010</v>
      </c>
      <c r="D46" s="2" t="n">
        <v>0</v>
      </c>
      <c r="E46" s="2" t="n">
        <v>1.30973342777778E-016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1.84181263281287E-018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1.30973342777778E-016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1.84181263281287E-018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9.20906316406344E-019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4.09291696180556E-018</v>
      </c>
      <c r="D53" s="2" t="n">
        <v>3.68362526562649E-018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3.68362526562649E-018</v>
      </c>
      <c r="E55" s="2" t="n">
        <v>1.30973342777778E-016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1.84181263281287E-018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1.2039964359377E-017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1.84181263281287E-018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3.05975684825314E-017</v>
      </c>
      <c r="E62" s="2" t="n">
        <v>3.68362529629704E-018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4.09291696180556E-018</v>
      </c>
      <c r="D64" s="2" t="n">
        <v>1.38817769921883E-017</v>
      </c>
      <c r="E64" s="2" t="n">
        <v>1.84181263536848E-018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3.6836252732929E-018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1.84181263434607E-018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3.68362527073688E-018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3.77806260850688E-010</v>
      </c>
    </row>
    <row r="70" customFormat="false" ht="13.8" hidden="false" customHeight="false" outlineLevel="0" collapsed="false">
      <c r="B70" s="2" t="n">
        <v>68</v>
      </c>
      <c r="C70" s="2" t="n">
        <v>6.14688509318297E-009</v>
      </c>
      <c r="D70" s="2" t="n">
        <v>8.9460512144841E-009</v>
      </c>
      <c r="E70" s="2" t="n">
        <v>0.0155800253679662</v>
      </c>
    </row>
    <row r="71" customFormat="false" ht="13.8" hidden="false" customHeight="false" outlineLevel="0" collapsed="false">
      <c r="B71" s="2" t="n">
        <v>69</v>
      </c>
      <c r="C71" s="2" t="n">
        <v>5.85420543129603E-009</v>
      </c>
      <c r="D71" s="2" t="n">
        <v>8.71361952804422E-009</v>
      </c>
      <c r="E71" s="2" t="n">
        <v>0.0479166144675131</v>
      </c>
    </row>
    <row r="72" customFormat="false" ht="13.8" hidden="false" customHeight="false" outlineLevel="0" collapsed="false">
      <c r="B72" s="2" t="n">
        <v>70</v>
      </c>
      <c r="C72" s="2" t="n">
        <v>5.56152285427331E-009</v>
      </c>
      <c r="D72" s="2" t="n">
        <v>8.48138076142409E-009</v>
      </c>
      <c r="E72" s="2" t="n">
        <v>0.106021015017301</v>
      </c>
    </row>
    <row r="73" customFormat="false" ht="13.8" hidden="false" customHeight="false" outlineLevel="0" collapsed="false">
      <c r="B73" s="2" t="n">
        <v>71</v>
      </c>
      <c r="C73" s="2" t="n">
        <v>5.26883736173911E-009</v>
      </c>
      <c r="D73" s="2" t="n">
        <v>8.24934655370094E-009</v>
      </c>
      <c r="E73" s="2" t="n">
        <v>0.135975482233757</v>
      </c>
    </row>
    <row r="74" customFormat="false" ht="13.8" hidden="false" customHeight="false" outlineLevel="0" collapsed="false">
      <c r="B74" s="2" t="n">
        <v>72</v>
      </c>
      <c r="C74" s="2" t="n">
        <v>4.97614895577572E-009</v>
      </c>
      <c r="D74" s="2" t="n">
        <v>8.01752940895119E-009</v>
      </c>
      <c r="E74" s="2" t="n">
        <v>0.180680166116878</v>
      </c>
    </row>
    <row r="75" customFormat="false" ht="13.8" hidden="false" customHeight="false" outlineLevel="0" collapsed="false">
      <c r="B75" s="2" t="n">
        <v>73</v>
      </c>
      <c r="C75" s="2" t="n">
        <v>4.68345763289669E-009</v>
      </c>
      <c r="D75" s="2" t="n">
        <v>7.78594284838474E-009</v>
      </c>
      <c r="E75" s="2" t="n">
        <v>0.230585033333333</v>
      </c>
    </row>
    <row r="76" customFormat="false" ht="13.8" hidden="false" customHeight="false" outlineLevel="0" collapsed="false">
      <c r="B76" s="2" t="n">
        <v>74</v>
      </c>
      <c r="C76" s="2" t="n">
        <v>4.39076339574573E-009</v>
      </c>
      <c r="D76" s="2" t="n">
        <v>7.55460137369424E-009</v>
      </c>
      <c r="E76" s="2" t="n">
        <v>0.233819033333333</v>
      </c>
    </row>
    <row r="77" customFormat="false" ht="13.8" hidden="false" customHeight="false" outlineLevel="0" collapsed="false">
      <c r="B77" s="2" t="n">
        <v>75</v>
      </c>
      <c r="C77" s="2" t="n">
        <v>4.09806624334134E-009</v>
      </c>
      <c r="D77" s="2" t="n">
        <v>7.32352068871796E-009</v>
      </c>
      <c r="E77" s="2" t="n">
        <v>0.2416203</v>
      </c>
    </row>
    <row r="78" customFormat="false" ht="13.8" hidden="false" customHeight="false" outlineLevel="0" collapsed="false">
      <c r="B78" s="2" t="n">
        <v>76</v>
      </c>
      <c r="C78" s="2" t="n">
        <v>3.80536617568573E-009</v>
      </c>
      <c r="D78" s="2" t="n">
        <v>7.09271769909819E-009</v>
      </c>
      <c r="E78" s="2" t="n">
        <v>0.213889316666667</v>
      </c>
    </row>
    <row r="79" customFormat="false" ht="13.8" hidden="false" customHeight="false" outlineLevel="0" collapsed="false">
      <c r="B79" s="2" t="n">
        <v>77</v>
      </c>
      <c r="C79" s="2" t="n">
        <v>3.51266319665157E-009</v>
      </c>
      <c r="D79" s="2" t="n">
        <v>6.86221081791775E-009</v>
      </c>
      <c r="E79" s="2" t="n">
        <v>0.282106666666667</v>
      </c>
    </row>
    <row r="80" customFormat="false" ht="13.8" hidden="false" customHeight="false" outlineLevel="0" collapsed="false">
      <c r="B80" s="2" t="n">
        <v>78</v>
      </c>
      <c r="C80" s="2" t="n">
        <v>3.21995729037478E-009</v>
      </c>
      <c r="D80" s="2" t="n">
        <v>6.63201968058343E-009</v>
      </c>
      <c r="E80" s="2" t="n">
        <v>0.257941333333333</v>
      </c>
    </row>
    <row r="81" customFormat="false" ht="13.8" hidden="false" customHeight="false" outlineLevel="0" collapsed="false">
      <c r="B81" s="2" t="n">
        <v>79</v>
      </c>
      <c r="C81" s="2" t="n">
        <v>2.92724847971408E-009</v>
      </c>
      <c r="D81" s="2" t="n">
        <v>6.402165847588E-009</v>
      </c>
      <c r="E81" s="2" t="n">
        <v>0.356673783333333</v>
      </c>
    </row>
    <row r="82" customFormat="false" ht="13.8" hidden="false" customHeight="false" outlineLevel="0" collapsed="false">
      <c r="B82" s="2" t="n">
        <v>80</v>
      </c>
      <c r="C82" s="2" t="n">
        <v>2.63453675109458E-009</v>
      </c>
      <c r="D82" s="2" t="n">
        <v>6.1726724690246E-009</v>
      </c>
      <c r="E82" s="2" t="n">
        <v>0.278642633333333</v>
      </c>
    </row>
    <row r="83" customFormat="false" ht="13.8" hidden="false" customHeight="false" outlineLevel="0" collapsed="false">
      <c r="B83" s="2" t="n">
        <v>81</v>
      </c>
      <c r="C83" s="2" t="n">
        <v>2.34182211096773E-009</v>
      </c>
      <c r="D83" s="2" t="n">
        <v>5.94356488138675E-009</v>
      </c>
      <c r="E83" s="2" t="n">
        <v>0.346459516666667</v>
      </c>
    </row>
    <row r="84" customFormat="false" ht="13.8" hidden="false" customHeight="false" outlineLevel="0" collapsed="false">
      <c r="B84" s="2" t="n">
        <v>82</v>
      </c>
      <c r="C84" s="2" t="n">
        <v>2.04910454514845E-009</v>
      </c>
      <c r="D84" s="2" t="n">
        <v>5.71487018876665E-009</v>
      </c>
      <c r="E84" s="2" t="n">
        <v>0.303743633333333</v>
      </c>
    </row>
    <row r="85" customFormat="false" ht="13.8" hidden="false" customHeight="false" outlineLevel="0" collapsed="false">
      <c r="B85" s="2" t="n">
        <v>83</v>
      </c>
      <c r="C85" s="2" t="n">
        <v>1.75638407753715E-009</v>
      </c>
      <c r="D85" s="2" t="n">
        <v>5.48661819204515E-009</v>
      </c>
      <c r="E85" s="2" t="n">
        <v>0.337960033333333</v>
      </c>
    </row>
    <row r="86" customFormat="false" ht="13.8" hidden="false" customHeight="false" outlineLevel="0" collapsed="false">
      <c r="B86" s="2" t="n">
        <v>84</v>
      </c>
      <c r="C86" s="2" t="n">
        <v>1.463660679487E-009</v>
      </c>
      <c r="D86" s="2" t="n">
        <v>5.2588410550848E-009</v>
      </c>
      <c r="E86" s="2" t="n">
        <v>0.3251937</v>
      </c>
    </row>
    <row r="87" customFormat="false" ht="13.8" hidden="false" customHeight="false" outlineLevel="0" collapsed="false">
      <c r="B87" s="2" t="n">
        <v>85</v>
      </c>
      <c r="C87" s="2" t="n">
        <v>1.17093437677876E-009</v>
      </c>
      <c r="D87" s="2" t="n">
        <v>5.03157381226128E-009</v>
      </c>
      <c r="E87" s="2" t="n">
        <v>0.3633616</v>
      </c>
    </row>
    <row r="88" customFormat="false" ht="13.8" hidden="false" customHeight="false" outlineLevel="0" collapsed="false">
      <c r="B88" s="2" t="n">
        <v>86</v>
      </c>
      <c r="C88" s="2" t="n">
        <v>8.78205156670835E-010</v>
      </c>
      <c r="D88" s="2" t="n">
        <v>4.80485446830282E-009</v>
      </c>
      <c r="E88" s="2" t="n">
        <v>0.2910444</v>
      </c>
    </row>
    <row r="89" customFormat="false" ht="13.8" hidden="false" customHeight="false" outlineLevel="0" collapsed="false">
      <c r="B89" s="2" t="n">
        <v>87</v>
      </c>
      <c r="C89" s="2" t="n">
        <v>0.0721701330689045</v>
      </c>
      <c r="D89" s="2" t="n">
        <v>0.123670466666667</v>
      </c>
      <c r="E89" s="2" t="n">
        <v>0.134653833333333</v>
      </c>
    </row>
    <row r="90" customFormat="false" ht="13.8" hidden="false" customHeight="false" outlineLevel="0" collapsed="false">
      <c r="B90" s="2" t="n">
        <v>88</v>
      </c>
      <c r="C90" s="2" t="n">
        <v>2.9273796723463E-010</v>
      </c>
      <c r="D90" s="2" t="n">
        <v>4.35322847641115E-009</v>
      </c>
      <c r="E90" s="2" t="n">
        <v>0.2942112</v>
      </c>
    </row>
    <row r="91" customFormat="false" ht="13.8" hidden="false" customHeight="false" outlineLevel="0" collapsed="false">
      <c r="B91" s="2" t="n">
        <v>89</v>
      </c>
      <c r="C91" s="2" t="n">
        <v>0.0201551138449856</v>
      </c>
      <c r="D91" s="2" t="n">
        <v>0.0994211166666667</v>
      </c>
      <c r="E91" s="2" t="n">
        <v>0.145852186155014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3.80536617811271E-009</v>
      </c>
      <c r="E92" s="2" t="n">
        <v>0.208562266666667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0.0965034666666667</v>
      </c>
      <c r="E93" s="2" t="n">
        <v>0.14750725</v>
      </c>
    </row>
    <row r="94" customFormat="false" ht="13.8" hidden="false" customHeight="false" outlineLevel="0" collapsed="false">
      <c r="B94" s="2" t="n">
        <v>92</v>
      </c>
      <c r="C94" s="2" t="n">
        <v>2.04645848092207E-018</v>
      </c>
      <c r="D94" s="2" t="n">
        <v>0.0924532</v>
      </c>
      <c r="E94" s="2" t="n">
        <v>0.14962395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0.0237535</v>
      </c>
      <c r="E95" s="2" t="n">
        <v>0.1527892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0.0660531166666667</v>
      </c>
      <c r="E96" s="2" t="n">
        <v>0.1651565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2.34182211341241E-009</v>
      </c>
      <c r="E97" s="2" t="n">
        <v>0.130859016666667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2.04910454276467E-009</v>
      </c>
      <c r="E98" s="2" t="n">
        <v>0.112159216666667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0.0578195666666667</v>
      </c>
      <c r="E99" s="2" t="n">
        <v>0.0438718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0.0236195</v>
      </c>
      <c r="E100" s="2" t="n">
        <v>0.17645415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0.0617519666666667</v>
      </c>
      <c r="E101" s="2" t="n">
        <v>0.0577863166666667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8.7820514846844E-010</v>
      </c>
      <c r="E102" s="2" t="n">
        <v>0.111236183333333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0.0594671</v>
      </c>
      <c r="E103" s="2" t="n">
        <v>0.0846842833333333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0.0496002333333333</v>
      </c>
      <c r="E104" s="2" t="n">
        <v>0.0361337666666667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0.00193017808471023</v>
      </c>
      <c r="E105" s="2" t="n">
        <v>0.16382037191529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0.059800416647777</v>
      </c>
      <c r="E106" s="2" t="n">
        <v>0.0338003166666667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0.166733933333333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0.1002504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0.1728505</v>
      </c>
    </row>
    <row r="110" customFormat="false" ht="13.8" hidden="false" customHeight="false" outlineLevel="0" collapsed="false">
      <c r="B110" s="2" t="n">
        <v>108</v>
      </c>
      <c r="C110" s="2" t="n">
        <v>2.04645848090583E-018</v>
      </c>
      <c r="D110" s="2" t="n">
        <v>0</v>
      </c>
      <c r="E110" s="2" t="n">
        <v>0.0993672666666667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0.15913375</v>
      </c>
    </row>
    <row r="112" customFormat="false" ht="13.8" hidden="false" customHeight="false" outlineLevel="0" collapsed="false">
      <c r="B112" s="2" t="n">
        <v>110</v>
      </c>
      <c r="C112" s="2" t="n">
        <v>2.04645848090554E-018</v>
      </c>
      <c r="D112" s="2" t="n">
        <v>0.0536501498677688</v>
      </c>
      <c r="E112" s="2" t="n">
        <v>0.07545035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0.0570667665155445</v>
      </c>
      <c r="E113" s="2" t="n">
        <v>0.0831169666666667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0.0698667664966535</v>
      </c>
      <c r="E114" s="2" t="n">
        <v>0.0912837166666667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0.0411667164777622</v>
      </c>
      <c r="E115" s="2" t="n">
        <v>0.0645668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0.0549167331255375</v>
      </c>
      <c r="E116" s="2" t="n">
        <v>0.1046837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0.0587167831066459</v>
      </c>
      <c r="E117" s="2" t="n">
        <v>0.0690168166666667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0.0805500997544208</v>
      </c>
      <c r="E118" s="2" t="n">
        <v>0.118050166666667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0.0564500830688621</v>
      </c>
      <c r="E119" s="2" t="n">
        <v>0.06316705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0.0712135602336147</v>
      </c>
      <c r="E120" s="2" t="n">
        <v>0.0718121476112636</v>
      </c>
    </row>
    <row r="121" customFormat="false" ht="13.8" hidden="false" customHeight="false" outlineLevel="0" collapsed="false">
      <c r="B121" s="2" t="n">
        <v>119</v>
      </c>
      <c r="C121" s="2" t="n">
        <v>2.04645848090471E-018</v>
      </c>
      <c r="D121" s="2" t="n">
        <v>0.0454935873983671</v>
      </c>
      <c r="E121" s="2" t="n">
        <v>0.0566403952225271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0.0676568145631194</v>
      </c>
      <c r="E122" s="2" t="n">
        <v>0.099802276167124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0.0421204083945381</v>
      </c>
      <c r="E123" s="2" t="n">
        <v>0.0139140731549355</v>
      </c>
    </row>
    <row r="124" customFormat="false" ht="13.8" hidden="false" customHeight="false" outlineLevel="0" collapsed="false">
      <c r="B124" s="2" t="n">
        <v>122</v>
      </c>
      <c r="C124" s="2" t="n">
        <v>0.07374915517852</v>
      </c>
      <c r="D124" s="2" t="n">
        <v>0.0587254409654542</v>
      </c>
      <c r="E124" s="2" t="n">
        <v>3.11722944449514E-009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7.28170496000002E-020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0.00669550345277388</v>
      </c>
      <c r="D126" s="2" t="n">
        <v>0</v>
      </c>
      <c r="E126" s="2" t="n">
        <v>0.0145105532865492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4.72247230707775E-011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2.63403798751625E-010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3.95107676086134E-010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6.58519379093804E-010</v>
      </c>
      <c r="D142" s="2" t="n">
        <v>5.74670786972337E-017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7.90227205971944E-010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9.21936347641394E-010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1.05364681196559E-009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1.18535858865507E-009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1.31707168224441E-009</v>
      </c>
      <c r="D147" s="2" t="n">
        <v>2.83568732436009E-017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1.44878609635927E-009</v>
      </c>
      <c r="D148" s="2" t="n">
        <v>1.31701240761396E-010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1.58050182736711E-009</v>
      </c>
      <c r="D149" s="2" t="n">
        <v>0</v>
      </c>
      <c r="E149" s="2" t="n">
        <v>1.3170124318054E-010</v>
      </c>
    </row>
    <row r="150" customFormat="false" ht="13.8" hidden="false" customHeight="false" outlineLevel="0" collapsed="false">
      <c r="B150" s="2" t="n">
        <v>148</v>
      </c>
      <c r="C150" s="2" t="n">
        <v>1.71221887405452E-009</v>
      </c>
      <c r="D150" s="2" t="n">
        <v>0</v>
      </c>
      <c r="E150" s="2" t="n">
        <v>3.68362528096095E-018</v>
      </c>
    </row>
    <row r="151" customFormat="false" ht="13.8" hidden="false" customHeight="false" outlineLevel="0" collapsed="false">
      <c r="B151" s="2" t="n">
        <v>149</v>
      </c>
      <c r="C151" s="2" t="n">
        <v>1.84393723671908E-009</v>
      </c>
      <c r="D151" s="2" t="n">
        <v>0</v>
      </c>
      <c r="E151" s="2" t="n">
        <v>2.4422410899595E-017</v>
      </c>
    </row>
    <row r="152" customFormat="false" ht="13.8" hidden="false" customHeight="false" outlineLevel="0" collapsed="false">
      <c r="B152" s="2" t="n">
        <v>150</v>
      </c>
      <c r="C152" s="2" t="n">
        <v>1.9756569183844E-009</v>
      </c>
      <c r="D152" s="2" t="n">
        <v>1.3170124318054E-010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2.10737791601921E-009</v>
      </c>
      <c r="D153" s="2" t="n">
        <v>3.10923903787171E-017</v>
      </c>
      <c r="E153" s="2" t="n">
        <v>5.52543791223965E-018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1.3170124318054E-010</v>
      </c>
      <c r="E154" s="2" t="n">
        <v>1.84181263409047E-018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9.20906317364747E-019</v>
      </c>
      <c r="E155" s="2" t="n">
        <v>3.68362527000659E-018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1.84181263281269E-018</v>
      </c>
      <c r="E160" s="2" t="n">
        <v>9.20906316565992E-019</v>
      </c>
    </row>
    <row r="161" customFormat="false" ht="13.8" hidden="false" customHeight="false" outlineLevel="0" collapsed="false">
      <c r="B161" s="2" t="n">
        <v>159</v>
      </c>
      <c r="C161" s="2" t="n">
        <v>4.09291696180556E-018</v>
      </c>
      <c r="D161" s="2" t="n">
        <v>0</v>
      </c>
      <c r="E161" s="2" t="n">
        <v>1.84181263340231E-018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9.20906316543171E-019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1.84181263332367E-018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3.68362526754186E-018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4.09291696180556E-018</v>
      </c>
      <c r="D166" s="2" t="n">
        <v>0</v>
      </c>
      <c r="E166" s="2" t="n">
        <v>9.20906316512742E-019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9.20906316507137E-019</v>
      </c>
    </row>
    <row r="168" customFormat="false" ht="13.8" hidden="false" customHeight="false" outlineLevel="0" collapsed="false">
      <c r="B168" s="2" t="n">
        <v>166</v>
      </c>
      <c r="C168" s="2" t="n">
        <v>1.20892144888722E-008</v>
      </c>
      <c r="D168" s="2" t="n">
        <v>0.053578430149814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1.36738483774145E-008</v>
      </c>
      <c r="D169" s="2" t="n">
        <v>0</v>
      </c>
      <c r="E169" s="2" t="n">
        <v>0.0449798055714434</v>
      </c>
    </row>
    <row r="170" customFormat="false" ht="13.8" hidden="false" customHeight="false" outlineLevel="0" collapsed="false">
      <c r="B170" s="2" t="n">
        <v>168</v>
      </c>
      <c r="C170" s="2" t="n">
        <v>1.34469374840106E-008</v>
      </c>
      <c r="D170" s="2" t="n">
        <v>0.0946132377500932</v>
      </c>
      <c r="E170" s="2" t="n">
        <v>0.10788334324298</v>
      </c>
    </row>
    <row r="171" customFormat="false" ht="13.8" hidden="false" customHeight="false" outlineLevel="0" collapsed="false">
      <c r="B171" s="2" t="n">
        <v>169</v>
      </c>
      <c r="C171" s="2" t="n">
        <v>1.32202312076075E-008</v>
      </c>
      <c r="D171" s="2" t="n">
        <v>0.0483765662800839</v>
      </c>
      <c r="E171" s="2" t="n">
        <v>0.134454356801285</v>
      </c>
    </row>
    <row r="172" customFormat="false" ht="13.8" hidden="false" customHeight="false" outlineLevel="0" collapsed="false">
      <c r="B172" s="2" t="n">
        <v>170</v>
      </c>
      <c r="C172" s="2" t="n">
        <v>1.29937351726213E-008</v>
      </c>
      <c r="D172" s="2" t="n">
        <v>0.0754787955433962</v>
      </c>
      <c r="E172" s="2" t="n">
        <v>0.164050205100964</v>
      </c>
    </row>
    <row r="173" customFormat="false" ht="13.8" hidden="false" customHeight="false" outlineLevel="0" collapsed="false">
      <c r="B173" s="2" t="n">
        <v>171</v>
      </c>
      <c r="C173" s="2" t="n">
        <v>1.27674551776412E-008</v>
      </c>
      <c r="D173" s="2" t="n">
        <v>0.0944477581400419</v>
      </c>
      <c r="E173" s="2" t="n">
        <v>0.128212803400642</v>
      </c>
    </row>
    <row r="174" customFormat="false" ht="13.8" hidden="false" customHeight="false" outlineLevel="0" collapsed="false">
      <c r="B174" s="2" t="n">
        <v>172</v>
      </c>
      <c r="C174" s="2" t="n">
        <v>1.25413972094597E-008</v>
      </c>
      <c r="D174" s="2" t="n">
        <v>0.0517998874033543</v>
      </c>
      <c r="E174" s="2" t="n">
        <v>0.147842518366988</v>
      </c>
    </row>
    <row r="175" customFormat="false" ht="13.8" hidden="false" customHeight="false" outlineLevel="0" collapsed="false">
      <c r="B175" s="2" t="n">
        <v>173</v>
      </c>
      <c r="C175" s="2" t="n">
        <v>1.23155674353449E-008</v>
      </c>
      <c r="D175" s="2" t="n">
        <v>2.92737966175862E-010</v>
      </c>
      <c r="E175" s="2" t="n">
        <v>0.240507366666667</v>
      </c>
    </row>
    <row r="176" customFormat="false" ht="13.8" hidden="false" customHeight="false" outlineLevel="0" collapsed="false">
      <c r="B176" s="2" t="n">
        <v>174</v>
      </c>
      <c r="C176" s="2" t="n">
        <v>1.2089972218439E-008</v>
      </c>
      <c r="D176" s="2" t="n">
        <v>0.0287027542429169</v>
      </c>
      <c r="E176" s="2" t="n">
        <v>0.24790536242375</v>
      </c>
    </row>
    <row r="177" customFormat="false" ht="13.8" hidden="false" customHeight="false" outlineLevel="0" collapsed="false">
      <c r="B177" s="2" t="n">
        <v>175</v>
      </c>
      <c r="C177" s="2" t="n">
        <v>1.18646181188947E-008</v>
      </c>
      <c r="D177" s="2" t="n">
        <v>0</v>
      </c>
      <c r="E177" s="2" t="n">
        <v>0.2722928</v>
      </c>
    </row>
    <row r="178" customFormat="false" ht="13.8" hidden="false" customHeight="false" outlineLevel="0" collapsed="false">
      <c r="B178" s="2" t="n">
        <v>176</v>
      </c>
      <c r="C178" s="2" t="n">
        <v>1.1639511904487E-008</v>
      </c>
      <c r="D178" s="2" t="n">
        <v>0</v>
      </c>
      <c r="E178" s="2" t="n">
        <v>0.26952745</v>
      </c>
    </row>
    <row r="179" customFormat="false" ht="13.8" hidden="false" customHeight="false" outlineLevel="0" collapsed="false">
      <c r="B179" s="2" t="n">
        <v>177</v>
      </c>
      <c r="C179" s="2" t="n">
        <v>1.14146205773355E-008</v>
      </c>
      <c r="D179" s="2" t="n">
        <v>0</v>
      </c>
      <c r="E179" s="2" t="n">
        <v>0.293428233333333</v>
      </c>
    </row>
    <row r="180" customFormat="false" ht="13.8" hidden="false" customHeight="false" outlineLevel="0" collapsed="false">
      <c r="B180" s="2" t="n">
        <v>178</v>
      </c>
      <c r="C180" s="2" t="n">
        <v>1.11219933805937E-008</v>
      </c>
      <c r="D180" s="2" t="n">
        <v>0</v>
      </c>
      <c r="E180" s="2" t="n">
        <v>0.325827516666667</v>
      </c>
    </row>
    <row r="181" customFormat="false" ht="13.8" hidden="false" customHeight="false" outlineLevel="0" collapsed="false">
      <c r="B181" s="2" t="n">
        <v>179</v>
      </c>
      <c r="C181" s="2" t="n">
        <v>1.08293632712389E-008</v>
      </c>
      <c r="D181" s="2" t="n">
        <v>0</v>
      </c>
      <c r="E181" s="2" t="n">
        <v>0.32022725</v>
      </c>
    </row>
    <row r="182" customFormat="false" ht="13.8" hidden="false" customHeight="false" outlineLevel="0" collapsed="false">
      <c r="B182" s="2" t="n">
        <v>180</v>
      </c>
      <c r="C182" s="2" t="n">
        <v>1.0536730238546E-008</v>
      </c>
      <c r="D182" s="2" t="n">
        <v>0</v>
      </c>
      <c r="E182" s="2" t="n">
        <v>0.323910383333333</v>
      </c>
    </row>
    <row r="183" customFormat="false" ht="13.8" hidden="false" customHeight="false" outlineLevel="0" collapsed="false">
      <c r="B183" s="2" t="n">
        <v>181</v>
      </c>
      <c r="C183" s="2" t="n">
        <v>1.02440943023013E-008</v>
      </c>
      <c r="D183" s="2" t="n">
        <v>3.17896613801546E-017</v>
      </c>
      <c r="E183" s="2" t="n">
        <v>0.3312783</v>
      </c>
    </row>
    <row r="184" customFormat="false" ht="13.8" hidden="false" customHeight="false" outlineLevel="0" collapsed="false">
      <c r="B184" s="2" t="n">
        <v>182</v>
      </c>
      <c r="C184" s="2" t="n">
        <v>9.95145544749969E-009</v>
      </c>
      <c r="D184" s="2" t="n">
        <v>0</v>
      </c>
      <c r="E184" s="2" t="n">
        <v>0.26852865</v>
      </c>
    </row>
    <row r="185" customFormat="false" ht="13.8" hidden="false" customHeight="false" outlineLevel="0" collapsed="false">
      <c r="B185" s="2" t="n">
        <v>183</v>
      </c>
      <c r="C185" s="2" t="n">
        <v>9.65881367987673E-009</v>
      </c>
      <c r="D185" s="2" t="n">
        <v>0</v>
      </c>
      <c r="E185" s="2" t="n">
        <v>0.2127283</v>
      </c>
    </row>
    <row r="186" customFormat="false" ht="13.8" hidden="false" customHeight="false" outlineLevel="0" collapsed="false">
      <c r="B186" s="2" t="n">
        <v>184</v>
      </c>
      <c r="C186" s="2" t="n">
        <v>9.36616898974275E-009</v>
      </c>
      <c r="D186" s="2" t="n">
        <v>0</v>
      </c>
      <c r="E186" s="2" t="n">
        <v>0.207928816666667</v>
      </c>
    </row>
    <row r="187" customFormat="false" ht="13.8" hidden="false" customHeight="false" outlineLevel="0" collapsed="false">
      <c r="B187" s="2" t="n">
        <v>185</v>
      </c>
      <c r="C187" s="2" t="n">
        <v>9.07352139801644E-009</v>
      </c>
      <c r="D187" s="2" t="n">
        <v>0</v>
      </c>
      <c r="E187" s="2" t="n">
        <v>0.228128783333333</v>
      </c>
    </row>
    <row r="188" customFormat="false" ht="13.8" hidden="false" customHeight="false" outlineLevel="0" collapsed="false">
      <c r="B188" s="2" t="n">
        <v>186</v>
      </c>
      <c r="C188" s="2" t="n">
        <v>8.78087087758838E-009</v>
      </c>
      <c r="D188" s="2" t="n">
        <v>0</v>
      </c>
      <c r="E188" s="2" t="n">
        <v>0.242794616666667</v>
      </c>
    </row>
    <row r="189" customFormat="false" ht="13.8" hidden="false" customHeight="false" outlineLevel="0" collapsed="false">
      <c r="B189" s="2" t="n">
        <v>187</v>
      </c>
      <c r="C189" s="2" t="n">
        <v>8.48821745338706E-009</v>
      </c>
      <c r="D189" s="2" t="n">
        <v>0</v>
      </c>
      <c r="E189" s="2" t="n">
        <v>0.27066055</v>
      </c>
    </row>
    <row r="190" customFormat="false" ht="13.8" hidden="false" customHeight="false" outlineLevel="0" collapsed="false">
      <c r="B190" s="2" t="n">
        <v>188</v>
      </c>
      <c r="C190" s="2" t="n">
        <v>8.19556110928084E-009</v>
      </c>
      <c r="D190" s="2" t="n">
        <v>0</v>
      </c>
      <c r="E190" s="2" t="n">
        <v>0.24172625</v>
      </c>
    </row>
    <row r="191" customFormat="false" ht="13.8" hidden="false" customHeight="false" outlineLevel="0" collapsed="false">
      <c r="B191" s="2" t="n">
        <v>189</v>
      </c>
      <c r="C191" s="2" t="n">
        <v>7.90290185146308E-009</v>
      </c>
      <c r="D191" s="2" t="n">
        <v>3.17896613790258E-017</v>
      </c>
      <c r="E191" s="2" t="n">
        <v>0.23745875</v>
      </c>
    </row>
    <row r="192" customFormat="false" ht="13.8" hidden="false" customHeight="false" outlineLevel="0" collapsed="false">
      <c r="B192" s="2" t="n">
        <v>190</v>
      </c>
      <c r="C192" s="2" t="n">
        <v>7.61023967929792E-009</v>
      </c>
      <c r="D192" s="2" t="n">
        <v>0</v>
      </c>
      <c r="E192" s="2" t="n">
        <v>0.16559205</v>
      </c>
    </row>
    <row r="193" customFormat="false" ht="13.8" hidden="false" customHeight="false" outlineLevel="0" collapsed="false">
      <c r="B193" s="2" t="n">
        <v>191</v>
      </c>
      <c r="C193" s="2" t="n">
        <v>7.31757459204351E-009</v>
      </c>
      <c r="D193" s="2" t="n">
        <v>0</v>
      </c>
      <c r="E193" s="2" t="n">
        <v>0.132841466666667</v>
      </c>
    </row>
    <row r="194" customFormat="false" ht="13.8" hidden="false" customHeight="false" outlineLevel="0" collapsed="false">
      <c r="B194" s="2" t="n">
        <v>192</v>
      </c>
      <c r="C194" s="2" t="n">
        <v>7.0249065904031E-009</v>
      </c>
      <c r="D194" s="2" t="n">
        <v>3.15512427997597E-017</v>
      </c>
      <c r="E194" s="2" t="n">
        <v>0.132209</v>
      </c>
    </row>
    <row r="195" customFormat="false" ht="13.8" hidden="false" customHeight="false" outlineLevel="0" collapsed="false">
      <c r="B195" s="2" t="n">
        <v>193</v>
      </c>
      <c r="C195" s="2" t="n">
        <v>6.73223567125141E-009</v>
      </c>
      <c r="D195" s="2" t="n">
        <v>0</v>
      </c>
      <c r="E195" s="2" t="n">
        <v>0.0576236666666667</v>
      </c>
    </row>
    <row r="196" customFormat="false" ht="13.8" hidden="false" customHeight="false" outlineLevel="0" collapsed="false">
      <c r="B196" s="2" t="n">
        <v>194</v>
      </c>
      <c r="C196" s="2" t="n">
        <v>6.43956183955597E-009</v>
      </c>
      <c r="D196" s="2" t="n">
        <v>0</v>
      </c>
      <c r="E196" s="2" t="n">
        <v>0.19825685</v>
      </c>
    </row>
    <row r="197" customFormat="false" ht="13.8" hidden="false" customHeight="false" outlineLevel="0" collapsed="false">
      <c r="B197" s="2" t="n">
        <v>195</v>
      </c>
      <c r="C197" s="2" t="n">
        <v>6.14688509269512E-009</v>
      </c>
      <c r="D197" s="2" t="n">
        <v>0</v>
      </c>
      <c r="E197" s="2" t="n">
        <v>0.14052135</v>
      </c>
    </row>
    <row r="198" customFormat="false" ht="13.8" hidden="false" customHeight="false" outlineLevel="0" collapsed="false">
      <c r="B198" s="2" t="n">
        <v>196</v>
      </c>
      <c r="C198" s="2" t="n">
        <v>5.85420543081382E-009</v>
      </c>
      <c r="D198" s="2" t="n">
        <v>0.0898175829177201</v>
      </c>
      <c r="E198" s="2" t="n">
        <v>0.0429179833333334</v>
      </c>
    </row>
    <row r="199" customFormat="false" ht="13.8" hidden="false" customHeight="false" outlineLevel="0" collapsed="false">
      <c r="B199" s="2" t="n">
        <v>197</v>
      </c>
      <c r="C199" s="2" t="n">
        <v>0.0776168833333333</v>
      </c>
      <c r="D199" s="2" t="n">
        <v>0.036984399206633</v>
      </c>
      <c r="E199" s="2" t="n">
        <v>0.0593669833333333</v>
      </c>
    </row>
    <row r="200" customFormat="false" ht="13.8" hidden="false" customHeight="false" outlineLevel="0" collapsed="false">
      <c r="B200" s="2" t="n">
        <v>198</v>
      </c>
      <c r="C200" s="2" t="n">
        <v>5.26883736207421E-009</v>
      </c>
      <c r="D200" s="2" t="n">
        <v>0.0418668495465996</v>
      </c>
      <c r="E200" s="2" t="n">
        <v>0.0280001666666667</v>
      </c>
    </row>
    <row r="201" customFormat="false" ht="13.8" hidden="false" customHeight="false" outlineLevel="0" collapsed="false">
      <c r="B201" s="2" t="n">
        <v>199</v>
      </c>
      <c r="C201" s="2" t="n">
        <v>4.97614895481151E-009</v>
      </c>
      <c r="D201" s="2" t="n">
        <v>0.0477335661943723</v>
      </c>
      <c r="E201" s="2" t="n">
        <v>0.11890035</v>
      </c>
    </row>
    <row r="202" customFormat="false" ht="13.8" hidden="false" customHeight="false" outlineLevel="0" collapsed="false">
      <c r="B202" s="2" t="n">
        <v>200</v>
      </c>
      <c r="C202" s="2" t="n">
        <v>4.68345763088379E-009</v>
      </c>
      <c r="D202" s="2" t="n">
        <v>0.0285836161754782</v>
      </c>
      <c r="E202" s="2" t="n">
        <v>0.0279667333333333</v>
      </c>
    </row>
    <row r="203" customFormat="false" ht="13.8" hidden="false" customHeight="false" outlineLevel="0" collapsed="false">
      <c r="B203" s="2" t="n">
        <v>201</v>
      </c>
      <c r="C203" s="2" t="n">
        <v>4.3907633964067E-009</v>
      </c>
      <c r="D203" s="2" t="n">
        <v>0.061883416156584</v>
      </c>
      <c r="E203" s="2" t="n">
        <v>0.127583683333333</v>
      </c>
    </row>
    <row r="204" customFormat="false" ht="13.8" hidden="false" customHeight="false" outlineLevel="0" collapsed="false">
      <c r="B204" s="2" t="n">
        <v>202</v>
      </c>
      <c r="C204" s="2" t="n">
        <v>4.09806624186696E-009</v>
      </c>
      <c r="D204" s="2" t="n">
        <v>0.0182000994710229</v>
      </c>
      <c r="E204" s="2" t="n">
        <v>0.0349005333333333</v>
      </c>
    </row>
    <row r="205" customFormat="false" ht="13.8" hidden="false" customHeight="false" outlineLevel="0" collapsed="false">
      <c r="B205" s="2" t="n">
        <v>203</v>
      </c>
      <c r="C205" s="2" t="n">
        <v>3.80536617516789E-009</v>
      </c>
      <c r="D205" s="2" t="n">
        <v>0.0779166994521283</v>
      </c>
      <c r="E205" s="2" t="n">
        <v>0.0837337666666667</v>
      </c>
    </row>
    <row r="206" customFormat="false" ht="13.8" hidden="false" customHeight="false" outlineLevel="0" collapsed="false">
      <c r="B206" s="2" t="n">
        <v>204</v>
      </c>
      <c r="C206" s="2" t="n">
        <v>3.51266319047704E-009</v>
      </c>
      <c r="D206" s="2" t="n">
        <v>0.0153002660999002</v>
      </c>
      <c r="E206" s="2" t="n">
        <v>0.0874669833333334</v>
      </c>
    </row>
    <row r="207" customFormat="false" ht="13.8" hidden="false" customHeight="false" outlineLevel="0" collapsed="false">
      <c r="B207" s="2" t="n">
        <v>205</v>
      </c>
      <c r="C207" s="2" t="n">
        <v>0.0219500333333333</v>
      </c>
      <c r="D207" s="2" t="n">
        <v>0.0488834492065696</v>
      </c>
      <c r="E207" s="2" t="n">
        <v>0.0731168</v>
      </c>
    </row>
    <row r="208" customFormat="false" ht="13.8" hidden="false" customHeight="false" outlineLevel="0" collapsed="false">
      <c r="B208" s="2" t="n">
        <v>206</v>
      </c>
      <c r="C208" s="2" t="n">
        <v>2.92724848051756E-009</v>
      </c>
      <c r="D208" s="2" t="n">
        <v>0.0428166993954434</v>
      </c>
      <c r="E208" s="2" t="n">
        <v>0.0844337333333333</v>
      </c>
    </row>
    <row r="209" customFormat="false" ht="13.8" hidden="false" customHeight="false" outlineLevel="0" collapsed="false">
      <c r="B209" s="2" t="n">
        <v>207</v>
      </c>
      <c r="C209" s="2" t="n">
        <v>2.63453675119046E-009</v>
      </c>
      <c r="D209" s="2" t="n">
        <v>0.0490835493765481</v>
      </c>
      <c r="E209" s="2" t="n">
        <v>0.09223355</v>
      </c>
    </row>
    <row r="210" customFormat="false" ht="13.8" hidden="false" customHeight="false" outlineLevel="0" collapsed="false">
      <c r="B210" s="2" t="n">
        <v>208</v>
      </c>
      <c r="C210" s="2" t="n">
        <v>2.34182210798978E-009</v>
      </c>
      <c r="D210" s="2" t="n">
        <v>0.0400005160243193</v>
      </c>
      <c r="E210" s="2" t="n">
        <v>0.0868335166666667</v>
      </c>
    </row>
    <row r="211" customFormat="false" ht="13.8" hidden="false" customHeight="false" outlineLevel="0" collapsed="false">
      <c r="B211" s="2" t="n">
        <v>209</v>
      </c>
      <c r="C211" s="2" t="n">
        <v>2.04910454800118E-009</v>
      </c>
      <c r="D211" s="2" t="n">
        <v>0.0497338160054236</v>
      </c>
      <c r="E211" s="2" t="n">
        <v>0.0922837166666667</v>
      </c>
    </row>
    <row r="212" customFormat="false" ht="13.8" hidden="false" customHeight="false" outlineLevel="0" collapsed="false">
      <c r="B212" s="2" t="n">
        <v>210</v>
      </c>
      <c r="C212" s="2" t="n">
        <v>1.75638407350502E-009</v>
      </c>
      <c r="D212" s="2" t="n">
        <v>0.0562834993198611</v>
      </c>
      <c r="E212" s="2" t="n">
        <v>0.0579505166666667</v>
      </c>
    </row>
    <row r="213" customFormat="false" ht="13.8" hidden="false" customHeight="false" outlineLevel="0" collapsed="false">
      <c r="B213" s="2" t="n">
        <v>211</v>
      </c>
      <c r="C213" s="2" t="n">
        <v>1.46366068297551E-009</v>
      </c>
      <c r="D213" s="2" t="n">
        <v>0.0450006326342984</v>
      </c>
      <c r="E213" s="2" t="n">
        <v>0.0803002333333333</v>
      </c>
    </row>
    <row r="214" customFormat="false" ht="13.8" hidden="false" customHeight="false" outlineLevel="0" collapsed="false">
      <c r="B214" s="2" t="n">
        <v>212</v>
      </c>
      <c r="C214" s="2" t="n">
        <v>1.17093437786004E-009</v>
      </c>
      <c r="D214" s="2" t="n">
        <v>0.0315335492820688</v>
      </c>
      <c r="E214" s="2" t="n">
        <v>0.11835015</v>
      </c>
    </row>
    <row r="215" customFormat="false" ht="13.8" hidden="false" customHeight="false" outlineLevel="0" collapsed="false">
      <c r="B215" s="2" t="n">
        <v>213</v>
      </c>
      <c r="C215" s="2" t="n">
        <v>8.7820515560163E-010</v>
      </c>
      <c r="D215" s="2" t="n">
        <v>0.0694834825965058</v>
      </c>
      <c r="E215" s="2" t="n">
        <v>0.1092334</v>
      </c>
    </row>
    <row r="216" customFormat="false" ht="13.8" hidden="false" customHeight="false" outlineLevel="0" collapsed="false">
      <c r="B216" s="2" t="n">
        <v>214</v>
      </c>
      <c r="C216" s="2" t="n">
        <v>0.0563307742508244</v>
      </c>
      <c r="D216" s="2" t="n">
        <v>0.055054059422149</v>
      </c>
      <c r="E216" s="2" t="n">
        <v>0.0860812743282679</v>
      </c>
    </row>
    <row r="217" customFormat="false" ht="13.8" hidden="false" customHeight="false" outlineLevel="0" collapsed="false">
      <c r="B217" s="2" t="n">
        <v>215</v>
      </c>
      <c r="C217" s="2" t="n">
        <v>2.92737967680063E-010</v>
      </c>
      <c r="D217" s="2" t="n">
        <v>0.0682414196566809</v>
      </c>
      <c r="E217" s="2" t="n">
        <v>0.0797074471581846</v>
      </c>
    </row>
    <row r="218" customFormat="false" ht="13.8" hidden="false" customHeight="false" outlineLevel="0" collapsed="false">
      <c r="B218" s="2" t="n">
        <v>216</v>
      </c>
      <c r="C218" s="2" t="n">
        <v>0.0101763769338312</v>
      </c>
      <c r="D218" s="2" t="n">
        <v>0.0520452298534348</v>
      </c>
      <c r="E218" s="2" t="n">
        <v>0.104442718803446</v>
      </c>
    </row>
    <row r="219" customFormat="false" ht="13.8" hidden="false" customHeight="false" outlineLevel="0" collapsed="false">
      <c r="B219" s="2" t="n">
        <v>217</v>
      </c>
      <c r="C219" s="2" t="n">
        <v>2.92737967342326E-010</v>
      </c>
      <c r="D219" s="2" t="n">
        <v>0.0622490900501886</v>
      </c>
      <c r="E219" s="2" t="n">
        <v>0.0552980276497025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0.0378727871148563</v>
      </c>
      <c r="E220" s="2" t="n">
        <v>0.00352833526955226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4.72241364585029E-011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1.84181264048051E-018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8.18583392361113E-018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9.44487465752491E-011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1.41673827701144E-010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5.26812867921275E-010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2.36125407748745E-010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2.83351906670456E-010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9.21936347641394E-010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3.77806321177231E-010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1.18535858865507E-009</v>
      </c>
      <c r="D242" s="2" t="n">
        <v>0</v>
      </c>
      <c r="E242" s="2" t="n">
        <v>8.18583392361113E-018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9.20906316789644E-019</v>
      </c>
      <c r="E243" s="2" t="n">
        <v>4.72241380479601E-011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8.7322260922793E-018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2.81060361292545E-017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1.93062648556406E-017</v>
      </c>
    </row>
    <row r="247" customFormat="false" ht="13.8" hidden="false" customHeight="false" outlineLevel="0" collapsed="false">
      <c r="B247" s="2" t="n">
        <v>245</v>
      </c>
      <c r="C247" s="2" t="n">
        <v>4.09291696180556E-018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3.81469727356558E-018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1.2045749875078E-016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4.09291696180556E-018</v>
      </c>
      <c r="D255" s="2" t="n">
        <v>0</v>
      </c>
      <c r="E255" s="2" t="n">
        <v>6.66837880168601E-018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</v>
      </c>
    </row>
    <row r="259" customFormat="false" ht="13.8" hidden="false" customHeight="false" outlineLevel="0" collapsed="false">
      <c r="B259" s="2" t="n">
        <v>257</v>
      </c>
      <c r="C259" s="2" t="n">
        <v>1.54958809180775E-008</v>
      </c>
      <c r="D259" s="2" t="n">
        <v>6.4021658489914E-009</v>
      </c>
      <c r="E259" s="2" t="n">
        <v>0.0253616246691895</v>
      </c>
    </row>
    <row r="260" customFormat="false" ht="13.8" hidden="false" customHeight="false" outlineLevel="0" collapsed="false">
      <c r="B260" s="2" t="n">
        <v>258</v>
      </c>
      <c r="C260" s="2" t="n">
        <v>1.52675160943716E-008</v>
      </c>
      <c r="D260" s="2" t="n">
        <v>6.17267249752187E-009</v>
      </c>
      <c r="E260" s="2" t="n">
        <v>0.176986083200859</v>
      </c>
    </row>
    <row r="261" customFormat="false" ht="13.8" hidden="false" customHeight="false" outlineLevel="0" collapsed="false">
      <c r="B261" s="2" t="n">
        <v>259</v>
      </c>
      <c r="C261" s="2" t="n">
        <v>1.50393166406158E-008</v>
      </c>
      <c r="D261" s="2" t="n">
        <v>5.94356485203222E-009</v>
      </c>
      <c r="E261" s="2" t="n">
        <v>0.0793606083991961</v>
      </c>
    </row>
    <row r="262" customFormat="false" ht="13.8" hidden="false" customHeight="false" outlineLevel="0" collapsed="false">
      <c r="B262" s="2" t="n">
        <v>260</v>
      </c>
      <c r="C262" s="2" t="n">
        <v>1.48112869355419E-008</v>
      </c>
      <c r="D262" s="2" t="n">
        <v>5.71487018978043E-009</v>
      </c>
      <c r="E262" s="2" t="n">
        <v>0.214151850264199</v>
      </c>
    </row>
    <row r="263" customFormat="false" ht="13.8" hidden="false" customHeight="false" outlineLevel="0" collapsed="false">
      <c r="B263" s="2" t="n">
        <v>261</v>
      </c>
      <c r="C263" s="2" t="n">
        <v>1.45834315149598E-008</v>
      </c>
      <c r="D263" s="2" t="n">
        <v>5.48661819255522E-009</v>
      </c>
      <c r="E263" s="2" t="n">
        <v>0.108443142129203</v>
      </c>
    </row>
    <row r="264" customFormat="false" ht="13.8" hidden="false" customHeight="false" outlineLevel="0" collapsed="false">
      <c r="B264" s="2" t="n">
        <v>262</v>
      </c>
      <c r="C264" s="2" t="n">
        <v>1.43557550531184E-008</v>
      </c>
      <c r="D264" s="2" t="n">
        <v>5.25884105511436E-009</v>
      </c>
      <c r="E264" s="2" t="n">
        <v>0.246186998263569</v>
      </c>
    </row>
    <row r="265" customFormat="false" ht="13.8" hidden="false" customHeight="false" outlineLevel="0" collapsed="false">
      <c r="B265" s="2" t="n">
        <v>263</v>
      </c>
      <c r="C265" s="2" t="n">
        <v>1.41282623679284E-008</v>
      </c>
      <c r="D265" s="2" t="n">
        <v>5.0315738122882E-009</v>
      </c>
      <c r="E265" s="2" t="n">
        <v>0.136930604397935</v>
      </c>
    </row>
    <row r="266" customFormat="false" ht="13.8" hidden="false" customHeight="false" outlineLevel="0" collapsed="false">
      <c r="B266" s="2" t="n">
        <v>264</v>
      </c>
      <c r="C266" s="2" t="n">
        <v>1.39009584344691E-008</v>
      </c>
      <c r="D266" s="2" t="n">
        <v>4.80485446831372E-009</v>
      </c>
      <c r="E266" s="2" t="n">
        <v>0.224858460532301</v>
      </c>
    </row>
    <row r="267" customFormat="false" ht="13.8" hidden="false" customHeight="false" outlineLevel="0" collapsed="false">
      <c r="B267" s="2" t="n">
        <v>265</v>
      </c>
      <c r="C267" s="2" t="n">
        <v>1.36738483772929E-008</v>
      </c>
      <c r="D267" s="2" t="n">
        <v>4.57872438363591E-009</v>
      </c>
      <c r="E267" s="2" t="n">
        <v>0.143170783333333</v>
      </c>
    </row>
    <row r="268" customFormat="false" ht="13.8" hidden="false" customHeight="false" outlineLevel="0" collapsed="false">
      <c r="B268" s="2" t="n">
        <v>266</v>
      </c>
      <c r="C268" s="2" t="n">
        <v>1.34469374838604E-008</v>
      </c>
      <c r="D268" s="2" t="n">
        <v>4.35322847642984E-009</v>
      </c>
      <c r="E268" s="2" t="n">
        <v>0.2735048</v>
      </c>
    </row>
    <row r="269" customFormat="false" ht="13.8" hidden="false" customHeight="false" outlineLevel="0" collapsed="false">
      <c r="B269" s="2" t="n">
        <v>267</v>
      </c>
      <c r="C269" s="2" t="n">
        <v>1.32202312065705E-008</v>
      </c>
      <c r="D269" s="2" t="n">
        <v>4.09806621987917E-009</v>
      </c>
      <c r="E269" s="2" t="n">
        <v>0.2055409</v>
      </c>
    </row>
    <row r="270" customFormat="false" ht="13.8" hidden="false" customHeight="false" outlineLevel="0" collapsed="false">
      <c r="B270" s="2" t="n">
        <v>268</v>
      </c>
      <c r="C270" s="2" t="n">
        <v>1.29937351724787E-008</v>
      </c>
      <c r="D270" s="2" t="n">
        <v>3.80536621021462E-009</v>
      </c>
      <c r="E270" s="2" t="n">
        <v>0.23614305</v>
      </c>
    </row>
    <row r="271" customFormat="false" ht="13.8" hidden="false" customHeight="false" outlineLevel="0" collapsed="false">
      <c r="B271" s="2" t="n">
        <v>269</v>
      </c>
      <c r="C271" s="2" t="n">
        <v>1.27674551770318E-008</v>
      </c>
      <c r="D271" s="2" t="n">
        <v>3.51266319902523E-009</v>
      </c>
      <c r="E271" s="2" t="n">
        <v>0.23712565</v>
      </c>
    </row>
    <row r="272" customFormat="false" ht="13.8" hidden="false" customHeight="false" outlineLevel="0" collapsed="false">
      <c r="B272" s="2" t="n">
        <v>270</v>
      </c>
      <c r="C272" s="2" t="n">
        <v>1.25413972083963E-008</v>
      </c>
      <c r="D272" s="2" t="n">
        <v>3.21995729013179E-009</v>
      </c>
      <c r="E272" s="2" t="n">
        <v>0.283441966666667</v>
      </c>
    </row>
    <row r="273" customFormat="false" ht="13.8" hidden="false" customHeight="false" outlineLevel="0" collapsed="false">
      <c r="B273" s="2" t="n">
        <v>271</v>
      </c>
      <c r="C273" s="2" t="n">
        <v>1.23155674352446E-008</v>
      </c>
      <c r="D273" s="2" t="n">
        <v>2.92724845722104E-009</v>
      </c>
      <c r="E273" s="2" t="n">
        <v>0.237659566666667</v>
      </c>
    </row>
    <row r="274" customFormat="false" ht="13.8" hidden="false" customHeight="false" outlineLevel="0" collapsed="false">
      <c r="B274" s="2" t="n">
        <v>272</v>
      </c>
      <c r="C274" s="2" t="n">
        <v>1.20899722232505E-008</v>
      </c>
      <c r="D274" s="2" t="n">
        <v>2.63453678561131E-009</v>
      </c>
      <c r="E274" s="2" t="n">
        <v>0.3043937</v>
      </c>
    </row>
    <row r="275" customFormat="false" ht="13.8" hidden="false" customHeight="false" outlineLevel="0" collapsed="false">
      <c r="B275" s="2" t="n">
        <v>273</v>
      </c>
      <c r="C275" s="2" t="n">
        <v>1.18646181169336E-008</v>
      </c>
      <c r="D275" s="2" t="n">
        <v>2.34182211335238E-009</v>
      </c>
      <c r="E275" s="2" t="n">
        <v>0.256478633333333</v>
      </c>
    </row>
    <row r="276" customFormat="false" ht="13.8" hidden="false" customHeight="false" outlineLevel="0" collapsed="false">
      <c r="B276" s="2" t="n">
        <v>274</v>
      </c>
      <c r="C276" s="2" t="n">
        <v>1.16395119043488E-008</v>
      </c>
      <c r="D276" s="2" t="n">
        <v>2.04910454271597E-009</v>
      </c>
      <c r="E276" s="2" t="n">
        <v>0.289795216666667</v>
      </c>
    </row>
    <row r="277" customFormat="false" ht="13.8" hidden="false" customHeight="false" outlineLevel="0" collapsed="false">
      <c r="B277" s="2" t="n">
        <v>275</v>
      </c>
      <c r="C277" s="2" t="n">
        <v>1.14146205772587E-008</v>
      </c>
      <c r="D277" s="2" t="n">
        <v>1.75638407783785E-009</v>
      </c>
      <c r="E277" s="2" t="n">
        <v>0.24854545</v>
      </c>
    </row>
    <row r="278" customFormat="false" ht="13.8" hidden="false" customHeight="false" outlineLevel="0" collapsed="false">
      <c r="B278" s="2" t="n">
        <v>276</v>
      </c>
      <c r="C278" s="2" t="n">
        <v>1.11219933845177E-008</v>
      </c>
      <c r="D278" s="2" t="n">
        <v>1.46366068643644E-009</v>
      </c>
      <c r="E278" s="2" t="n">
        <v>0.281861716666667</v>
      </c>
    </row>
    <row r="279" customFormat="false" ht="13.8" hidden="false" customHeight="false" outlineLevel="0" collapsed="false">
      <c r="B279" s="2" t="n">
        <v>277</v>
      </c>
      <c r="C279" s="2" t="n">
        <v>1.08293632653913E-008</v>
      </c>
      <c r="D279" s="2" t="n">
        <v>1.17093437924043E-009</v>
      </c>
      <c r="E279" s="2" t="n">
        <v>0.30762865</v>
      </c>
    </row>
    <row r="280" customFormat="false" ht="13.8" hidden="false" customHeight="false" outlineLevel="0" collapsed="false">
      <c r="B280" s="2" t="n">
        <v>278</v>
      </c>
      <c r="C280" s="2" t="n">
        <v>1.05367302455396E-008</v>
      </c>
      <c r="D280" s="2" t="n">
        <v>8.78205148204384E-010</v>
      </c>
      <c r="E280" s="2" t="n">
        <v>0.312811566666667</v>
      </c>
    </row>
    <row r="281" customFormat="false" ht="13.8" hidden="false" customHeight="false" outlineLevel="0" collapsed="false">
      <c r="B281" s="2" t="n">
        <v>279</v>
      </c>
      <c r="C281" s="2" t="n">
        <v>1.02440942992573E-008</v>
      </c>
      <c r="D281" s="2" t="n">
        <v>5.85473021872731E-010</v>
      </c>
      <c r="E281" s="2" t="n">
        <v>0.343477733333333</v>
      </c>
    </row>
    <row r="282" customFormat="false" ht="13.8" hidden="false" customHeight="false" outlineLevel="0" collapsed="false">
      <c r="B282" s="2" t="n">
        <v>280</v>
      </c>
      <c r="C282" s="2" t="n">
        <v>9.95145544743656E-009</v>
      </c>
      <c r="D282" s="2" t="n">
        <v>2.92737964389686E-010</v>
      </c>
      <c r="E282" s="2" t="n">
        <v>0.2915443</v>
      </c>
    </row>
    <row r="283" customFormat="false" ht="13.8" hidden="false" customHeight="false" outlineLevel="0" collapsed="false">
      <c r="B283" s="2" t="n">
        <v>281</v>
      </c>
      <c r="C283" s="2" t="n">
        <v>9.65881367687378E-009</v>
      </c>
      <c r="D283" s="2" t="n">
        <v>0.07414595158763</v>
      </c>
      <c r="E283" s="2" t="n">
        <v>0.252414981745703</v>
      </c>
    </row>
    <row r="284" customFormat="false" ht="13.8" hidden="false" customHeight="false" outlineLevel="0" collapsed="false">
      <c r="B284" s="2" t="n">
        <v>282</v>
      </c>
      <c r="C284" s="2" t="n">
        <v>9.36616899461958E-009</v>
      </c>
      <c r="D284" s="2" t="n">
        <v>0.065236716647777</v>
      </c>
      <c r="E284" s="2" t="n">
        <v>0.143141466666667</v>
      </c>
    </row>
    <row r="285" customFormat="false" ht="13.8" hidden="false" customHeight="false" outlineLevel="0" collapsed="false">
      <c r="B285" s="2" t="n">
        <v>283</v>
      </c>
      <c r="C285" s="2" t="n">
        <v>9.07352139429984E-009</v>
      </c>
      <c r="D285" s="2" t="n">
        <v>0.0776366832955539</v>
      </c>
      <c r="E285" s="2" t="n">
        <v>0.108608183333333</v>
      </c>
    </row>
    <row r="286" customFormat="false" ht="13.8" hidden="false" customHeight="false" outlineLevel="0" collapsed="false">
      <c r="B286" s="2" t="n">
        <v>284</v>
      </c>
      <c r="C286" s="2" t="n">
        <v>8.78087088109704E-009</v>
      </c>
      <c r="D286" s="2" t="n">
        <v>0.0642703332766639</v>
      </c>
      <c r="E286" s="2" t="n">
        <v>0.114140266666667</v>
      </c>
    </row>
    <row r="287" customFormat="false" ht="13.8" hidden="false" customHeight="false" outlineLevel="0" collapsed="false">
      <c r="B287" s="2" t="n">
        <v>285</v>
      </c>
      <c r="C287" s="2" t="n">
        <v>8.48821745337263E-009</v>
      </c>
      <c r="D287" s="2" t="n">
        <v>0.0469361332577737</v>
      </c>
      <c r="E287" s="2" t="n">
        <v>0.123189616666667</v>
      </c>
    </row>
    <row r="288" customFormat="false" ht="13.8" hidden="false" customHeight="false" outlineLevel="0" collapsed="false">
      <c r="B288" s="2" t="n">
        <v>286</v>
      </c>
      <c r="C288" s="2" t="n">
        <v>8.1955611087825E-009</v>
      </c>
      <c r="D288" s="2" t="n">
        <v>0.02866979990555</v>
      </c>
      <c r="E288" s="2" t="n">
        <v>0.125705833333333</v>
      </c>
    </row>
    <row r="289" customFormat="false" ht="13.8" hidden="false" customHeight="false" outlineLevel="0" collapsed="false">
      <c r="B289" s="2" t="n">
        <v>287</v>
      </c>
      <c r="C289" s="2" t="n">
        <v>7.90290185146106E-009</v>
      </c>
      <c r="D289" s="2" t="n">
        <v>0.0735031832199928</v>
      </c>
      <c r="E289" s="2" t="n">
        <v>0.0859048</v>
      </c>
    </row>
    <row r="290" customFormat="false" ht="13.8" hidden="false" customHeight="false" outlineLevel="0" collapsed="false">
      <c r="B290" s="2" t="n">
        <v>288</v>
      </c>
      <c r="C290" s="2" t="n">
        <v>7.61023967887731E-009</v>
      </c>
      <c r="D290" s="2" t="n">
        <v>0.0173530665344354</v>
      </c>
      <c r="E290" s="2" t="n">
        <v>0.104822483333333</v>
      </c>
    </row>
    <row r="291" customFormat="false" ht="13.8" hidden="false" customHeight="false" outlineLevel="0" collapsed="false">
      <c r="B291" s="2" t="n">
        <v>289</v>
      </c>
      <c r="C291" s="2" t="n">
        <v>7.31757459221159E-009</v>
      </c>
      <c r="D291" s="2" t="n">
        <v>0.0104525998488779</v>
      </c>
      <c r="E291" s="2" t="n">
        <v>0.0416716333333333</v>
      </c>
    </row>
    <row r="292" customFormat="false" ht="13.8" hidden="false" customHeight="false" outlineLevel="0" collapsed="false">
      <c r="B292" s="2" t="n">
        <v>290</v>
      </c>
      <c r="C292" s="2" t="n">
        <v>7.02490658973296E-009</v>
      </c>
      <c r="D292" s="2" t="n">
        <v>0.0585187164966535</v>
      </c>
      <c r="E292" s="2" t="n">
        <v>0.0786213666666667</v>
      </c>
    </row>
    <row r="293" customFormat="false" ht="13.8" hidden="false" customHeight="false" outlineLevel="0" collapsed="false">
      <c r="B293" s="2" t="n">
        <v>291</v>
      </c>
      <c r="C293" s="2" t="n">
        <v>6.73223567141674E-009</v>
      </c>
      <c r="D293" s="2" t="n">
        <v>0.0785011998110955</v>
      </c>
      <c r="E293" s="2" t="n">
        <v>0.110202833333333</v>
      </c>
    </row>
    <row r="294" customFormat="false" ht="13.8" hidden="false" customHeight="false" outlineLevel="0" collapsed="false">
      <c r="B294" s="2" t="n">
        <v>292</v>
      </c>
      <c r="C294" s="2" t="n">
        <v>6.4395618395681E-009</v>
      </c>
      <c r="D294" s="2" t="n">
        <v>0.0392008997922041</v>
      </c>
      <c r="E294" s="2" t="n">
        <v>0.1187182</v>
      </c>
    </row>
    <row r="295" customFormat="false" ht="13.8" hidden="false" customHeight="false" outlineLevel="0" collapsed="false">
      <c r="B295" s="2" t="n">
        <v>293</v>
      </c>
      <c r="C295" s="2" t="n">
        <v>6.1468850927246E-009</v>
      </c>
      <c r="D295" s="2" t="n">
        <v>0.0152837831066459</v>
      </c>
      <c r="E295" s="2" t="n">
        <v>0.0843503333333333</v>
      </c>
    </row>
    <row r="296" customFormat="false" ht="13.8" hidden="false" customHeight="false" outlineLevel="0" collapsed="false">
      <c r="B296" s="2" t="n">
        <v>294</v>
      </c>
      <c r="C296" s="2" t="n">
        <v>5.85420543082146E-009</v>
      </c>
      <c r="D296" s="2" t="n">
        <v>0.0591336164210874</v>
      </c>
      <c r="E296" s="2" t="n">
        <v>0.1126503</v>
      </c>
    </row>
    <row r="297" customFormat="false" ht="13.8" hidden="false" customHeight="false" outlineLevel="0" collapsed="false">
      <c r="B297" s="2" t="n">
        <v>295</v>
      </c>
      <c r="C297" s="2" t="n">
        <v>0.0246004166666667</v>
      </c>
      <c r="D297" s="2" t="n">
        <v>0.0283334327099999</v>
      </c>
      <c r="E297" s="2" t="n">
        <v>0.0218671666666667</v>
      </c>
    </row>
    <row r="298" customFormat="false" ht="13.8" hidden="false" customHeight="false" outlineLevel="0" collapsed="false">
      <c r="B298" s="2" t="n">
        <v>296</v>
      </c>
      <c r="C298" s="2" t="n">
        <v>5.2688373621839E-009</v>
      </c>
      <c r="D298" s="2" t="n">
        <v>0.0620166997166367</v>
      </c>
      <c r="E298" s="2" t="n">
        <v>0.128500466666667</v>
      </c>
    </row>
    <row r="299" customFormat="false" ht="13.8" hidden="false" customHeight="false" outlineLevel="0" collapsed="false">
      <c r="B299" s="2" t="n">
        <v>297</v>
      </c>
      <c r="C299" s="2" t="n">
        <v>4.9761489549994E-009</v>
      </c>
      <c r="D299" s="2" t="n">
        <v>0.0284834830310777</v>
      </c>
      <c r="E299" s="2" t="n">
        <v>0.05235015</v>
      </c>
    </row>
    <row r="300" customFormat="false" ht="13.8" hidden="false" customHeight="false" outlineLevel="0" collapsed="false">
      <c r="B300" s="2" t="n">
        <v>298</v>
      </c>
      <c r="C300" s="2" t="n">
        <v>4.68345763306148E-009</v>
      </c>
      <c r="D300" s="2" t="n">
        <v>0.0611833996788519</v>
      </c>
      <c r="E300" s="2" t="n">
        <v>0.142933633333333</v>
      </c>
    </row>
    <row r="301" customFormat="false" ht="13.8" hidden="false" customHeight="false" outlineLevel="0" collapsed="false">
      <c r="B301" s="2" t="n">
        <v>299</v>
      </c>
      <c r="C301" s="2" t="n">
        <v>4.39076339559068E-009</v>
      </c>
      <c r="D301" s="2" t="n">
        <v>0.0287834829932926</v>
      </c>
      <c r="E301" s="2" t="n">
        <v>0.0456003333333333</v>
      </c>
    </row>
    <row r="302" customFormat="false" ht="13.8" hidden="false" customHeight="false" outlineLevel="0" collapsed="false">
      <c r="B302" s="2" t="n">
        <v>300</v>
      </c>
      <c r="C302" s="2" t="n">
        <v>4.09806624660607E-009</v>
      </c>
      <c r="D302" s="2" t="n">
        <v>0.0382835829743997</v>
      </c>
      <c r="E302" s="2" t="n">
        <v>0.1385173</v>
      </c>
    </row>
    <row r="303" customFormat="false" ht="13.8" hidden="false" customHeight="false" outlineLevel="0" collapsed="false">
      <c r="B303" s="2" t="n">
        <v>301</v>
      </c>
      <c r="C303" s="2" t="n">
        <v>3.80536617153904E-009</v>
      </c>
      <c r="D303" s="2" t="n">
        <v>0.0191000496221734</v>
      </c>
      <c r="E303" s="2" t="n">
        <v>0.0445670666666667</v>
      </c>
    </row>
    <row r="304" customFormat="false" ht="13.8" hidden="false" customHeight="false" outlineLevel="0" collapsed="false">
      <c r="B304" s="2" t="n">
        <v>302</v>
      </c>
      <c r="C304" s="2" t="n">
        <v>3.51266319183809E-009</v>
      </c>
      <c r="D304" s="2" t="n">
        <v>0.0707834496032802</v>
      </c>
      <c r="E304" s="2" t="n">
        <v>0.125516966666667</v>
      </c>
    </row>
    <row r="305" customFormat="false" ht="13.8" hidden="false" customHeight="false" outlineLevel="0" collapsed="false">
      <c r="B305" s="2" t="n">
        <v>303</v>
      </c>
      <c r="C305" s="2" t="n">
        <v>3.21995729774955E-009</v>
      </c>
      <c r="D305" s="2" t="n">
        <v>0.0126834995843868</v>
      </c>
      <c r="E305" s="2" t="n">
        <v>0.0780167666666667</v>
      </c>
    </row>
    <row r="306" customFormat="false" ht="13.8" hidden="false" customHeight="false" outlineLevel="0" collapsed="false">
      <c r="B306" s="2" t="n">
        <v>304</v>
      </c>
      <c r="C306" s="2" t="n">
        <v>2.92724847657918E-009</v>
      </c>
      <c r="D306" s="2" t="n">
        <v>0.0519999995654933</v>
      </c>
      <c r="E306" s="2" t="n">
        <v>0.129317116666667</v>
      </c>
    </row>
    <row r="307" customFormat="false" ht="13.8" hidden="false" customHeight="false" outlineLevel="0" collapsed="false">
      <c r="B307" s="2" t="n">
        <v>305</v>
      </c>
      <c r="C307" s="2" t="n">
        <v>2.63453675103521E-009</v>
      </c>
      <c r="D307" s="2" t="n">
        <v>0.0453333662132662</v>
      </c>
      <c r="E307" s="2" t="n">
        <v>0.0758502666666666</v>
      </c>
    </row>
    <row r="308" customFormat="false" ht="13.8" hidden="false" customHeight="false" outlineLevel="0" collapsed="false">
      <c r="B308" s="2" t="n">
        <v>306</v>
      </c>
      <c r="C308" s="2" t="n">
        <v>2.34182210693563E-009</v>
      </c>
      <c r="D308" s="2" t="n">
        <v>0.035316882861039</v>
      </c>
      <c r="E308" s="2" t="n">
        <v>0.13208355</v>
      </c>
    </row>
    <row r="309" customFormat="false" ht="13.8" hidden="false" customHeight="false" outlineLevel="0" collapsed="false">
      <c r="B309" s="2" t="n">
        <v>307</v>
      </c>
      <c r="C309" s="2" t="n">
        <v>0.0443835333333333</v>
      </c>
      <c r="D309" s="2" t="n">
        <v>0.0212835493765917</v>
      </c>
      <c r="E309" s="2" t="n">
        <v>0.0285</v>
      </c>
    </row>
    <row r="310" customFormat="false" ht="13.8" hidden="false" customHeight="false" outlineLevel="0" collapsed="false">
      <c r="B310" s="2" t="n">
        <v>308</v>
      </c>
      <c r="C310" s="2" t="n">
        <v>0.038</v>
      </c>
      <c r="D310" s="2" t="n">
        <v>0.0669667993765855</v>
      </c>
      <c r="E310" s="2" t="n">
        <v>0.0864000666666667</v>
      </c>
    </row>
    <row r="311" customFormat="false" ht="13.8" hidden="false" customHeight="false" outlineLevel="0" collapsed="false">
      <c r="B311" s="2" t="n">
        <v>309</v>
      </c>
      <c r="C311" s="2" t="n">
        <v>0.0460167666666667</v>
      </c>
      <c r="D311" s="2" t="n">
        <v>0.0227167327099126</v>
      </c>
      <c r="E311" s="2" t="n">
        <v>0.0257336</v>
      </c>
    </row>
    <row r="312" customFormat="false" ht="13.8" hidden="false" customHeight="false" outlineLevel="0" collapsed="false">
      <c r="B312" s="2" t="n">
        <v>310</v>
      </c>
      <c r="C312" s="2" t="n">
        <v>0.0106416768958922</v>
      </c>
      <c r="D312" s="2" t="n">
        <v>0.0577727486073174</v>
      </c>
      <c r="E312" s="2" t="n">
        <v>0.0889649348612569</v>
      </c>
    </row>
    <row r="313" customFormat="false" ht="13.8" hidden="false" customHeight="false" outlineLevel="0" collapsed="false">
      <c r="B313" s="2" t="n">
        <v>311</v>
      </c>
      <c r="C313" s="2" t="n">
        <v>8.78205156626539E-010</v>
      </c>
      <c r="D313" s="2" t="n">
        <v>0.0459618978947223</v>
      </c>
      <c r="E313" s="2" t="n">
        <v>0.0465458401809649</v>
      </c>
    </row>
    <row r="314" customFormat="false" ht="13.8" hidden="false" customHeight="false" outlineLevel="0" collapsed="false">
      <c r="B314" s="2" t="n">
        <v>312</v>
      </c>
      <c r="C314" s="2" t="n">
        <v>5.85473020027697E-010</v>
      </c>
      <c r="D314" s="2" t="n">
        <v>0.0587008471065718</v>
      </c>
      <c r="E314" s="2" t="n">
        <v>0.105602051938114</v>
      </c>
    </row>
    <row r="315" customFormat="false" ht="13.8" hidden="false" customHeight="false" outlineLevel="0" collapsed="false">
      <c r="B315" s="2" t="n">
        <v>313</v>
      </c>
      <c r="C315" s="2" t="n">
        <v>2.92737967339422E-010</v>
      </c>
      <c r="D315" s="2" t="n">
        <v>0.00919012965175436</v>
      </c>
      <c r="E315" s="2" t="n">
        <v>0.0493250136952631</v>
      </c>
    </row>
    <row r="316" customFormat="false" ht="13.8" hidden="false" customHeight="false" outlineLevel="0" collapsed="false">
      <c r="B316" s="2" t="n">
        <v>314</v>
      </c>
      <c r="C316" s="2" t="n">
        <v>0.0024178709775149</v>
      </c>
      <c r="D316" s="2" t="n">
        <v>0.052967561701192</v>
      </c>
      <c r="E316" s="2" t="n">
        <v>0.0175294381835314</v>
      </c>
    </row>
    <row r="317" customFormat="false" ht="13.8" hidden="false" customHeight="false" outlineLevel="0" collapsed="false">
      <c r="B317" s="2" t="n">
        <v>315</v>
      </c>
      <c r="C317" s="2" t="n">
        <v>3.11726061712693E-009</v>
      </c>
      <c r="D317" s="2" t="n">
        <v>0.0467147015514187</v>
      </c>
      <c r="E317" s="2" t="n">
        <v>3.21170700185105E-009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8.80451995418643E-019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1.16597562306759E-010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2.55807310112848E-019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1.95041742906733E-016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2.63403798751625E-010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9.20906316725744E-019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1.84181263377097E-018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4.7224136988322E-011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1.3170124091133E-010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4.72241380479601E-011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9.20906316553704E-019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1.84181263336018E-018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6.29415682173593E-017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1.84181263329172E-018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1.90734886392179E-018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1.84181263323847E-018</v>
      </c>
      <c r="E342" s="2" t="n">
        <v>1.49804314371474E-016</v>
      </c>
    </row>
    <row r="343" customFormat="false" ht="13.8" hidden="false" customHeight="false" outlineLevel="0" collapsed="false">
      <c r="B343" s="2" t="n">
        <v>341</v>
      </c>
      <c r="C343" s="2" t="n">
        <v>4.09291696180556E-018</v>
      </c>
      <c r="D343" s="2" t="n">
        <v>9.20906316507137E-019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4.09291696180556E-018</v>
      </c>
      <c r="D349" s="2" t="n">
        <v>3.12800562205073E-017</v>
      </c>
      <c r="E349" s="2" t="n">
        <v>3.22317213090516E-018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9.20906325991215E-018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3.95107701217581E-010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1.14146205785198E-008</v>
      </c>
      <c r="D354" s="2" t="n">
        <v>6.17267249947761E-009</v>
      </c>
      <c r="E354" s="2" t="n">
        <v>0.0263547080077776</v>
      </c>
    </row>
    <row r="355" customFormat="false" ht="13.8" hidden="false" customHeight="false" outlineLevel="0" collapsed="false">
      <c r="B355" s="2" t="n">
        <v>353</v>
      </c>
      <c r="C355" s="2" t="n">
        <v>1.11219933817637E-008</v>
      </c>
      <c r="D355" s="2" t="n">
        <v>5.9435648503475E-009</v>
      </c>
      <c r="E355" s="2" t="n">
        <v>0.079061073887101</v>
      </c>
    </row>
    <row r="356" customFormat="false" ht="13.8" hidden="false" customHeight="false" outlineLevel="0" collapsed="false">
      <c r="B356" s="2" t="n">
        <v>354</v>
      </c>
      <c r="C356" s="2" t="n">
        <v>1.08293632683777E-008</v>
      </c>
      <c r="D356" s="2" t="n">
        <v>5.71487018983634E-009</v>
      </c>
      <c r="E356" s="2" t="n">
        <v>0.0998085235932547</v>
      </c>
    </row>
    <row r="357" customFormat="false" ht="13.8" hidden="false" customHeight="false" outlineLevel="0" collapsed="false">
      <c r="B357" s="2" t="n">
        <v>355</v>
      </c>
      <c r="C357" s="2" t="n">
        <v>1.05367302421983E-008</v>
      </c>
      <c r="D357" s="2" t="n">
        <v>5.48661819306086E-009</v>
      </c>
      <c r="E357" s="2" t="n">
        <v>0.114388656632742</v>
      </c>
    </row>
    <row r="358" customFormat="false" ht="13.8" hidden="false" customHeight="false" outlineLevel="0" collapsed="false">
      <c r="B358" s="2" t="n">
        <v>356</v>
      </c>
      <c r="C358" s="2" t="n">
        <v>1.024409430332E-008</v>
      </c>
      <c r="D358" s="2" t="n">
        <v>5.2588410552467E-009</v>
      </c>
      <c r="E358" s="2" t="n">
        <v>0.135885606338896</v>
      </c>
    </row>
    <row r="359" customFormat="false" ht="13.8" hidden="false" customHeight="false" outlineLevel="0" collapsed="false">
      <c r="B359" s="2" t="n">
        <v>357</v>
      </c>
      <c r="C359" s="2" t="n">
        <v>9.9514554489341E-009</v>
      </c>
      <c r="D359" s="2" t="n">
        <v>5.03157381420452E-009</v>
      </c>
      <c r="E359" s="2" t="n">
        <v>0.147099556045049</v>
      </c>
    </row>
    <row r="360" customFormat="false" ht="13.8" hidden="false" customHeight="false" outlineLevel="0" collapsed="false">
      <c r="B360" s="2" t="n">
        <v>358</v>
      </c>
      <c r="C360" s="2" t="n">
        <v>9.65881367781428E-009</v>
      </c>
      <c r="D360" s="2" t="n">
        <v>4.80485446791969E-009</v>
      </c>
      <c r="E360" s="2" t="n">
        <v>0.161958571200454</v>
      </c>
    </row>
    <row r="361" customFormat="false" ht="13.8" hidden="false" customHeight="false" outlineLevel="0" collapsed="false">
      <c r="B361" s="2" t="n">
        <v>359</v>
      </c>
      <c r="C361" s="2" t="n">
        <v>9.36616899365714E-009</v>
      </c>
      <c r="D361" s="2" t="n">
        <v>4.5787243836293E-009</v>
      </c>
      <c r="E361" s="2" t="n">
        <v>0.156933653022525</v>
      </c>
    </row>
    <row r="362" customFormat="false" ht="13.8" hidden="false" customHeight="false" outlineLevel="0" collapsed="false">
      <c r="B362" s="2" t="n">
        <v>360</v>
      </c>
      <c r="C362" s="2" t="n">
        <v>9.07352139489873E-009</v>
      </c>
      <c r="D362" s="2" t="n">
        <v>4.35322847642563E-009</v>
      </c>
      <c r="E362" s="2" t="n">
        <v>0.211591901511262</v>
      </c>
    </row>
    <row r="363" customFormat="false" ht="13.8" hidden="false" customHeight="false" outlineLevel="0" collapsed="false">
      <c r="B363" s="2" t="n">
        <v>361</v>
      </c>
      <c r="C363" s="2" t="n">
        <v>8.78087088187195E-009</v>
      </c>
      <c r="D363" s="2" t="n">
        <v>4.09806621989197E-009</v>
      </c>
      <c r="E363" s="2" t="n">
        <v>0.169351416666667</v>
      </c>
    </row>
    <row r="364" customFormat="false" ht="13.8" hidden="false" customHeight="false" outlineLevel="0" collapsed="false">
      <c r="B364" s="2" t="n">
        <v>362</v>
      </c>
      <c r="C364" s="2" t="n">
        <v>8.48821745594755E-009</v>
      </c>
      <c r="D364" s="2" t="n">
        <v>3.80536621023183E-009</v>
      </c>
      <c r="E364" s="2" t="n">
        <v>0.198753066666667</v>
      </c>
    </row>
    <row r="365" customFormat="false" ht="13.8" hidden="false" customHeight="false" outlineLevel="0" collapsed="false">
      <c r="B365" s="2" t="n">
        <v>363</v>
      </c>
      <c r="C365" s="2" t="n">
        <v>8.19556110597481E-009</v>
      </c>
      <c r="D365" s="2" t="n">
        <v>3.51266319907392E-009</v>
      </c>
      <c r="E365" s="2" t="n">
        <v>0.204204416666667</v>
      </c>
    </row>
    <row r="366" customFormat="false" ht="13.8" hidden="false" customHeight="false" outlineLevel="0" collapsed="false">
      <c r="B366" s="2" t="n">
        <v>364</v>
      </c>
      <c r="C366" s="2" t="n">
        <v>7.90290185211202E-009</v>
      </c>
      <c r="D366" s="2" t="n">
        <v>3.21995728968219E-009</v>
      </c>
      <c r="E366" s="2" t="n">
        <v>0.2595735</v>
      </c>
    </row>
    <row r="367" customFormat="false" ht="13.8" hidden="false" customHeight="false" outlineLevel="0" collapsed="false">
      <c r="B367" s="2" t="n">
        <v>365</v>
      </c>
      <c r="C367" s="2" t="n">
        <v>7.61023967941994E-009</v>
      </c>
      <c r="D367" s="2" t="n">
        <v>2.92724845718893E-009</v>
      </c>
      <c r="E367" s="2" t="n">
        <v>0.248008783333333</v>
      </c>
    </row>
    <row r="368" customFormat="false" ht="13.8" hidden="false" customHeight="false" outlineLevel="0" collapsed="false">
      <c r="B368" s="2" t="n">
        <v>366</v>
      </c>
      <c r="C368" s="2" t="n">
        <v>7.31757459681254E-009</v>
      </c>
      <c r="D368" s="2" t="n">
        <v>2.63453678608868E-009</v>
      </c>
      <c r="E368" s="2" t="n">
        <v>0.241695216666667</v>
      </c>
    </row>
    <row r="369" customFormat="false" ht="13.8" hidden="false" customHeight="false" outlineLevel="0" collapsed="false">
      <c r="B369" s="2" t="n">
        <v>367</v>
      </c>
      <c r="C369" s="2" t="n">
        <v>7.02490658646322E-009</v>
      </c>
      <c r="D369" s="2" t="n">
        <v>2.34182211336026E-009</v>
      </c>
      <c r="E369" s="2" t="n">
        <v>0.1532455</v>
      </c>
    </row>
    <row r="370" customFormat="false" ht="13.8" hidden="false" customHeight="false" outlineLevel="0" collapsed="false">
      <c r="B370" s="2" t="n">
        <v>368</v>
      </c>
      <c r="C370" s="2" t="n">
        <v>6.73223567583476E-009</v>
      </c>
      <c r="D370" s="2" t="n">
        <v>2.04910454273226E-009</v>
      </c>
      <c r="E370" s="2" t="n">
        <v>0.268078683333333</v>
      </c>
    </row>
    <row r="371" customFormat="false" ht="13.8" hidden="false" customHeight="false" outlineLevel="0" collapsed="false">
      <c r="B371" s="2" t="n">
        <v>369</v>
      </c>
      <c r="C371" s="2" t="n">
        <v>6.43956183650605E-009</v>
      </c>
      <c r="D371" s="2" t="n">
        <v>1.75638407782343E-009</v>
      </c>
      <c r="E371" s="2" t="n">
        <v>0.2315278</v>
      </c>
    </row>
    <row r="372" customFormat="false" ht="13.8" hidden="false" customHeight="false" outlineLevel="0" collapsed="false">
      <c r="B372" s="2" t="n">
        <v>370</v>
      </c>
      <c r="C372" s="2" t="n">
        <v>6.1468850921516E-009</v>
      </c>
      <c r="D372" s="2" t="n">
        <v>1.46366068560002E-009</v>
      </c>
      <c r="E372" s="2" t="n">
        <v>0.29661035</v>
      </c>
    </row>
    <row r="373" customFormat="false" ht="13.8" hidden="false" customHeight="false" outlineLevel="0" collapsed="false">
      <c r="B373" s="2" t="n">
        <v>371</v>
      </c>
      <c r="C373" s="2" t="n">
        <v>5.85420543167241E-009</v>
      </c>
      <c r="D373" s="2" t="n">
        <v>1.17093438105713E-009</v>
      </c>
      <c r="E373" s="2" t="n">
        <v>0.2615941</v>
      </c>
    </row>
    <row r="374" customFormat="false" ht="13.8" hidden="false" customHeight="false" outlineLevel="0" collapsed="false">
      <c r="B374" s="2" t="n">
        <v>372</v>
      </c>
      <c r="C374" s="2" t="n">
        <v>5.56152285418906E-009</v>
      </c>
      <c r="D374" s="2" t="n">
        <v>8.78205148220366E-010</v>
      </c>
      <c r="E374" s="2" t="n">
        <v>0.312845766666667</v>
      </c>
    </row>
    <row r="375" customFormat="false" ht="13.8" hidden="false" customHeight="false" outlineLevel="0" collapsed="false">
      <c r="B375" s="2" t="n">
        <v>373</v>
      </c>
      <c r="C375" s="2" t="n">
        <v>5.26883736256273E-009</v>
      </c>
      <c r="D375" s="2" t="n">
        <v>5.85473021874061E-010</v>
      </c>
      <c r="E375" s="2" t="n">
        <v>0.2616621</v>
      </c>
    </row>
    <row r="376" customFormat="false" ht="13.8" hidden="false" customHeight="false" outlineLevel="0" collapsed="false">
      <c r="B376" s="2" t="n">
        <v>374</v>
      </c>
      <c r="C376" s="2" t="n">
        <v>4.97614895578675E-009</v>
      </c>
      <c r="D376" s="2" t="n">
        <v>2.92737966214803E-010</v>
      </c>
      <c r="E376" s="2" t="n">
        <v>0.277645583333333</v>
      </c>
    </row>
    <row r="377" customFormat="false" ht="13.8" hidden="false" customHeight="false" outlineLevel="0" collapsed="false">
      <c r="B377" s="2" t="n">
        <v>375</v>
      </c>
      <c r="C377" s="2" t="n">
        <v>4.68345763466745E-009</v>
      </c>
      <c r="D377" s="2" t="n">
        <v>0.0825863536496622</v>
      </c>
      <c r="E377" s="2" t="n">
        <v>0.199907763017004</v>
      </c>
    </row>
    <row r="378" customFormat="false" ht="13.8" hidden="false" customHeight="false" outlineLevel="0" collapsed="false">
      <c r="B378" s="2" t="n">
        <v>376</v>
      </c>
      <c r="C378" s="2" t="n">
        <v>0.0675707833333333</v>
      </c>
      <c r="D378" s="2" t="n">
        <v>0</v>
      </c>
      <c r="E378" s="2" t="n">
        <v>0.182857766666667</v>
      </c>
    </row>
    <row r="379" customFormat="false" ht="13.8" hidden="false" customHeight="false" outlineLevel="0" collapsed="false">
      <c r="B379" s="2" t="n">
        <v>377</v>
      </c>
      <c r="C379" s="2" t="n">
        <v>0.0465711666666667</v>
      </c>
      <c r="D379" s="2" t="n">
        <v>0.0668214163644534</v>
      </c>
      <c r="E379" s="2" t="n">
        <v>0.110469983333333</v>
      </c>
    </row>
    <row r="380" customFormat="false" ht="13.8" hidden="false" customHeight="false" outlineLevel="0" collapsed="false">
      <c r="B380" s="2" t="n">
        <v>378</v>
      </c>
      <c r="C380" s="2" t="n">
        <v>0.0438540833333333</v>
      </c>
      <c r="D380" s="2" t="n">
        <v>0.0524376496977837</v>
      </c>
      <c r="E380" s="2" t="n">
        <v>0.109887016666667</v>
      </c>
    </row>
    <row r="381" customFormat="false" ht="13.8" hidden="false" customHeight="false" outlineLevel="0" collapsed="false">
      <c r="B381" s="2" t="n">
        <v>379</v>
      </c>
      <c r="C381" s="2" t="n">
        <v>3.51266319224109E-009</v>
      </c>
      <c r="D381" s="2" t="n">
        <v>0.0852541332577737</v>
      </c>
      <c r="E381" s="2" t="n">
        <v>0.1773571</v>
      </c>
    </row>
    <row r="382" customFormat="false" ht="13.8" hidden="false" customHeight="false" outlineLevel="0" collapsed="false">
      <c r="B382" s="2" t="n">
        <v>380</v>
      </c>
      <c r="C382" s="2" t="n">
        <v>3.21995729407903E-009</v>
      </c>
      <c r="D382" s="2" t="n">
        <v>0.0469373665722167</v>
      </c>
      <c r="E382" s="2" t="n">
        <v>0.151456666666667</v>
      </c>
    </row>
    <row r="383" customFormat="false" ht="13.8" hidden="false" customHeight="false" outlineLevel="0" collapsed="false">
      <c r="B383" s="2" t="n">
        <v>381</v>
      </c>
      <c r="C383" s="2" t="n">
        <v>2.92724848065177E-009</v>
      </c>
      <c r="D383" s="2" t="n">
        <v>0.0541367165533261</v>
      </c>
      <c r="E383" s="2" t="n">
        <v>0.130973266666667</v>
      </c>
    </row>
    <row r="384" customFormat="false" ht="13.8" hidden="false" customHeight="false" outlineLevel="0" collapsed="false">
      <c r="B384" s="2" t="n">
        <v>382</v>
      </c>
      <c r="C384" s="2" t="n">
        <v>2.63453675149766E-009</v>
      </c>
      <c r="D384" s="2" t="n">
        <v>0.0481032998677687</v>
      </c>
      <c r="E384" s="2" t="n">
        <v>0.160423566666667</v>
      </c>
    </row>
    <row r="385" customFormat="false" ht="13.8" hidden="false" customHeight="false" outlineLevel="0" collapsed="false">
      <c r="B385" s="2" t="n">
        <v>383</v>
      </c>
      <c r="C385" s="2" t="n">
        <v>2.34182210753037E-009</v>
      </c>
      <c r="D385" s="2" t="n">
        <v>0.0489860498488779</v>
      </c>
      <c r="E385" s="2" t="n">
        <v>0.0684216166666667</v>
      </c>
    </row>
    <row r="386" customFormat="false" ht="13.8" hidden="false" customHeight="false" outlineLevel="0" collapsed="false">
      <c r="B386" s="2" t="n">
        <v>384</v>
      </c>
      <c r="C386" s="2" t="n">
        <v>2.04910454819396E-009</v>
      </c>
      <c r="D386" s="2" t="n">
        <v>0.0224860831633201</v>
      </c>
      <c r="E386" s="2" t="n">
        <v>0.106305783333333</v>
      </c>
    </row>
    <row r="387" customFormat="false" ht="13.8" hidden="false" customHeight="false" outlineLevel="0" collapsed="false">
      <c r="B387" s="2" t="n">
        <v>385</v>
      </c>
      <c r="C387" s="2" t="n">
        <v>1.75638407318455E-009</v>
      </c>
      <c r="D387" s="2" t="n">
        <v>0.0198861998110955</v>
      </c>
      <c r="E387" s="2" t="n">
        <v>0.134521816666667</v>
      </c>
    </row>
    <row r="388" customFormat="false" ht="13.8" hidden="false" customHeight="false" outlineLevel="0" collapsed="false">
      <c r="B388" s="2" t="n">
        <v>386</v>
      </c>
      <c r="C388" s="2" t="n">
        <v>1.4636606830989E-009</v>
      </c>
      <c r="D388" s="2" t="n">
        <v>0.0538683164588708</v>
      </c>
      <c r="E388" s="2" t="n">
        <v>0.0336718833333333</v>
      </c>
    </row>
    <row r="389" customFormat="false" ht="13.8" hidden="false" customHeight="false" outlineLevel="0" collapsed="false">
      <c r="B389" s="2" t="n">
        <v>387</v>
      </c>
      <c r="C389" s="2" t="n">
        <v>1.1709343794176E-009</v>
      </c>
      <c r="D389" s="2" t="n">
        <v>0.0584512664399792</v>
      </c>
      <c r="E389" s="2" t="n">
        <v>0.167703433333333</v>
      </c>
    </row>
    <row r="390" customFormat="false" ht="13.8" hidden="false" customHeight="false" outlineLevel="0" collapsed="false">
      <c r="B390" s="2" t="n">
        <v>388</v>
      </c>
      <c r="C390" s="2" t="n">
        <v>8.78205156441863E-010</v>
      </c>
      <c r="D390" s="2" t="n">
        <v>0.0360842330877541</v>
      </c>
      <c r="E390" s="2" t="n">
        <v>0.0316188166666667</v>
      </c>
    </row>
    <row r="391" customFormat="false" ht="13.8" hidden="false" customHeight="false" outlineLevel="0" collapsed="false">
      <c r="B391" s="2" t="n">
        <v>389</v>
      </c>
      <c r="C391" s="2" t="n">
        <v>5.85473020030911E-010</v>
      </c>
      <c r="D391" s="2" t="n">
        <v>0.0527839497355288</v>
      </c>
      <c r="E391" s="2" t="n">
        <v>0.14695085</v>
      </c>
    </row>
    <row r="392" customFormat="false" ht="13.8" hidden="false" customHeight="false" outlineLevel="0" collapsed="false">
      <c r="B392" s="2" t="n">
        <v>390</v>
      </c>
      <c r="C392" s="2" t="n">
        <v>2.92737967618485E-010</v>
      </c>
      <c r="D392" s="2" t="n">
        <v>0.0308836663833033</v>
      </c>
      <c r="E392" s="2" t="n">
        <v>0.0468002333333333</v>
      </c>
    </row>
    <row r="393" customFormat="false" ht="13.8" hidden="false" customHeight="false" outlineLevel="0" collapsed="false">
      <c r="B393" s="2" t="n">
        <v>391</v>
      </c>
      <c r="C393" s="2" t="n">
        <v>0.00809538784120512</v>
      </c>
      <c r="D393" s="2" t="n">
        <v>0.0443836996977444</v>
      </c>
      <c r="E393" s="2" t="n">
        <v>0.0615884788254616</v>
      </c>
    </row>
    <row r="394" customFormat="false" ht="13.8" hidden="false" customHeight="false" outlineLevel="0" collapsed="false">
      <c r="B394" s="2" t="n">
        <v>392</v>
      </c>
      <c r="C394" s="2" t="n">
        <v>4.39076339489626E-009</v>
      </c>
      <c r="D394" s="2" t="n">
        <v>0.0461835663455186</v>
      </c>
      <c r="E394" s="2" t="n">
        <v>0.0980008166666667</v>
      </c>
    </row>
    <row r="395" customFormat="false" ht="13.8" hidden="false" customHeight="false" outlineLevel="0" collapsed="false">
      <c r="B395" s="2" t="n">
        <v>393</v>
      </c>
      <c r="C395" s="2" t="n">
        <v>4.09806624245942E-009</v>
      </c>
      <c r="D395" s="2" t="n">
        <v>0.0152669329932926</v>
      </c>
      <c r="E395" s="2" t="n">
        <v>0.0740505</v>
      </c>
    </row>
    <row r="396" customFormat="false" ht="13.8" hidden="false" customHeight="false" outlineLevel="0" collapsed="false">
      <c r="B396" s="2" t="n">
        <v>394</v>
      </c>
      <c r="C396" s="2" t="n">
        <v>3.80536617491703E-009</v>
      </c>
      <c r="D396" s="2" t="n">
        <v>0.0670834663077331</v>
      </c>
      <c r="E396" s="2" t="n">
        <v>0.0803837333333333</v>
      </c>
    </row>
    <row r="397" customFormat="false" ht="13.8" hidden="false" customHeight="false" outlineLevel="0" collapsed="false">
      <c r="B397" s="2" t="n">
        <v>395</v>
      </c>
      <c r="C397" s="2" t="n">
        <v>3.5126631915974E-009</v>
      </c>
      <c r="D397" s="2" t="n">
        <v>0.0622335329555067</v>
      </c>
      <c r="E397" s="2" t="n">
        <v>0.0715503666666667</v>
      </c>
    </row>
    <row r="398" customFormat="false" ht="13.8" hidden="false" customHeight="false" outlineLevel="0" collapsed="false">
      <c r="B398" s="2" t="n">
        <v>396</v>
      </c>
      <c r="C398" s="2" t="n">
        <v>3.21995729374138E-009</v>
      </c>
      <c r="D398" s="2" t="n">
        <v>0.0157833996032802</v>
      </c>
      <c r="E398" s="2" t="n">
        <v>0.0745509666666667</v>
      </c>
    </row>
    <row r="399" customFormat="false" ht="13.8" hidden="false" customHeight="false" outlineLevel="0" collapsed="false">
      <c r="B399" s="2" t="n">
        <v>397</v>
      </c>
      <c r="C399" s="2" t="n">
        <v>2.92724848053507E-009</v>
      </c>
      <c r="D399" s="2" t="n">
        <v>0.0766502329177202</v>
      </c>
      <c r="E399" s="2" t="n">
        <v>0.105617233333333</v>
      </c>
    </row>
    <row r="400" customFormat="false" ht="13.8" hidden="false" customHeight="false" outlineLevel="0" collapsed="false">
      <c r="B400" s="2" t="n">
        <v>398</v>
      </c>
      <c r="C400" s="2" t="n">
        <v>2.63453675153196E-009</v>
      </c>
      <c r="D400" s="2" t="n">
        <v>0.0126000495654933</v>
      </c>
      <c r="E400" s="2" t="n">
        <v>0.0569834833333333</v>
      </c>
    </row>
    <row r="401" customFormat="false" ht="13.8" hidden="false" customHeight="false" outlineLevel="0" collapsed="false">
      <c r="B401" s="2" t="n">
        <v>399</v>
      </c>
      <c r="C401" s="2" t="n">
        <v>2.34182210761722E-009</v>
      </c>
      <c r="D401" s="2" t="n">
        <v>0.0756168828799329</v>
      </c>
      <c r="E401" s="2" t="n">
        <v>0.10376715</v>
      </c>
    </row>
    <row r="402" customFormat="false" ht="13.8" hidden="false" customHeight="false" outlineLevel="0" collapsed="false">
      <c r="B402" s="2" t="n">
        <v>400</v>
      </c>
      <c r="C402" s="2" t="n">
        <v>2.04910454807914E-009</v>
      </c>
      <c r="D402" s="2" t="n">
        <v>0.0410670161943723</v>
      </c>
      <c r="E402" s="2" t="n">
        <v>0.0557507833333333</v>
      </c>
    </row>
    <row r="403" customFormat="false" ht="13.8" hidden="false" customHeight="false" outlineLevel="0" collapsed="false">
      <c r="B403" s="2" t="n">
        <v>401</v>
      </c>
      <c r="C403" s="2" t="n">
        <v>1.75638407312446E-009</v>
      </c>
      <c r="D403" s="2" t="n">
        <v>0.0173168161754782</v>
      </c>
      <c r="E403" s="2" t="n">
        <v>0.07706715</v>
      </c>
    </row>
    <row r="404" customFormat="false" ht="13.8" hidden="false" customHeight="false" outlineLevel="0" collapsed="false">
      <c r="B404" s="2" t="n">
        <v>402</v>
      </c>
      <c r="C404" s="2" t="n">
        <v>1.46366068308617E-009</v>
      </c>
      <c r="D404" s="2" t="n">
        <v>0.0628000494899173</v>
      </c>
      <c r="E404" s="2" t="n">
        <v>0.0704001666666667</v>
      </c>
    </row>
    <row r="405" customFormat="false" ht="13.8" hidden="false" customHeight="false" outlineLevel="0" collapsed="false">
      <c r="B405" s="2" t="n">
        <v>403</v>
      </c>
      <c r="C405" s="2" t="n">
        <v>1.17093437759146E-009</v>
      </c>
      <c r="D405" s="2" t="n">
        <v>0.0522834994710229</v>
      </c>
      <c r="E405" s="2" t="n">
        <v>0.127083933333333</v>
      </c>
    </row>
    <row r="406" customFormat="false" ht="13.8" hidden="false" customHeight="false" outlineLevel="0" collapsed="false">
      <c r="B406" s="2" t="n">
        <v>404</v>
      </c>
      <c r="C406" s="2" t="n">
        <v>8.78205156343452E-010</v>
      </c>
      <c r="D406" s="2" t="n">
        <v>0.00881681611879495</v>
      </c>
      <c r="E406" s="2" t="n">
        <v>0.0579504333333333</v>
      </c>
    </row>
    <row r="407" customFormat="false" ht="13.8" hidden="false" customHeight="false" outlineLevel="0" collapsed="false">
      <c r="B407" s="2" t="n">
        <v>405</v>
      </c>
      <c r="C407" s="2" t="n">
        <v>5.85473019953742E-010</v>
      </c>
      <c r="D407" s="2" t="n">
        <v>0.0134334994332335</v>
      </c>
      <c r="E407" s="2" t="n">
        <v>0.0989504833333333</v>
      </c>
    </row>
    <row r="408" customFormat="false" ht="13.8" hidden="false" customHeight="false" outlineLevel="0" collapsed="false">
      <c r="B408" s="2" t="n">
        <v>406</v>
      </c>
      <c r="C408" s="2" t="n">
        <v>2.92737967797689E-010</v>
      </c>
      <c r="D408" s="2" t="n">
        <v>0.0669794999654188</v>
      </c>
      <c r="E408" s="2" t="n">
        <v>0.0512676186112144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0.0337422171642707</v>
      </c>
      <c r="E409" s="2" t="n">
        <v>0.148267587222429</v>
      </c>
    </row>
    <row r="410" customFormat="false" ht="13.8" hidden="false" customHeight="false" outlineLevel="0" collapsed="false">
      <c r="B410" s="2" t="n">
        <v>408</v>
      </c>
      <c r="C410" s="2" t="n">
        <v>2.9273796779429E-010</v>
      </c>
      <c r="D410" s="2" t="n">
        <v>0.049421401029789</v>
      </c>
      <c r="E410" s="2" t="n">
        <v>0.0309180558336433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0.0458340182286404</v>
      </c>
      <c r="E411" s="2" t="n">
        <v>0.112018723764725</v>
      </c>
    </row>
    <row r="412" customFormat="false" ht="13.8" hidden="false" customHeight="false" outlineLevel="0" collapsed="false">
      <c r="B412" s="2" t="n">
        <v>410</v>
      </c>
      <c r="C412" s="2" t="n">
        <v>6.42347823940691E-010</v>
      </c>
      <c r="D412" s="2" t="n">
        <v>0</v>
      </c>
      <c r="E412" s="2" t="n">
        <v>6.80126188801396E-010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0.00620975847146383</v>
      </c>
      <c r="E413" s="2" t="n">
        <v>0.00298432859968345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2.27553280000001E-021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1.16597560545855E-010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1.31701242120902E-010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1.00135866922157E-017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4.72241210937501E-011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4.09291696180556E-018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3.21877147982132E-016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3.68362529629704E-018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1.3170122622633E-010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2.63403836898597E-010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1.41673855251736E-010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3.08359870636172E-017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9.20906316597943E-019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4.72241210937501E-011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1.84181263281269E-018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1.31701223807186E-010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1.13340361034538E-010</v>
      </c>
      <c r="E452" s="2" t="n">
        <v>2.63403838108169E-010</v>
      </c>
    </row>
    <row r="453" customFormat="false" ht="13.8" hidden="false" customHeight="false" outlineLevel="0" collapsed="false">
      <c r="B453" s="2" t="n">
        <v>451</v>
      </c>
      <c r="C453" s="2" t="n">
        <v>2.45570369568911E-010</v>
      </c>
      <c r="D453" s="2" t="n">
        <v>2.45570363211082E-010</v>
      </c>
      <c r="E453" s="2" t="n">
        <v>3.95107706055869E-010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0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1.41282470933329E-008</v>
      </c>
      <c r="D455" s="2" t="n">
        <v>9.87749251043136E-009</v>
      </c>
      <c r="E455" s="2" t="n">
        <v>0.0765289516497438</v>
      </c>
    </row>
    <row r="456" customFormat="false" ht="13.8" hidden="false" customHeight="false" outlineLevel="0" collapsed="false">
      <c r="B456" s="2" t="n">
        <v>454</v>
      </c>
      <c r="C456" s="2" t="n">
        <v>1.39009437497142E-008</v>
      </c>
      <c r="D456" s="2" t="n">
        <v>9.64439068668072E-009</v>
      </c>
      <c r="E456" s="2" t="n">
        <v>0.0342879788291951</v>
      </c>
    </row>
    <row r="457" customFormat="false" ht="13.8" hidden="false" customHeight="false" outlineLevel="0" collapsed="false">
      <c r="B457" s="2" t="n">
        <v>455</v>
      </c>
      <c r="C457" s="2" t="n">
        <v>1.36738342715941E-008</v>
      </c>
      <c r="D457" s="2" t="n">
        <v>9.41144271448707E-009</v>
      </c>
      <c r="E457" s="2" t="n">
        <v>0.138397456008648</v>
      </c>
    </row>
    <row r="458" customFormat="false" ht="13.8" hidden="false" customHeight="false" outlineLevel="0" collapsed="false">
      <c r="B458" s="2" t="n">
        <v>456</v>
      </c>
      <c r="C458" s="2" t="n">
        <v>1.34469239451895E-008</v>
      </c>
      <c r="D458" s="2" t="n">
        <v>9.17865729518917E-009</v>
      </c>
      <c r="E458" s="2" t="n">
        <v>0.125339749854766</v>
      </c>
    </row>
    <row r="459" customFormat="false" ht="13.8" hidden="false" customHeight="false" outlineLevel="0" collapsed="false">
      <c r="B459" s="2" t="n">
        <v>457</v>
      </c>
      <c r="C459" s="2" t="n">
        <v>1.322021822548E-008</v>
      </c>
      <c r="D459" s="2" t="n">
        <v>8.9460440406855E-009</v>
      </c>
      <c r="E459" s="2" t="n">
        <v>0.229100677034218</v>
      </c>
    </row>
    <row r="460" customFormat="false" ht="13.8" hidden="false" customHeight="false" outlineLevel="0" collapsed="false">
      <c r="B460" s="2" t="n">
        <v>458</v>
      </c>
      <c r="C460" s="2" t="n">
        <v>1.29937227338578E-008</v>
      </c>
      <c r="D460" s="2" t="n">
        <v>8.71361272968737E-009</v>
      </c>
      <c r="E460" s="2" t="n">
        <v>0.15350804944233</v>
      </c>
    </row>
    <row r="461" customFormat="false" ht="13.8" hidden="false" customHeight="false" outlineLevel="0" collapsed="false">
      <c r="B461" s="2" t="n">
        <v>459</v>
      </c>
      <c r="C461" s="2" t="n">
        <v>1.27674432810482E-008</v>
      </c>
      <c r="D461" s="2" t="n">
        <v>8.48137435979969E-009</v>
      </c>
      <c r="E461" s="2" t="n">
        <v>0.205646321850452</v>
      </c>
    </row>
    <row r="462" customFormat="false" ht="13.8" hidden="false" customHeight="false" outlineLevel="0" collapsed="false">
      <c r="B462" s="2" t="n">
        <v>460</v>
      </c>
      <c r="C462" s="2" t="n">
        <v>1.25413858316131E-008</v>
      </c>
      <c r="D462" s="2" t="n">
        <v>8.24934053701252E-009</v>
      </c>
      <c r="E462" s="2" t="n">
        <v>0.254502260925221</v>
      </c>
    </row>
    <row r="463" customFormat="false" ht="13.8" hidden="false" customHeight="false" outlineLevel="0" collapsed="false">
      <c r="B463" s="2" t="n">
        <v>461</v>
      </c>
      <c r="C463" s="2" t="n">
        <v>1.23155565747814E-008</v>
      </c>
      <c r="D463" s="2" t="n">
        <v>8.01752375226047E-009</v>
      </c>
      <c r="E463" s="2" t="n">
        <v>0.307225583333333</v>
      </c>
    </row>
    <row r="464" customFormat="false" ht="13.8" hidden="false" customHeight="false" outlineLevel="0" collapsed="false">
      <c r="B464" s="2" t="n">
        <v>462</v>
      </c>
      <c r="C464" s="2" t="n">
        <v>1.20899618512218E-008</v>
      </c>
      <c r="D464" s="2" t="n">
        <v>7.78593756098065E-009</v>
      </c>
      <c r="E464" s="2" t="n">
        <v>0.2402272</v>
      </c>
    </row>
    <row r="465" customFormat="false" ht="13.8" hidden="false" customHeight="false" outlineLevel="0" collapsed="false">
      <c r="B465" s="2" t="n">
        <v>463</v>
      </c>
      <c r="C465" s="2" t="n">
        <v>1.18646082416646E-008</v>
      </c>
      <c r="D465" s="2" t="n">
        <v>7.55459646302497E-009</v>
      </c>
      <c r="E465" s="2" t="n">
        <v>0.325593783333333</v>
      </c>
    </row>
    <row r="466" customFormat="false" ht="13.8" hidden="false" customHeight="false" outlineLevel="0" collapsed="false">
      <c r="B466" s="2" t="n">
        <v>464</v>
      </c>
      <c r="C466" s="2" t="n">
        <v>1.16395025050736E-008</v>
      </c>
      <c r="D466" s="2" t="n">
        <v>7.32351608373314E-009</v>
      </c>
      <c r="E466" s="2" t="n">
        <v>0.310594183333333</v>
      </c>
    </row>
    <row r="467" customFormat="false" ht="13.8" hidden="false" customHeight="false" outlineLevel="0" collapsed="false">
      <c r="B467" s="2" t="n">
        <v>465</v>
      </c>
      <c r="C467" s="2" t="n">
        <v>1.14146116340858E-008</v>
      </c>
      <c r="D467" s="2" t="n">
        <v>7.09271342835558E-009</v>
      </c>
      <c r="E467" s="2" t="n">
        <v>0.353461183333333</v>
      </c>
    </row>
    <row r="468" customFormat="false" ht="13.8" hidden="false" customHeight="false" outlineLevel="0" collapsed="false">
      <c r="B468" s="2" t="n">
        <v>466</v>
      </c>
      <c r="C468" s="2" t="n">
        <v>1.1121984889223E-008</v>
      </c>
      <c r="D468" s="2" t="n">
        <v>6.86220681859834E-009</v>
      </c>
      <c r="E468" s="2" t="n">
        <v>0.272761616666667</v>
      </c>
    </row>
    <row r="469" customFormat="false" ht="13.8" hidden="false" customHeight="false" outlineLevel="0" collapsed="false">
      <c r="B469" s="2" t="n">
        <v>467</v>
      </c>
      <c r="C469" s="2" t="n">
        <v>1.08293552195969E-008</v>
      </c>
      <c r="D469" s="2" t="n">
        <v>6.63201600388734E-009</v>
      </c>
      <c r="E469" s="2" t="n">
        <v>0.3118624</v>
      </c>
    </row>
    <row r="470" customFormat="false" ht="13.8" hidden="false" customHeight="false" outlineLevel="0" collapsed="false">
      <c r="B470" s="2" t="n">
        <v>468</v>
      </c>
      <c r="C470" s="2" t="n">
        <v>1.05367226237E-008</v>
      </c>
      <c r="D470" s="2" t="n">
        <v>6.40216245232486E-009</v>
      </c>
      <c r="E470" s="2" t="n">
        <v>0.245395883333333</v>
      </c>
    </row>
    <row r="471" customFormat="false" ht="13.8" hidden="false" customHeight="false" outlineLevel="0" collapsed="false">
      <c r="B471" s="2" t="n">
        <v>469</v>
      </c>
      <c r="C471" s="2" t="n">
        <v>1.02440871034839E-008</v>
      </c>
      <c r="D471" s="2" t="n">
        <v>6.17266938687165E-009</v>
      </c>
      <c r="E471" s="2" t="n">
        <v>0.271796583333333</v>
      </c>
    </row>
    <row r="472" customFormat="false" ht="13.8" hidden="false" customHeight="false" outlineLevel="0" collapsed="false">
      <c r="B472" s="2" t="n">
        <v>470</v>
      </c>
      <c r="C472" s="2" t="n">
        <v>9.95144865470198E-009</v>
      </c>
      <c r="D472" s="2" t="n">
        <v>5.94356203814532E-009</v>
      </c>
      <c r="E472" s="2" t="n">
        <v>0.256729366666667</v>
      </c>
    </row>
    <row r="473" customFormat="false" ht="13.8" hidden="false" customHeight="false" outlineLevel="0" collapsed="false">
      <c r="B473" s="2" t="n">
        <v>471</v>
      </c>
      <c r="C473" s="2" t="n">
        <v>9.65880728099052E-009</v>
      </c>
      <c r="D473" s="2" t="n">
        <v>5.71486760210937E-009</v>
      </c>
      <c r="E473" s="2" t="n">
        <v>0.27991175</v>
      </c>
    </row>
    <row r="474" customFormat="false" ht="13.8" hidden="false" customHeight="false" outlineLevel="0" collapsed="false">
      <c r="B474" s="2" t="n">
        <v>472</v>
      </c>
      <c r="C474" s="2" t="n">
        <v>9.36616297086945E-009</v>
      </c>
      <c r="D474" s="2" t="n">
        <v>5.4866158400836E-009</v>
      </c>
      <c r="E474" s="2" t="n">
        <v>0.251778433333333</v>
      </c>
    </row>
    <row r="475" customFormat="false" ht="13.8" hidden="false" customHeight="false" outlineLevel="0" collapsed="false">
      <c r="B475" s="2" t="n">
        <v>473</v>
      </c>
      <c r="C475" s="2" t="n">
        <v>9.0735157571139E-009</v>
      </c>
      <c r="D475" s="2" t="n">
        <v>5.25883893291757E-009</v>
      </c>
      <c r="E475" s="2" t="n">
        <v>0.269094883333333</v>
      </c>
    </row>
    <row r="476" customFormat="false" ht="13.8" hidden="false" customHeight="false" outlineLevel="0" collapsed="false">
      <c r="B476" s="2" t="n">
        <v>474</v>
      </c>
      <c r="C476" s="2" t="n">
        <v>8.78086560606645E-009</v>
      </c>
      <c r="D476" s="2" t="n">
        <v>5.03157188018899E-009</v>
      </c>
      <c r="E476" s="2" t="n">
        <v>0.257261683333333</v>
      </c>
    </row>
    <row r="477" customFormat="false" ht="13.8" hidden="false" customHeight="false" outlineLevel="0" collapsed="false">
      <c r="B477" s="2" t="n">
        <v>475</v>
      </c>
      <c r="C477" s="2" t="n">
        <v>8.48821251734144E-009</v>
      </c>
      <c r="D477" s="2" t="n">
        <v>4.80485274572107E-009</v>
      </c>
      <c r="E477" s="2" t="n">
        <v>0.231411266666667</v>
      </c>
    </row>
    <row r="478" customFormat="false" ht="13.8" hidden="false" customHeight="false" outlineLevel="0" collapsed="false">
      <c r="B478" s="2" t="n">
        <v>476</v>
      </c>
      <c r="C478" s="2" t="n">
        <v>8.19555651104076E-009</v>
      </c>
      <c r="D478" s="2" t="n">
        <v>4.57872292473469E-009</v>
      </c>
      <c r="E478" s="2" t="n">
        <v>0.2449941</v>
      </c>
    </row>
    <row r="479" customFormat="false" ht="13.8" hidden="false" customHeight="false" outlineLevel="0" collapsed="false">
      <c r="B479" s="2" t="n">
        <v>477</v>
      </c>
      <c r="C479" s="2" t="n">
        <v>7.90289757081837E-009</v>
      </c>
      <c r="D479" s="2" t="n">
        <v>4.35322712457337E-009</v>
      </c>
      <c r="E479" s="2" t="n">
        <v>0.1568602</v>
      </c>
    </row>
    <row r="480" customFormat="false" ht="13.8" hidden="false" customHeight="false" outlineLevel="0" collapsed="false">
      <c r="B480" s="2" t="n">
        <v>478</v>
      </c>
      <c r="C480" s="2" t="n">
        <v>7.61023571021589E-009</v>
      </c>
      <c r="D480" s="2" t="n">
        <v>0.0455541166666667</v>
      </c>
      <c r="E480" s="2" t="n">
        <v>0.151888983333333</v>
      </c>
    </row>
    <row r="481" customFormat="false" ht="13.8" hidden="false" customHeight="false" outlineLevel="0" collapsed="false">
      <c r="B481" s="2" t="n">
        <v>479</v>
      </c>
      <c r="C481" s="2" t="n">
        <v>7.31757092299987E-009</v>
      </c>
      <c r="D481" s="2" t="n">
        <v>3.80536518921008E-009</v>
      </c>
      <c r="E481" s="2" t="n">
        <v>0.13080925</v>
      </c>
    </row>
    <row r="482" customFormat="false" ht="13.8" hidden="false" customHeight="false" outlineLevel="0" collapsed="false">
      <c r="B482" s="2" t="n">
        <v>480</v>
      </c>
      <c r="C482" s="2" t="n">
        <v>7.02490321086864E-009</v>
      </c>
      <c r="D482" s="2" t="n">
        <v>3.51266235795653E-009</v>
      </c>
      <c r="E482" s="2" t="n">
        <v>0.0636103666666667</v>
      </c>
    </row>
    <row r="483" customFormat="false" ht="13.8" hidden="false" customHeight="false" outlineLevel="0" collapsed="false">
      <c r="B483" s="2" t="n">
        <v>481</v>
      </c>
      <c r="C483" s="2" t="n">
        <v>6.73223256929184E-009</v>
      </c>
      <c r="D483" s="2" t="n">
        <v>0.00738586666666667</v>
      </c>
      <c r="E483" s="2" t="n">
        <v>0.0487883666666667</v>
      </c>
    </row>
    <row r="484" customFormat="false" ht="13.8" hidden="false" customHeight="false" outlineLevel="0" collapsed="false">
      <c r="B484" s="2" t="n">
        <v>482</v>
      </c>
      <c r="C484" s="2" t="n">
        <v>6.43955899853676E-009</v>
      </c>
      <c r="D484" s="2" t="n">
        <v>2.92724790175142E-009</v>
      </c>
      <c r="E484" s="2" t="n">
        <v>0.0873575999999999</v>
      </c>
    </row>
    <row r="485" customFormat="false" ht="13.8" hidden="false" customHeight="false" outlineLevel="0" collapsed="false">
      <c r="B485" s="2" t="n">
        <v>483</v>
      </c>
      <c r="C485" s="2" t="n">
        <v>6.14688250219625E-009</v>
      </c>
      <c r="D485" s="2" t="n">
        <v>2.63453628685023E-009</v>
      </c>
      <c r="E485" s="2" t="n">
        <v>0.189821433333333</v>
      </c>
    </row>
    <row r="486" customFormat="false" ht="13.8" hidden="false" customHeight="false" outlineLevel="0" collapsed="false">
      <c r="B486" s="2" t="n">
        <v>484</v>
      </c>
      <c r="C486" s="2" t="n">
        <v>5.85420308425317E-009</v>
      </c>
      <c r="D486" s="2" t="n">
        <v>2.34182173992662E-009</v>
      </c>
      <c r="E486" s="2" t="n">
        <v>0.113269066666667</v>
      </c>
    </row>
    <row r="487" customFormat="false" ht="13.8" hidden="false" customHeight="false" outlineLevel="0" collapsed="false">
      <c r="B487" s="2" t="n">
        <v>485</v>
      </c>
      <c r="C487" s="2" t="n">
        <v>5.56152072900629E-009</v>
      </c>
      <c r="D487" s="2" t="n">
        <v>2.04910431985543E-009</v>
      </c>
      <c r="E487" s="2" t="n">
        <v>0.178151066666667</v>
      </c>
    </row>
    <row r="488" customFormat="false" ht="13.8" hidden="false" customHeight="false" outlineLevel="0" collapsed="false">
      <c r="B488" s="2" t="n">
        <v>486</v>
      </c>
      <c r="C488" s="2" t="n">
        <v>5.26883545737144E-009</v>
      </c>
      <c r="D488" s="2" t="n">
        <v>1.75638387260132E-009</v>
      </c>
      <c r="E488" s="2" t="n">
        <v>0.106250633333333</v>
      </c>
    </row>
    <row r="489" customFormat="false" ht="13.8" hidden="false" customHeight="false" outlineLevel="0" collapsed="false">
      <c r="B489" s="2" t="n">
        <v>487</v>
      </c>
      <c r="C489" s="2" t="n">
        <v>4.97614725559065E-009</v>
      </c>
      <c r="D489" s="2" t="n">
        <v>1.46366054191085E-009</v>
      </c>
      <c r="E489" s="2" t="n">
        <v>0.115551133333333</v>
      </c>
    </row>
    <row r="490" customFormat="false" ht="13.8" hidden="false" customHeight="false" outlineLevel="0" collapsed="false">
      <c r="B490" s="2" t="n">
        <v>488</v>
      </c>
      <c r="C490" s="2" t="n">
        <v>4.68345612126095E-009</v>
      </c>
      <c r="D490" s="2" t="n">
        <v>1.17093428319376E-009</v>
      </c>
      <c r="E490" s="2" t="n">
        <v>0.0802175166666667</v>
      </c>
    </row>
    <row r="491" customFormat="false" ht="13.8" hidden="false" customHeight="false" outlineLevel="0" collapsed="false">
      <c r="B491" s="2" t="n">
        <v>489</v>
      </c>
      <c r="C491" s="2" t="n">
        <v>4.39076207136832E-009</v>
      </c>
      <c r="D491" s="2" t="n">
        <v>8.78205053394738E-010</v>
      </c>
      <c r="E491" s="2" t="n">
        <v>0.157667</v>
      </c>
    </row>
    <row r="492" customFormat="false" ht="13.8" hidden="false" customHeight="false" outlineLevel="0" collapsed="false">
      <c r="B492" s="2" t="n">
        <v>490</v>
      </c>
      <c r="C492" s="2" t="n">
        <v>4.09806509345966E-009</v>
      </c>
      <c r="D492" s="2" t="n">
        <v>0.0800667333333333</v>
      </c>
      <c r="E492" s="2" t="n">
        <v>0.05225035</v>
      </c>
    </row>
    <row r="493" customFormat="false" ht="13.8" hidden="false" customHeight="false" outlineLevel="0" collapsed="false">
      <c r="B493" s="2" t="n">
        <v>491</v>
      </c>
      <c r="C493" s="2" t="n">
        <v>3.8053651822266E-009</v>
      </c>
      <c r="D493" s="2" t="n">
        <v>2.92737961578934E-010</v>
      </c>
      <c r="E493" s="2" t="n">
        <v>0.153934033333333</v>
      </c>
    </row>
    <row r="494" customFormat="false" ht="13.8" hidden="false" customHeight="false" outlineLevel="0" collapsed="false">
      <c r="B494" s="2" t="n">
        <v>492</v>
      </c>
      <c r="C494" s="2" t="n">
        <v>3.51266234245661E-009</v>
      </c>
      <c r="D494" s="2" t="n">
        <v>0.013296252216848</v>
      </c>
      <c r="E494" s="2" t="n">
        <v>0.117503981116485</v>
      </c>
    </row>
    <row r="495" customFormat="false" ht="13.8" hidden="false" customHeight="false" outlineLevel="0" collapsed="false">
      <c r="B495" s="2" t="n">
        <v>493</v>
      </c>
      <c r="C495" s="2" t="n">
        <v>3.21995659414462E-009</v>
      </c>
      <c r="D495" s="2" t="n">
        <v>0.0201834999811104</v>
      </c>
      <c r="E495" s="2" t="n">
        <v>0.173667066666667</v>
      </c>
    </row>
    <row r="496" customFormat="false" ht="13.8" hidden="false" customHeight="false" outlineLevel="0" collapsed="false">
      <c r="B496" s="2" t="n">
        <v>494</v>
      </c>
      <c r="C496" s="2" t="n">
        <v>2.92724789858433E-009</v>
      </c>
      <c r="D496" s="2" t="n">
        <v>0.0646501999622205</v>
      </c>
      <c r="E496" s="2" t="n">
        <v>0.0923170333333333</v>
      </c>
    </row>
    <row r="497" customFormat="false" ht="13.8" hidden="false" customHeight="false" outlineLevel="0" collapsed="false">
      <c r="B497" s="2" t="n">
        <v>495</v>
      </c>
      <c r="C497" s="2" t="n">
        <v>2.63453628599686E-009</v>
      </c>
      <c r="D497" s="2" t="n">
        <v>0</v>
      </c>
      <c r="E497" s="2" t="n">
        <v>0.198133533333333</v>
      </c>
    </row>
    <row r="498" customFormat="false" ht="13.8" hidden="false" customHeight="false" outlineLevel="0" collapsed="false">
      <c r="B498" s="2" t="n">
        <v>496</v>
      </c>
      <c r="C498" s="2" t="n">
        <v>2.34182173984657E-009</v>
      </c>
      <c r="D498" s="2" t="n">
        <v>0.0443001499244402</v>
      </c>
      <c r="E498" s="2" t="n">
        <v>0.0846838333333333</v>
      </c>
    </row>
    <row r="499" customFormat="false" ht="13.8" hidden="false" customHeight="false" outlineLevel="0" collapsed="false">
      <c r="B499" s="2" t="n">
        <v>497</v>
      </c>
      <c r="C499" s="2" t="n">
        <v>2.04910427546307E-009</v>
      </c>
      <c r="D499" s="2" t="n">
        <v>0</v>
      </c>
      <c r="E499" s="2" t="n">
        <v>0.190633783333333</v>
      </c>
    </row>
    <row r="500" customFormat="false" ht="13.8" hidden="false" customHeight="false" outlineLevel="0" collapsed="false">
      <c r="B500" s="2" t="n">
        <v>498</v>
      </c>
      <c r="C500" s="2" t="n">
        <v>1.75638387584672E-009</v>
      </c>
      <c r="D500" s="2" t="n">
        <v>0.0647003498866593</v>
      </c>
      <c r="E500" s="2" t="n">
        <v>0.0778336</v>
      </c>
    </row>
    <row r="501" customFormat="false" ht="13.8" hidden="false" customHeight="false" outlineLevel="0" collapsed="false">
      <c r="B501" s="2" t="n">
        <v>499</v>
      </c>
      <c r="C501" s="2" t="n">
        <v>1.46366054606954E-009</v>
      </c>
      <c r="D501" s="2" t="n">
        <v>0.0111336832011018</v>
      </c>
      <c r="E501" s="2" t="n">
        <v>0.16251685</v>
      </c>
    </row>
    <row r="502" customFormat="false" ht="13.8" hidden="false" customHeight="false" outlineLevel="0" collapsed="false">
      <c r="B502" s="2" t="n">
        <v>500</v>
      </c>
      <c r="C502" s="2" t="n">
        <v>1.1709342915262E-009</v>
      </c>
      <c r="D502" s="2" t="n">
        <v>0.0443001665155441</v>
      </c>
      <c r="E502" s="2" t="n">
        <v>0.07156675</v>
      </c>
    </row>
    <row r="503" customFormat="false" ht="13.8" hidden="false" customHeight="false" outlineLevel="0" collapsed="false">
      <c r="B503" s="2" t="n">
        <v>501</v>
      </c>
      <c r="C503" s="2" t="n">
        <v>8.78205115364113E-010</v>
      </c>
      <c r="D503" s="2" t="n">
        <v>0.056766816496653</v>
      </c>
      <c r="E503" s="2" t="n">
        <v>0.157166833333333</v>
      </c>
    </row>
    <row r="504" customFormat="false" ht="13.8" hidden="false" customHeight="false" outlineLevel="0" collapsed="false">
      <c r="B504" s="2" t="n">
        <v>502</v>
      </c>
      <c r="C504" s="2" t="n">
        <v>5.85473001943588E-010</v>
      </c>
      <c r="D504" s="2" t="n">
        <v>0.0355103169396763</v>
      </c>
      <c r="E504" s="2" t="n">
        <v>0.0691048096234246</v>
      </c>
    </row>
    <row r="505" customFormat="false" ht="13.8" hidden="false" customHeight="false" outlineLevel="0" collapsed="false">
      <c r="B505" s="2" t="n">
        <v>503</v>
      </c>
      <c r="C505" s="2" t="n">
        <v>2.92737963562543E-010</v>
      </c>
      <c r="D505" s="2" t="n">
        <v>0.0647034507160327</v>
      </c>
      <c r="E505" s="2" t="n">
        <v>0.155476369246849</v>
      </c>
    </row>
    <row r="506" customFormat="false" ht="13.8" hidden="false" customHeight="false" outlineLevel="0" collapsed="false">
      <c r="B506" s="2" t="n">
        <v>504</v>
      </c>
      <c r="C506" s="2" t="n">
        <v>0.0165052030275051</v>
      </c>
      <c r="D506" s="2" t="n">
        <v>0.0585300511590555</v>
      </c>
      <c r="E506" s="2" t="n">
        <v>0.0505090925094354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0.051640468268745</v>
      </c>
      <c r="E507" s="2" t="n">
        <v>0.153719138493698</v>
      </c>
    </row>
    <row r="508" customFormat="false" ht="13.8" hidden="false" customHeight="false" outlineLevel="0" collapsed="false">
      <c r="B508" s="2" t="n">
        <v>506</v>
      </c>
      <c r="C508" s="2" t="n">
        <v>0.0283699578462391</v>
      </c>
      <c r="D508" s="2" t="n">
        <v>0.0519353670016754</v>
      </c>
      <c r="E508" s="2" t="n">
        <v>0.03244439050777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0.0694967318723276</v>
      </c>
      <c r="E509" s="2" t="n">
        <v>0.146876422330809</v>
      </c>
    </row>
    <row r="510" customFormat="false" ht="13.8" hidden="false" customHeight="false" outlineLevel="0" collapsed="false">
      <c r="B510" s="2" t="n">
        <v>508</v>
      </c>
      <c r="C510" s="2" t="n">
        <v>0.0288752989614941</v>
      </c>
      <c r="D510" s="2" t="n">
        <v>0.0357252806430425</v>
      </c>
      <c r="E510" s="2" t="n">
        <v>0.0330296999340973</v>
      </c>
    </row>
    <row r="511" customFormat="false" ht="13.8" hidden="false" customHeight="false" outlineLevel="0" collapsed="false">
      <c r="B511" s="2" t="n">
        <v>509</v>
      </c>
      <c r="C511" s="2" t="n">
        <v>0.0923039648954621</v>
      </c>
      <c r="D511" s="2" t="n">
        <v>0.0242031121425762</v>
      </c>
      <c r="E511" s="2" t="n">
        <v>0.0619967243707792</v>
      </c>
    </row>
    <row r="512" customFormat="false" ht="13.8" hidden="false" customHeight="false" outlineLevel="0" collapsed="false">
      <c r="B512" s="2" t="n">
        <v>510</v>
      </c>
      <c r="C512" s="2" t="n">
        <v>1.05409022024074E-009</v>
      </c>
      <c r="D512" s="2" t="n">
        <v>0.05258966868306</v>
      </c>
      <c r="E512" s="2" t="n">
        <v>4.27073619024758E-009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0.0294086520678075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4.60453158203126E-019</v>
      </c>
      <c r="E515" s="2" t="n">
        <v>1.8418126328125E-018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6.94088849609376E-018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6.35793227560765E-017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9.20906316406251E-019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6.44634421484376E-018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1.56226393789063E-017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1.29608706757813E-017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9.20906316406251E-019</v>
      </c>
      <c r="E527" s="2" t="n">
        <v>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9.20906316406251E-019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5.58638305478517E-017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5.52543789843751E-018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1.93062646445313E-017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6.11951369650609E-017</v>
      </c>
      <c r="E533" s="2" t="n">
        <v>7.36725053125001E-018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9.20906316406251E-019</v>
      </c>
      <c r="E534" s="2" t="n">
        <v>5.74747247753907E-018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2.99150807452257E-017</v>
      </c>
      <c r="E535" s="2" t="n">
        <v>3.68362526562501E-018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2.39255109961806E-016</v>
      </c>
    </row>
    <row r="537" customFormat="false" ht="13.8" hidden="false" customHeight="false" outlineLevel="0" collapsed="false">
      <c r="B537" s="2" t="n">
        <v>535</v>
      </c>
      <c r="C537" s="2" t="n">
        <v>9.44421888943144E-018</v>
      </c>
      <c r="D537" s="2" t="n">
        <v>0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3.0835987061632E-017</v>
      </c>
      <c r="E538" s="2" t="n">
        <v>2.43637606964736E-016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9.20906316406251E-019</v>
      </c>
    </row>
    <row r="541" customFormat="false" ht="13.8" hidden="false" customHeight="false" outlineLevel="0" collapsed="false">
      <c r="B541" s="2" t="n">
        <v>539</v>
      </c>
      <c r="C541" s="2" t="n">
        <v>1.34469239216882E-008</v>
      </c>
      <c r="D541" s="2" t="n">
        <v>4.80485277519012E-009</v>
      </c>
      <c r="E541" s="2" t="n">
        <v>0.0662729477835849</v>
      </c>
    </row>
    <row r="542" customFormat="false" ht="13.8" hidden="false" customHeight="false" outlineLevel="0" collapsed="false">
      <c r="B542" s="2" t="n">
        <v>540</v>
      </c>
      <c r="C542" s="2" t="n">
        <v>1.32202181931412E-008</v>
      </c>
      <c r="D542" s="2" t="n">
        <v>4.57872287799876E-009</v>
      </c>
      <c r="E542" s="2" t="n">
        <v>0.00744189300698877</v>
      </c>
    </row>
    <row r="543" customFormat="false" ht="13.8" hidden="false" customHeight="false" outlineLevel="0" collapsed="false">
      <c r="B543" s="2" t="n">
        <v>541</v>
      </c>
      <c r="C543" s="2" t="n">
        <v>1.29937227060236E-008</v>
      </c>
      <c r="D543" s="2" t="n">
        <v>4.3532271045254E-009</v>
      </c>
      <c r="E543" s="2" t="n">
        <v>0.0830279715637275</v>
      </c>
    </row>
    <row r="544" customFormat="false" ht="13.8" hidden="false" customHeight="false" outlineLevel="0" collapsed="false">
      <c r="B544" s="2" t="n">
        <v>542</v>
      </c>
      <c r="C544" s="2" t="n">
        <v>1.27674432463964E-008</v>
      </c>
      <c r="D544" s="2" t="n">
        <v>4.0980650664069E-009</v>
      </c>
      <c r="E544" s="2" t="n">
        <v>0.135307108634123</v>
      </c>
    </row>
    <row r="545" customFormat="false" ht="13.8" hidden="false" customHeight="false" outlineLevel="0" collapsed="false">
      <c r="B545" s="2" t="n">
        <v>543</v>
      </c>
      <c r="C545" s="2" t="n">
        <v>1.25413857958627E-008</v>
      </c>
      <c r="D545" s="2" t="n">
        <v>3.8053652125629E-009</v>
      </c>
      <c r="E545" s="2" t="n">
        <v>0.150919945704518</v>
      </c>
    </row>
    <row r="546" customFormat="false" ht="13.8" hidden="false" customHeight="false" outlineLevel="0" collapsed="false">
      <c r="B546" s="2" t="n">
        <v>544</v>
      </c>
      <c r="C546" s="2" t="n">
        <v>1.23155565459484E-008</v>
      </c>
      <c r="D546" s="2" t="n">
        <v>3.51266234898602E-009</v>
      </c>
      <c r="E546" s="2" t="n">
        <v>0.108616049441582</v>
      </c>
    </row>
    <row r="547" customFormat="false" ht="13.8" hidden="false" customHeight="false" outlineLevel="0" collapsed="false">
      <c r="B547" s="2" t="n">
        <v>545</v>
      </c>
      <c r="C547" s="2" t="n">
        <v>1.20899618326832E-008</v>
      </c>
      <c r="D547" s="2" t="n">
        <v>3.21995657389456E-009</v>
      </c>
      <c r="E547" s="2" t="n">
        <v>0.148478186511976</v>
      </c>
    </row>
    <row r="548" customFormat="false" ht="13.8" hidden="false" customHeight="false" outlineLevel="0" collapsed="false">
      <c r="B548" s="2" t="n">
        <v>546</v>
      </c>
      <c r="C548" s="2" t="n">
        <v>1.18646082314722E-008</v>
      </c>
      <c r="D548" s="2" t="n">
        <v>2.92724791326771E-009</v>
      </c>
      <c r="E548" s="2" t="n">
        <v>0.153706604822754</v>
      </c>
    </row>
    <row r="549" customFormat="false" ht="13.8" hidden="false" customHeight="false" outlineLevel="0" collapsed="false">
      <c r="B549" s="2" t="n">
        <v>547</v>
      </c>
      <c r="C549" s="2" t="n">
        <v>1.1639502493568E-008</v>
      </c>
      <c r="D549" s="2" t="n">
        <v>2.63453627757334E-009</v>
      </c>
      <c r="E549" s="2" t="n">
        <v>0.1944359398002</v>
      </c>
    </row>
    <row r="550" customFormat="false" ht="13.8" hidden="false" customHeight="false" outlineLevel="0" collapsed="false">
      <c r="B550" s="2" t="n">
        <v>548</v>
      </c>
      <c r="C550" s="2" t="n">
        <v>1.14146116345963E-008</v>
      </c>
      <c r="D550" s="2" t="n">
        <v>0.0345535422008319</v>
      </c>
      <c r="E550" s="2" t="n">
        <v>0.127261215910147</v>
      </c>
    </row>
    <row r="551" customFormat="false" ht="13.8" hidden="false" customHeight="false" outlineLevel="0" collapsed="false">
      <c r="B551" s="2" t="n">
        <v>549</v>
      </c>
      <c r="C551" s="2" t="n">
        <v>1.11219848823679E-008</v>
      </c>
      <c r="D551" s="2" t="n">
        <v>2.04910427031364E-009</v>
      </c>
      <c r="E551" s="2" t="n">
        <v>0.198143543088424</v>
      </c>
    </row>
    <row r="552" customFormat="false" ht="13.8" hidden="false" customHeight="false" outlineLevel="0" collapsed="false">
      <c r="B552" s="2" t="n">
        <v>550</v>
      </c>
      <c r="C552" s="2" t="n">
        <v>1.08293552044728E-008</v>
      </c>
      <c r="D552" s="2" t="n">
        <v>0.035354865469178</v>
      </c>
      <c r="E552" s="2" t="n">
        <v>0.15446561684714</v>
      </c>
    </row>
    <row r="553" customFormat="false" ht="13.8" hidden="false" customHeight="false" outlineLevel="0" collapsed="false">
      <c r="B553" s="2" t="n">
        <v>551</v>
      </c>
      <c r="C553" s="2" t="n">
        <v>1.05367226240845E-008</v>
      </c>
      <c r="D553" s="2" t="n">
        <v>1.46366054202713E-009</v>
      </c>
      <c r="E553" s="2" t="n">
        <v>0.217297571544212</v>
      </c>
    </row>
    <row r="554" customFormat="false" ht="13.8" hidden="false" customHeight="false" outlineLevel="0" collapsed="false">
      <c r="B554" s="2" t="n">
        <v>552</v>
      </c>
      <c r="C554" s="2" t="n">
        <v>1.02440870908894E-008</v>
      </c>
      <c r="D554" s="2" t="n">
        <v>0.0438631051563927</v>
      </c>
      <c r="E554" s="2" t="n">
        <v>0.122978405615713</v>
      </c>
    </row>
    <row r="555" customFormat="false" ht="13.8" hidden="false" customHeight="false" outlineLevel="0" collapsed="false">
      <c r="B555" s="2" t="n">
        <v>553</v>
      </c>
      <c r="C555" s="2" t="n">
        <v>9.95144864169121E-009</v>
      </c>
      <c r="D555" s="2" t="n">
        <v>0.0795171666666667</v>
      </c>
      <c r="E555" s="2" t="n">
        <v>0.11911845</v>
      </c>
    </row>
    <row r="556" customFormat="false" ht="13.8" hidden="false" customHeight="false" outlineLevel="0" collapsed="false">
      <c r="B556" s="2" t="n">
        <v>554</v>
      </c>
      <c r="C556" s="2" t="n">
        <v>9.65880726112944E-009</v>
      </c>
      <c r="D556" s="2" t="n">
        <v>5.85472994489415E-010</v>
      </c>
      <c r="E556" s="2" t="n">
        <v>0.231870233333333</v>
      </c>
    </row>
    <row r="557" customFormat="false" ht="13.8" hidden="false" customHeight="false" outlineLevel="0" collapsed="false">
      <c r="B557" s="2" t="n">
        <v>555</v>
      </c>
      <c r="C557" s="2" t="n">
        <v>9.36616295182805E-009</v>
      </c>
      <c r="D557" s="2" t="n">
        <v>2.92737982513151E-010</v>
      </c>
      <c r="E557" s="2" t="n">
        <v>0.252237316666667</v>
      </c>
    </row>
    <row r="558" customFormat="false" ht="13.8" hidden="false" customHeight="false" outlineLevel="0" collapsed="false">
      <c r="B558" s="2" t="n">
        <v>556</v>
      </c>
      <c r="C558" s="2" t="n">
        <v>9.07351573645575E-009</v>
      </c>
      <c r="D558" s="2" t="n">
        <v>0.00692372386597135</v>
      </c>
      <c r="E558" s="2" t="n">
        <v>0.303365059467362</v>
      </c>
    </row>
    <row r="559" customFormat="false" ht="13.8" hidden="false" customHeight="false" outlineLevel="0" collapsed="false">
      <c r="B559" s="2" t="n">
        <v>557</v>
      </c>
      <c r="C559" s="2" t="n">
        <v>8.78086555861307E-009</v>
      </c>
      <c r="D559" s="2" t="n">
        <v>0</v>
      </c>
      <c r="E559" s="2" t="n">
        <v>0.314240333333333</v>
      </c>
    </row>
    <row r="560" customFormat="false" ht="13.8" hidden="false" customHeight="false" outlineLevel="0" collapsed="false">
      <c r="B560" s="2" t="n">
        <v>558</v>
      </c>
      <c r="C560" s="2" t="n">
        <v>8.48821248347181E-009</v>
      </c>
      <c r="D560" s="2" t="n">
        <v>0</v>
      </c>
      <c r="E560" s="2" t="n">
        <v>0.252325566666667</v>
      </c>
    </row>
    <row r="561" customFormat="false" ht="13.8" hidden="false" customHeight="false" outlineLevel="0" collapsed="false">
      <c r="B561" s="2" t="n">
        <v>559</v>
      </c>
      <c r="C561" s="2" t="n">
        <v>8.19555648960326E-009</v>
      </c>
      <c r="D561" s="2" t="n">
        <v>0</v>
      </c>
      <c r="E561" s="2" t="n">
        <v>0.241825816666667</v>
      </c>
    </row>
    <row r="562" customFormat="false" ht="13.8" hidden="false" customHeight="false" outlineLevel="0" collapsed="false">
      <c r="B562" s="2" t="n">
        <v>560</v>
      </c>
      <c r="C562" s="2" t="n">
        <v>7.90289755188068E-009</v>
      </c>
      <c r="D562" s="2" t="n">
        <v>0.12241949992444</v>
      </c>
      <c r="E562" s="2" t="n">
        <v>0.1973733</v>
      </c>
    </row>
    <row r="563" customFormat="false" ht="13.8" hidden="false" customHeight="false" outlineLevel="0" collapsed="false">
      <c r="B563" s="2" t="n">
        <v>561</v>
      </c>
      <c r="C563" s="2" t="n">
        <v>7.61023568332989E-009</v>
      </c>
      <c r="D563" s="2" t="n">
        <v>1.84181263282188E-018</v>
      </c>
      <c r="E563" s="2" t="n">
        <v>0.282894416666667</v>
      </c>
    </row>
    <row r="564" customFormat="false" ht="13.8" hidden="false" customHeight="false" outlineLevel="0" collapsed="false">
      <c r="B564" s="2" t="n">
        <v>562</v>
      </c>
      <c r="C564" s="2" t="n">
        <v>7.31757089892606E-009</v>
      </c>
      <c r="D564" s="2" t="n">
        <v>0</v>
      </c>
      <c r="E564" s="2" t="n">
        <v>0.258878716666667</v>
      </c>
    </row>
    <row r="565" customFormat="false" ht="13.8" hidden="false" customHeight="false" outlineLevel="0" collapsed="false">
      <c r="B565" s="2" t="n">
        <v>563</v>
      </c>
      <c r="C565" s="2" t="n">
        <v>7.02490318661917E-009</v>
      </c>
      <c r="D565" s="2" t="n">
        <v>0</v>
      </c>
      <c r="E565" s="2" t="n">
        <v>0.28397665</v>
      </c>
    </row>
    <row r="566" customFormat="false" ht="13.8" hidden="false" customHeight="false" outlineLevel="0" collapsed="false">
      <c r="B566" s="2" t="n">
        <v>564</v>
      </c>
      <c r="C566" s="2" t="n">
        <v>6.73223255261228E-009</v>
      </c>
      <c r="D566" s="2" t="n">
        <v>0.0896539998488775</v>
      </c>
      <c r="E566" s="2" t="n">
        <v>0.209706966666667</v>
      </c>
    </row>
    <row r="567" customFormat="false" ht="13.8" hidden="false" customHeight="false" outlineLevel="0" collapsed="false">
      <c r="B567" s="2" t="n">
        <v>565</v>
      </c>
      <c r="C567" s="2" t="n">
        <v>6.43955897301391E-009</v>
      </c>
      <c r="D567" s="2" t="n">
        <v>0</v>
      </c>
      <c r="E567" s="2" t="n">
        <v>0.28996195</v>
      </c>
    </row>
    <row r="568" customFormat="false" ht="13.8" hidden="false" customHeight="false" outlineLevel="0" collapsed="false">
      <c r="B568" s="2" t="n">
        <v>566</v>
      </c>
      <c r="C568" s="2" t="n">
        <v>6.14688247079477E-009</v>
      </c>
      <c r="D568" s="2" t="n">
        <v>0</v>
      </c>
      <c r="E568" s="2" t="n">
        <v>0.290944316666667</v>
      </c>
    </row>
    <row r="569" customFormat="false" ht="13.8" hidden="false" customHeight="false" outlineLevel="0" collapsed="false">
      <c r="B569" s="2" t="n">
        <v>567</v>
      </c>
      <c r="C569" s="2" t="n">
        <v>5.85420305638587E-009</v>
      </c>
      <c r="D569" s="2" t="n">
        <v>0</v>
      </c>
      <c r="E569" s="2" t="n">
        <v>0.234293933333333</v>
      </c>
    </row>
    <row r="570" customFormat="false" ht="13.8" hidden="false" customHeight="false" outlineLevel="0" collapsed="false">
      <c r="B570" s="2" t="n">
        <v>568</v>
      </c>
      <c r="C570" s="2" t="n">
        <v>5.56152072087455E-009</v>
      </c>
      <c r="D570" s="2" t="n">
        <v>0</v>
      </c>
      <c r="E570" s="2" t="n">
        <v>0.279129233333333</v>
      </c>
    </row>
    <row r="571" customFormat="false" ht="13.8" hidden="false" customHeight="false" outlineLevel="0" collapsed="false">
      <c r="B571" s="2" t="n">
        <v>569</v>
      </c>
      <c r="C571" s="2" t="n">
        <v>5.26883544242865E-009</v>
      </c>
      <c r="D571" s="2" t="n">
        <v>0</v>
      </c>
      <c r="E571" s="2" t="n">
        <v>0.231713133333333</v>
      </c>
    </row>
    <row r="572" customFormat="false" ht="13.8" hidden="false" customHeight="false" outlineLevel="0" collapsed="false">
      <c r="B572" s="2" t="n">
        <v>570</v>
      </c>
      <c r="C572" s="2" t="n">
        <v>4.97614724359588E-009</v>
      </c>
      <c r="D572" s="2" t="n">
        <v>0</v>
      </c>
      <c r="E572" s="2" t="n">
        <v>0.238145766666667</v>
      </c>
    </row>
    <row r="573" customFormat="false" ht="13.8" hidden="false" customHeight="false" outlineLevel="0" collapsed="false">
      <c r="B573" s="2" t="n">
        <v>571</v>
      </c>
      <c r="C573" s="2" t="n">
        <v>4.68345612616421E-009</v>
      </c>
      <c r="D573" s="2" t="n">
        <v>0</v>
      </c>
      <c r="E573" s="2" t="n">
        <v>0.256112083333333</v>
      </c>
    </row>
    <row r="574" customFormat="false" ht="13.8" hidden="false" customHeight="false" outlineLevel="0" collapsed="false">
      <c r="B574" s="2" t="n">
        <v>572</v>
      </c>
      <c r="C574" s="2" t="n">
        <v>4.39076206385911E-009</v>
      </c>
      <c r="D574" s="2" t="n">
        <v>0</v>
      </c>
      <c r="E574" s="2" t="n">
        <v>0.1854284</v>
      </c>
    </row>
    <row r="575" customFormat="false" ht="13.8" hidden="false" customHeight="false" outlineLevel="0" collapsed="false">
      <c r="B575" s="2" t="n">
        <v>573</v>
      </c>
      <c r="C575" s="2" t="n">
        <v>4.09806508871173E-009</v>
      </c>
      <c r="D575" s="2" t="n">
        <v>3.15512427998081E-017</v>
      </c>
      <c r="E575" s="2" t="n">
        <v>0.176478816666667</v>
      </c>
    </row>
    <row r="576" customFormat="false" ht="13.8" hidden="false" customHeight="false" outlineLevel="0" collapsed="false">
      <c r="B576" s="2" t="n">
        <v>574</v>
      </c>
      <c r="C576" s="2" t="n">
        <v>3.80536517775724E-009</v>
      </c>
      <c r="D576" s="2" t="n">
        <v>3.22337305371113E-017</v>
      </c>
      <c r="E576" s="2" t="n">
        <v>0.148944016666667</v>
      </c>
    </row>
    <row r="577" customFormat="false" ht="13.8" hidden="false" customHeight="false" outlineLevel="0" collapsed="false">
      <c r="B577" s="2" t="n">
        <v>575</v>
      </c>
      <c r="C577" s="2" t="n">
        <v>3.51266233296376E-009</v>
      </c>
      <c r="D577" s="2" t="n">
        <v>9.20906316406868E-019</v>
      </c>
      <c r="E577" s="2" t="n">
        <v>0.14759225</v>
      </c>
    </row>
    <row r="578" customFormat="false" ht="13.8" hidden="false" customHeight="false" outlineLevel="0" collapsed="false">
      <c r="B578" s="2" t="n">
        <v>576</v>
      </c>
      <c r="C578" s="2" t="n">
        <v>3.21995658230768E-009</v>
      </c>
      <c r="D578" s="2" t="n">
        <v>0</v>
      </c>
      <c r="E578" s="2" t="n">
        <v>0.13587605</v>
      </c>
    </row>
    <row r="579" customFormat="false" ht="13.8" hidden="false" customHeight="false" outlineLevel="0" collapsed="false">
      <c r="B579" s="2" t="n">
        <v>577</v>
      </c>
      <c r="C579" s="2" t="n">
        <v>2.92724788990967E-009</v>
      </c>
      <c r="D579" s="2" t="n">
        <v>0</v>
      </c>
      <c r="E579" s="2" t="n">
        <v>0.180240016666667</v>
      </c>
    </row>
    <row r="580" customFormat="false" ht="13.8" hidden="false" customHeight="false" outlineLevel="0" collapsed="false">
      <c r="B580" s="2" t="n">
        <v>578</v>
      </c>
      <c r="C580" s="2" t="n">
        <v>2.634536284192E-009</v>
      </c>
      <c r="D580" s="2" t="n">
        <v>0</v>
      </c>
      <c r="E580" s="2" t="n">
        <v>0.06719035</v>
      </c>
    </row>
    <row r="581" customFormat="false" ht="13.8" hidden="false" customHeight="false" outlineLevel="0" collapsed="false">
      <c r="B581" s="2" t="n">
        <v>579</v>
      </c>
      <c r="C581" s="2" t="n">
        <v>2.34182172605656E-009</v>
      </c>
      <c r="D581" s="2" t="n">
        <v>0</v>
      </c>
      <c r="E581" s="2" t="n">
        <v>0.231304616666667</v>
      </c>
    </row>
    <row r="582" customFormat="false" ht="13.8" hidden="false" customHeight="false" outlineLevel="0" collapsed="false">
      <c r="B582" s="2" t="n">
        <v>580</v>
      </c>
      <c r="C582" s="2" t="n">
        <v>2.04910426163814E-009</v>
      </c>
      <c r="D582" s="2" t="n">
        <v>0</v>
      </c>
      <c r="E582" s="2" t="n">
        <v>0.08415425</v>
      </c>
    </row>
    <row r="583" customFormat="false" ht="13.8" hidden="false" customHeight="false" outlineLevel="0" collapsed="false">
      <c r="B583" s="2" t="n">
        <v>581</v>
      </c>
      <c r="C583" s="2" t="n">
        <v>1.75638385181174E-009</v>
      </c>
      <c r="D583" s="2" t="n">
        <v>0</v>
      </c>
      <c r="E583" s="2" t="n">
        <v>0.199318633333333</v>
      </c>
    </row>
    <row r="584" customFormat="false" ht="13.8" hidden="false" customHeight="false" outlineLevel="0" collapsed="false">
      <c r="B584" s="2" t="n">
        <v>582</v>
      </c>
      <c r="C584" s="2" t="n">
        <v>1.46366053653835E-009</v>
      </c>
      <c r="D584" s="2" t="n">
        <v>0.0411334495088076</v>
      </c>
      <c r="E584" s="2" t="n">
        <v>0.06833365</v>
      </c>
    </row>
    <row r="585" customFormat="false" ht="13.8" hidden="false" customHeight="false" outlineLevel="0" collapsed="false">
      <c r="B585" s="2" t="n">
        <v>583</v>
      </c>
      <c r="C585" s="2" t="n">
        <v>1.17093428814179E-009</v>
      </c>
      <c r="D585" s="2" t="n">
        <v>0.0589670161565797</v>
      </c>
      <c r="E585" s="2" t="n">
        <v>0.0940169</v>
      </c>
    </row>
    <row r="586" customFormat="false" ht="13.8" hidden="false" customHeight="false" outlineLevel="0" collapsed="false">
      <c r="B586" s="2" t="n">
        <v>584</v>
      </c>
      <c r="C586" s="2" t="n">
        <v>8.78205108978922E-010</v>
      </c>
      <c r="D586" s="2" t="n">
        <v>0.0519999994710183</v>
      </c>
      <c r="E586" s="2" t="n">
        <v>0.105000483333333</v>
      </c>
    </row>
    <row r="587" customFormat="false" ht="13.8" hidden="false" customHeight="false" outlineLevel="0" collapsed="false">
      <c r="B587" s="2" t="n">
        <v>585</v>
      </c>
      <c r="C587" s="2" t="n">
        <v>5.85472987271307E-010</v>
      </c>
      <c r="D587" s="2" t="n">
        <v>0.0621833494521233</v>
      </c>
      <c r="E587" s="2" t="n">
        <v>0.0914005166666667</v>
      </c>
    </row>
    <row r="588" customFormat="false" ht="13.8" hidden="false" customHeight="false" outlineLevel="0" collapsed="false">
      <c r="B588" s="2" t="n">
        <v>586</v>
      </c>
      <c r="C588" s="2" t="n">
        <v>2.92737966885711E-010</v>
      </c>
      <c r="D588" s="2" t="n">
        <v>0.0530167494332282</v>
      </c>
      <c r="E588" s="2" t="n">
        <v>0.0639835</v>
      </c>
    </row>
    <row r="589" customFormat="false" ht="13.8" hidden="false" customHeight="false" outlineLevel="0" collapsed="false">
      <c r="B589" s="2" t="n">
        <v>587</v>
      </c>
      <c r="C589" s="2" t="n">
        <v>0.0423136888925139</v>
      </c>
      <c r="D589" s="2" t="n">
        <v>0.0639335160809996</v>
      </c>
      <c r="E589" s="2" t="n">
        <v>0.0611365611074861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0.0539167493954374</v>
      </c>
      <c r="E590" s="2" t="n">
        <v>0.10623355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0.0603167660432083</v>
      </c>
      <c r="E591" s="2" t="n">
        <v>0.0757836333333333</v>
      </c>
    </row>
    <row r="592" customFormat="false" ht="13.8" hidden="false" customHeight="false" outlineLevel="0" collapsed="false">
      <c r="B592" s="2" t="n">
        <v>590</v>
      </c>
      <c r="C592" s="2" t="n">
        <v>0.04225</v>
      </c>
      <c r="D592" s="2" t="n">
        <v>0.0504500995786164</v>
      </c>
      <c r="E592" s="2" t="n">
        <v>0.0704835168876373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0.059283482672083</v>
      </c>
      <c r="E593" s="2" t="n">
        <v>0.08966715</v>
      </c>
    </row>
    <row r="594" customFormat="false" ht="13.8" hidden="false" customHeight="false" outlineLevel="0" collapsed="false">
      <c r="B594" s="2" t="n">
        <v>592</v>
      </c>
      <c r="C594" s="2" t="n">
        <v>0.0418167</v>
      </c>
      <c r="D594" s="2" t="n">
        <v>0.0503334162452747</v>
      </c>
      <c r="E594" s="2" t="n">
        <v>0.0627001335920879</v>
      </c>
    </row>
    <row r="595" customFormat="false" ht="13.8" hidden="false" customHeight="false" outlineLevel="0" collapsed="false">
      <c r="B595" s="2" t="n">
        <v>593</v>
      </c>
      <c r="C595" s="2" t="n">
        <v>1.0232292404538E-018</v>
      </c>
      <c r="D595" s="2" t="n">
        <v>0.059283549300957</v>
      </c>
      <c r="E595" s="2" t="n">
        <v>0.0463839333333333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0.0509999992820603</v>
      </c>
      <c r="E596" s="2" t="n">
        <v>0.105133783333333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0.0582002992631635</v>
      </c>
      <c r="E597" s="2" t="n">
        <v>0.0827503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0.0509999992442665</v>
      </c>
      <c r="E598" s="2" t="n">
        <v>0.0846837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0.0583666658920359</v>
      </c>
      <c r="E599" s="2" t="n">
        <v>0.0927002333333333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0.0456114114838978</v>
      </c>
      <c r="E600" s="2" t="n">
        <v>0.121610317861128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0.0494230570757594</v>
      </c>
      <c r="E601" s="2" t="n">
        <v>0.0667862190555903</v>
      </c>
    </row>
    <row r="602" customFormat="false" ht="13.8" hidden="false" customHeight="false" outlineLevel="0" collapsed="false">
      <c r="B602" s="2" t="n">
        <v>600</v>
      </c>
      <c r="C602" s="2" t="n">
        <v>1.84181263281611E-018</v>
      </c>
      <c r="D602" s="2" t="n">
        <v>0.0494177026676209</v>
      </c>
      <c r="E602" s="2" t="n">
        <v>0.138129336916719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0.0550791315928155</v>
      </c>
      <c r="E603" s="2" t="n">
        <v>0.0250894547778472</v>
      </c>
    </row>
    <row r="604" customFormat="false" ht="13.8" hidden="false" customHeight="false" outlineLevel="0" collapsed="false">
      <c r="B604" s="2" t="n">
        <v>602</v>
      </c>
      <c r="C604" s="2" t="n">
        <v>0.0396760449299624</v>
      </c>
      <c r="D604" s="2" t="n">
        <v>0.0342852742183759</v>
      </c>
      <c r="E604" s="2" t="n">
        <v>0.040759569303597</v>
      </c>
    </row>
    <row r="605" customFormat="false" ht="13.8" hidden="false" customHeight="false" outlineLevel="0" collapsed="false">
      <c r="B605" s="2" t="n">
        <v>603</v>
      </c>
      <c r="C605" s="2" t="n">
        <v>3.33620215801612E-009</v>
      </c>
      <c r="D605" s="2" t="n">
        <v>0.01915700908146</v>
      </c>
      <c r="E605" s="2" t="n">
        <v>4.58911691652777E-009</v>
      </c>
    </row>
    <row r="606" customFormat="false" ht="13.8" hidden="false" customHeight="false" outlineLevel="0" collapsed="false">
      <c r="B606" s="2" t="n">
        <v>604</v>
      </c>
      <c r="C606" s="2" t="n">
        <v>6.32541727539229E-010</v>
      </c>
      <c r="D606" s="2" t="n">
        <v>0.0247425783450814</v>
      </c>
      <c r="E606" s="2" t="n">
        <v>5.77339911862257E-010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8.80451995418643E-019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1.5987956882053E-020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3.95107676351043E-010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1.84181264048051E-018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1.31701239701758E-010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2.63403799961197E-010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3.95107676086134E-010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1.84181264048051E-018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7.90227205971944E-010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1.05364681075602E-009</v>
      </c>
      <c r="D627" s="2" t="n">
        <v>3.68362529629704E-018</v>
      </c>
      <c r="E627" s="2" t="n">
        <v>6.54866713888891E-017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1.47284669801089E-016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1.25653881605504E-016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4.09291696180556E-018</v>
      </c>
      <c r="D632" s="2" t="n">
        <v>3.08359870775137E-017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2.76271896647177E-018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3.95107703636725E-010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2.99150807504427E-017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6.5851939059989E-010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1.8418126339079E-018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3.21995729742441E-009</v>
      </c>
      <c r="D642" s="2" t="n">
        <v>0.0688270049714528</v>
      </c>
      <c r="E642" s="2" t="n">
        <v>0.0246507619646679</v>
      </c>
    </row>
    <row r="643" customFormat="false" ht="13.8" hidden="false" customHeight="false" outlineLevel="0" collapsed="false">
      <c r="B643" s="2" t="n">
        <v>641</v>
      </c>
      <c r="C643" s="2" t="n">
        <v>2.92724847672601E-009</v>
      </c>
      <c r="D643" s="2" t="n">
        <v>0.0356077880335277</v>
      </c>
      <c r="E643" s="2" t="n">
        <v>0.0563974442021051</v>
      </c>
    </row>
    <row r="644" customFormat="false" ht="13.8" hidden="false" customHeight="false" outlineLevel="0" collapsed="false">
      <c r="B644" s="2" t="n">
        <v>642</v>
      </c>
      <c r="C644" s="2" t="n">
        <v>2.63453675110138E-009</v>
      </c>
      <c r="D644" s="2" t="n">
        <v>0.0784431052354858</v>
      </c>
      <c r="E644" s="2" t="n">
        <v>0.0743860961729495</v>
      </c>
    </row>
    <row r="645" customFormat="false" ht="13.8" hidden="false" customHeight="false" outlineLevel="0" collapsed="false">
      <c r="B645" s="2" t="n">
        <v>643</v>
      </c>
      <c r="C645" s="2" t="n">
        <v>2.34182210699063E-009</v>
      </c>
      <c r="D645" s="2" t="n">
        <v>0.0495283224374439</v>
      </c>
      <c r="E645" s="2" t="n">
        <v>0.117374414810461</v>
      </c>
    </row>
    <row r="646" customFormat="false" ht="13.8" hidden="false" customHeight="false" outlineLevel="0" collapsed="false">
      <c r="B646" s="2" t="n">
        <v>644</v>
      </c>
      <c r="C646" s="2" t="n">
        <v>2.04910454908796E-009</v>
      </c>
      <c r="D646" s="2" t="n">
        <v>0.073863539639402</v>
      </c>
      <c r="E646" s="2" t="n">
        <v>0.082029616781305</v>
      </c>
    </row>
    <row r="647" customFormat="false" ht="13.8" hidden="false" customHeight="false" outlineLevel="0" collapsed="false">
      <c r="B647" s="2" t="n">
        <v>645</v>
      </c>
      <c r="C647" s="2" t="n">
        <v>1.75638407360585E-009</v>
      </c>
      <c r="D647" s="2" t="n">
        <v>0.0516154401746934</v>
      </c>
      <c r="E647" s="2" t="n">
        <v>0.140184802085483</v>
      </c>
    </row>
    <row r="648" customFormat="false" ht="13.8" hidden="false" customHeight="false" outlineLevel="0" collapsed="false">
      <c r="B648" s="2" t="n">
        <v>646</v>
      </c>
      <c r="C648" s="2" t="n">
        <v>1.4636606834733E-009</v>
      </c>
      <c r="D648" s="2" t="n">
        <v>0.0868991259643533</v>
      </c>
      <c r="E648" s="2" t="n">
        <v>0.101426618230779</v>
      </c>
    </row>
    <row r="649" customFormat="false" ht="13.8" hidden="false" customHeight="false" outlineLevel="0" collapsed="false">
      <c r="B649" s="2" t="n">
        <v>647</v>
      </c>
      <c r="C649" s="2" t="n">
        <v>1.17093437679574E-009</v>
      </c>
      <c r="D649" s="2" t="n">
        <v>0.01909972842068</v>
      </c>
      <c r="E649" s="2" t="n">
        <v>0.124635567709408</v>
      </c>
    </row>
    <row r="650" customFormat="false" ht="13.8" hidden="false" customHeight="false" outlineLevel="0" collapsed="false">
      <c r="B650" s="2" t="n">
        <v>648</v>
      </c>
      <c r="C650" s="2" t="n">
        <v>8.78205156712862E-010</v>
      </c>
      <c r="D650" s="2" t="n">
        <v>0.0668831308770067</v>
      </c>
      <c r="E650" s="2" t="n">
        <v>0.139776950521371</v>
      </c>
    </row>
    <row r="651" customFormat="false" ht="13.8" hidden="false" customHeight="false" outlineLevel="0" collapsed="false">
      <c r="B651" s="2" t="n">
        <v>649</v>
      </c>
      <c r="C651" s="2" t="n">
        <v>0.0923039651304737</v>
      </c>
      <c r="D651" s="2" t="n">
        <v>0.0794168333333333</v>
      </c>
      <c r="E651" s="2" t="n">
        <v>0.0710317348695263</v>
      </c>
    </row>
    <row r="652" customFormat="false" ht="13.8" hidden="false" customHeight="false" outlineLevel="0" collapsed="false">
      <c r="B652" s="2" t="n">
        <v>650</v>
      </c>
      <c r="C652" s="2" t="n">
        <v>2.92737967262081E-010</v>
      </c>
      <c r="D652" s="2" t="n">
        <v>0.0595672166666667</v>
      </c>
      <c r="E652" s="2" t="n">
        <v>0.1569035</v>
      </c>
    </row>
    <row r="653" customFormat="false" ht="13.8" hidden="false" customHeight="false" outlineLevel="0" collapsed="false">
      <c r="B653" s="2" t="n">
        <v>651</v>
      </c>
      <c r="C653" s="2" t="n">
        <v>0.0738217590871168</v>
      </c>
      <c r="D653" s="2" t="n">
        <v>0.0607840333333333</v>
      </c>
      <c r="E653" s="2" t="n">
        <v>0.0610829075795498</v>
      </c>
    </row>
    <row r="654" customFormat="false" ht="13.8" hidden="false" customHeight="false" outlineLevel="0" collapsed="false">
      <c r="B654" s="2" t="n">
        <v>652</v>
      </c>
      <c r="C654" s="2" t="n">
        <v>3.51266319219367E-009</v>
      </c>
      <c r="D654" s="2" t="n">
        <v>0.0760347666666666</v>
      </c>
      <c r="E654" s="2" t="n">
        <v>0.1927555</v>
      </c>
    </row>
    <row r="655" customFormat="false" ht="13.8" hidden="false" customHeight="false" outlineLevel="0" collapsed="false">
      <c r="B655" s="2" t="n">
        <v>653</v>
      </c>
      <c r="C655" s="2" t="n">
        <v>3.21995729406864E-009</v>
      </c>
      <c r="D655" s="2" t="n">
        <v>0.0905516</v>
      </c>
      <c r="E655" s="2" t="n">
        <v>0.159340516666667</v>
      </c>
    </row>
    <row r="656" customFormat="false" ht="13.8" hidden="false" customHeight="false" outlineLevel="0" collapsed="false">
      <c r="B656" s="2" t="n">
        <v>654</v>
      </c>
      <c r="C656" s="2" t="n">
        <v>2.92724848062327E-009</v>
      </c>
      <c r="D656" s="2" t="n">
        <v>2.63453675584261E-009</v>
      </c>
      <c r="E656" s="2" t="n">
        <v>0.32719185</v>
      </c>
    </row>
    <row r="657" customFormat="false" ht="13.8" hidden="false" customHeight="false" outlineLevel="0" collapsed="false">
      <c r="B657" s="2" t="n">
        <v>655</v>
      </c>
      <c r="C657" s="2" t="n">
        <v>2.63453675184269E-009</v>
      </c>
      <c r="D657" s="2" t="n">
        <v>2.34182210488905E-009</v>
      </c>
      <c r="E657" s="2" t="n">
        <v>0.313592216666667</v>
      </c>
    </row>
    <row r="658" customFormat="false" ht="13.8" hidden="false" customHeight="false" outlineLevel="0" collapsed="false">
      <c r="B658" s="2" t="n">
        <v>656</v>
      </c>
      <c r="C658" s="2" t="n">
        <v>2.34182210767682E-009</v>
      </c>
      <c r="D658" s="2" t="n">
        <v>2.04910455123033E-009</v>
      </c>
      <c r="E658" s="2" t="n">
        <v>0.320759116666667</v>
      </c>
    </row>
    <row r="659" customFormat="false" ht="13.8" hidden="false" customHeight="false" outlineLevel="0" collapsed="false">
      <c r="B659" s="2" t="n">
        <v>657</v>
      </c>
      <c r="C659" s="2" t="n">
        <v>2.04910454811746E-009</v>
      </c>
      <c r="D659" s="2" t="n">
        <v>1.75638406935533E-009</v>
      </c>
      <c r="E659" s="2" t="n">
        <v>0.2596098</v>
      </c>
    </row>
    <row r="660" customFormat="false" ht="13.8" hidden="false" customHeight="false" outlineLevel="0" collapsed="false">
      <c r="B660" s="2" t="n">
        <v>658</v>
      </c>
      <c r="C660" s="2" t="n">
        <v>1.75638407311287E-009</v>
      </c>
      <c r="D660" s="2" t="n">
        <v>0.0478862333333333</v>
      </c>
      <c r="E660" s="2" t="n">
        <v>0.19300705</v>
      </c>
    </row>
    <row r="661" customFormat="false" ht="13.8" hidden="false" customHeight="false" outlineLevel="0" collapsed="false">
      <c r="B661" s="2" t="n">
        <v>659</v>
      </c>
      <c r="C661" s="2" t="n">
        <v>1.46366068356999E-009</v>
      </c>
      <c r="D661" s="2" t="n">
        <v>1.17093439596837E-009</v>
      </c>
      <c r="E661" s="2" t="n">
        <v>0.258894016666667</v>
      </c>
    </row>
    <row r="662" customFormat="false" ht="13.8" hidden="false" customHeight="false" outlineLevel="0" collapsed="false">
      <c r="B662" s="2" t="n">
        <v>660</v>
      </c>
      <c r="C662" s="2" t="n">
        <v>1.17093437758165E-009</v>
      </c>
      <c r="D662" s="2" t="n">
        <v>8.78205142273698E-010</v>
      </c>
      <c r="E662" s="2" t="n">
        <v>0.2243944</v>
      </c>
    </row>
    <row r="663" customFormat="false" ht="13.8" hidden="false" customHeight="false" outlineLevel="0" collapsed="false">
      <c r="B663" s="2" t="n">
        <v>661</v>
      </c>
      <c r="C663" s="2" t="n">
        <v>8.78205156074919E-010</v>
      </c>
      <c r="D663" s="2" t="n">
        <v>5.85473021900004E-010</v>
      </c>
      <c r="E663" s="2" t="n">
        <v>0.32767835</v>
      </c>
    </row>
    <row r="664" customFormat="false" ht="13.8" hidden="false" customHeight="false" outlineLevel="0" collapsed="false">
      <c r="B664" s="2" t="n">
        <v>662</v>
      </c>
      <c r="C664" s="2" t="n">
        <v>5.8547301900139E-010</v>
      </c>
      <c r="D664" s="2" t="n">
        <v>0.07518655</v>
      </c>
      <c r="E664" s="2" t="n">
        <v>0.1663918</v>
      </c>
    </row>
    <row r="665" customFormat="false" ht="13.8" hidden="false" customHeight="false" outlineLevel="0" collapsed="false">
      <c r="B665" s="2" t="n">
        <v>663</v>
      </c>
      <c r="C665" s="2" t="n">
        <v>2.927379673216E-010</v>
      </c>
      <c r="D665" s="2" t="n">
        <v>0.0605095884601611</v>
      </c>
      <c r="E665" s="2" t="n">
        <v>0.250286428206506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0.225162633333333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0.121103366628887</v>
      </c>
      <c r="E667" s="2" t="n">
        <v>0.162559016666667</v>
      </c>
    </row>
    <row r="668" customFormat="false" ht="13.8" hidden="false" customHeight="false" outlineLevel="0" collapsed="false">
      <c r="B668" s="2" t="n">
        <v>666</v>
      </c>
      <c r="C668" s="2" t="n">
        <v>2.92737967380143E-010</v>
      </c>
      <c r="D668" s="2" t="n">
        <v>0.0496534166099972</v>
      </c>
      <c r="E668" s="2" t="n">
        <v>0.1723925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0.10270379992444</v>
      </c>
      <c r="E669" s="2" t="n">
        <v>0.161375166666667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0.04552024990555</v>
      </c>
      <c r="E670" s="2" t="n">
        <v>0.184174083333333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0.0815026332199928</v>
      </c>
      <c r="E671" s="2" t="n">
        <v>0.141041216666667</v>
      </c>
    </row>
    <row r="672" customFormat="false" ht="13.8" hidden="false" customHeight="false" outlineLevel="0" collapsed="false">
      <c r="B672" s="2" t="n">
        <v>670</v>
      </c>
      <c r="C672" s="2" t="n">
        <v>2.92737967318063E-010</v>
      </c>
      <c r="D672" s="2" t="n">
        <v>0.0557031665344354</v>
      </c>
      <c r="E672" s="2" t="n">
        <v>0.156257516666667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0.0369197165155445</v>
      </c>
      <c r="E673" s="2" t="n">
        <v>0.112391233333333</v>
      </c>
    </row>
    <row r="674" customFormat="false" ht="13.8" hidden="false" customHeight="false" outlineLevel="0" collapsed="false">
      <c r="B674" s="2" t="n">
        <v>672</v>
      </c>
      <c r="C674" s="2" t="n">
        <v>0.0537541666666667</v>
      </c>
      <c r="D674" s="2" t="n">
        <v>0.01881925</v>
      </c>
      <c r="E674" s="2" t="n">
        <v>0.0485542833333333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0.129225551056737</v>
      </c>
      <c r="D3" s="2" t="n">
        <v>1.16831118925998</v>
      </c>
      <c r="E3" s="2" t="n">
        <v>7.63167113618573</v>
      </c>
    </row>
    <row r="4" customFormat="false" ht="13.8" hidden="false" customHeight="false" outlineLevel="0" collapsed="false">
      <c r="B4" s="2" t="n">
        <v>2</v>
      </c>
      <c r="C4" s="2" t="n">
        <v>0.0754626108629542</v>
      </c>
      <c r="D4" s="2" t="n">
        <v>1.12440839503698</v>
      </c>
      <c r="E4" s="2" t="n">
        <v>7.58516652317807</v>
      </c>
    </row>
    <row r="5" customFormat="false" ht="13.8" hidden="false" customHeight="false" outlineLevel="0" collapsed="false">
      <c r="B5" s="2" t="n">
        <v>3</v>
      </c>
      <c r="C5" s="2" t="n">
        <v>0.0754618561319071</v>
      </c>
      <c r="D5" s="2" t="n">
        <v>1.07054365095303</v>
      </c>
      <c r="E5" s="2" t="n">
        <v>7.45386491225358</v>
      </c>
    </row>
    <row r="6" customFormat="false" ht="13.8" hidden="false" customHeight="false" outlineLevel="0" collapsed="false">
      <c r="B6" s="2" t="n">
        <v>4</v>
      </c>
      <c r="C6" s="2" t="n">
        <v>0.0754611015133456</v>
      </c>
      <c r="D6" s="2" t="n">
        <v>1.00027287144245</v>
      </c>
      <c r="E6" s="2" t="n">
        <v>7.37273265138223</v>
      </c>
    </row>
    <row r="7" customFormat="false" ht="13.8" hidden="false" customHeight="false" outlineLevel="0" collapsed="false">
      <c r="B7" s="2" t="n">
        <v>5</v>
      </c>
      <c r="C7" s="2" t="n">
        <v>0.0754603468813421</v>
      </c>
      <c r="D7" s="2" t="n">
        <v>0.972096109454473</v>
      </c>
      <c r="E7" s="2" t="n">
        <v>7.22406547961128</v>
      </c>
    </row>
    <row r="8" customFormat="false" ht="13.8" hidden="false" customHeight="false" outlineLevel="0" collapsed="false">
      <c r="B8" s="2" t="n">
        <v>6</v>
      </c>
      <c r="C8" s="2" t="n">
        <v>0.0313112034309604</v>
      </c>
      <c r="D8" s="2" t="n">
        <v>0.897234388493378</v>
      </c>
      <c r="E8" s="2" t="n">
        <v>7.20525236858611</v>
      </c>
    </row>
    <row r="9" customFormat="false" ht="13.8" hidden="false" customHeight="false" outlineLevel="0" collapsed="false">
      <c r="B9" s="2" t="n">
        <v>7</v>
      </c>
      <c r="C9" s="2" t="n">
        <v>7.20675932184861E-010</v>
      </c>
      <c r="D9" s="2" t="n">
        <v>0.873003045779123</v>
      </c>
      <c r="E9" s="2" t="n">
        <v>7.15491659527024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0.826327149081999</v>
      </c>
      <c r="E10" s="2" t="n">
        <v>7.07084454610429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0.775670422847545</v>
      </c>
      <c r="E11" s="2" t="n">
        <v>6.98229202284401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0.762477258735909</v>
      </c>
      <c r="E12" s="2" t="n">
        <v>6.86218482955341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0.714228689518877</v>
      </c>
      <c r="E13" s="2" t="n">
        <v>6.79674561511252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0.643536213898649</v>
      </c>
      <c r="E14" s="2" t="n">
        <v>6.66462209210082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0.614640889647621</v>
      </c>
      <c r="E15" s="2" t="n">
        <v>6.54107379773175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0.54333829879428</v>
      </c>
      <c r="E16" s="2" t="n">
        <v>6.37074907217896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0.531110309855737</v>
      </c>
      <c r="E17" s="2" t="n">
        <v>6.27514821654009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0.443104684189667</v>
      </c>
      <c r="E18" s="2" t="n">
        <v>6.11634439098385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0.443100252869996</v>
      </c>
      <c r="E19" s="2" t="n">
        <v>6.00933841272512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0.443095821657595</v>
      </c>
      <c r="E20" s="2" t="n">
        <v>5.80809215267433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0.380554316856162</v>
      </c>
      <c r="E21" s="2" t="n">
        <v>5.73588562730836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0.321680066868549</v>
      </c>
      <c r="E22" s="2" t="n">
        <v>5.59073515734097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0.262510183401214</v>
      </c>
      <c r="E23" s="2" t="n">
        <v>5.48538236110051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0.20364452087503</v>
      </c>
      <c r="E24" s="2" t="n">
        <v>5.31702584843606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0.203642484282909</v>
      </c>
      <c r="E25" s="2" t="n">
        <v>5.19456915576571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0.203640447858066</v>
      </c>
      <c r="E26" s="2" t="n">
        <v>4.93102313941932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0.203638411390623</v>
      </c>
      <c r="E27" s="2" t="n">
        <v>4.81337056214197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0.148089829909939</v>
      </c>
      <c r="E28" s="2" t="n">
        <v>4.6213526171995</v>
      </c>
    </row>
    <row r="29" customFormat="false" ht="13.8" hidden="false" customHeight="false" outlineLevel="0" collapsed="false">
      <c r="B29" s="2" t="n">
        <v>27</v>
      </c>
      <c r="C29" s="2" t="n">
        <v>1.20644663064084E-009</v>
      </c>
      <c r="D29" s="2" t="n">
        <v>0.0541884273912053</v>
      </c>
      <c r="E29" s="2" t="n">
        <v>4.59329574989633</v>
      </c>
    </row>
    <row r="30" customFormat="false" ht="13.8" hidden="false" customHeight="false" outlineLevel="0" collapsed="false">
      <c r="B30" s="2" t="n">
        <v>28</v>
      </c>
      <c r="C30" s="2" t="n">
        <v>3.09471460533138E-009</v>
      </c>
      <c r="D30" s="2" t="n">
        <v>0.0541878855174123</v>
      </c>
      <c r="E30" s="2" t="n">
        <v>4.40377800400085</v>
      </c>
    </row>
    <row r="31" customFormat="false" ht="13.8" hidden="false" customHeight="false" outlineLevel="0" collapsed="false">
      <c r="B31" s="2" t="n">
        <v>29</v>
      </c>
      <c r="C31" s="2" t="n">
        <v>5.48029230995552E-010</v>
      </c>
      <c r="D31" s="2" t="n">
        <v>8.70202485197438E-010</v>
      </c>
      <c r="E31" s="2" t="n">
        <v>4.32401922233331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2.62285490105617E-010</v>
      </c>
      <c r="E32" s="2" t="n">
        <v>4.24697308221139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4.24693061248056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4.24688814317444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4.24684567429301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4.24680320583627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4.24676073780421</v>
      </c>
    </row>
    <row r="38" customFormat="false" ht="13.8" hidden="false" customHeight="false" outlineLevel="0" collapsed="false">
      <c r="B38" s="2" t="n">
        <v>36</v>
      </c>
      <c r="C38" s="2" t="n">
        <v>7.28170496000078E-020</v>
      </c>
      <c r="D38" s="2" t="n">
        <v>0.00859188105241756</v>
      </c>
      <c r="E38" s="2" t="n">
        <v>4.24671827019683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0.00859179513360703</v>
      </c>
      <c r="E39" s="2" t="n">
        <v>4.24667580301413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0.0509118360775445</v>
      </c>
      <c r="E40" s="2" t="n">
        <v>4.2466333362561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0.0509113269591838</v>
      </c>
      <c r="E41" s="2" t="n">
        <v>4.24659086992273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0.127415468941076</v>
      </c>
      <c r="E42" s="2" t="n">
        <v>4.24654840401403</v>
      </c>
    </row>
    <row r="43" customFormat="false" ht="13.8" hidden="false" customHeight="false" outlineLevel="0" collapsed="false">
      <c r="B43" s="2" t="n">
        <v>41</v>
      </c>
      <c r="C43" s="2" t="n">
        <v>0.0428741787249179</v>
      </c>
      <c r="D43" s="2" t="n">
        <v>0.183712977998184</v>
      </c>
      <c r="E43" s="2" t="n">
        <v>4.24650593852999</v>
      </c>
    </row>
    <row r="44" customFormat="false" ht="13.8" hidden="false" customHeight="false" outlineLevel="0" collapsed="false">
      <c r="B44" s="2" t="n">
        <v>42</v>
      </c>
      <c r="C44" s="2" t="n">
        <v>0.0916691380952691</v>
      </c>
      <c r="D44" s="2" t="n">
        <v>0.265846756149389</v>
      </c>
      <c r="E44" s="2" t="n">
        <v>4.24646347347061</v>
      </c>
    </row>
    <row r="45" customFormat="false" ht="13.8" hidden="false" customHeight="false" outlineLevel="0" collapsed="false">
      <c r="B45" s="2" t="n">
        <v>43</v>
      </c>
      <c r="C45" s="2" t="n">
        <v>0.091668221446389</v>
      </c>
      <c r="D45" s="2" t="n">
        <v>0.336916500032</v>
      </c>
      <c r="E45" s="2" t="n">
        <v>4.24642100883588</v>
      </c>
    </row>
    <row r="46" customFormat="false" ht="13.8" hidden="false" customHeight="false" outlineLevel="0" collapsed="false">
      <c r="B46" s="2" t="n">
        <v>44</v>
      </c>
      <c r="C46" s="2" t="n">
        <v>0.0916673049341819</v>
      </c>
      <c r="D46" s="2" t="n">
        <v>0.440707380286359</v>
      </c>
      <c r="E46" s="2" t="n">
        <v>4.24637854462579</v>
      </c>
    </row>
    <row r="47" customFormat="false" ht="13.8" hidden="false" customHeight="false" outlineLevel="0" collapsed="false">
      <c r="B47" s="2" t="n">
        <v>45</v>
      </c>
      <c r="C47" s="2" t="n">
        <v>0.0916663881336274</v>
      </c>
      <c r="D47" s="2" t="n">
        <v>0.496444039701102</v>
      </c>
      <c r="E47" s="2" t="n">
        <v>4.24633608084034</v>
      </c>
    </row>
    <row r="48" customFormat="false" ht="13.8" hidden="false" customHeight="false" outlineLevel="0" collapsed="false">
      <c r="B48" s="2" t="n">
        <v>46</v>
      </c>
      <c r="C48" s="2" t="n">
        <v>0.091665471469746</v>
      </c>
      <c r="D48" s="2" t="n">
        <v>0.609224647782334</v>
      </c>
      <c r="E48" s="2" t="n">
        <v>4.24629361747953</v>
      </c>
    </row>
    <row r="49" customFormat="false" ht="13.8" hidden="false" customHeight="false" outlineLevel="0" collapsed="false">
      <c r="B49" s="2" t="n">
        <v>47</v>
      </c>
      <c r="C49" s="2" t="n">
        <v>0.129641046251457</v>
      </c>
      <c r="D49" s="2" t="n">
        <v>0.669894414090568</v>
      </c>
      <c r="E49" s="2" t="n">
        <v>4.24625115454336</v>
      </c>
    </row>
    <row r="50" customFormat="false" ht="13.8" hidden="false" customHeight="false" outlineLevel="0" collapsed="false">
      <c r="B50" s="2" t="n">
        <v>48</v>
      </c>
      <c r="C50" s="2" t="n">
        <v>0.184607930260947</v>
      </c>
      <c r="D50" s="2" t="n">
        <v>0.783753499734221</v>
      </c>
      <c r="E50" s="2" t="n">
        <v>4.24620869203181</v>
      </c>
    </row>
    <row r="51" customFormat="false" ht="13.8" hidden="false" customHeight="false" outlineLevel="0" collapsed="false">
      <c r="B51" s="2" t="n">
        <v>49</v>
      </c>
      <c r="C51" s="2" t="n">
        <v>0.184606084181645</v>
      </c>
      <c r="D51" s="2" t="n">
        <v>0.8437011778201</v>
      </c>
      <c r="E51" s="2" t="n">
        <v>4.24616622994489</v>
      </c>
    </row>
    <row r="52" customFormat="false" ht="13.8" hidden="false" customHeight="false" outlineLevel="0" collapsed="false">
      <c r="B52" s="2" t="n">
        <v>50</v>
      </c>
      <c r="C52" s="2" t="n">
        <v>0.184604238120803</v>
      </c>
      <c r="D52" s="2" t="n">
        <v>0.957394841865176</v>
      </c>
      <c r="E52" s="2" t="n">
        <v>4.24612376828259</v>
      </c>
    </row>
    <row r="53" customFormat="false" ht="13.8" hidden="false" customHeight="false" outlineLevel="0" collapsed="false">
      <c r="B53" s="2" t="n">
        <v>51</v>
      </c>
      <c r="C53" s="2" t="n">
        <v>0.184602392078422</v>
      </c>
      <c r="D53" s="2" t="n">
        <v>1.04132907440959</v>
      </c>
      <c r="E53" s="2" t="n">
        <v>4.24608130704491</v>
      </c>
    </row>
    <row r="54" customFormat="false" ht="13.8" hidden="false" customHeight="false" outlineLevel="0" collapsed="false">
      <c r="B54" s="2" t="n">
        <v>52</v>
      </c>
      <c r="C54" s="2" t="n">
        <v>0.184600546054501</v>
      </c>
      <c r="D54" s="2" t="n">
        <v>1.13184951804765</v>
      </c>
      <c r="E54" s="2" t="n">
        <v>4.24603884623184</v>
      </c>
    </row>
    <row r="55" customFormat="false" ht="13.8" hidden="false" customHeight="false" outlineLevel="0" collapsed="false">
      <c r="B55" s="2" t="n">
        <v>53</v>
      </c>
      <c r="C55" s="2" t="n">
        <v>0.18459870004904</v>
      </c>
      <c r="D55" s="2" t="n">
        <v>1.21877131691725</v>
      </c>
      <c r="E55" s="2" t="n">
        <v>4.24599638584338</v>
      </c>
    </row>
    <row r="56" customFormat="false" ht="13.8" hidden="false" customHeight="false" outlineLevel="0" collapsed="false">
      <c r="B56" s="2" t="n">
        <v>54</v>
      </c>
      <c r="C56" s="2" t="n">
        <v>0.18459685406204</v>
      </c>
      <c r="D56" s="2" t="n">
        <v>1.30277184235854</v>
      </c>
      <c r="E56" s="2" t="n">
        <v>5.00786514440441</v>
      </c>
    </row>
    <row r="57" customFormat="false" ht="13.8" hidden="false" customHeight="false" outlineLevel="0" collapsed="false">
      <c r="B57" s="2" t="n">
        <v>55</v>
      </c>
      <c r="C57" s="2" t="n">
        <v>0.184595008093499</v>
      </c>
      <c r="D57" s="2" t="n">
        <v>1.38055151358426</v>
      </c>
      <c r="E57" s="2" t="n">
        <v>5.70393885476233</v>
      </c>
    </row>
    <row r="58" customFormat="false" ht="13.8" hidden="false" customHeight="false" outlineLevel="0" collapsed="false">
      <c r="B58" s="2" t="n">
        <v>56</v>
      </c>
      <c r="C58" s="2" t="n">
        <v>0.184593162143418</v>
      </c>
      <c r="D58" s="2" t="n">
        <v>1.45416525780294</v>
      </c>
      <c r="E58" s="2" t="n">
        <v>6.41311871486761</v>
      </c>
    </row>
    <row r="59" customFormat="false" ht="13.8" hidden="false" customHeight="false" outlineLevel="0" collapsed="false">
      <c r="B59" s="2" t="n">
        <v>57</v>
      </c>
      <c r="C59" s="2" t="n">
        <v>0.184591316211797</v>
      </c>
      <c r="D59" s="2" t="n">
        <v>1.52497873167385</v>
      </c>
      <c r="E59" s="2" t="n">
        <v>7.05612938365876</v>
      </c>
    </row>
    <row r="60" customFormat="false" ht="13.8" hidden="false" customHeight="false" outlineLevel="0" collapsed="false">
      <c r="B60" s="2" t="n">
        <v>58</v>
      </c>
      <c r="C60" s="2" t="n">
        <v>0.184589470298635</v>
      </c>
      <c r="D60" s="2" t="n">
        <v>1.58309963060459</v>
      </c>
      <c r="E60" s="2" t="n">
        <v>7.66371667846601</v>
      </c>
    </row>
    <row r="61" customFormat="false" ht="13.8" hidden="false" customHeight="false" outlineLevel="0" collapsed="false">
      <c r="B61" s="2" t="n">
        <v>59</v>
      </c>
      <c r="C61" s="2" t="n">
        <v>0.184607930260947</v>
      </c>
      <c r="D61" s="2" t="n">
        <v>1.63020796152092</v>
      </c>
      <c r="E61" s="2" t="n">
        <v>7.67953201607307</v>
      </c>
    </row>
    <row r="62" customFormat="false" ht="13.8" hidden="false" customHeight="false" outlineLevel="0" collapsed="false">
      <c r="B62" s="2" t="n">
        <v>60</v>
      </c>
      <c r="C62" s="2" t="n">
        <v>0.184606084181645</v>
      </c>
      <c r="D62" s="2" t="n">
        <v>1.6993033845485</v>
      </c>
      <c r="E62" s="2" t="n">
        <v>8.09512355842261</v>
      </c>
    </row>
    <row r="63" customFormat="false" ht="13.8" hidden="false" customHeight="false" outlineLevel="0" collapsed="false">
      <c r="B63" s="2" t="n">
        <v>61</v>
      </c>
      <c r="C63" s="2" t="n">
        <v>0.184604238120803</v>
      </c>
      <c r="D63" s="2" t="n">
        <v>1.69928639151465</v>
      </c>
      <c r="E63" s="2" t="n">
        <v>8.44171576022185</v>
      </c>
    </row>
    <row r="64" customFormat="false" ht="13.8" hidden="false" customHeight="false" outlineLevel="0" collapsed="false">
      <c r="B64" s="2" t="n">
        <v>62</v>
      </c>
      <c r="C64" s="2" t="n">
        <v>0.184602392078422</v>
      </c>
      <c r="D64" s="2" t="n">
        <v>1.73746633301689</v>
      </c>
      <c r="E64" s="2" t="n">
        <v>8.72794227165862</v>
      </c>
    </row>
    <row r="65" customFormat="false" ht="13.8" hidden="false" customHeight="false" outlineLevel="0" collapsed="false">
      <c r="B65" s="2" t="n">
        <v>63</v>
      </c>
      <c r="C65" s="2" t="n">
        <v>0.184600546054501</v>
      </c>
      <c r="D65" s="2" t="n">
        <v>1.7489929687841</v>
      </c>
      <c r="E65" s="2" t="n">
        <v>8.99967832969158</v>
      </c>
    </row>
    <row r="66" customFormat="false" ht="13.8" hidden="false" customHeight="false" outlineLevel="0" collapsed="false">
      <c r="B66" s="2" t="n">
        <v>64</v>
      </c>
      <c r="C66" s="2" t="n">
        <v>0.18459870004904</v>
      </c>
      <c r="D66" s="2" t="n">
        <v>1.74897547885442</v>
      </c>
      <c r="E66" s="2" t="n">
        <v>9.19306542072019</v>
      </c>
    </row>
    <row r="67" customFormat="false" ht="13.8" hidden="false" customHeight="false" outlineLevel="0" collapsed="false">
      <c r="B67" s="2" t="n">
        <v>65</v>
      </c>
      <c r="C67" s="2" t="n">
        <v>0.18459685406204</v>
      </c>
      <c r="D67" s="2" t="n">
        <v>1.74895798909963</v>
      </c>
      <c r="E67" s="2" t="n">
        <v>9.36533506280359</v>
      </c>
    </row>
    <row r="68" customFormat="false" ht="13.8" hidden="false" customHeight="false" outlineLevel="0" collapsed="false">
      <c r="B68" s="2" t="n">
        <v>66</v>
      </c>
      <c r="C68" s="2" t="n">
        <v>0.184595008093499</v>
      </c>
      <c r="D68" s="2" t="n">
        <v>1.74894049951974</v>
      </c>
      <c r="E68" s="2" t="n">
        <v>9.45577482666096</v>
      </c>
    </row>
    <row r="69" customFormat="false" ht="13.8" hidden="false" customHeight="false" outlineLevel="0" collapsed="false">
      <c r="B69" s="2" t="n">
        <v>67</v>
      </c>
      <c r="C69" s="2" t="n">
        <v>0.184593162584124</v>
      </c>
      <c r="D69" s="2" t="n">
        <v>1.7489230108492</v>
      </c>
      <c r="E69" s="2" t="n">
        <v>9.45568026959274</v>
      </c>
    </row>
    <row r="70" customFormat="false" ht="13.8" hidden="false" customHeight="false" outlineLevel="0" collapsed="false">
      <c r="B70" s="2" t="n">
        <v>68</v>
      </c>
      <c r="C70" s="2" t="n">
        <v>0.184591316190809</v>
      </c>
      <c r="D70" s="2" t="n">
        <v>1.74890552086365</v>
      </c>
      <c r="E70" s="2" t="n">
        <v>9.43827457315228</v>
      </c>
    </row>
    <row r="71" customFormat="false" ht="13.8" hidden="false" customHeight="false" outlineLevel="0" collapsed="false">
      <c r="B71" s="2" t="n">
        <v>69</v>
      </c>
      <c r="C71" s="2" t="n">
        <v>0.184589470277647</v>
      </c>
      <c r="D71" s="2" t="n">
        <v>1.74888803180844</v>
      </c>
      <c r="E71" s="2" t="n">
        <v>9.38493950766487</v>
      </c>
    </row>
    <row r="72" customFormat="false" ht="13.8" hidden="false" customHeight="false" outlineLevel="0" collapsed="false">
      <c r="B72" s="2" t="n">
        <v>70</v>
      </c>
      <c r="C72" s="2" t="n">
        <v>0.184587624382944</v>
      </c>
      <c r="D72" s="2" t="n">
        <v>1.74887054292813</v>
      </c>
      <c r="E72" s="2" t="n">
        <v>9.26704453047279</v>
      </c>
    </row>
    <row r="73" customFormat="false" ht="13.8" hidden="false" customHeight="false" outlineLevel="0" collapsed="false">
      <c r="B73" s="2" t="n">
        <v>71</v>
      </c>
      <c r="C73" s="2" t="n">
        <v>0.1845857785067</v>
      </c>
      <c r="D73" s="2" t="n">
        <v>1.7488530542227</v>
      </c>
      <c r="E73" s="2" t="n">
        <v>9.11586799087887</v>
      </c>
    </row>
    <row r="74" customFormat="false" ht="13.8" hidden="false" customHeight="false" outlineLevel="0" collapsed="false">
      <c r="B74" s="2" t="n">
        <v>72</v>
      </c>
      <c r="C74" s="2" t="n">
        <v>0.184583932648914</v>
      </c>
      <c r="D74" s="2" t="n">
        <v>1.74883556569215</v>
      </c>
      <c r="E74" s="2" t="n">
        <v>8.91502109206909</v>
      </c>
    </row>
    <row r="75" customFormat="false" ht="13.8" hidden="false" customHeight="false" outlineLevel="0" collapsed="false">
      <c r="B75" s="2" t="n">
        <v>73</v>
      </c>
      <c r="C75" s="2" t="n">
        <v>0.184582086809588</v>
      </c>
      <c r="D75" s="2" t="n">
        <v>1.7488180773365</v>
      </c>
      <c r="E75" s="2" t="n">
        <v>8.65872634926558</v>
      </c>
    </row>
    <row r="76" customFormat="false" ht="13.8" hidden="false" customHeight="false" outlineLevel="0" collapsed="false">
      <c r="B76" s="2" t="n">
        <v>74</v>
      </c>
      <c r="C76" s="2" t="n">
        <v>0.184580240988719</v>
      </c>
      <c r="D76" s="2" t="n">
        <v>1.74880058915572</v>
      </c>
      <c r="E76" s="2" t="n">
        <v>8.39884083607616</v>
      </c>
    </row>
    <row r="77" customFormat="false" ht="13.8" hidden="false" customHeight="false" outlineLevel="0" collapsed="false">
      <c r="B77" s="2" t="n">
        <v>75</v>
      </c>
      <c r="C77" s="2" t="n">
        <v>0.184578395186309</v>
      </c>
      <c r="D77" s="2" t="n">
        <v>1.74878310114983</v>
      </c>
      <c r="E77" s="2" t="n">
        <v>8.1302898476678</v>
      </c>
    </row>
    <row r="78" customFormat="false" ht="13.8" hidden="false" customHeight="false" outlineLevel="0" collapsed="false">
      <c r="B78" s="2" t="n">
        <v>76</v>
      </c>
      <c r="C78" s="2" t="n">
        <v>0.184576549402357</v>
      </c>
      <c r="D78" s="2" t="n">
        <v>1.74876561331882</v>
      </c>
      <c r="E78" s="2" t="n">
        <v>7.89255374847303</v>
      </c>
    </row>
    <row r="79" customFormat="false" ht="13.8" hidden="false" customHeight="false" outlineLevel="0" collapsed="false">
      <c r="B79" s="2" t="n">
        <v>77</v>
      </c>
      <c r="C79" s="2" t="n">
        <v>0.184574703636863</v>
      </c>
      <c r="D79" s="2" t="n">
        <v>1.74874812566269</v>
      </c>
      <c r="E79" s="2" t="n">
        <v>7.5790229710837</v>
      </c>
    </row>
    <row r="80" customFormat="false" ht="13.8" hidden="false" customHeight="false" outlineLevel="0" collapsed="false">
      <c r="B80" s="2" t="n">
        <v>78</v>
      </c>
      <c r="C80" s="2" t="n">
        <v>0.184572857889826</v>
      </c>
      <c r="D80" s="2" t="n">
        <v>1.74873063818143</v>
      </c>
      <c r="E80" s="2" t="n">
        <v>7.2923456993725</v>
      </c>
    </row>
    <row r="81" customFormat="false" ht="13.8" hidden="false" customHeight="false" outlineLevel="0" collapsed="false">
      <c r="B81" s="2" t="n">
        <v>79</v>
      </c>
      <c r="C81" s="2" t="n">
        <v>0.184571012161247</v>
      </c>
      <c r="D81" s="2" t="n">
        <v>1.74871315087505</v>
      </c>
      <c r="E81" s="2" t="n">
        <v>6.89596857221181</v>
      </c>
    </row>
    <row r="82" customFormat="false" ht="13.8" hidden="false" customHeight="false" outlineLevel="0" collapsed="false">
      <c r="B82" s="2" t="n">
        <v>80</v>
      </c>
      <c r="C82" s="2" t="n">
        <v>0.184569166451125</v>
      </c>
      <c r="D82" s="2" t="n">
        <v>1.74869566374354</v>
      </c>
      <c r="E82" s="2" t="n">
        <v>6.58629668660016</v>
      </c>
    </row>
    <row r="83" customFormat="false" ht="13.8" hidden="false" customHeight="false" outlineLevel="0" collapsed="false">
      <c r="B83" s="2" t="n">
        <v>81</v>
      </c>
      <c r="C83" s="2" t="n">
        <v>0.184567320759461</v>
      </c>
      <c r="D83" s="2" t="n">
        <v>1.7486781767869</v>
      </c>
      <c r="E83" s="2" t="n">
        <v>6.20127580511477</v>
      </c>
    </row>
    <row r="84" customFormat="false" ht="13.8" hidden="false" customHeight="false" outlineLevel="0" collapsed="false">
      <c r="B84" s="2" t="n">
        <v>82</v>
      </c>
      <c r="C84" s="2" t="n">
        <v>0.184565475086253</v>
      </c>
      <c r="D84" s="2" t="n">
        <v>1.74866069000513</v>
      </c>
      <c r="E84" s="2" t="n">
        <v>5.8637208664308</v>
      </c>
    </row>
    <row r="85" customFormat="false" ht="13.8" hidden="false" customHeight="false" outlineLevel="0" collapsed="false">
      <c r="B85" s="2" t="n">
        <v>83</v>
      </c>
      <c r="C85" s="2" t="n">
        <v>0.184563629431502</v>
      </c>
      <c r="D85" s="2" t="n">
        <v>1.74864320339823</v>
      </c>
      <c r="E85" s="2" t="n">
        <v>5.48815108107398</v>
      </c>
    </row>
    <row r="86" customFormat="false" ht="13.8" hidden="false" customHeight="false" outlineLevel="0" collapsed="false">
      <c r="B86" s="2" t="n">
        <v>84</v>
      </c>
      <c r="C86" s="2" t="n">
        <v>0.184561783795207</v>
      </c>
      <c r="D86" s="2" t="n">
        <v>1.7486257169662</v>
      </c>
      <c r="E86" s="2" t="n">
        <v>5.12676986622984</v>
      </c>
    </row>
    <row r="87" customFormat="false" ht="13.8" hidden="false" customHeight="false" outlineLevel="0" collapsed="false">
      <c r="B87" s="2" t="n">
        <v>85</v>
      </c>
      <c r="C87" s="2" t="n">
        <v>0.184559938177369</v>
      </c>
      <c r="D87" s="2" t="n">
        <v>1.74860823070903</v>
      </c>
      <c r="E87" s="2" t="n">
        <v>4.72298348742007</v>
      </c>
    </row>
    <row r="88" customFormat="false" ht="13.8" hidden="false" customHeight="false" outlineLevel="0" collapsed="false">
      <c r="B88" s="2" t="n">
        <v>86</v>
      </c>
      <c r="C88" s="2" t="n">
        <v>0.184558092536011</v>
      </c>
      <c r="D88" s="2" t="n">
        <v>1.74859074429094</v>
      </c>
      <c r="E88" s="2" t="n">
        <v>4.39955359091853</v>
      </c>
    </row>
    <row r="89" customFormat="false" ht="13.8" hidden="false" customHeight="false" outlineLevel="0" collapsed="false">
      <c r="B89" s="2" t="n">
        <v>87</v>
      </c>
      <c r="C89" s="2" t="n">
        <v>0.104367210002001</v>
      </c>
      <c r="D89" s="2" t="n">
        <v>1.61116162942543</v>
      </c>
      <c r="E89" s="2" t="n">
        <v>4.24989422501225</v>
      </c>
    </row>
    <row r="90" customFormat="false" ht="13.8" hidden="false" customHeight="false" outlineLevel="0" collapsed="false">
      <c r="B90" s="2" t="n">
        <v>88</v>
      </c>
      <c r="C90" s="2" t="n">
        <v>0.104366166287924</v>
      </c>
      <c r="D90" s="2" t="n">
        <v>1.61114551717954</v>
      </c>
      <c r="E90" s="2" t="n">
        <v>3.92295039273666</v>
      </c>
    </row>
    <row r="91" customFormat="false" ht="13.8" hidden="false" customHeight="false" outlineLevel="0" collapsed="false">
      <c r="B91" s="2" t="n">
        <v>89</v>
      </c>
      <c r="C91" s="2" t="n">
        <v>0.0819705517083768</v>
      </c>
      <c r="D91" s="2" t="n">
        <v>1.50066149890459</v>
      </c>
      <c r="E91" s="2" t="n">
        <v>3.76085317861605</v>
      </c>
    </row>
    <row r="92" customFormat="false" ht="13.8" hidden="false" customHeight="false" outlineLevel="0" collapsed="false">
      <c r="B92" s="2" t="n">
        <v>90</v>
      </c>
      <c r="C92" s="2" t="n">
        <v>0.0819697320028597</v>
      </c>
      <c r="D92" s="2" t="n">
        <v>1.50064649174394</v>
      </c>
      <c r="E92" s="2" t="n">
        <v>3.52907971823241</v>
      </c>
    </row>
    <row r="93" customFormat="false" ht="13.8" hidden="false" customHeight="false" outlineLevel="0" collapsed="false">
      <c r="B93" s="2" t="n">
        <v>91</v>
      </c>
      <c r="C93" s="2" t="n">
        <v>0.0819689123055397</v>
      </c>
      <c r="D93" s="2" t="n">
        <v>1.39340541147778</v>
      </c>
      <c r="E93" s="2" t="n">
        <v>3.36514748299079</v>
      </c>
    </row>
    <row r="94" customFormat="false" ht="13.8" hidden="false" customHeight="false" outlineLevel="0" collapsed="false">
      <c r="B94" s="2" t="n">
        <v>92</v>
      </c>
      <c r="C94" s="2" t="n">
        <v>0.0819680926164166</v>
      </c>
      <c r="D94" s="2" t="n">
        <v>1.29066569964589</v>
      </c>
      <c r="E94" s="2" t="n">
        <v>3.19886499818262</v>
      </c>
    </row>
    <row r="95" customFormat="false" ht="13.8" hidden="false" customHeight="false" outlineLevel="0" collapsed="false">
      <c r="B95" s="2" t="n">
        <v>93</v>
      </c>
      <c r="C95" s="2" t="n">
        <v>0.0819672729354905</v>
      </c>
      <c r="D95" s="2" t="n">
        <v>1.26426001521111</v>
      </c>
      <c r="E95" s="2" t="n">
        <v>3.02906723175486</v>
      </c>
    </row>
    <row r="96" customFormat="false" ht="13.8" hidden="false" customHeight="false" outlineLevel="0" collapsed="false">
      <c r="B96" s="2" t="n">
        <v>94</v>
      </c>
      <c r="C96" s="2" t="n">
        <v>0.0819664532627611</v>
      </c>
      <c r="D96" s="2" t="n">
        <v>1.19085502092701</v>
      </c>
      <c r="E96" s="2" t="n">
        <v>2.84552971886033</v>
      </c>
    </row>
    <row r="97" customFormat="false" ht="13.8" hidden="false" customHeight="false" outlineLevel="0" collapsed="false">
      <c r="B97" s="2" t="n">
        <v>95</v>
      </c>
      <c r="C97" s="2" t="n">
        <v>0.0819656335982285</v>
      </c>
      <c r="D97" s="2" t="n">
        <v>1.19084311218791</v>
      </c>
      <c r="E97" s="2" t="n">
        <v>2.70010235615573</v>
      </c>
    </row>
    <row r="98" customFormat="false" ht="13.8" hidden="false" customHeight="false" outlineLevel="0" collapsed="false">
      <c r="B98" s="2" t="n">
        <v>96</v>
      </c>
      <c r="C98" s="2" t="n">
        <v>0.0819648139418925</v>
      </c>
      <c r="D98" s="2" t="n">
        <v>1.19083120363087</v>
      </c>
      <c r="E98" s="2" t="n">
        <v>2.57545400328032</v>
      </c>
    </row>
    <row r="99" customFormat="false" ht="13.8" hidden="false" customHeight="false" outlineLevel="0" collapsed="false">
      <c r="B99" s="2" t="n">
        <v>97</v>
      </c>
      <c r="C99" s="2" t="n">
        <v>0.0819639942937531</v>
      </c>
      <c r="D99" s="2" t="n">
        <v>1.12657533250278</v>
      </c>
      <c r="E99" s="2" t="n">
        <v>2.52668180429584</v>
      </c>
    </row>
    <row r="100" customFormat="false" ht="13.8" hidden="false" customHeight="false" outlineLevel="0" collapsed="false">
      <c r="B100" s="2" t="n">
        <v>98</v>
      </c>
      <c r="C100" s="2" t="n">
        <v>0.0819631746538102</v>
      </c>
      <c r="D100" s="2" t="n">
        <v>1.10032017786057</v>
      </c>
      <c r="E100" s="2" t="n">
        <v>2.33059637081113</v>
      </c>
    </row>
    <row r="101" customFormat="false" ht="13.8" hidden="false" customHeight="false" outlineLevel="0" collapsed="false">
      <c r="B101" s="2" t="n">
        <v>99</v>
      </c>
      <c r="C101" s="2" t="n">
        <v>0.0819623550220636</v>
      </c>
      <c r="D101" s="2" t="n">
        <v>1.03169587842545</v>
      </c>
      <c r="E101" s="2" t="n">
        <v>2.2663660463289</v>
      </c>
    </row>
    <row r="102" customFormat="false" ht="13.8" hidden="false" customHeight="false" outlineLevel="0" collapsed="false">
      <c r="B102" s="2" t="n">
        <v>100</v>
      </c>
      <c r="C102" s="2" t="n">
        <v>0.0819615353985134</v>
      </c>
      <c r="D102" s="2" t="n">
        <v>1.03168556134074</v>
      </c>
      <c r="E102" s="2" t="n">
        <v>2.14274762340918</v>
      </c>
    </row>
    <row r="103" customFormat="false" ht="13.8" hidden="false" customHeight="false" outlineLevel="0" collapsed="false">
      <c r="B103" s="2" t="n">
        <v>101</v>
      </c>
      <c r="C103" s="2" t="n">
        <v>0.0819607157831595</v>
      </c>
      <c r="D103" s="2" t="n">
        <v>0.965600688992538</v>
      </c>
      <c r="E103" s="2" t="n">
        <v>2.0486325477848</v>
      </c>
    </row>
    <row r="104" customFormat="false" ht="13.8" hidden="false" customHeight="false" outlineLevel="0" collapsed="false">
      <c r="B104" s="2" t="n">
        <v>102</v>
      </c>
      <c r="C104" s="2" t="n">
        <v>0.0819598961760016</v>
      </c>
      <c r="D104" s="2" t="n">
        <v>0.910479662615278</v>
      </c>
      <c r="E104" s="2" t="n">
        <v>2.00846343182969</v>
      </c>
    </row>
    <row r="105" customFormat="false" ht="13.8" hidden="false" customHeight="false" outlineLevel="0" collapsed="false">
      <c r="B105" s="2" t="n">
        <v>103</v>
      </c>
      <c r="C105" s="2" t="n">
        <v>0.0819590765770399</v>
      </c>
      <c r="D105" s="2" t="n">
        <v>0.908325915502307</v>
      </c>
      <c r="E105" s="2" t="n">
        <v>1.82642071173394</v>
      </c>
    </row>
    <row r="106" customFormat="false" ht="13.8" hidden="false" customHeight="false" outlineLevel="0" collapsed="false">
      <c r="B106" s="2" t="n">
        <v>104</v>
      </c>
      <c r="C106" s="2" t="n">
        <v>0.0819582569862741</v>
      </c>
      <c r="D106" s="2" t="n">
        <v>0.841871924835745</v>
      </c>
      <c r="E106" s="2" t="n">
        <v>1.78884654011942</v>
      </c>
    </row>
    <row r="107" customFormat="false" ht="13.8" hidden="false" customHeight="false" outlineLevel="0" collapsed="false">
      <c r="B107" s="2" t="n">
        <v>105</v>
      </c>
      <c r="C107" s="2" t="n">
        <v>0.0819574374037043</v>
      </c>
      <c r="D107" s="2" t="n">
        <v>0.841863506116497</v>
      </c>
      <c r="E107" s="2" t="n">
        <v>1.60356872572809</v>
      </c>
    </row>
    <row r="108" customFormat="false" ht="13.8" hidden="false" customHeight="false" outlineLevel="0" collapsed="false">
      <c r="B108" s="2" t="n">
        <v>106</v>
      </c>
      <c r="C108" s="2" t="n">
        <v>0.0819566178293302</v>
      </c>
      <c r="D108" s="2" t="n">
        <v>0.841855087481435</v>
      </c>
      <c r="E108" s="2" t="n">
        <v>1.4921633567075</v>
      </c>
    </row>
    <row r="109" customFormat="false" ht="13.8" hidden="false" customHeight="false" outlineLevel="0" collapsed="false">
      <c r="B109" s="2" t="n">
        <v>107</v>
      </c>
      <c r="C109" s="2" t="n">
        <v>0.0819557982631519</v>
      </c>
      <c r="D109" s="2" t="n">
        <v>0.841846668930561</v>
      </c>
      <c r="E109" s="2" t="n">
        <v>1.30009232396282</v>
      </c>
    </row>
    <row r="110" customFormat="false" ht="13.8" hidden="false" customHeight="false" outlineLevel="0" collapsed="false">
      <c r="B110" s="2" t="n">
        <v>108</v>
      </c>
      <c r="C110" s="2" t="n">
        <v>0.0819549787051693</v>
      </c>
      <c r="D110" s="2" t="n">
        <v>0.841838250463871</v>
      </c>
      <c r="E110" s="2" t="n">
        <v>1.18967124896551</v>
      </c>
    </row>
    <row r="111" customFormat="false" ht="13.8" hidden="false" customHeight="false" outlineLevel="0" collapsed="false">
      <c r="B111" s="2" t="n">
        <v>109</v>
      </c>
      <c r="C111" s="2" t="n">
        <v>0.0819541591553823</v>
      </c>
      <c r="D111" s="2" t="n">
        <v>0.841829832081367</v>
      </c>
      <c r="E111" s="2" t="n">
        <v>1.01284407447524</v>
      </c>
    </row>
    <row r="112" customFormat="false" ht="13.8" hidden="false" customHeight="false" outlineLevel="0" collapsed="false">
      <c r="B112" s="2" t="n">
        <v>110</v>
      </c>
      <c r="C112" s="2" t="n">
        <v>0.0819533396137907</v>
      </c>
      <c r="D112" s="2" t="n">
        <v>0.782210136005268</v>
      </c>
      <c r="E112" s="2" t="n">
        <v>0.929000223812272</v>
      </c>
    </row>
    <row r="113" customFormat="false" ht="13.8" hidden="false" customHeight="false" outlineLevel="0" collapsed="false">
      <c r="B113" s="2" t="n">
        <v>111</v>
      </c>
      <c r="C113" s="2" t="n">
        <v>0.0819525200803946</v>
      </c>
      <c r="D113" s="2" t="n">
        <v>0.71879479538539</v>
      </c>
      <c r="E113" s="2" t="n">
        <v>0.836638748624849</v>
      </c>
    </row>
    <row r="114" customFormat="false" ht="13.8" hidden="false" customHeight="false" outlineLevel="0" collapsed="false">
      <c r="B114" s="2" t="n">
        <v>112</v>
      </c>
      <c r="C114" s="2" t="n">
        <v>0.0819517005551938</v>
      </c>
      <c r="D114" s="2" t="n">
        <v>0.641157866696695</v>
      </c>
      <c r="E114" s="2" t="n">
        <v>0.73520403038551</v>
      </c>
    </row>
    <row r="115" customFormat="false" ht="13.8" hidden="false" customHeight="false" outlineLevel="0" collapsed="false">
      <c r="B115" s="2" t="n">
        <v>113</v>
      </c>
      <c r="C115" s="2" t="n">
        <v>0.0819508810381882</v>
      </c>
      <c r="D115" s="2" t="n">
        <v>0.595410658821732</v>
      </c>
      <c r="E115" s="2" t="n">
        <v>0.663455789456318</v>
      </c>
    </row>
    <row r="116" customFormat="false" ht="13.8" hidden="false" customHeight="false" outlineLevel="0" collapsed="false">
      <c r="B116" s="2" t="n">
        <v>114</v>
      </c>
      <c r="C116" s="2" t="n">
        <v>0.0819500615293779</v>
      </c>
      <c r="D116" s="2" t="n">
        <v>0.534386112122551</v>
      </c>
      <c r="E116" s="2" t="n">
        <v>0.547133932676201</v>
      </c>
    </row>
    <row r="117" customFormat="false" ht="13.8" hidden="false" customHeight="false" outlineLevel="0" collapsed="false">
      <c r="B117" s="2" t="n">
        <v>115</v>
      </c>
      <c r="C117" s="2" t="n">
        <v>0.0819492420287626</v>
      </c>
      <c r="D117" s="2" t="n">
        <v>0.469139897891059</v>
      </c>
      <c r="E117" s="2" t="n">
        <v>0.470443109485022</v>
      </c>
    </row>
    <row r="118" customFormat="false" ht="13.8" hidden="false" customHeight="false" outlineLevel="0" collapsed="false">
      <c r="B118" s="2" t="n">
        <v>116</v>
      </c>
      <c r="C118" s="2" t="n">
        <v>0.0819484225363423</v>
      </c>
      <c r="D118" s="2" t="n">
        <v>0.379635095380969</v>
      </c>
      <c r="E118" s="2" t="n">
        <v>0.339271553202076</v>
      </c>
    </row>
    <row r="119" customFormat="false" ht="13.8" hidden="false" customHeight="false" outlineLevel="0" collapsed="false">
      <c r="B119" s="2" t="n">
        <v>117</v>
      </c>
      <c r="C119" s="2" t="n">
        <v>0.0819476030521169</v>
      </c>
      <c r="D119" s="2" t="n">
        <v>0.316908984215201</v>
      </c>
      <c r="E119" s="2" t="n">
        <v>0.269082549375433</v>
      </c>
    </row>
    <row r="120" customFormat="false" ht="13.8" hidden="false" customHeight="false" outlineLevel="0" collapsed="false">
      <c r="B120" s="2" t="n">
        <v>118</v>
      </c>
      <c r="C120" s="2" t="n">
        <v>0.0819467835760864</v>
      </c>
      <c r="D120" s="2" t="n">
        <v>0.237779636773161</v>
      </c>
      <c r="E120" s="2" t="n">
        <v>0.189288583426313</v>
      </c>
    </row>
    <row r="121" customFormat="false" ht="13.8" hidden="false" customHeight="false" outlineLevel="0" collapsed="false">
      <c r="B121" s="2" t="n">
        <v>119</v>
      </c>
      <c r="C121" s="2" t="n">
        <v>0.0819459641082506</v>
      </c>
      <c r="D121" s="2" t="n">
        <v>0.187228828198323</v>
      </c>
      <c r="E121" s="2" t="n">
        <v>0.126352918071004</v>
      </c>
    </row>
    <row r="122" customFormat="false" ht="13.8" hidden="false" customHeight="false" outlineLevel="0" collapsed="false">
      <c r="B122" s="2" t="n">
        <v>120</v>
      </c>
      <c r="C122" s="2" t="n">
        <v>0.0819451446486096</v>
      </c>
      <c r="D122" s="2" t="n">
        <v>0.112052717149744</v>
      </c>
      <c r="E122" s="2" t="n">
        <v>0.0154602371394533</v>
      </c>
    </row>
    <row r="123" customFormat="false" ht="13.8" hidden="false" customHeight="false" outlineLevel="0" collapsed="false">
      <c r="B123" s="2" t="n">
        <v>121</v>
      </c>
      <c r="C123" s="2" t="n">
        <v>0.0819443251971631</v>
      </c>
      <c r="D123" s="2" t="n">
        <v>0.0652511424730405</v>
      </c>
      <c r="E123" s="2" t="n">
        <v>7.45085412146978E-009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1.71074194352619E-018</v>
      </c>
      <c r="E124" s="2" t="n">
        <v>5.61101300008267E-010</v>
      </c>
    </row>
    <row r="125" customFormat="false" ht="13.8" hidden="false" customHeight="false" outlineLevel="0" collapsed="false">
      <c r="B125" s="2" t="n">
        <v>123</v>
      </c>
      <c r="C125" s="2" t="n">
        <v>0.00743952267608663</v>
      </c>
      <c r="D125" s="2" t="n">
        <v>6.55353446400002E-020</v>
      </c>
      <c r="E125" s="2" t="n">
        <v>0.0161229982150369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2.04795904020481E-021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5.7556069208943E-020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0.00258022597848564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0.0307490890864678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0.0307487815955769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0.0689044488815156</v>
      </c>
      <c r="D135" s="2" t="n">
        <v>0.0609261657913969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0.0689037598370268</v>
      </c>
      <c r="D136" s="2" t="n">
        <v>0.146367571670078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0.0695505553373725</v>
      </c>
      <c r="D137" s="2" t="n">
        <v>0.261649332483642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0.0695498598318187</v>
      </c>
      <c r="D138" s="2" t="n">
        <v>0.32128632982854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0.0695491643332199</v>
      </c>
      <c r="D139" s="2" t="n">
        <v>0.424399360152406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0.0695484690115839</v>
      </c>
      <c r="D140" s="2" t="n">
        <v>0.490310353605597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0.129822118221691</v>
      </c>
      <c r="D141" s="2" t="n">
        <v>0.59607439720848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0.129820820170516</v>
      </c>
      <c r="D142" s="2" t="n">
        <v>0.692521077430556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0.129819521962314</v>
      </c>
      <c r="D143" s="2" t="n">
        <v>0.832871102445457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0.129818223767094</v>
      </c>
      <c r="D144" s="2" t="n">
        <v>0.910494190022374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0.129816925584856</v>
      </c>
      <c r="D145" s="2" t="n">
        <v>1.03567099743068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0.1298156274156</v>
      </c>
      <c r="D146" s="2" t="n">
        <v>1.11564071913319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0.129814329259325</v>
      </c>
      <c r="D147" s="2" t="n">
        <v>1.24463364215824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0.129813031116032</v>
      </c>
      <c r="D148" s="2" t="n">
        <v>1.24462119590682</v>
      </c>
      <c r="E148" s="2" t="n">
        <v>0.320612385259812</v>
      </c>
    </row>
    <row r="149" customFormat="false" ht="13.8" hidden="false" customHeight="false" outlineLevel="0" collapsed="false">
      <c r="B149" s="2" t="n">
        <v>147</v>
      </c>
      <c r="C149" s="2" t="n">
        <v>0.129811732985721</v>
      </c>
      <c r="D149" s="2" t="n">
        <v>1.3635323102076</v>
      </c>
      <c r="E149" s="2" t="n">
        <v>0.320609179220962</v>
      </c>
    </row>
    <row r="150" customFormat="false" ht="13.8" hidden="false" customHeight="false" outlineLevel="0" collapsed="false">
      <c r="B150" s="2" t="n">
        <v>148</v>
      </c>
      <c r="C150" s="2" t="n">
        <v>0.12981043486839</v>
      </c>
      <c r="D150" s="2" t="n">
        <v>1.3635186748845</v>
      </c>
      <c r="E150" s="2" t="n">
        <v>1.15968424278591</v>
      </c>
    </row>
    <row r="151" customFormat="false" ht="13.8" hidden="false" customHeight="false" outlineLevel="0" collapsed="false">
      <c r="B151" s="2" t="n">
        <v>149</v>
      </c>
      <c r="C151" s="2" t="n">
        <v>0.129809136764041</v>
      </c>
      <c r="D151" s="2" t="n">
        <v>1.49709859129098</v>
      </c>
      <c r="E151" s="2" t="n">
        <v>1.92733942915755</v>
      </c>
    </row>
    <row r="152" customFormat="false" ht="13.8" hidden="false" customHeight="false" outlineLevel="0" collapsed="false">
      <c r="B152" s="2" t="n">
        <v>150</v>
      </c>
      <c r="C152" s="2" t="n">
        <v>0.129807838672673</v>
      </c>
      <c r="D152" s="2" t="n">
        <v>1.49708362039007</v>
      </c>
      <c r="E152" s="2" t="n">
        <v>2.71535335032254</v>
      </c>
    </row>
    <row r="153" customFormat="false" ht="13.8" hidden="false" customHeight="false" outlineLevel="0" collapsed="false">
      <c r="B153" s="2" t="n">
        <v>151</v>
      </c>
      <c r="C153" s="2" t="n">
        <v>0.129806541316866</v>
      </c>
      <c r="D153" s="2" t="n">
        <v>1.49881487758876</v>
      </c>
      <c r="E153" s="2" t="n">
        <v>3.44112093769352</v>
      </c>
    </row>
    <row r="154" customFormat="false" ht="13.8" hidden="false" customHeight="false" outlineLevel="0" collapsed="false">
      <c r="B154" s="2" t="n">
        <v>152</v>
      </c>
      <c r="C154" s="2" t="n">
        <v>0.129805242571381</v>
      </c>
      <c r="D154" s="2" t="n">
        <v>1.49879988952498</v>
      </c>
      <c r="E154" s="2" t="n">
        <v>4.14352269373384</v>
      </c>
    </row>
    <row r="155" customFormat="false" ht="13.8" hidden="false" customHeight="false" outlineLevel="0" collapsed="false">
      <c r="B155" s="2" t="n">
        <v>153</v>
      </c>
      <c r="C155" s="2" t="n">
        <v>0.184607930260947</v>
      </c>
      <c r="D155" s="2" t="n">
        <v>1.57787090697916</v>
      </c>
      <c r="E155" s="2" t="n">
        <v>4.82626401710181</v>
      </c>
    </row>
    <row r="156" customFormat="false" ht="13.8" hidden="false" customHeight="false" outlineLevel="0" collapsed="false">
      <c r="B156" s="2" t="n">
        <v>154</v>
      </c>
      <c r="C156" s="2" t="n">
        <v>0.184606084181645</v>
      </c>
      <c r="D156" s="2" t="n">
        <v>1.6556435557518</v>
      </c>
      <c r="E156" s="2" t="n">
        <v>5.45841123399602</v>
      </c>
    </row>
    <row r="157" customFormat="false" ht="13.8" hidden="false" customHeight="false" outlineLevel="0" collapsed="false">
      <c r="B157" s="2" t="n">
        <v>155</v>
      </c>
      <c r="C157" s="2" t="n">
        <v>0.184604238120803</v>
      </c>
      <c r="D157" s="2" t="n">
        <v>1.7489929687841</v>
      </c>
      <c r="E157" s="2" t="n">
        <v>5.99184503035753</v>
      </c>
    </row>
    <row r="158" customFormat="false" ht="13.8" hidden="false" customHeight="false" outlineLevel="0" collapsed="false">
      <c r="B158" s="2" t="n">
        <v>156</v>
      </c>
      <c r="C158" s="2" t="n">
        <v>0.184607930260947</v>
      </c>
      <c r="D158" s="2" t="n">
        <v>1.7489929687841</v>
      </c>
      <c r="E158" s="2" t="n">
        <v>6.50846648332055</v>
      </c>
    </row>
    <row r="159" customFormat="false" ht="13.8" hidden="false" customHeight="false" outlineLevel="0" collapsed="false">
      <c r="B159" s="2" t="n">
        <v>157</v>
      </c>
      <c r="C159" s="2" t="n">
        <v>0.184606084181645</v>
      </c>
      <c r="D159" s="2" t="n">
        <v>1.74897547885442</v>
      </c>
      <c r="E159" s="2" t="n">
        <v>6.95007508600852</v>
      </c>
    </row>
    <row r="160" customFormat="false" ht="13.8" hidden="false" customHeight="false" outlineLevel="0" collapsed="false">
      <c r="B160" s="2" t="n">
        <v>158</v>
      </c>
      <c r="C160" s="2" t="n">
        <v>0.184604238120803</v>
      </c>
      <c r="D160" s="2" t="n">
        <v>1.74895798909963</v>
      </c>
      <c r="E160" s="2" t="n">
        <v>7.32306369114504</v>
      </c>
    </row>
    <row r="161" customFormat="false" ht="13.8" hidden="false" customHeight="false" outlineLevel="0" collapsed="false">
      <c r="B161" s="2" t="n">
        <v>159</v>
      </c>
      <c r="C161" s="2" t="n">
        <v>0.184602392078422</v>
      </c>
      <c r="D161" s="2" t="n">
        <v>1.74894049951974</v>
      </c>
      <c r="E161" s="2" t="n">
        <v>7.67189105115366</v>
      </c>
    </row>
    <row r="162" customFormat="false" ht="13.8" hidden="false" customHeight="false" outlineLevel="0" collapsed="false">
      <c r="B162" s="2" t="n">
        <v>160</v>
      </c>
      <c r="C162" s="2" t="n">
        <v>0.184600546054501</v>
      </c>
      <c r="D162" s="2" t="n">
        <v>1.74892301011474</v>
      </c>
      <c r="E162" s="2" t="n">
        <v>7.9868473525121</v>
      </c>
    </row>
    <row r="163" customFormat="false" ht="13.8" hidden="false" customHeight="false" outlineLevel="0" collapsed="false">
      <c r="B163" s="2" t="n">
        <v>161</v>
      </c>
      <c r="C163" s="2" t="n">
        <v>0.184607930260947</v>
      </c>
      <c r="D163" s="2" t="n">
        <v>1.7489929687841</v>
      </c>
      <c r="E163" s="2" t="n">
        <v>8.25489491797683</v>
      </c>
    </row>
    <row r="164" customFormat="false" ht="13.8" hidden="false" customHeight="false" outlineLevel="0" collapsed="false">
      <c r="B164" s="2" t="n">
        <v>162</v>
      </c>
      <c r="C164" s="2" t="n">
        <v>0.184606084181645</v>
      </c>
      <c r="D164" s="2" t="n">
        <v>1.74897547885442</v>
      </c>
      <c r="E164" s="2" t="n">
        <v>8.44973128355862</v>
      </c>
    </row>
    <row r="165" customFormat="false" ht="13.8" hidden="false" customHeight="false" outlineLevel="0" collapsed="false">
      <c r="B165" s="2" t="n">
        <v>163</v>
      </c>
      <c r="C165" s="2" t="n">
        <v>0.184604238120803</v>
      </c>
      <c r="D165" s="2" t="n">
        <v>1.7489929687841</v>
      </c>
      <c r="E165" s="2" t="n">
        <v>8.58485471316349</v>
      </c>
    </row>
    <row r="166" customFormat="false" ht="13.8" hidden="false" customHeight="false" outlineLevel="0" collapsed="false">
      <c r="B166" s="2" t="n">
        <v>164</v>
      </c>
      <c r="C166" s="2" t="n">
        <v>0.184602392078422</v>
      </c>
      <c r="D166" s="2" t="n">
        <v>1.74897547885442</v>
      </c>
      <c r="E166" s="2" t="n">
        <v>8.66745998328977</v>
      </c>
    </row>
    <row r="167" customFormat="false" ht="13.8" hidden="false" customHeight="false" outlineLevel="0" collapsed="false">
      <c r="B167" s="2" t="n">
        <v>165</v>
      </c>
      <c r="C167" s="2" t="n">
        <v>0.184600546935749</v>
      </c>
      <c r="D167" s="2" t="n">
        <v>1.74895798909963</v>
      </c>
      <c r="E167" s="2" t="n">
        <v>8.69518835943457</v>
      </c>
    </row>
    <row r="168" customFormat="false" ht="13.8" hidden="false" customHeight="false" outlineLevel="0" collapsed="false">
      <c r="B168" s="2" t="n">
        <v>166</v>
      </c>
      <c r="C168" s="2" t="n">
        <v>0.184598700195953</v>
      </c>
      <c r="D168" s="2" t="n">
        <v>1.68940891046439</v>
      </c>
      <c r="E168" s="2" t="n">
        <v>8.69510140755098</v>
      </c>
    </row>
    <row r="169" customFormat="false" ht="13.8" hidden="false" customHeight="false" outlineLevel="0" collapsed="false">
      <c r="B169" s="2" t="n">
        <v>167</v>
      </c>
      <c r="C169" s="2" t="n">
        <v>0.184596854041052</v>
      </c>
      <c r="D169" s="2" t="n">
        <v>1.68939201637528</v>
      </c>
      <c r="E169" s="2" t="n">
        <v>8.64503689479086</v>
      </c>
    </row>
    <row r="170" customFormat="false" ht="13.8" hidden="false" customHeight="false" outlineLevel="0" collapsed="false">
      <c r="B170" s="2" t="n">
        <v>168</v>
      </c>
      <c r="C170" s="2" t="n">
        <v>0.184595008072511</v>
      </c>
      <c r="D170" s="2" t="n">
        <v>1.58424930273279</v>
      </c>
      <c r="E170" s="2" t="n">
        <v>8.52508006304082</v>
      </c>
    </row>
    <row r="171" customFormat="false" ht="13.8" hidden="false" customHeight="false" outlineLevel="0" collapsed="false">
      <c r="B171" s="2" t="n">
        <v>169</v>
      </c>
      <c r="C171" s="2" t="n">
        <v>0.18459316212243</v>
      </c>
      <c r="D171" s="2" t="n">
        <v>1.53048171992856</v>
      </c>
      <c r="E171" s="2" t="n">
        <v>8.37560108246098</v>
      </c>
    </row>
    <row r="172" customFormat="false" ht="13.8" hidden="false" customHeight="false" outlineLevel="0" collapsed="false">
      <c r="B172" s="2" t="n">
        <v>170</v>
      </c>
      <c r="C172" s="2" t="n">
        <v>0.184591316190809</v>
      </c>
      <c r="D172" s="2" t="n">
        <v>1.44660108672981</v>
      </c>
      <c r="E172" s="2" t="n">
        <v>8.19323932078242</v>
      </c>
    </row>
    <row r="173" customFormat="false" ht="13.8" hidden="false" customHeight="false" outlineLevel="0" collapsed="false">
      <c r="B173" s="2" t="n">
        <v>171</v>
      </c>
      <c r="C173" s="2" t="n">
        <v>0.184589470277647</v>
      </c>
      <c r="D173" s="2" t="n">
        <v>1.34164466723001</v>
      </c>
      <c r="E173" s="2" t="n">
        <v>8.05069871794406</v>
      </c>
    </row>
    <row r="174" customFormat="false" ht="13.8" hidden="false" customHeight="false" outlineLevel="0" collapsed="false">
      <c r="B174" s="2" t="n">
        <v>172</v>
      </c>
      <c r="C174" s="2" t="n">
        <v>0.184587624382944</v>
      </c>
      <c r="D174" s="2" t="n">
        <v>1.28407582035615</v>
      </c>
      <c r="E174" s="2" t="n">
        <v>7.88634874610467</v>
      </c>
    </row>
    <row r="175" customFormat="false" ht="13.8" hidden="false" customHeight="false" outlineLevel="0" collapsed="false">
      <c r="B175" s="2" t="n">
        <v>173</v>
      </c>
      <c r="C175" s="2" t="n">
        <v>0.1845857785067</v>
      </c>
      <c r="D175" s="2" t="n">
        <v>1.28406297955597</v>
      </c>
      <c r="E175" s="2" t="n">
        <v>7.6190394752098</v>
      </c>
    </row>
    <row r="176" customFormat="false" ht="13.8" hidden="false" customHeight="false" outlineLevel="0" collapsed="false">
      <c r="B176" s="2" t="n">
        <v>174</v>
      </c>
      <c r="C176" s="2" t="n">
        <v>0.184583932648914</v>
      </c>
      <c r="D176" s="2" t="n">
        <v>1.25215818978837</v>
      </c>
      <c r="E176" s="2" t="n">
        <v>7.343512882122</v>
      </c>
    </row>
    <row r="177" customFormat="false" ht="13.8" hidden="false" customHeight="false" outlineLevel="0" collapsed="false">
      <c r="B177" s="2" t="n">
        <v>175</v>
      </c>
      <c r="C177" s="2" t="n">
        <v>0.184582086809588</v>
      </c>
      <c r="D177" s="2" t="n">
        <v>1.25214566820647</v>
      </c>
      <c r="E177" s="2" t="n">
        <v>7.04089189143762</v>
      </c>
    </row>
    <row r="178" customFormat="false" ht="13.8" hidden="false" customHeight="false" outlineLevel="0" collapsed="false">
      <c r="B178" s="2" t="n">
        <v>176</v>
      </c>
      <c r="C178" s="2" t="n">
        <v>0.184580240988719</v>
      </c>
      <c r="D178" s="2" t="n">
        <v>1.25213314674979</v>
      </c>
      <c r="E178" s="2" t="n">
        <v>6.74134653807426</v>
      </c>
    </row>
    <row r="179" customFormat="false" ht="13.8" hidden="false" customHeight="false" outlineLevel="0" collapsed="false">
      <c r="B179" s="2" t="n">
        <v>177</v>
      </c>
      <c r="C179" s="2" t="n">
        <v>0.184578395186309</v>
      </c>
      <c r="D179" s="2" t="n">
        <v>1.25212062541832</v>
      </c>
      <c r="E179" s="2" t="n">
        <v>6.41524775423851</v>
      </c>
    </row>
    <row r="180" customFormat="false" ht="13.8" hidden="false" customHeight="false" outlineLevel="0" collapsed="false">
      <c r="B180" s="2" t="n">
        <v>178</v>
      </c>
      <c r="C180" s="2" t="n">
        <v>0.184576549402357</v>
      </c>
      <c r="D180" s="2" t="n">
        <v>1.25210810421207</v>
      </c>
      <c r="E180" s="2" t="n">
        <v>6.05315302768689</v>
      </c>
    </row>
    <row r="181" customFormat="false" ht="13.8" hidden="false" customHeight="false" outlineLevel="0" collapsed="false">
      <c r="B181" s="2" t="n">
        <v>179</v>
      </c>
      <c r="C181" s="2" t="n">
        <v>0.184574703636863</v>
      </c>
      <c r="D181" s="2" t="n">
        <v>1.25209558313103</v>
      </c>
      <c r="E181" s="2" t="n">
        <v>5.69728444060106</v>
      </c>
    </row>
    <row r="182" customFormat="false" ht="13.8" hidden="false" customHeight="false" outlineLevel="0" collapsed="false">
      <c r="B182" s="2" t="n">
        <v>180</v>
      </c>
      <c r="C182" s="2" t="n">
        <v>0.184572857889826</v>
      </c>
      <c r="D182" s="2" t="n">
        <v>1.2520830621752</v>
      </c>
      <c r="E182" s="2" t="n">
        <v>5.33732704183073</v>
      </c>
    </row>
    <row r="183" customFormat="false" ht="13.8" hidden="false" customHeight="false" outlineLevel="0" collapsed="false">
      <c r="B183" s="2" t="n">
        <v>181</v>
      </c>
      <c r="C183" s="2" t="n">
        <v>0.184571012161247</v>
      </c>
      <c r="D183" s="2" t="n">
        <v>1.25207054134457</v>
      </c>
      <c r="E183" s="2" t="n">
        <v>4.96918666856031</v>
      </c>
    </row>
    <row r="184" customFormat="false" ht="13.8" hidden="false" customHeight="false" outlineLevel="0" collapsed="false">
      <c r="B184" s="2" t="n">
        <v>182</v>
      </c>
      <c r="C184" s="2" t="n">
        <v>0.184569166451125</v>
      </c>
      <c r="D184" s="2" t="n">
        <v>1.25205802063916</v>
      </c>
      <c r="E184" s="2" t="n">
        <v>4.67077181002696</v>
      </c>
    </row>
    <row r="185" customFormat="false" ht="13.8" hidden="false" customHeight="false" outlineLevel="0" collapsed="false">
      <c r="B185" s="2" t="n">
        <v>183</v>
      </c>
      <c r="C185" s="2" t="n">
        <v>0.184567320759461</v>
      </c>
      <c r="D185" s="2" t="n">
        <v>1.25204550005895</v>
      </c>
      <c r="E185" s="2" t="n">
        <v>4.43436032453108</v>
      </c>
    </row>
    <row r="186" customFormat="false" ht="13.8" hidden="false" customHeight="false" outlineLevel="0" collapsed="false">
      <c r="B186" s="2" t="n">
        <v>184</v>
      </c>
      <c r="C186" s="2" t="n">
        <v>0.184565475086253</v>
      </c>
      <c r="D186" s="2" t="n">
        <v>1.25203297960395</v>
      </c>
      <c r="E186" s="2" t="n">
        <v>4.20328396240932</v>
      </c>
    </row>
    <row r="187" customFormat="false" ht="13.8" hidden="false" customHeight="false" outlineLevel="0" collapsed="false">
      <c r="B187" s="2" t="n">
        <v>185</v>
      </c>
      <c r="C187" s="2" t="n">
        <v>0.184563629431502</v>
      </c>
      <c r="D187" s="2" t="n">
        <v>1.25202045927416</v>
      </c>
      <c r="E187" s="2" t="n">
        <v>3.94976550364377</v>
      </c>
    </row>
    <row r="188" customFormat="false" ht="13.8" hidden="false" customHeight="false" outlineLevel="0" collapsed="false">
      <c r="B188" s="2" t="n">
        <v>186</v>
      </c>
      <c r="C188" s="2" t="n">
        <v>0.184561783795207</v>
      </c>
      <c r="D188" s="2" t="n">
        <v>1.25200793906957</v>
      </c>
      <c r="E188" s="2" t="n">
        <v>3.67995420969243</v>
      </c>
    </row>
    <row r="189" customFormat="false" ht="13.8" hidden="false" customHeight="false" outlineLevel="0" collapsed="false">
      <c r="B189" s="2" t="n">
        <v>187</v>
      </c>
      <c r="C189" s="2" t="n">
        <v>0.184559938177369</v>
      </c>
      <c r="D189" s="2" t="n">
        <v>1.25199541899017</v>
      </c>
      <c r="E189" s="2" t="n">
        <v>3.37918346570589</v>
      </c>
    </row>
    <row r="190" customFormat="false" ht="13.8" hidden="false" customHeight="false" outlineLevel="0" collapsed="false">
      <c r="B190" s="2" t="n">
        <v>188</v>
      </c>
      <c r="C190" s="2" t="n">
        <v>0.184558092577987</v>
      </c>
      <c r="D190" s="2" t="n">
        <v>1.25198289903598</v>
      </c>
      <c r="E190" s="2" t="n">
        <v>3.11056495164901</v>
      </c>
    </row>
    <row r="191" customFormat="false" ht="13.8" hidden="false" customHeight="false" outlineLevel="0" collapsed="false">
      <c r="B191" s="2" t="n">
        <v>189</v>
      </c>
      <c r="C191" s="2" t="n">
        <v>0.184556246997061</v>
      </c>
      <c r="D191" s="2" t="n">
        <v>1.25197037920699</v>
      </c>
      <c r="E191" s="2" t="n">
        <v>2.84669079044394</v>
      </c>
    </row>
    <row r="192" customFormat="false" ht="13.8" hidden="false" customHeight="false" outlineLevel="0" collapsed="false">
      <c r="B192" s="2" t="n">
        <v>190</v>
      </c>
      <c r="C192" s="2" t="n">
        <v>0.184554401434591</v>
      </c>
      <c r="D192" s="2" t="n">
        <v>1.2519578595032</v>
      </c>
      <c r="E192" s="2" t="n">
        <v>2.66267115686937</v>
      </c>
    </row>
    <row r="193" customFormat="false" ht="13.8" hidden="false" customHeight="false" outlineLevel="0" collapsed="false">
      <c r="B193" s="2" t="n">
        <v>191</v>
      </c>
      <c r="C193" s="2" t="n">
        <v>0.184552555890577</v>
      </c>
      <c r="D193" s="2" t="n">
        <v>1.25194533992461</v>
      </c>
      <c r="E193" s="2" t="n">
        <v>2.51504290052817</v>
      </c>
    </row>
    <row r="194" customFormat="false" ht="13.8" hidden="false" customHeight="false" outlineLevel="0" collapsed="false">
      <c r="B194" s="2" t="n">
        <v>192</v>
      </c>
      <c r="C194" s="2" t="n">
        <v>0.184550710365017</v>
      </c>
      <c r="D194" s="2" t="n">
        <v>1.25193282047121</v>
      </c>
      <c r="E194" s="2" t="n">
        <v>2.36811886121028</v>
      </c>
    </row>
    <row r="195" customFormat="false" ht="13.8" hidden="false" customHeight="false" outlineLevel="0" collapsed="false">
      <c r="B195" s="2" t="n">
        <v>193</v>
      </c>
      <c r="C195" s="2" t="n">
        <v>0.184548864857914</v>
      </c>
      <c r="D195" s="2" t="n">
        <v>1.251920301143</v>
      </c>
      <c r="E195" s="2" t="n">
        <v>2.30406888372537</v>
      </c>
    </row>
    <row r="196" customFormat="false" ht="13.8" hidden="false" customHeight="false" outlineLevel="0" collapsed="false">
      <c r="B196" s="2" t="n">
        <v>194</v>
      </c>
      <c r="C196" s="2" t="n">
        <v>0.184547019369265</v>
      </c>
      <c r="D196" s="2" t="n">
        <v>1.25190778193999</v>
      </c>
      <c r="E196" s="2" t="n">
        <v>2.08376045414765</v>
      </c>
    </row>
    <row r="197" customFormat="false" ht="13.8" hidden="false" customHeight="false" outlineLevel="0" collapsed="false">
      <c r="B197" s="2" t="n">
        <v>195</v>
      </c>
      <c r="C197" s="2" t="n">
        <v>0.184545173899071</v>
      </c>
      <c r="D197" s="2" t="n">
        <v>1.25189526286217</v>
      </c>
      <c r="E197" s="2" t="n">
        <v>1.92760478320977</v>
      </c>
    </row>
    <row r="198" customFormat="false" ht="13.8" hidden="false" customHeight="false" outlineLevel="0" collapsed="false">
      <c r="B198" s="2" t="n">
        <v>196</v>
      </c>
      <c r="C198" s="2" t="n">
        <v>0.184543328048594</v>
      </c>
      <c r="D198" s="2" t="n">
        <v>1.15208542909473</v>
      </c>
      <c r="E198" s="2" t="n">
        <v>1.87989885901379</v>
      </c>
    </row>
    <row r="199" customFormat="false" ht="13.8" hidden="false" customHeight="false" outlineLevel="0" collapsed="false">
      <c r="B199" s="2" t="n">
        <v>197</v>
      </c>
      <c r="C199" s="2" t="n">
        <v>0.0983005019313073</v>
      </c>
      <c r="D199" s="2" t="n">
        <v>1.11098013046266</v>
      </c>
      <c r="E199" s="2" t="n">
        <v>1.81391674521039</v>
      </c>
    </row>
    <row r="200" customFormat="false" ht="13.8" hidden="false" customHeight="false" outlineLevel="0" collapsed="false">
      <c r="B200" s="2" t="n">
        <v>198</v>
      </c>
      <c r="C200" s="2" t="n">
        <v>0.09829951852755</v>
      </c>
      <c r="D200" s="2" t="n">
        <v>1.06445029843913</v>
      </c>
      <c r="E200" s="2" t="n">
        <v>1.78278730974664</v>
      </c>
    </row>
    <row r="201" customFormat="false" ht="13.8" hidden="false" customHeight="false" outlineLevel="0" collapsed="false">
      <c r="B201" s="2" t="n">
        <v>199</v>
      </c>
      <c r="C201" s="2" t="n">
        <v>0.0982985355323645</v>
      </c>
      <c r="D201" s="2" t="n">
        <v>1.01140235763985</v>
      </c>
      <c r="E201" s="2" t="n">
        <v>1.65065798187354</v>
      </c>
    </row>
    <row r="202" customFormat="false" ht="13.8" hidden="false" customHeight="false" outlineLevel="0" collapsed="false">
      <c r="B202" s="2" t="n">
        <v>200</v>
      </c>
      <c r="C202" s="2" t="n">
        <v>0.098297552547009</v>
      </c>
      <c r="D202" s="2" t="n">
        <v>0.979632669542203</v>
      </c>
      <c r="E202" s="2" t="n">
        <v>1.61956732714557</v>
      </c>
    </row>
    <row r="203" customFormat="false" ht="13.8" hidden="false" customHeight="false" outlineLevel="0" collapsed="false">
      <c r="B203" s="2" t="n">
        <v>201</v>
      </c>
      <c r="C203" s="2" t="n">
        <v>0.0982965695714833</v>
      </c>
      <c r="D203" s="2" t="n">
        <v>0.910863521363656</v>
      </c>
      <c r="E203" s="2" t="n">
        <v>1.47779148332415</v>
      </c>
    </row>
    <row r="204" customFormat="false" ht="13.8" hidden="false" customHeight="false" outlineLevel="0" collapsed="false">
      <c r="B204" s="2" t="n">
        <v>202</v>
      </c>
      <c r="C204" s="2" t="n">
        <v>0.0982955866057874</v>
      </c>
      <c r="D204" s="2" t="n">
        <v>0.890632079395109</v>
      </c>
      <c r="E204" s="2" t="n">
        <v>1.43899833503895</v>
      </c>
    </row>
    <row r="205" customFormat="false" ht="13.8" hidden="false" customHeight="false" outlineLevel="0" collapsed="false">
      <c r="B205" s="2" t="n">
        <v>203</v>
      </c>
      <c r="C205" s="2" t="n">
        <v>0.0982946036499211</v>
      </c>
      <c r="D205" s="2" t="n">
        <v>0.804049061963204</v>
      </c>
      <c r="E205" s="2" t="n">
        <v>1.34594642653708</v>
      </c>
    </row>
    <row r="206" customFormat="false" ht="13.8" hidden="false" customHeight="false" outlineLevel="0" collapsed="false">
      <c r="B206" s="2" t="n">
        <v>204</v>
      </c>
      <c r="C206" s="2" t="n">
        <v>0.0982936204730271</v>
      </c>
      <c r="D206" s="2" t="n">
        <v>0.787040725176288</v>
      </c>
      <c r="E206" s="2" t="n">
        <v>1.24874743003578</v>
      </c>
    </row>
    <row r="207" customFormat="false" ht="13.8" hidden="false" customHeight="false" outlineLevel="0" collapsed="false">
      <c r="B207" s="2" t="n">
        <v>205</v>
      </c>
      <c r="C207" s="2" t="n">
        <v>0.073903712072611</v>
      </c>
      <c r="D207" s="2" t="n">
        <v>0.732717910324592</v>
      </c>
      <c r="E207" s="2" t="n">
        <v>1.16749405367259</v>
      </c>
    </row>
    <row r="208" customFormat="false" ht="13.8" hidden="false" customHeight="false" outlineLevel="0" collapsed="false">
      <c r="B208" s="2" t="n">
        <v>206</v>
      </c>
      <c r="C208" s="2" t="n">
        <v>0.0739029728046326</v>
      </c>
      <c r="D208" s="2" t="n">
        <v>0.685136472034378</v>
      </c>
      <c r="E208" s="2" t="n">
        <v>1.07366711947279</v>
      </c>
    </row>
    <row r="209" customFormat="false" ht="13.8" hidden="false" customHeight="false" outlineLevel="0" collapsed="false">
      <c r="B209" s="2" t="n">
        <v>207</v>
      </c>
      <c r="C209" s="2" t="n">
        <v>0.0739022337749044</v>
      </c>
      <c r="D209" s="2" t="n">
        <v>0.63059234289188</v>
      </c>
      <c r="E209" s="2" t="n">
        <v>0.971174660579377</v>
      </c>
    </row>
    <row r="210" customFormat="false" ht="13.8" hidden="false" customHeight="false" outlineLevel="0" collapsed="false">
      <c r="B210" s="2" t="n">
        <v>208</v>
      </c>
      <c r="C210" s="2" t="n">
        <v>0.0739014947525664</v>
      </c>
      <c r="D210" s="2" t="n">
        <v>0.586141018449932</v>
      </c>
      <c r="E210" s="2" t="n">
        <v>0.874683263647586</v>
      </c>
    </row>
    <row r="211" customFormat="false" ht="13.8" hidden="false" customHeight="false" outlineLevel="0" collapsed="false">
      <c r="B211" s="2" t="n">
        <v>209</v>
      </c>
      <c r="C211" s="2" t="n">
        <v>0.0739007557376187</v>
      </c>
      <c r="D211" s="2" t="n">
        <v>0.530875360743452</v>
      </c>
      <c r="E211" s="2" t="n">
        <v>0.772137053851987</v>
      </c>
    </row>
    <row r="212" customFormat="false" ht="13.8" hidden="false" customHeight="false" outlineLevel="0" collapsed="false">
      <c r="B212" s="2" t="n">
        <v>210</v>
      </c>
      <c r="C212" s="2" t="n">
        <v>0.0739000167300611</v>
      </c>
      <c r="D212" s="2" t="n">
        <v>0.468332829767622</v>
      </c>
      <c r="E212" s="2" t="n">
        <v>0.707739869518485</v>
      </c>
    </row>
    <row r="213" customFormat="false" ht="13.8" hidden="false" customHeight="false" outlineLevel="0" collapsed="false">
      <c r="B213" s="2" t="n">
        <v>211</v>
      </c>
      <c r="C213" s="2" t="n">
        <v>0.0738992777298936</v>
      </c>
      <c r="D213" s="2" t="n">
        <v>0.418327442735621</v>
      </c>
      <c r="E213" s="2" t="n">
        <v>0.618510310638308</v>
      </c>
    </row>
    <row r="214" customFormat="false" ht="13.8" hidden="false" customHeight="false" outlineLevel="0" collapsed="false">
      <c r="B214" s="2" t="n">
        <v>212</v>
      </c>
      <c r="C214" s="2" t="n">
        <v>0.0738985387371161</v>
      </c>
      <c r="D214" s="2" t="n">
        <v>0.383285981683416</v>
      </c>
      <c r="E214" s="2" t="n">
        <v>0.487003958868536</v>
      </c>
    </row>
    <row r="215" customFormat="false" ht="13.8" hidden="false" customHeight="false" outlineLevel="0" collapsed="false">
      <c r="B215" s="2" t="n">
        <v>213</v>
      </c>
      <c r="C215" s="2" t="n">
        <v>0.0738977997097526</v>
      </c>
      <c r="D215" s="2" t="n">
        <v>0.306078278453228</v>
      </c>
      <c r="E215" s="2" t="n">
        <v>0.365628644384502</v>
      </c>
    </row>
    <row r="216" customFormat="false" ht="13.8" hidden="false" customHeight="false" outlineLevel="0" collapsed="false">
      <c r="B216" s="2" t="n">
        <v>214</v>
      </c>
      <c r="C216" s="2" t="n">
        <v>0.0113073116481245</v>
      </c>
      <c r="D216" s="2" t="n">
        <v>0.244904039653054</v>
      </c>
      <c r="E216" s="2" t="n">
        <v>0.269979127733316</v>
      </c>
    </row>
    <row r="217" customFormat="false" ht="13.8" hidden="false" customHeight="false" outlineLevel="0" collapsed="false">
      <c r="B217" s="2" t="n">
        <v>215</v>
      </c>
      <c r="C217" s="2" t="n">
        <v>0.0113071985330319</v>
      </c>
      <c r="D217" s="2" t="n">
        <v>0.169077790133433</v>
      </c>
      <c r="E217" s="2" t="n">
        <v>0.181412597766279</v>
      </c>
    </row>
    <row r="218" customFormat="false" ht="13.8" hidden="false" customHeight="false" outlineLevel="0" collapsed="false">
      <c r="B218" s="2" t="n">
        <v>216</v>
      </c>
      <c r="C218" s="2" t="n">
        <v>2.09880854787249E-011</v>
      </c>
      <c r="D218" s="2" t="n">
        <v>0.111248065303363</v>
      </c>
      <c r="E218" s="2" t="n">
        <v>0.0653633183031389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0.0420812963087058</v>
      </c>
      <c r="E219" s="2" t="n">
        <v>0.00392041172584199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1.19208097457886E-019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0.00787419181919842</v>
      </c>
      <c r="D228" s="2" t="n">
        <v>0.0133196822815325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0.00787411307728023</v>
      </c>
      <c r="D229" s="2" t="n">
        <v>0.0661233035462595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0.0511798471648633</v>
      </c>
      <c r="D230" s="2" t="n">
        <v>0.0928604089547909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0.0511793354513943</v>
      </c>
      <c r="D231" s="2" t="n">
        <v>0.166461199172285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0.0661041473085533</v>
      </c>
      <c r="D232" s="2" t="n">
        <v>0.213246868809688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0.0743192913875737</v>
      </c>
      <c r="D233" s="2" t="n">
        <v>0.302907671018204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0.0960204323942542</v>
      </c>
      <c r="D234" s="2" t="n">
        <v>0.359228792046509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0.0960194722324312</v>
      </c>
      <c r="D235" s="2" t="n">
        <v>0.477129575291413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0.0960185120377084</v>
      </c>
      <c r="D236" s="2" t="n">
        <v>0.553346343193397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0.0960175518525876</v>
      </c>
      <c r="D237" s="2" t="n">
        <v>0.659893687592614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0.0960165916770687</v>
      </c>
      <c r="D238" s="2" t="n">
        <v>0.7619716501833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0.0960156315111515</v>
      </c>
      <c r="D239" s="2" t="n">
        <v>0.789943525798351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0.096014671354836</v>
      </c>
      <c r="D240" s="2" t="n">
        <v>0.904166860181731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0.096013711208122</v>
      </c>
      <c r="D241" s="2" t="n">
        <v>0.990604010957933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0.0960127514960416</v>
      </c>
      <c r="D242" s="2" t="n">
        <v>1.10228027098879</v>
      </c>
      <c r="E242" s="2" t="n">
        <v>0.283843897664558</v>
      </c>
    </row>
    <row r="243" customFormat="false" ht="13.8" hidden="false" customHeight="false" outlineLevel="0" collapsed="false">
      <c r="B243" s="2" t="n">
        <v>241</v>
      </c>
      <c r="C243" s="2" t="n">
        <v>0.114138414028484</v>
      </c>
      <c r="D243" s="2" t="n">
        <v>1.22813960788321</v>
      </c>
      <c r="E243" s="2" t="n">
        <v>0.283841059310583</v>
      </c>
    </row>
    <row r="244" customFormat="false" ht="13.8" hidden="false" customHeight="false" outlineLevel="0" collapsed="false">
      <c r="B244" s="2" t="n">
        <v>242</v>
      </c>
      <c r="C244" s="2" t="n">
        <v>0.184607930260947</v>
      </c>
      <c r="D244" s="2" t="n">
        <v>1.36040752733206</v>
      </c>
      <c r="E244" s="2" t="n">
        <v>1.14283629060551</v>
      </c>
    </row>
    <row r="245" customFormat="false" ht="13.8" hidden="false" customHeight="false" outlineLevel="0" collapsed="false">
      <c r="B245" s="2" t="n">
        <v>243</v>
      </c>
      <c r="C245" s="2" t="n">
        <v>0.184606084181645</v>
      </c>
      <c r="D245" s="2" t="n">
        <v>1.45415901024951</v>
      </c>
      <c r="E245" s="2" t="n">
        <v>1.95156164651584</v>
      </c>
    </row>
    <row r="246" customFormat="false" ht="13.8" hidden="false" customHeight="false" outlineLevel="0" collapsed="false">
      <c r="B246" s="2" t="n">
        <v>244</v>
      </c>
      <c r="C246" s="2" t="n">
        <v>0.184604238120803</v>
      </c>
      <c r="D246" s="2" t="n">
        <v>1.55920944179993</v>
      </c>
      <c r="E246" s="2" t="n">
        <v>2.76626821469781</v>
      </c>
    </row>
    <row r="247" customFormat="false" ht="13.8" hidden="false" customHeight="false" outlineLevel="0" collapsed="false">
      <c r="B247" s="2" t="n">
        <v>245</v>
      </c>
      <c r="C247" s="2" t="n">
        <v>0.184602392078422</v>
      </c>
      <c r="D247" s="2" t="n">
        <v>1.65059924899382</v>
      </c>
      <c r="E247" s="2" t="n">
        <v>3.56610614533931</v>
      </c>
    </row>
    <row r="248" customFormat="false" ht="13.8" hidden="false" customHeight="false" outlineLevel="0" collapsed="false">
      <c r="B248" s="2" t="n">
        <v>246</v>
      </c>
      <c r="C248" s="2" t="n">
        <v>0.184600546054501</v>
      </c>
      <c r="D248" s="2" t="n">
        <v>1.7489929687841</v>
      </c>
      <c r="E248" s="2" t="n">
        <v>4.32002237143869</v>
      </c>
    </row>
    <row r="249" customFormat="false" ht="13.8" hidden="false" customHeight="false" outlineLevel="0" collapsed="false">
      <c r="B249" s="2" t="n">
        <v>247</v>
      </c>
      <c r="C249" s="2" t="n">
        <v>0.18459870004904</v>
      </c>
      <c r="D249" s="2" t="n">
        <v>1.74897547885442</v>
      </c>
      <c r="E249" s="2" t="n">
        <v>5.08516697721298</v>
      </c>
    </row>
    <row r="250" customFormat="false" ht="13.8" hidden="false" customHeight="false" outlineLevel="0" collapsed="false">
      <c r="B250" s="2" t="n">
        <v>248</v>
      </c>
      <c r="C250" s="2" t="n">
        <v>0.18459685406204</v>
      </c>
      <c r="D250" s="2" t="n">
        <v>1.7489929687841</v>
      </c>
      <c r="E250" s="2" t="n">
        <v>5.7911901653784</v>
      </c>
    </row>
    <row r="251" customFormat="false" ht="13.8" hidden="false" customHeight="false" outlineLevel="0" collapsed="false">
      <c r="B251" s="2" t="n">
        <v>249</v>
      </c>
      <c r="C251" s="2" t="n">
        <v>0.184595008093499</v>
      </c>
      <c r="D251" s="2" t="n">
        <v>1.74897547885442</v>
      </c>
      <c r="E251" s="2" t="n">
        <v>6.52816737714911</v>
      </c>
    </row>
    <row r="252" customFormat="false" ht="13.8" hidden="false" customHeight="false" outlineLevel="0" collapsed="false">
      <c r="B252" s="2" t="n">
        <v>250</v>
      </c>
      <c r="C252" s="2" t="n">
        <v>0.184607930260947</v>
      </c>
      <c r="D252" s="2" t="n">
        <v>1.7489929687841</v>
      </c>
      <c r="E252" s="2" t="n">
        <v>7.15457627886403</v>
      </c>
    </row>
    <row r="253" customFormat="false" ht="13.8" hidden="false" customHeight="false" outlineLevel="0" collapsed="false">
      <c r="B253" s="2" t="n">
        <v>251</v>
      </c>
      <c r="C253" s="2" t="n">
        <v>0.184606084181645</v>
      </c>
      <c r="D253" s="2" t="n">
        <v>1.74897547885442</v>
      </c>
      <c r="E253" s="2" t="n">
        <v>7.78764228620624</v>
      </c>
    </row>
    <row r="254" customFormat="false" ht="13.8" hidden="false" customHeight="false" outlineLevel="0" collapsed="false">
      <c r="B254" s="2" t="n">
        <v>252</v>
      </c>
      <c r="C254" s="2" t="n">
        <v>0.184604238120803</v>
      </c>
      <c r="D254" s="2" t="n">
        <v>1.7489929687841</v>
      </c>
      <c r="E254" s="2" t="n">
        <v>8.34531522760471</v>
      </c>
    </row>
    <row r="255" customFormat="false" ht="13.8" hidden="false" customHeight="false" outlineLevel="0" collapsed="false">
      <c r="B255" s="2" t="n">
        <v>253</v>
      </c>
      <c r="C255" s="2" t="n">
        <v>0.184602392078422</v>
      </c>
      <c r="D255" s="2" t="n">
        <v>1.7489929687841</v>
      </c>
      <c r="E255" s="2" t="n">
        <v>8.89914578199008</v>
      </c>
    </row>
    <row r="256" customFormat="false" ht="13.8" hidden="false" customHeight="false" outlineLevel="0" collapsed="false">
      <c r="B256" s="2" t="n">
        <v>254</v>
      </c>
      <c r="C256" s="2" t="n">
        <v>0.184607930260947</v>
      </c>
      <c r="D256" s="2" t="n">
        <v>1.7489929687841</v>
      </c>
      <c r="E256" s="2" t="n">
        <v>9.26180191826697</v>
      </c>
    </row>
    <row r="257" customFormat="false" ht="13.8" hidden="false" customHeight="false" outlineLevel="0" collapsed="false">
      <c r="B257" s="2" t="n">
        <v>255</v>
      </c>
      <c r="C257" s="2" t="n">
        <v>0.184606084181645</v>
      </c>
      <c r="D257" s="2" t="n">
        <v>1.74897547885442</v>
      </c>
      <c r="E257" s="2" t="n">
        <v>9.53577318661017</v>
      </c>
    </row>
    <row r="258" customFormat="false" ht="13.8" hidden="false" customHeight="false" outlineLevel="0" collapsed="false">
      <c r="B258" s="2" t="n">
        <v>256</v>
      </c>
      <c r="C258" s="2" t="n">
        <v>0.184604239316789</v>
      </c>
      <c r="D258" s="2" t="n">
        <v>1.74895798960328</v>
      </c>
      <c r="E258" s="2" t="n">
        <v>9.59477180845836</v>
      </c>
    </row>
    <row r="259" customFormat="false" ht="13.8" hidden="false" customHeight="false" outlineLevel="0" collapsed="false">
      <c r="B259" s="2" t="n">
        <v>257</v>
      </c>
      <c r="C259" s="2" t="n">
        <v>0.184602392057433</v>
      </c>
      <c r="D259" s="2" t="n">
        <v>1.74894049949875</v>
      </c>
      <c r="E259" s="2" t="n">
        <v>9.56649627777451</v>
      </c>
    </row>
    <row r="260" customFormat="false" ht="13.8" hidden="false" customHeight="false" outlineLevel="0" collapsed="false">
      <c r="B260" s="2" t="n">
        <v>258</v>
      </c>
      <c r="C260" s="2" t="n">
        <v>0.184600546033513</v>
      </c>
      <c r="D260" s="2" t="n">
        <v>1.74892301009375</v>
      </c>
      <c r="E260" s="2" t="n">
        <v>9.36974940925522</v>
      </c>
    </row>
    <row r="261" customFormat="false" ht="13.8" hidden="false" customHeight="false" outlineLevel="0" collapsed="false">
      <c r="B261" s="2" t="n">
        <v>259</v>
      </c>
      <c r="C261" s="2" t="n">
        <v>0.184598700028052</v>
      </c>
      <c r="D261" s="2" t="n">
        <v>1.74890552086365</v>
      </c>
      <c r="E261" s="2" t="n">
        <v>9.28147725798424</v>
      </c>
    </row>
    <row r="262" customFormat="false" ht="13.8" hidden="false" customHeight="false" outlineLevel="0" collapsed="false">
      <c r="B262" s="2" t="n">
        <v>260</v>
      </c>
      <c r="C262" s="2" t="n">
        <v>0.184596854041052</v>
      </c>
      <c r="D262" s="2" t="n">
        <v>1.74888803180844</v>
      </c>
      <c r="E262" s="2" t="n">
        <v>9.04343794291811</v>
      </c>
    </row>
    <row r="263" customFormat="false" ht="13.8" hidden="false" customHeight="false" outlineLevel="0" collapsed="false">
      <c r="B263" s="2" t="n">
        <v>261</v>
      </c>
      <c r="C263" s="2" t="n">
        <v>0.184595008072511</v>
      </c>
      <c r="D263" s="2" t="n">
        <v>1.74887054292813</v>
      </c>
      <c r="E263" s="2" t="n">
        <v>8.92285512839512</v>
      </c>
    </row>
    <row r="264" customFormat="false" ht="13.8" hidden="false" customHeight="false" outlineLevel="0" collapsed="false">
      <c r="B264" s="2" t="n">
        <v>262</v>
      </c>
      <c r="C264" s="2" t="n">
        <v>0.18459316212243</v>
      </c>
      <c r="D264" s="2" t="n">
        <v>1.7488530542227</v>
      </c>
      <c r="E264" s="2" t="n">
        <v>8.6492247906621</v>
      </c>
    </row>
    <row r="265" customFormat="false" ht="13.8" hidden="false" customHeight="false" outlineLevel="0" collapsed="false">
      <c r="B265" s="2" t="n">
        <v>263</v>
      </c>
      <c r="C265" s="2" t="n">
        <v>0.184591316190809</v>
      </c>
      <c r="D265" s="2" t="n">
        <v>1.74883556569215</v>
      </c>
      <c r="E265" s="2" t="n">
        <v>8.49699318241649</v>
      </c>
    </row>
    <row r="266" customFormat="false" ht="13.8" hidden="false" customHeight="false" outlineLevel="0" collapsed="false">
      <c r="B266" s="2" t="n">
        <v>264</v>
      </c>
      <c r="C266" s="2" t="n">
        <v>0.184589470277647</v>
      </c>
      <c r="D266" s="2" t="n">
        <v>1.7488180773365</v>
      </c>
      <c r="E266" s="2" t="n">
        <v>8.24706547855988</v>
      </c>
    </row>
    <row r="267" customFormat="false" ht="13.8" hidden="false" customHeight="false" outlineLevel="0" collapsed="false">
      <c r="B267" s="2" t="n">
        <v>265</v>
      </c>
      <c r="C267" s="2" t="n">
        <v>0.184587624382944</v>
      </c>
      <c r="D267" s="2" t="n">
        <v>1.74880058915572</v>
      </c>
      <c r="E267" s="2" t="n">
        <v>8.08790435975695</v>
      </c>
    </row>
    <row r="268" customFormat="false" ht="13.8" hidden="false" customHeight="false" outlineLevel="0" collapsed="false">
      <c r="B268" s="2" t="n">
        <v>266</v>
      </c>
      <c r="C268" s="2" t="n">
        <v>0.1845857785067</v>
      </c>
      <c r="D268" s="2" t="n">
        <v>1.74878310114983</v>
      </c>
      <c r="E268" s="2" t="n">
        <v>7.78392925849113</v>
      </c>
    </row>
    <row r="269" customFormat="false" ht="13.8" hidden="false" customHeight="false" outlineLevel="0" collapsed="false">
      <c r="B269" s="2" t="n">
        <v>267</v>
      </c>
      <c r="C269" s="2" t="n">
        <v>0.184583932648914</v>
      </c>
      <c r="D269" s="2" t="n">
        <v>1.74876561331882</v>
      </c>
      <c r="E269" s="2" t="n">
        <v>7.55547264142077</v>
      </c>
    </row>
    <row r="270" customFormat="false" ht="13.8" hidden="false" customHeight="false" outlineLevel="0" collapsed="false">
      <c r="B270" s="2" t="n">
        <v>268</v>
      </c>
      <c r="C270" s="2" t="n">
        <v>0.184582086809588</v>
      </c>
      <c r="D270" s="2" t="n">
        <v>1.74874812566269</v>
      </c>
      <c r="E270" s="2" t="n">
        <v>7.29301592002769</v>
      </c>
    </row>
    <row r="271" customFormat="false" ht="13.8" hidden="false" customHeight="false" outlineLevel="0" collapsed="false">
      <c r="B271" s="2" t="n">
        <v>269</v>
      </c>
      <c r="C271" s="2" t="n">
        <v>0.184580240988719</v>
      </c>
      <c r="D271" s="2" t="n">
        <v>1.74873063818143</v>
      </c>
      <c r="E271" s="2" t="n">
        <v>7.02947004542404</v>
      </c>
    </row>
    <row r="272" customFormat="false" ht="13.8" hidden="false" customHeight="false" outlineLevel="0" collapsed="false">
      <c r="B272" s="2" t="n">
        <v>270</v>
      </c>
      <c r="C272" s="2" t="n">
        <v>0.184578395186309</v>
      </c>
      <c r="D272" s="2" t="n">
        <v>1.74871315087505</v>
      </c>
      <c r="E272" s="2" t="n">
        <v>6.71446423220507</v>
      </c>
    </row>
    <row r="273" customFormat="false" ht="13.8" hidden="false" customHeight="false" outlineLevel="0" collapsed="false">
      <c r="B273" s="2" t="n">
        <v>271</v>
      </c>
      <c r="C273" s="2" t="n">
        <v>0.184576549402357</v>
      </c>
      <c r="D273" s="2" t="n">
        <v>1.74869566374354</v>
      </c>
      <c r="E273" s="2" t="n">
        <v>6.45033090237756</v>
      </c>
    </row>
    <row r="274" customFormat="false" ht="13.8" hidden="false" customHeight="false" outlineLevel="0" collapsed="false">
      <c r="B274" s="2" t="n">
        <v>272</v>
      </c>
      <c r="C274" s="2" t="n">
        <v>0.184574703636863</v>
      </c>
      <c r="D274" s="2" t="n">
        <v>1.7486781767869</v>
      </c>
      <c r="E274" s="2" t="n">
        <v>6.11205117684632</v>
      </c>
    </row>
    <row r="275" customFormat="false" ht="13.8" hidden="false" customHeight="false" outlineLevel="0" collapsed="false">
      <c r="B275" s="2" t="n">
        <v>273</v>
      </c>
      <c r="C275" s="2" t="n">
        <v>0.184572857889826</v>
      </c>
      <c r="D275" s="2" t="n">
        <v>1.74866069000513</v>
      </c>
      <c r="E275" s="2" t="n">
        <v>5.82701379707529</v>
      </c>
    </row>
    <row r="276" customFormat="false" ht="13.8" hidden="false" customHeight="false" outlineLevel="0" collapsed="false">
      <c r="B276" s="2" t="n">
        <v>274</v>
      </c>
      <c r="C276" s="2" t="n">
        <v>0.184571012161247</v>
      </c>
      <c r="D276" s="2" t="n">
        <v>1.74864320339823</v>
      </c>
      <c r="E276" s="2" t="n">
        <v>5.50496084175213</v>
      </c>
    </row>
    <row r="277" customFormat="false" ht="13.8" hidden="false" customHeight="false" outlineLevel="0" collapsed="false">
      <c r="B277" s="2" t="n">
        <v>275</v>
      </c>
      <c r="C277" s="2" t="n">
        <v>0.184569166451125</v>
      </c>
      <c r="D277" s="2" t="n">
        <v>1.7486257169662</v>
      </c>
      <c r="E277" s="2" t="n">
        <v>5.22874418103261</v>
      </c>
    </row>
    <row r="278" customFormat="false" ht="13.8" hidden="false" customHeight="false" outlineLevel="0" collapsed="false">
      <c r="B278" s="2" t="n">
        <v>276</v>
      </c>
      <c r="C278" s="2" t="n">
        <v>0.184567320759461</v>
      </c>
      <c r="D278" s="2" t="n">
        <v>1.74860823070903</v>
      </c>
      <c r="E278" s="2" t="n">
        <v>4.91551220840561</v>
      </c>
    </row>
    <row r="279" customFormat="false" ht="13.8" hidden="false" customHeight="false" outlineLevel="0" collapsed="false">
      <c r="B279" s="2" t="n">
        <v>277</v>
      </c>
      <c r="C279" s="2" t="n">
        <v>0.184565475086253</v>
      </c>
      <c r="D279" s="2" t="n">
        <v>1.74859074462672</v>
      </c>
      <c r="E279" s="2" t="n">
        <v>4.57365344217242</v>
      </c>
    </row>
    <row r="280" customFormat="false" ht="13.8" hidden="false" customHeight="false" outlineLevel="0" collapsed="false">
      <c r="B280" s="2" t="n">
        <v>278</v>
      </c>
      <c r="C280" s="2" t="n">
        <v>0.184563629431502</v>
      </c>
      <c r="D280" s="2" t="n">
        <v>1.74857325871928</v>
      </c>
      <c r="E280" s="2" t="n">
        <v>4.22603929823059</v>
      </c>
    </row>
    <row r="281" customFormat="false" ht="13.8" hidden="false" customHeight="false" outlineLevel="0" collapsed="false">
      <c r="B281" s="2" t="n">
        <v>279</v>
      </c>
      <c r="C281" s="2" t="n">
        <v>0.184561783795207</v>
      </c>
      <c r="D281" s="2" t="n">
        <v>1.74855577298669</v>
      </c>
      <c r="E281" s="2" t="n">
        <v>3.84435511191168</v>
      </c>
    </row>
    <row r="282" customFormat="false" ht="13.8" hidden="false" customHeight="false" outlineLevel="0" collapsed="false">
      <c r="B282" s="2" t="n">
        <v>280</v>
      </c>
      <c r="C282" s="2" t="n">
        <v>0.184559938177369</v>
      </c>
      <c r="D282" s="2" t="n">
        <v>1.74853828742896</v>
      </c>
      <c r="E282" s="2" t="n">
        <v>3.52037855724945</v>
      </c>
    </row>
    <row r="283" customFormat="false" ht="13.8" hidden="false" customHeight="false" outlineLevel="0" collapsed="false">
      <c r="B283" s="2" t="n">
        <v>281</v>
      </c>
      <c r="C283" s="2" t="n">
        <v>0.184558092577987</v>
      </c>
      <c r="D283" s="2" t="n">
        <v>1.66613641141415</v>
      </c>
      <c r="E283" s="2" t="n">
        <v>3.23988226263532</v>
      </c>
    </row>
    <row r="284" customFormat="false" ht="13.8" hidden="false" customHeight="false" outlineLevel="0" collapsed="false">
      <c r="B284" s="2" t="n">
        <v>282</v>
      </c>
      <c r="C284" s="2" t="n">
        <v>0.184556246997061</v>
      </c>
      <c r="D284" s="2" t="n">
        <v>1.5936345093093</v>
      </c>
      <c r="E284" s="2" t="n">
        <v>3.08080378973862</v>
      </c>
    </row>
    <row r="285" customFormat="false" ht="13.8" hidden="false" customHeight="false" outlineLevel="0" collapsed="false">
      <c r="B285" s="2" t="n">
        <v>283</v>
      </c>
      <c r="C285" s="2" t="n">
        <v>0.184554401434591</v>
      </c>
      <c r="D285" s="2" t="n">
        <v>1.50735559148272</v>
      </c>
      <c r="E285" s="2" t="n">
        <v>2.96009722244146</v>
      </c>
    </row>
    <row r="286" customFormat="false" ht="13.8" hidden="false" customHeight="false" outlineLevel="0" collapsed="false">
      <c r="B286" s="2" t="n">
        <v>284</v>
      </c>
      <c r="C286" s="2" t="n">
        <v>0.184552555890577</v>
      </c>
      <c r="D286" s="2" t="n">
        <v>1.43592903644532</v>
      </c>
      <c r="E286" s="2" t="n">
        <v>2.83324510295072</v>
      </c>
    </row>
    <row r="287" customFormat="false" ht="13.8" hidden="false" customHeight="false" outlineLevel="0" collapsed="false">
      <c r="B287" s="2" t="n">
        <v>285</v>
      </c>
      <c r="C287" s="2" t="n">
        <v>0.184550710365017</v>
      </c>
      <c r="D287" s="2" t="n">
        <v>1.3837634178957</v>
      </c>
      <c r="E287" s="2" t="n">
        <v>2.69633941864784</v>
      </c>
    </row>
    <row r="288" customFormat="false" ht="13.8" hidden="false" customHeight="false" outlineLevel="0" collapsed="false">
      <c r="B288" s="2" t="n">
        <v>286</v>
      </c>
      <c r="C288" s="2" t="n">
        <v>0.184548864857914</v>
      </c>
      <c r="D288" s="2" t="n">
        <v>1.35189424692819</v>
      </c>
      <c r="E288" s="2" t="n">
        <v>2.5566393071055</v>
      </c>
    </row>
    <row r="289" customFormat="false" ht="13.8" hidden="false" customHeight="false" outlineLevel="0" collapsed="false">
      <c r="B289" s="2" t="n">
        <v>287</v>
      </c>
      <c r="C289" s="2" t="n">
        <v>0.184547019369265</v>
      </c>
      <c r="D289" s="2" t="n">
        <v>1.27021052428202</v>
      </c>
      <c r="E289" s="2" t="n">
        <v>2.46116396293465</v>
      </c>
    </row>
    <row r="290" customFormat="false" ht="13.8" hidden="false" customHeight="false" outlineLevel="0" collapsed="false">
      <c r="B290" s="2" t="n">
        <v>288</v>
      </c>
      <c r="C290" s="2" t="n">
        <v>0.184545173899071</v>
      </c>
      <c r="D290" s="2" t="n">
        <v>1.25091663699159</v>
      </c>
      <c r="E290" s="2" t="n">
        <v>2.3446699253691</v>
      </c>
    </row>
    <row r="291" customFormat="false" ht="13.8" hidden="false" customHeight="false" outlineLevel="0" collapsed="false">
      <c r="B291" s="2" t="n">
        <v>289</v>
      </c>
      <c r="C291" s="2" t="n">
        <v>0.184543328447332</v>
      </c>
      <c r="D291" s="2" t="n">
        <v>1.23929012782522</v>
      </c>
      <c r="E291" s="2" t="n">
        <v>2.29834466385503</v>
      </c>
    </row>
    <row r="292" customFormat="false" ht="13.8" hidden="false" customHeight="false" outlineLevel="0" collapsed="false">
      <c r="B292" s="2" t="n">
        <v>290</v>
      </c>
      <c r="C292" s="2" t="n">
        <v>0.184541483014047</v>
      </c>
      <c r="D292" s="2" t="n">
        <v>1.17425693862764</v>
      </c>
      <c r="E292" s="2" t="n">
        <v>2.21096460633432</v>
      </c>
    </row>
    <row r="293" customFormat="false" ht="13.8" hidden="false" customHeight="false" outlineLevel="0" collapsed="false">
      <c r="B293" s="2" t="n">
        <v>291</v>
      </c>
      <c r="C293" s="2" t="n">
        <v>0.184539637599217</v>
      </c>
      <c r="D293" s="2" t="n">
        <v>1.0870216405027</v>
      </c>
      <c r="E293" s="2" t="n">
        <v>2.08849490409566</v>
      </c>
    </row>
    <row r="294" customFormat="false" ht="13.8" hidden="false" customHeight="false" outlineLevel="0" collapsed="false">
      <c r="B294" s="2" t="n">
        <v>292</v>
      </c>
      <c r="C294" s="2" t="n">
        <v>0.184537792202841</v>
      </c>
      <c r="D294" s="2" t="n">
        <v>1.04345421473074</v>
      </c>
      <c r="E294" s="2" t="n">
        <v>1.95656490803551</v>
      </c>
    </row>
    <row r="295" customFormat="false" ht="13.8" hidden="false" customHeight="false" outlineLevel="0" collapsed="false">
      <c r="B295" s="2" t="n">
        <v>293</v>
      </c>
      <c r="C295" s="2" t="n">
        <v>0.184535946824918</v>
      </c>
      <c r="D295" s="2" t="n">
        <v>1.02646179870711</v>
      </c>
      <c r="E295" s="2" t="n">
        <v>1.86282274979384</v>
      </c>
    </row>
    <row r="296" customFormat="false" ht="13.8" hidden="false" customHeight="false" outlineLevel="0" collapsed="false">
      <c r="B296" s="2" t="n">
        <v>294</v>
      </c>
      <c r="C296" s="2" t="n">
        <v>0.184534101066712</v>
      </c>
      <c r="D296" s="2" t="n">
        <v>0.960747515570607</v>
      </c>
      <c r="E296" s="2" t="n">
        <v>1.73763712156634</v>
      </c>
    </row>
    <row r="297" customFormat="false" ht="13.8" hidden="false" customHeight="false" outlineLevel="0" collapsed="false">
      <c r="B297" s="2" t="n">
        <v>295</v>
      </c>
      <c r="C297" s="2" t="n">
        <v>0.15719846022688</v>
      </c>
      <c r="D297" s="2" t="n">
        <v>0.929256315502858</v>
      </c>
      <c r="E297" s="2" t="n">
        <v>1.71332289334327</v>
      </c>
    </row>
    <row r="298" customFormat="false" ht="13.8" hidden="false" customHeight="false" outlineLevel="0" collapsed="false">
      <c r="B298" s="2" t="n">
        <v>296</v>
      </c>
      <c r="C298" s="2" t="n">
        <v>0.15719688784354</v>
      </c>
      <c r="D298" s="2" t="n">
        <v>0.860339578495259</v>
      </c>
      <c r="E298" s="2" t="n">
        <v>1.57052746381804</v>
      </c>
    </row>
    <row r="299" customFormat="false" ht="13.8" hidden="false" customHeight="false" outlineLevel="0" collapsed="false">
      <c r="B299" s="2" t="n">
        <v>297</v>
      </c>
      <c r="C299" s="2" t="n">
        <v>0.157195315874662</v>
      </c>
      <c r="D299" s="2" t="n">
        <v>0.828682660284659</v>
      </c>
      <c r="E299" s="2" t="n">
        <v>1.51234492521007</v>
      </c>
    </row>
    <row r="300" customFormat="false" ht="13.8" hidden="false" customHeight="false" outlineLevel="0" collapsed="false">
      <c r="B300" s="2" t="n">
        <v>298</v>
      </c>
      <c r="C300" s="2" t="n">
        <v>0.157193743921503</v>
      </c>
      <c r="D300" s="2" t="n">
        <v>0.760692817902501</v>
      </c>
      <c r="E300" s="2" t="n">
        <v>1.35351465361267</v>
      </c>
    </row>
    <row r="301" customFormat="false" ht="13.8" hidden="false" customHeight="false" outlineLevel="0" collapsed="false">
      <c r="B301" s="2" t="n">
        <v>299</v>
      </c>
      <c r="C301" s="2" t="n">
        <v>0.157192171984063</v>
      </c>
      <c r="D301" s="2" t="n">
        <v>0.728703562826174</v>
      </c>
      <c r="E301" s="2" t="n">
        <v>1.3028340814291</v>
      </c>
    </row>
    <row r="302" customFormat="false" ht="13.8" hidden="false" customHeight="false" outlineLevel="0" collapsed="false">
      <c r="B302" s="2" t="n">
        <v>300</v>
      </c>
      <c r="C302" s="2" t="n">
        <v>0.157190600062343</v>
      </c>
      <c r="D302" s="2" t="n">
        <v>0.686158960975731</v>
      </c>
      <c r="E302" s="2" t="n">
        <v>1.14891294197717</v>
      </c>
    </row>
    <row r="303" customFormat="false" ht="13.8" hidden="false" customHeight="false" outlineLevel="0" collapsed="false">
      <c r="B303" s="2" t="n">
        <v>301</v>
      </c>
      <c r="C303" s="2" t="n">
        <v>0.157189028156342</v>
      </c>
      <c r="D303" s="2" t="n">
        <v>0.664929821608343</v>
      </c>
      <c r="E303" s="2" t="n">
        <v>1.09938248988479</v>
      </c>
    </row>
    <row r="304" customFormat="false" ht="13.8" hidden="false" customHeight="false" outlineLevel="0" collapsed="false">
      <c r="B304" s="2" t="n">
        <v>302</v>
      </c>
      <c r="C304" s="2" t="n">
        <v>0.157187456266061</v>
      </c>
      <c r="D304" s="2" t="n">
        <v>0.58627489453235</v>
      </c>
      <c r="E304" s="2" t="n">
        <v>0.959908199763593</v>
      </c>
    </row>
    <row r="305" customFormat="false" ht="13.8" hidden="false" customHeight="false" outlineLevel="0" collapsed="false">
      <c r="B305" s="2" t="n">
        <v>303</v>
      </c>
      <c r="C305" s="2" t="n">
        <v>0.157185884391498</v>
      </c>
      <c r="D305" s="2" t="n">
        <v>0.572176254005627</v>
      </c>
      <c r="E305" s="2" t="n">
        <v>0.8732133043853</v>
      </c>
    </row>
    <row r="306" customFormat="false" ht="13.8" hidden="false" customHeight="false" outlineLevel="0" collapsed="false">
      <c r="B306" s="2" t="n">
        <v>304</v>
      </c>
      <c r="C306" s="2" t="n">
        <v>0.157184312532654</v>
      </c>
      <c r="D306" s="2" t="n">
        <v>0.514392754465309</v>
      </c>
      <c r="E306" s="2" t="n">
        <v>0.72951888706707</v>
      </c>
    </row>
    <row r="307" customFormat="false" ht="13.8" hidden="false" customHeight="false" outlineLevel="0" collapsed="false">
      <c r="B307" s="2" t="n">
        <v>305</v>
      </c>
      <c r="C307" s="2" t="n">
        <v>0.157182740689528</v>
      </c>
      <c r="D307" s="2" t="n">
        <v>0.464017203130357</v>
      </c>
      <c r="E307" s="2" t="n">
        <v>0.645233517804126</v>
      </c>
    </row>
    <row r="308" customFormat="false" ht="13.8" hidden="false" customHeight="false" outlineLevel="0" collapsed="false">
      <c r="B308" s="2" t="n">
        <v>306</v>
      </c>
      <c r="C308" s="2" t="n">
        <v>0.157181168715209</v>
      </c>
      <c r="D308" s="2" t="n">
        <v>0.424771581476844</v>
      </c>
      <c r="E308" s="2" t="n">
        <v>0.498467565468948</v>
      </c>
    </row>
    <row r="309" customFormat="false" ht="13.8" hidden="false" customHeight="false" outlineLevel="0" collapsed="false">
      <c r="B309" s="2" t="n">
        <v>307</v>
      </c>
      <c r="C309" s="2" t="n">
        <v>0.107864560034383</v>
      </c>
      <c r="D309" s="2" t="n">
        <v>0.40111894487214</v>
      </c>
      <c r="E309" s="2" t="n">
        <v>0.466795914126626</v>
      </c>
    </row>
    <row r="310" customFormat="false" ht="13.8" hidden="false" customHeight="false" outlineLevel="0" collapsed="false">
      <c r="B310" s="2" t="n">
        <v>308</v>
      </c>
      <c r="C310" s="2" t="n">
        <v>0.0656412591665608</v>
      </c>
      <c r="D310" s="2" t="n">
        <v>0.326707378127136</v>
      </c>
      <c r="E310" s="2" t="n">
        <v>0.370791172093411</v>
      </c>
    </row>
    <row r="311" customFormat="false" ht="13.8" hidden="false" customHeight="false" outlineLevel="0" collapsed="false">
      <c r="B311" s="2" t="n">
        <v>309</v>
      </c>
      <c r="C311" s="2" t="n">
        <v>0.0145108620132284</v>
      </c>
      <c r="D311" s="2" t="n">
        <v>0.30146329623854</v>
      </c>
      <c r="E311" s="2" t="n">
        <v>0.342194575292801</v>
      </c>
    </row>
    <row r="312" customFormat="false" ht="13.8" hidden="false" customHeight="false" outlineLevel="0" collapsed="false">
      <c r="B312" s="2" t="n">
        <v>310</v>
      </c>
      <c r="C312" s="2" t="n">
        <v>0.00268663152769164</v>
      </c>
      <c r="D312" s="2" t="n">
        <v>0.237268338015862</v>
      </c>
      <c r="E312" s="2" t="n">
        <v>0.243341225723429</v>
      </c>
    </row>
    <row r="313" customFormat="false" ht="13.8" hidden="false" customHeight="false" outlineLevel="0" collapsed="false">
      <c r="B313" s="2" t="n">
        <v>311</v>
      </c>
      <c r="C313" s="2" t="n">
        <v>0.00268660457742507</v>
      </c>
      <c r="D313" s="2" t="n">
        <v>0.186197189264161</v>
      </c>
      <c r="E313" s="2" t="n">
        <v>0.1916211921101</v>
      </c>
    </row>
    <row r="314" customFormat="false" ht="13.8" hidden="false" customHeight="false" outlineLevel="0" collapsed="false">
      <c r="B314" s="2" t="n">
        <v>312</v>
      </c>
      <c r="C314" s="2" t="n">
        <v>0.00268657771137909</v>
      </c>
      <c r="D314" s="2" t="n">
        <v>0.120972163189787</v>
      </c>
      <c r="E314" s="2" t="n">
        <v>0.074283662633608</v>
      </c>
    </row>
    <row r="315" customFormat="false" ht="13.8" hidden="false" customHeight="false" outlineLevel="0" collapsed="false">
      <c r="B315" s="2" t="n">
        <v>313</v>
      </c>
      <c r="C315" s="2" t="n">
        <v>0.00268655140670868</v>
      </c>
      <c r="D315" s="2" t="n">
        <v>0.110759697627809</v>
      </c>
      <c r="E315" s="2" t="n">
        <v>0.0194773496025744</v>
      </c>
    </row>
    <row r="316" customFormat="false" ht="13.8" hidden="false" customHeight="false" outlineLevel="0" collapsed="false">
      <c r="B316" s="2" t="n">
        <v>314</v>
      </c>
      <c r="C316" s="2" t="n">
        <v>9.30811361123371E-009</v>
      </c>
      <c r="D316" s="2" t="n">
        <v>0.0519057430034508</v>
      </c>
      <c r="E316" s="2" t="n">
        <v>7.67667596530139E-009</v>
      </c>
    </row>
    <row r="317" customFormat="false" ht="13.8" hidden="false" customHeight="false" outlineLevel="0" collapsed="false">
      <c r="B317" s="2" t="n">
        <v>315</v>
      </c>
      <c r="C317" s="2" t="n">
        <v>5.61106911080988E-010</v>
      </c>
      <c r="D317" s="2" t="n">
        <v>3.6408524800002E-020</v>
      </c>
      <c r="E317" s="2" t="n">
        <v>5.78107260441221E-010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5.24689022452582E-010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1.74079660591201E-009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4.19749233904132E-010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0.0152189079535711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0.0152187557644915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0.0407323760947341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0.00144169054562409</v>
      </c>
      <c r="D325" s="2" t="n">
        <v>0.0627612470881128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0.0113294183748568</v>
      </c>
      <c r="D326" s="2" t="n">
        <v>0.112040684536191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0.0487880990273252</v>
      </c>
      <c r="D327" s="2" t="n">
        <v>0.146120790933304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0.0487876110613319</v>
      </c>
      <c r="D328" s="2" t="n">
        <v>0.207580316277418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0.0487871233552273</v>
      </c>
      <c r="D329" s="2" t="n">
        <v>0.262609001774342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0.0570766595007402</v>
      </c>
      <c r="D330" s="2" t="n">
        <v>0.345151791732476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0.0570760887341452</v>
      </c>
      <c r="D331" s="2" t="n">
        <v>0.418023756010775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0.0746769798159688</v>
      </c>
      <c r="D332" s="2" t="n">
        <v>0.512356445390691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0.0746762331311733</v>
      </c>
      <c r="D333" s="2" t="n">
        <v>0.590184450264974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0.0951464602992457</v>
      </c>
      <c r="D334" s="2" t="n">
        <v>0.673888055680468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0.0951455089196454</v>
      </c>
      <c r="D335" s="2" t="n">
        <v>0.781151767881169</v>
      </c>
      <c r="E335" s="2" t="n">
        <v>0.780614800500035</v>
      </c>
    </row>
    <row r="336" customFormat="false" ht="13.8" hidden="false" customHeight="false" outlineLevel="0" collapsed="false">
      <c r="B336" s="2" t="n">
        <v>334</v>
      </c>
      <c r="C336" s="2" t="n">
        <v>0.113952563356969</v>
      </c>
      <c r="D336" s="2" t="n">
        <v>0.886514610838962</v>
      </c>
      <c r="E336" s="2" t="n">
        <v>0.780606994437033</v>
      </c>
    </row>
    <row r="337" customFormat="false" ht="13.8" hidden="false" customHeight="false" outlineLevel="0" collapsed="false">
      <c r="B337" s="2" t="n">
        <v>335</v>
      </c>
      <c r="C337" s="2" t="n">
        <v>0.113951423831336</v>
      </c>
      <c r="D337" s="2" t="n">
        <v>1.00431631856254</v>
      </c>
      <c r="E337" s="2" t="n">
        <v>1.5650859541597</v>
      </c>
    </row>
    <row r="338" customFormat="false" ht="13.8" hidden="false" customHeight="false" outlineLevel="0" collapsed="false">
      <c r="B338" s="2" t="n">
        <v>336</v>
      </c>
      <c r="C338" s="2" t="n">
        <v>0.125542631960833</v>
      </c>
      <c r="D338" s="2" t="n">
        <v>1.06630675166326</v>
      </c>
      <c r="E338" s="2" t="n">
        <v>2.30479830678156</v>
      </c>
    </row>
    <row r="339" customFormat="false" ht="13.8" hidden="false" customHeight="false" outlineLevel="0" collapsed="false">
      <c r="B339" s="2" t="n">
        <v>337</v>
      </c>
      <c r="C339" s="2" t="n">
        <v>0.17657603003266</v>
      </c>
      <c r="D339" s="2" t="n">
        <v>1.17475736825386</v>
      </c>
      <c r="E339" s="2" t="n">
        <v>3.10132403492618</v>
      </c>
    </row>
    <row r="340" customFormat="false" ht="13.8" hidden="false" customHeight="false" outlineLevel="0" collapsed="false">
      <c r="B340" s="2" t="n">
        <v>338</v>
      </c>
      <c r="C340" s="2" t="n">
        <v>0.184607930260947</v>
      </c>
      <c r="D340" s="2" t="n">
        <v>1.21688393659967</v>
      </c>
      <c r="E340" s="2" t="n">
        <v>3.87860142181841</v>
      </c>
    </row>
    <row r="341" customFormat="false" ht="13.8" hidden="false" customHeight="false" outlineLevel="0" collapsed="false">
      <c r="B341" s="2" t="n">
        <v>339</v>
      </c>
      <c r="C341" s="2" t="n">
        <v>0.184606084181645</v>
      </c>
      <c r="D341" s="2" t="n">
        <v>1.32474656494118</v>
      </c>
      <c r="E341" s="2" t="n">
        <v>4.65628139494168</v>
      </c>
    </row>
    <row r="342" customFormat="false" ht="13.8" hidden="false" customHeight="false" outlineLevel="0" collapsed="false">
      <c r="B342" s="2" t="n">
        <v>340</v>
      </c>
      <c r="C342" s="2" t="n">
        <v>0.184604238120803</v>
      </c>
      <c r="D342" s="2" t="n">
        <v>1.37867470091779</v>
      </c>
      <c r="E342" s="2" t="n">
        <v>5.35879275027011</v>
      </c>
    </row>
    <row r="343" customFormat="false" ht="13.8" hidden="false" customHeight="false" outlineLevel="0" collapsed="false">
      <c r="B343" s="2" t="n">
        <v>341</v>
      </c>
      <c r="C343" s="2" t="n">
        <v>0.184602392078422</v>
      </c>
      <c r="D343" s="2" t="n">
        <v>1.49115403387442</v>
      </c>
      <c r="E343" s="2" t="n">
        <v>6.11020177948988</v>
      </c>
    </row>
    <row r="344" customFormat="false" ht="13.8" hidden="false" customHeight="false" outlineLevel="0" collapsed="false">
      <c r="B344" s="2" t="n">
        <v>342</v>
      </c>
      <c r="C344" s="2" t="n">
        <v>0.184600546054501</v>
      </c>
      <c r="D344" s="2" t="n">
        <v>1.54802101892146</v>
      </c>
      <c r="E344" s="2" t="n">
        <v>6.76589601984291</v>
      </c>
    </row>
    <row r="345" customFormat="false" ht="13.8" hidden="false" customHeight="false" outlineLevel="0" collapsed="false">
      <c r="B345" s="2" t="n">
        <v>343</v>
      </c>
      <c r="C345" s="2" t="n">
        <v>0.18459870004904</v>
      </c>
      <c r="D345" s="2" t="n">
        <v>1.60264675218241</v>
      </c>
      <c r="E345" s="2" t="n">
        <v>6.76582836088272</v>
      </c>
    </row>
    <row r="346" customFormat="false" ht="13.8" hidden="false" customHeight="false" outlineLevel="0" collapsed="false">
      <c r="B346" s="2" t="n">
        <v>344</v>
      </c>
      <c r="C346" s="2" t="n">
        <v>0.184607930260947</v>
      </c>
      <c r="D346" s="2" t="n">
        <v>1.62828547606977</v>
      </c>
      <c r="E346" s="2" t="n">
        <v>7.24579215541702</v>
      </c>
    </row>
    <row r="347" customFormat="false" ht="13.8" hidden="false" customHeight="false" outlineLevel="0" collapsed="false">
      <c r="B347" s="2" t="n">
        <v>345</v>
      </c>
      <c r="C347" s="2" t="n">
        <v>0.184606084181645</v>
      </c>
      <c r="D347" s="2" t="n">
        <v>1.66134269045365</v>
      </c>
      <c r="E347" s="2" t="n">
        <v>7.65905320222684</v>
      </c>
    </row>
    <row r="348" customFormat="false" ht="13.8" hidden="false" customHeight="false" outlineLevel="0" collapsed="false">
      <c r="B348" s="2" t="n">
        <v>346</v>
      </c>
      <c r="C348" s="2" t="n">
        <v>0.184604238120803</v>
      </c>
      <c r="D348" s="2" t="n">
        <v>1.70387981969103</v>
      </c>
      <c r="E348" s="2" t="n">
        <v>7.99732772978077</v>
      </c>
    </row>
    <row r="349" customFormat="false" ht="13.8" hidden="false" customHeight="false" outlineLevel="0" collapsed="false">
      <c r="B349" s="2" t="n">
        <v>347</v>
      </c>
      <c r="C349" s="2" t="n">
        <v>0.184602392078422</v>
      </c>
      <c r="D349" s="2" t="n">
        <v>1.74037142398276</v>
      </c>
      <c r="E349" s="2" t="n">
        <v>8.36494685973213</v>
      </c>
    </row>
    <row r="350" customFormat="false" ht="13.8" hidden="false" customHeight="false" outlineLevel="0" collapsed="false">
      <c r="B350" s="2" t="n">
        <v>348</v>
      </c>
      <c r="C350" s="2" t="n">
        <v>0.184600546054501</v>
      </c>
      <c r="D350" s="2" t="n">
        <v>1.7489929687841</v>
      </c>
      <c r="E350" s="2" t="n">
        <v>8.64999240261333</v>
      </c>
    </row>
    <row r="351" customFormat="false" ht="13.8" hidden="false" customHeight="false" outlineLevel="0" collapsed="false">
      <c r="B351" s="2" t="n">
        <v>349</v>
      </c>
      <c r="C351" s="2" t="n">
        <v>0.18459870004904</v>
      </c>
      <c r="D351" s="2" t="n">
        <v>1.74897547885442</v>
      </c>
      <c r="E351" s="2" t="n">
        <v>8.64990590294431</v>
      </c>
    </row>
    <row r="352" customFormat="false" ht="13.8" hidden="false" customHeight="false" outlineLevel="0" collapsed="false">
      <c r="B352" s="2" t="n">
        <v>350</v>
      </c>
      <c r="C352" s="2" t="n">
        <v>0.18459685406204</v>
      </c>
      <c r="D352" s="2" t="n">
        <v>1.74895798909963</v>
      </c>
      <c r="E352" s="2" t="n">
        <v>8.83279638513356</v>
      </c>
    </row>
    <row r="353" customFormat="false" ht="13.8" hidden="false" customHeight="false" outlineLevel="0" collapsed="false">
      <c r="B353" s="2" t="n">
        <v>351</v>
      </c>
      <c r="C353" s="2" t="n">
        <v>0.184595008911879</v>
      </c>
      <c r="D353" s="2" t="n">
        <v>1.74894050000241</v>
      </c>
      <c r="E353" s="2" t="n">
        <v>8.9281994592541</v>
      </c>
    </row>
    <row r="354" customFormat="false" ht="13.8" hidden="false" customHeight="false" outlineLevel="0" collapsed="false">
      <c r="B354" s="2" t="n">
        <v>352</v>
      </c>
      <c r="C354" s="2" t="n">
        <v>0.18459316212243</v>
      </c>
      <c r="D354" s="2" t="n">
        <v>1.74892301009375</v>
      </c>
      <c r="E354" s="2" t="n">
        <v>8.89882716836197</v>
      </c>
    </row>
    <row r="355" customFormat="false" ht="13.8" hidden="false" customHeight="false" outlineLevel="0" collapsed="false">
      <c r="B355" s="2" t="n">
        <v>353</v>
      </c>
      <c r="C355" s="2" t="n">
        <v>0.184591316190809</v>
      </c>
      <c r="D355" s="2" t="n">
        <v>1.74890552086365</v>
      </c>
      <c r="E355" s="2" t="n">
        <v>8.81089254243796</v>
      </c>
    </row>
    <row r="356" customFormat="false" ht="13.8" hidden="false" customHeight="false" outlineLevel="0" collapsed="false">
      <c r="B356" s="2" t="n">
        <v>354</v>
      </c>
      <c r="C356" s="2" t="n">
        <v>0.184589470277647</v>
      </c>
      <c r="D356" s="2" t="n">
        <v>1.74888803180844</v>
      </c>
      <c r="E356" s="2" t="n">
        <v>8.69990607396447</v>
      </c>
    </row>
    <row r="357" customFormat="false" ht="13.8" hidden="false" customHeight="false" outlineLevel="0" collapsed="false">
      <c r="B357" s="2" t="n">
        <v>355</v>
      </c>
      <c r="C357" s="2" t="n">
        <v>0.184587624382944</v>
      </c>
      <c r="D357" s="2" t="n">
        <v>1.74887054292813</v>
      </c>
      <c r="E357" s="2" t="n">
        <v>8.57272056753402</v>
      </c>
    </row>
    <row r="358" customFormat="false" ht="13.8" hidden="false" customHeight="false" outlineLevel="0" collapsed="false">
      <c r="B358" s="2" t="n">
        <v>356</v>
      </c>
      <c r="C358" s="2" t="n">
        <v>0.1845857785067</v>
      </c>
      <c r="D358" s="2" t="n">
        <v>1.7488530542227</v>
      </c>
      <c r="E358" s="2" t="n">
        <v>8.42165083328513</v>
      </c>
    </row>
    <row r="359" customFormat="false" ht="13.8" hidden="false" customHeight="false" outlineLevel="0" collapsed="false">
      <c r="B359" s="2" t="n">
        <v>357</v>
      </c>
      <c r="C359" s="2" t="n">
        <v>0.184583932648914</v>
      </c>
      <c r="D359" s="2" t="n">
        <v>1.74883556569215</v>
      </c>
      <c r="E359" s="2" t="n">
        <v>8.25812266561563</v>
      </c>
    </row>
    <row r="360" customFormat="false" ht="13.8" hidden="false" customHeight="false" outlineLevel="0" collapsed="false">
      <c r="B360" s="2" t="n">
        <v>358</v>
      </c>
      <c r="C360" s="2" t="n">
        <v>0.184582086809588</v>
      </c>
      <c r="D360" s="2" t="n">
        <v>1.7488180773365</v>
      </c>
      <c r="E360" s="2" t="n">
        <v>8.07808611638847</v>
      </c>
    </row>
    <row r="361" customFormat="false" ht="13.8" hidden="false" customHeight="false" outlineLevel="0" collapsed="false">
      <c r="B361" s="2" t="n">
        <v>359</v>
      </c>
      <c r="C361" s="2" t="n">
        <v>0.184580240988719</v>
      </c>
      <c r="D361" s="2" t="n">
        <v>1.74880058915572</v>
      </c>
      <c r="E361" s="2" t="n">
        <v>7.90363460994672</v>
      </c>
    </row>
    <row r="362" customFormat="false" ht="13.8" hidden="false" customHeight="false" outlineLevel="0" collapsed="false">
      <c r="B362" s="2" t="n">
        <v>360</v>
      </c>
      <c r="C362" s="2" t="n">
        <v>0.184578395186309</v>
      </c>
      <c r="D362" s="2" t="n">
        <v>1.74878310114983</v>
      </c>
      <c r="E362" s="2" t="n">
        <v>7.66845346081033</v>
      </c>
    </row>
    <row r="363" customFormat="false" ht="13.8" hidden="false" customHeight="false" outlineLevel="0" collapsed="false">
      <c r="B363" s="2" t="n">
        <v>361</v>
      </c>
      <c r="C363" s="2" t="n">
        <v>0.184576549402357</v>
      </c>
      <c r="D363" s="2" t="n">
        <v>1.74876561331882</v>
      </c>
      <c r="E363" s="2" t="n">
        <v>7.48020853553499</v>
      </c>
    </row>
    <row r="364" customFormat="false" ht="13.8" hidden="false" customHeight="false" outlineLevel="0" collapsed="false">
      <c r="B364" s="2" t="n">
        <v>362</v>
      </c>
      <c r="C364" s="2" t="n">
        <v>0.184574703636863</v>
      </c>
      <c r="D364" s="2" t="n">
        <v>1.74874812566269</v>
      </c>
      <c r="E364" s="2" t="n">
        <v>7.25929699270889</v>
      </c>
    </row>
    <row r="365" customFormat="false" ht="13.8" hidden="false" customHeight="false" outlineLevel="0" collapsed="false">
      <c r="B365" s="2" t="n">
        <v>363</v>
      </c>
      <c r="C365" s="2" t="n">
        <v>0.184572857889826</v>
      </c>
      <c r="D365" s="2" t="n">
        <v>1.74873063818143</v>
      </c>
      <c r="E365" s="2" t="n">
        <v>7.03233060344267</v>
      </c>
    </row>
    <row r="366" customFormat="false" ht="13.8" hidden="false" customHeight="false" outlineLevel="0" collapsed="false">
      <c r="B366" s="2" t="n">
        <v>364</v>
      </c>
      <c r="C366" s="2" t="n">
        <v>0.184571012161247</v>
      </c>
      <c r="D366" s="2" t="n">
        <v>1.74871315087505</v>
      </c>
      <c r="E366" s="2" t="n">
        <v>6.74384528013663</v>
      </c>
    </row>
    <row r="367" customFormat="false" ht="13.8" hidden="false" customHeight="false" outlineLevel="0" collapsed="false">
      <c r="B367" s="2" t="n">
        <v>365</v>
      </c>
      <c r="C367" s="2" t="n">
        <v>0.184569166451125</v>
      </c>
      <c r="D367" s="2" t="n">
        <v>1.74869566374354</v>
      </c>
      <c r="E367" s="2" t="n">
        <v>6.46821252686902</v>
      </c>
    </row>
    <row r="368" customFormat="false" ht="13.8" hidden="false" customHeight="false" outlineLevel="0" collapsed="false">
      <c r="B368" s="2" t="n">
        <v>366</v>
      </c>
      <c r="C368" s="2" t="n">
        <v>0.184567320759461</v>
      </c>
      <c r="D368" s="2" t="n">
        <v>1.7486781767869</v>
      </c>
      <c r="E368" s="2" t="n">
        <v>6.19959760400301</v>
      </c>
    </row>
    <row r="369" customFormat="false" ht="13.8" hidden="false" customHeight="false" outlineLevel="0" collapsed="false">
      <c r="B369" s="2" t="n">
        <v>367</v>
      </c>
      <c r="C369" s="2" t="n">
        <v>0.184565475086253</v>
      </c>
      <c r="D369" s="2" t="n">
        <v>1.74866069000513</v>
      </c>
      <c r="E369" s="2" t="n">
        <v>6.02926283024919</v>
      </c>
    </row>
    <row r="370" customFormat="false" ht="13.8" hidden="false" customHeight="false" outlineLevel="0" collapsed="false">
      <c r="B370" s="2" t="n">
        <v>368</v>
      </c>
      <c r="C370" s="2" t="n">
        <v>0.184563629431502</v>
      </c>
      <c r="D370" s="2" t="n">
        <v>1.74864320339823</v>
      </c>
      <c r="E370" s="2" t="n">
        <v>5.73133733391718</v>
      </c>
    </row>
    <row r="371" customFormat="false" ht="13.8" hidden="false" customHeight="false" outlineLevel="0" collapsed="false">
      <c r="B371" s="2" t="n">
        <v>369</v>
      </c>
      <c r="C371" s="2" t="n">
        <v>0.184561783795207</v>
      </c>
      <c r="D371" s="2" t="n">
        <v>1.7486257169662</v>
      </c>
      <c r="E371" s="2" t="n">
        <v>5.47402690943274</v>
      </c>
    </row>
    <row r="372" customFormat="false" ht="13.8" hidden="false" customHeight="false" outlineLevel="0" collapsed="false">
      <c r="B372" s="2" t="n">
        <v>370</v>
      </c>
      <c r="C372" s="2" t="n">
        <v>0.184559938177369</v>
      </c>
      <c r="D372" s="2" t="n">
        <v>1.74860823070903</v>
      </c>
      <c r="E372" s="2" t="n">
        <v>5.14440511360809</v>
      </c>
    </row>
    <row r="373" customFormat="false" ht="13.8" hidden="false" customHeight="false" outlineLevel="0" collapsed="false">
      <c r="B373" s="2" t="n">
        <v>371</v>
      </c>
      <c r="C373" s="2" t="n">
        <v>0.184558092577987</v>
      </c>
      <c r="D373" s="2" t="n">
        <v>1.74859074462672</v>
      </c>
      <c r="E373" s="2" t="n">
        <v>4.85369355844584</v>
      </c>
    </row>
    <row r="374" customFormat="false" ht="13.8" hidden="false" customHeight="false" outlineLevel="0" collapsed="false">
      <c r="B374" s="2" t="n">
        <v>372</v>
      </c>
      <c r="C374" s="2" t="n">
        <v>0.184556246997061</v>
      </c>
      <c r="D374" s="2" t="n">
        <v>1.74857325871928</v>
      </c>
      <c r="E374" s="2" t="n">
        <v>4.50603861410285</v>
      </c>
    </row>
    <row r="375" customFormat="false" ht="13.8" hidden="false" customHeight="false" outlineLevel="0" collapsed="false">
      <c r="B375" s="2" t="n">
        <v>373</v>
      </c>
      <c r="C375" s="2" t="n">
        <v>0.184554401434591</v>
      </c>
      <c r="D375" s="2" t="n">
        <v>1.74855577298669</v>
      </c>
      <c r="E375" s="2" t="n">
        <v>4.21525788705004</v>
      </c>
    </row>
    <row r="376" customFormat="false" ht="13.8" hidden="false" customHeight="false" outlineLevel="0" collapsed="false">
      <c r="B376" s="2" t="n">
        <v>374</v>
      </c>
      <c r="C376" s="2" t="n">
        <v>0.184552555890577</v>
      </c>
      <c r="D376" s="2" t="n">
        <v>1.74853828742896</v>
      </c>
      <c r="E376" s="2" t="n">
        <v>3.90672064187858</v>
      </c>
    </row>
    <row r="377" customFormat="false" ht="13.8" hidden="false" customHeight="false" outlineLevel="0" collapsed="false">
      <c r="B377" s="2" t="n">
        <v>375</v>
      </c>
      <c r="C377" s="2" t="n">
        <v>0.184550710050218</v>
      </c>
      <c r="D377" s="2" t="n">
        <v>1.65675818690078</v>
      </c>
      <c r="E377" s="2" t="n">
        <v>3.6845618379866</v>
      </c>
    </row>
    <row r="378" customFormat="false" ht="13.8" hidden="false" customHeight="false" outlineLevel="0" collapsed="false">
      <c r="B378" s="2" t="n">
        <v>376</v>
      </c>
      <c r="C378" s="2" t="n">
        <v>0.109470216730754</v>
      </c>
      <c r="D378" s="2" t="n">
        <v>1.65674161931891</v>
      </c>
      <c r="E378" s="2" t="n">
        <v>3.48134969607192</v>
      </c>
    </row>
    <row r="379" customFormat="false" ht="13.8" hidden="false" customHeight="false" outlineLevel="0" collapsed="false">
      <c r="B379" s="2" t="n">
        <v>377</v>
      </c>
      <c r="C379" s="2" t="n">
        <v>0.0577233812878457</v>
      </c>
      <c r="D379" s="2" t="n">
        <v>1.5824790333842</v>
      </c>
      <c r="E379" s="2" t="n">
        <v>3.35857045664903</v>
      </c>
    </row>
    <row r="380" customFormat="false" ht="13.8" hidden="false" customHeight="false" outlineLevel="0" collapsed="false">
      <c r="B380" s="2" t="n">
        <v>378</v>
      </c>
      <c r="C380" s="2" t="n">
        <v>0.00899604504661672</v>
      </c>
      <c r="D380" s="2" t="n">
        <v>1.52419915303831</v>
      </c>
      <c r="E380" s="2" t="n">
        <v>3.23644018575928</v>
      </c>
    </row>
    <row r="381" customFormat="false" ht="13.8" hidden="false" customHeight="false" outlineLevel="0" collapsed="false">
      <c r="B381" s="2" t="n">
        <v>379</v>
      </c>
      <c r="C381" s="2" t="n">
        <v>0.0089959548133373</v>
      </c>
      <c r="D381" s="2" t="n">
        <v>1.42945709623197</v>
      </c>
      <c r="E381" s="2" t="n">
        <v>3.03934437691298</v>
      </c>
    </row>
    <row r="382" customFormat="false" ht="13.8" hidden="false" customHeight="false" outlineLevel="0" collapsed="false">
      <c r="B382" s="2" t="n">
        <v>380</v>
      </c>
      <c r="C382" s="2" t="n">
        <v>0.00899586485378895</v>
      </c>
      <c r="D382" s="2" t="n">
        <v>1.37729017203137</v>
      </c>
      <c r="E382" s="2" t="n">
        <v>2.87102879828403</v>
      </c>
    </row>
    <row r="383" customFormat="false" ht="13.8" hidden="false" customHeight="false" outlineLevel="0" collapsed="false">
      <c r="B383" s="2" t="n">
        <v>381</v>
      </c>
      <c r="C383" s="2" t="n">
        <v>0.00899577489514021</v>
      </c>
      <c r="D383" s="2" t="n">
        <v>1.31712449172225</v>
      </c>
      <c r="E383" s="2" t="n">
        <v>2.72547423614419</v>
      </c>
    </row>
    <row r="384" customFormat="false" ht="13.8" hidden="false" customHeight="false" outlineLevel="0" collapsed="false">
      <c r="B384" s="2" t="n">
        <v>382</v>
      </c>
      <c r="C384" s="2" t="n">
        <v>0.00899568493739105</v>
      </c>
      <c r="D384" s="2" t="n">
        <v>1.26366320936622</v>
      </c>
      <c r="E384" s="2" t="n">
        <v>2.54719857399442</v>
      </c>
    </row>
    <row r="385" customFormat="false" ht="13.8" hidden="false" customHeight="false" outlineLevel="0" collapsed="false">
      <c r="B385" s="2" t="n">
        <v>383</v>
      </c>
      <c r="C385" s="2" t="n">
        <v>0.00899559498054146</v>
      </c>
      <c r="D385" s="2" t="n">
        <v>1.20922162828968</v>
      </c>
      <c r="E385" s="2" t="n">
        <v>2.47114908349016</v>
      </c>
    </row>
    <row r="386" customFormat="false" ht="13.8" hidden="false" customHeight="false" outlineLevel="0" collapsed="false">
      <c r="B386" s="2" t="n">
        <v>384</v>
      </c>
      <c r="C386" s="2" t="n">
        <v>0.00899550502459145</v>
      </c>
      <c r="D386" s="2" t="n">
        <v>1.18422499903636</v>
      </c>
      <c r="E386" s="2" t="n">
        <v>2.35300683496229</v>
      </c>
    </row>
    <row r="387" customFormat="false" ht="13.8" hidden="false" customHeight="false" outlineLevel="0" collapsed="false">
      <c r="B387" s="2" t="n">
        <v>385</v>
      </c>
      <c r="C387" s="2" t="n">
        <v>0.00899541506954099</v>
      </c>
      <c r="D387" s="2" t="n">
        <v>1.16211737900859</v>
      </c>
      <c r="E387" s="2" t="n">
        <v>2.20351461970876</v>
      </c>
    </row>
    <row r="388" customFormat="false" ht="13.8" hidden="false" customHeight="false" outlineLevel="0" collapsed="false">
      <c r="B388" s="2" t="n">
        <v>386</v>
      </c>
      <c r="C388" s="2" t="n">
        <v>0.00899532511539009</v>
      </c>
      <c r="D388" s="2" t="n">
        <v>1.10225207264962</v>
      </c>
      <c r="E388" s="2" t="n">
        <v>2.16607938085886</v>
      </c>
    </row>
    <row r="389" customFormat="false" ht="13.8" hidden="false" customHeight="false" outlineLevel="0" collapsed="false">
      <c r="B389" s="2" t="n">
        <v>387</v>
      </c>
      <c r="C389" s="2" t="n">
        <v>0.00899523516213872</v>
      </c>
      <c r="D389" s="2" t="n">
        <v>1.03729519827704</v>
      </c>
      <c r="E389" s="2" t="n">
        <v>1.9797205719169</v>
      </c>
    </row>
    <row r="390" customFormat="false" ht="13.8" hidden="false" customHeight="false" outlineLevel="0" collapsed="false">
      <c r="B390" s="2" t="n">
        <v>388</v>
      </c>
      <c r="C390" s="2" t="n">
        <v>0.00899514520978689</v>
      </c>
      <c r="D390" s="2" t="n">
        <v>0.997191232732464</v>
      </c>
      <c r="E390" s="2" t="n">
        <v>1.94456875619266</v>
      </c>
    </row>
    <row r="391" customFormat="false" ht="13.8" hidden="false" customHeight="false" outlineLevel="0" collapsed="false">
      <c r="B391" s="2" t="n">
        <v>389</v>
      </c>
      <c r="C391" s="2" t="n">
        <v>0.00899505525833459</v>
      </c>
      <c r="D391" s="2" t="n">
        <v>0.938532427486803</v>
      </c>
      <c r="E391" s="2" t="n">
        <v>1.78127058828288</v>
      </c>
    </row>
    <row r="392" customFormat="false" ht="13.8" hidden="false" customHeight="false" outlineLevel="0" collapsed="false">
      <c r="B392" s="2" t="n">
        <v>390</v>
      </c>
      <c r="C392" s="2" t="n">
        <v>0.00899496530778179</v>
      </c>
      <c r="D392" s="2" t="n">
        <v>0.904207856977343</v>
      </c>
      <c r="E392" s="2" t="n">
        <v>1.72925251631774</v>
      </c>
    </row>
    <row r="393" customFormat="false" ht="13.8" hidden="false" customHeight="false" outlineLevel="0" collapsed="false">
      <c r="B393" s="2" t="n">
        <v>391</v>
      </c>
      <c r="C393" s="2" t="n">
        <v>3.14799247620574E-010</v>
      </c>
      <c r="D393" s="2" t="n">
        <v>0.854883592676551</v>
      </c>
      <c r="E393" s="2" t="n">
        <v>1.66080358065317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0.80355996976655</v>
      </c>
      <c r="E394" s="2" t="n">
        <v>1.55189717632107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0.786588674907593</v>
      </c>
      <c r="E395" s="2" t="n">
        <v>1.46960332401597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0.712043623835659</v>
      </c>
      <c r="E396" s="2" t="n">
        <v>1.38027336872347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0.642888133029051</v>
      </c>
      <c r="E397" s="2" t="n">
        <v>1.30075915858238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0.625344593036609</v>
      </c>
      <c r="E398" s="2" t="n">
        <v>1.21791174358339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0.540171413664753</v>
      </c>
      <c r="E399" s="2" t="n">
        <v>1.10054708298447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0.526165956395061</v>
      </c>
      <c r="E400" s="2" t="n">
        <v>1.03722109603216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0.442141935476238</v>
      </c>
      <c r="E401" s="2" t="n">
        <v>0.921913890487865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0.396507495538364</v>
      </c>
      <c r="E402" s="2" t="n">
        <v>0.859959356534145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0.377262623056002</v>
      </c>
      <c r="E403" s="2" t="n">
        <v>0.774320590273913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0.307481017096438</v>
      </c>
      <c r="E404" s="2" t="n">
        <v>0.696090439660603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0.249385164508489</v>
      </c>
      <c r="E405" s="2" t="n">
        <v>0.554879108385836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0.239586207693881</v>
      </c>
      <c r="E406" s="2" t="n">
        <v>0.490484189224382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0.224657700720693</v>
      </c>
      <c r="E407" s="2" t="n">
        <v>0.380534302901008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0.150233786864708</v>
      </c>
      <c r="E408" s="2" t="n">
        <v>0.323566476878852</v>
      </c>
    </row>
    <row r="409" customFormat="false" ht="13.8" hidden="false" customHeight="false" outlineLevel="0" collapsed="false">
      <c r="B409" s="2" t="n">
        <v>407</v>
      </c>
      <c r="C409" s="2" t="n">
        <v>2.09880855967964E-011</v>
      </c>
      <c r="D409" s="2" t="n">
        <v>0.112740931450364</v>
      </c>
      <c r="E409" s="2" t="n">
        <v>0.158821477633607</v>
      </c>
    </row>
    <row r="410" customFormat="false" ht="13.8" hidden="false" customHeight="false" outlineLevel="0" collapsed="false">
      <c r="B410" s="2" t="n">
        <v>408</v>
      </c>
      <c r="C410" s="2" t="n">
        <v>2.78562373032922E-009</v>
      </c>
      <c r="D410" s="2" t="n">
        <v>0.0578271355374488</v>
      </c>
      <c r="E410" s="2" t="n">
        <v>0.124466494660229</v>
      </c>
    </row>
    <row r="411" customFormat="false" ht="13.8" hidden="false" customHeight="false" outlineLevel="0" collapsed="false">
      <c r="B411" s="2" t="n">
        <v>409</v>
      </c>
      <c r="C411" s="2" t="n">
        <v>9.59022561395935E-009</v>
      </c>
      <c r="D411" s="2" t="n">
        <v>0.00689986963166245</v>
      </c>
      <c r="E411" s="2" t="n">
        <v>8.12824514630793E-009</v>
      </c>
    </row>
    <row r="412" customFormat="false" ht="13.8" hidden="false" customHeight="false" outlineLevel="0" collapsed="false">
      <c r="B412" s="2" t="n">
        <v>410</v>
      </c>
      <c r="C412" s="2" t="n">
        <v>2.89056520773141E-009</v>
      </c>
      <c r="D412" s="2" t="n">
        <v>0.00689980063296614</v>
      </c>
      <c r="E412" s="2" t="n">
        <v>0.00331595443796677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2.04797952000001E-021</v>
      </c>
    </row>
    <row r="415" customFormat="false" ht="13.8" hidden="false" customHeight="false" outlineLevel="0" collapsed="false">
      <c r="B415" s="2" t="n">
        <v>413</v>
      </c>
      <c r="C415" s="2" t="n">
        <v>5.24689022452582E-010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1.7407966058392E-009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5.24689022452582E-010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0.0171661296977542</v>
      </c>
      <c r="D418" s="2" t="n">
        <v>3.27673446432769E-020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0.0171659580364572</v>
      </c>
      <c r="D419" s="2" t="n">
        <v>8.88129435025061E-019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0.0287641986223157</v>
      </c>
      <c r="D420" s="2" t="n">
        <v>0.0553612458309672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0.0287639110653321</v>
      </c>
      <c r="D421" s="2" t="n">
        <v>0.0637421820428242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0.0287636233837201</v>
      </c>
      <c r="D422" s="2" t="n">
        <v>0.132423158438667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0.0832610112134835</v>
      </c>
      <c r="D423" s="2" t="n">
        <v>0.156688707018095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0.0881319393042694</v>
      </c>
      <c r="D424" s="2" t="n">
        <v>0.240709876680159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0.0881310579848764</v>
      </c>
      <c r="D425" s="2" t="n">
        <v>0.277071144868651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0.0979098978449963</v>
      </c>
      <c r="D426" s="2" t="n">
        <v>0.346053018182584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0.119970027454821</v>
      </c>
      <c r="D427" s="2" t="n">
        <v>0.425860035415906</v>
      </c>
      <c r="E427" s="2" t="n">
        <v>0.705839832226936</v>
      </c>
    </row>
    <row r="428" customFormat="false" ht="13.8" hidden="false" customHeight="false" outlineLevel="0" collapsed="false">
      <c r="B428" s="2" t="n">
        <v>426</v>
      </c>
      <c r="C428" s="2" t="n">
        <v>0.184607930260947</v>
      </c>
      <c r="D428" s="2" t="n">
        <v>0.535260579409627</v>
      </c>
      <c r="E428" s="2" t="n">
        <v>1.44211532880908</v>
      </c>
    </row>
    <row r="429" customFormat="false" ht="13.8" hidden="false" customHeight="false" outlineLevel="0" collapsed="false">
      <c r="B429" s="2" t="n">
        <v>427</v>
      </c>
      <c r="C429" s="2" t="n">
        <v>0.184606084181645</v>
      </c>
      <c r="D429" s="2" t="n">
        <v>0.636004249228479</v>
      </c>
      <c r="E429" s="2" t="n">
        <v>2.16399082538978</v>
      </c>
    </row>
    <row r="430" customFormat="false" ht="13.8" hidden="false" customHeight="false" outlineLevel="0" collapsed="false">
      <c r="B430" s="2" t="n">
        <v>428</v>
      </c>
      <c r="C430" s="2" t="n">
        <v>0.184604238120803</v>
      </c>
      <c r="D430" s="2" t="n">
        <v>0.738590756441202</v>
      </c>
      <c r="E430" s="2" t="n">
        <v>2.92917149596904</v>
      </c>
    </row>
    <row r="431" customFormat="false" ht="13.8" hidden="false" customHeight="false" outlineLevel="0" collapsed="false">
      <c r="B431" s="2" t="n">
        <v>429</v>
      </c>
      <c r="C431" s="2" t="n">
        <v>0.184607930260947</v>
      </c>
      <c r="D431" s="2" t="n">
        <v>0.813395112619424</v>
      </c>
      <c r="E431" s="2" t="n">
        <v>3.69486292749512</v>
      </c>
    </row>
    <row r="432" customFormat="false" ht="13.8" hidden="false" customHeight="false" outlineLevel="0" collapsed="false">
      <c r="B432" s="2" t="n">
        <v>430</v>
      </c>
      <c r="C432" s="2" t="n">
        <v>0.184607930260947</v>
      </c>
      <c r="D432" s="2" t="n">
        <v>0.913687434677109</v>
      </c>
      <c r="E432" s="2" t="n">
        <v>4.44675264196197</v>
      </c>
    </row>
    <row r="433" customFormat="false" ht="13.8" hidden="false" customHeight="false" outlineLevel="0" collapsed="false">
      <c r="B433" s="2" t="n">
        <v>431</v>
      </c>
      <c r="C433" s="2" t="n">
        <v>0.184606084181645</v>
      </c>
      <c r="D433" s="2" t="n">
        <v>0.988467497734598</v>
      </c>
      <c r="E433" s="2" t="n">
        <v>4.44670817452056</v>
      </c>
    </row>
    <row r="434" customFormat="false" ht="13.8" hidden="false" customHeight="false" outlineLevel="0" collapsed="false">
      <c r="B434" s="2" t="n">
        <v>432</v>
      </c>
      <c r="C434" s="2" t="n">
        <v>0.184604238120803</v>
      </c>
      <c r="D434" s="2" t="n">
        <v>1.09773542191448</v>
      </c>
      <c r="E434" s="2" t="n">
        <v>5.25420755033011</v>
      </c>
    </row>
    <row r="435" customFormat="false" ht="13.8" hidden="false" customHeight="false" outlineLevel="0" collapsed="false">
      <c r="B435" s="2" t="n">
        <v>433</v>
      </c>
      <c r="C435" s="2" t="n">
        <v>0.184602392078422</v>
      </c>
      <c r="D435" s="2" t="n">
        <v>1.18749092233815</v>
      </c>
      <c r="E435" s="2" t="n">
        <v>6.09055004608599</v>
      </c>
    </row>
    <row r="436" customFormat="false" ht="13.8" hidden="false" customHeight="false" outlineLevel="0" collapsed="false">
      <c r="B436" s="2" t="n">
        <v>434</v>
      </c>
      <c r="C436" s="2" t="n">
        <v>0.184600546054501</v>
      </c>
      <c r="D436" s="2" t="n">
        <v>1.30573395595675</v>
      </c>
      <c r="E436" s="2" t="n">
        <v>6.91447906077218</v>
      </c>
    </row>
    <row r="437" customFormat="false" ht="13.8" hidden="false" customHeight="false" outlineLevel="0" collapsed="false">
      <c r="B437" s="2" t="n">
        <v>435</v>
      </c>
      <c r="C437" s="2" t="n">
        <v>0.18459870004904</v>
      </c>
      <c r="D437" s="2" t="n">
        <v>1.35260036044219</v>
      </c>
      <c r="E437" s="2" t="n">
        <v>7.7458403635235</v>
      </c>
    </row>
    <row r="438" customFormat="false" ht="13.8" hidden="false" customHeight="false" outlineLevel="0" collapsed="false">
      <c r="B438" s="2" t="n">
        <v>436</v>
      </c>
      <c r="C438" s="2" t="n">
        <v>0.18459685406204</v>
      </c>
      <c r="D438" s="2" t="n">
        <v>1.46585396446628</v>
      </c>
      <c r="E438" s="2" t="n">
        <v>8.57407373001706</v>
      </c>
    </row>
    <row r="439" customFormat="false" ht="13.8" hidden="false" customHeight="false" outlineLevel="0" collapsed="false">
      <c r="B439" s="2" t="n">
        <v>437</v>
      </c>
      <c r="C439" s="2" t="n">
        <v>0.184595008093499</v>
      </c>
      <c r="D439" s="2" t="n">
        <v>1.54767012170426</v>
      </c>
      <c r="E439" s="2" t="n">
        <v>9.37816437153223</v>
      </c>
    </row>
    <row r="440" customFormat="false" ht="13.8" hidden="false" customHeight="false" outlineLevel="0" collapsed="false">
      <c r="B440" s="2" t="n">
        <v>438</v>
      </c>
      <c r="C440" s="2" t="n">
        <v>0.184593162143418</v>
      </c>
      <c r="D440" s="2" t="n">
        <v>1.63297971273182</v>
      </c>
      <c r="E440" s="2" t="n">
        <v>10.0408287309121</v>
      </c>
    </row>
    <row r="441" customFormat="false" ht="13.8" hidden="false" customHeight="false" outlineLevel="0" collapsed="false">
      <c r="B441" s="2" t="n">
        <v>439</v>
      </c>
      <c r="C441" s="2" t="n">
        <v>0.184591316211797</v>
      </c>
      <c r="D441" s="2" t="n">
        <v>1.69058282261461</v>
      </c>
      <c r="E441" s="2" t="n">
        <v>10.5333915509536</v>
      </c>
    </row>
    <row r="442" customFormat="false" ht="13.8" hidden="false" customHeight="false" outlineLevel="0" collapsed="false">
      <c r="B442" s="2" t="n">
        <v>440</v>
      </c>
      <c r="C442" s="2" t="n">
        <v>0.184589470298635</v>
      </c>
      <c r="D442" s="2" t="n">
        <v>1.70728011841745</v>
      </c>
      <c r="E442" s="2" t="n">
        <v>10.5332862170381</v>
      </c>
    </row>
    <row r="443" customFormat="false" ht="13.8" hidden="false" customHeight="false" outlineLevel="0" collapsed="false">
      <c r="B443" s="2" t="n">
        <v>441</v>
      </c>
      <c r="C443" s="2" t="n">
        <v>0.184587624403932</v>
      </c>
      <c r="D443" s="2" t="n">
        <v>1.70726304561627</v>
      </c>
      <c r="E443" s="2" t="n">
        <v>10.533180884176</v>
      </c>
    </row>
    <row r="444" customFormat="false" ht="13.8" hidden="false" customHeight="false" outlineLevel="0" collapsed="false">
      <c r="B444" s="2" t="n">
        <v>442</v>
      </c>
      <c r="C444" s="2" t="n">
        <v>0.184585778527688</v>
      </c>
      <c r="D444" s="2" t="n">
        <v>1.726200804323</v>
      </c>
      <c r="E444" s="2" t="n">
        <v>10.5330755525371</v>
      </c>
    </row>
    <row r="445" customFormat="false" ht="13.8" hidden="false" customHeight="false" outlineLevel="0" collapsed="false">
      <c r="B445" s="2" t="n">
        <v>443</v>
      </c>
      <c r="C445" s="2" t="n">
        <v>0.184583932669903</v>
      </c>
      <c r="D445" s="2" t="n">
        <v>1.73186991640713</v>
      </c>
      <c r="E445" s="2" t="n">
        <v>10.5329702216541</v>
      </c>
    </row>
    <row r="446" customFormat="false" ht="13.8" hidden="false" customHeight="false" outlineLevel="0" collapsed="false">
      <c r="B446" s="2" t="n">
        <v>444</v>
      </c>
      <c r="C446" s="2" t="n">
        <v>0.184582086830576</v>
      </c>
      <c r="D446" s="2" t="n">
        <v>1.73185259770796</v>
      </c>
      <c r="E446" s="2" t="n">
        <v>10.5328648919519</v>
      </c>
    </row>
    <row r="447" customFormat="false" ht="13.8" hidden="false" customHeight="false" outlineLevel="0" collapsed="false">
      <c r="B447" s="2" t="n">
        <v>445</v>
      </c>
      <c r="C447" s="2" t="n">
        <v>0.184580241009708</v>
      </c>
      <c r="D447" s="2" t="n">
        <v>1.7489929687841</v>
      </c>
      <c r="E447" s="2" t="n">
        <v>10.8262502089231</v>
      </c>
    </row>
    <row r="448" customFormat="false" ht="13.8" hidden="false" customHeight="false" outlineLevel="0" collapsed="false">
      <c r="B448" s="2" t="n">
        <v>446</v>
      </c>
      <c r="C448" s="2" t="n">
        <v>0.184578395207298</v>
      </c>
      <c r="D448" s="2" t="n">
        <v>1.74897547885442</v>
      </c>
      <c r="E448" s="2" t="n">
        <v>10.826141946506</v>
      </c>
    </row>
    <row r="449" customFormat="false" ht="13.8" hidden="false" customHeight="false" outlineLevel="0" collapsed="false">
      <c r="B449" s="2" t="n">
        <v>447</v>
      </c>
      <c r="C449" s="2" t="n">
        <v>0.184576549423345</v>
      </c>
      <c r="D449" s="2" t="n">
        <v>1.7489929687841</v>
      </c>
      <c r="E449" s="2" t="n">
        <v>10.8260336850441</v>
      </c>
    </row>
    <row r="450" customFormat="false" ht="13.8" hidden="false" customHeight="false" outlineLevel="0" collapsed="false">
      <c r="B450" s="2" t="n">
        <v>448</v>
      </c>
      <c r="C450" s="2" t="n">
        <v>0.184607930260947</v>
      </c>
      <c r="D450" s="2" t="n">
        <v>1.7489929687841</v>
      </c>
      <c r="E450" s="2" t="n">
        <v>10.9768810883538</v>
      </c>
    </row>
    <row r="451" customFormat="false" ht="13.8" hidden="false" customHeight="false" outlineLevel="0" collapsed="false">
      <c r="B451" s="2" t="n">
        <v>449</v>
      </c>
      <c r="C451" s="2" t="n">
        <v>0.184607930260947</v>
      </c>
      <c r="D451" s="2" t="n">
        <v>1.74897547880341</v>
      </c>
      <c r="E451" s="2" t="n">
        <v>10.9767713195429</v>
      </c>
    </row>
    <row r="452" customFormat="false" ht="13.8" hidden="false" customHeight="false" outlineLevel="0" collapsed="false">
      <c r="B452" s="2" t="n">
        <v>450</v>
      </c>
      <c r="C452" s="2" t="n">
        <v>0.184607930150443</v>
      </c>
      <c r="D452" s="2" t="n">
        <v>1.74895798904013</v>
      </c>
      <c r="E452" s="2" t="n">
        <v>10.9766615518297</v>
      </c>
    </row>
    <row r="453" customFormat="false" ht="13.8" hidden="false" customHeight="false" outlineLevel="0" collapsed="false">
      <c r="B453" s="2" t="n">
        <v>451</v>
      </c>
      <c r="C453" s="2" t="n">
        <v>0.184606084292151</v>
      </c>
      <c r="D453" s="2" t="n">
        <v>1.74894049963024</v>
      </c>
      <c r="E453" s="2" t="n">
        <v>10.9765517853842</v>
      </c>
    </row>
    <row r="454" customFormat="false" ht="13.8" hidden="false" customHeight="false" outlineLevel="0" collapsed="false">
      <c r="B454" s="2" t="n">
        <v>452</v>
      </c>
      <c r="C454" s="2" t="n">
        <v>0.184607931331072</v>
      </c>
      <c r="D454" s="2" t="n">
        <v>1.74899296960248</v>
      </c>
      <c r="E454" s="2" t="n">
        <v>10.9873156442865</v>
      </c>
    </row>
    <row r="455" customFormat="false" ht="13.8" hidden="false" customHeight="false" outlineLevel="0" collapsed="false">
      <c r="B455" s="2" t="n">
        <v>453</v>
      </c>
      <c r="C455" s="2" t="n">
        <v>0.184606084160656</v>
      </c>
      <c r="D455" s="2" t="n">
        <v>1.74897547883343</v>
      </c>
      <c r="E455" s="2" t="n">
        <v>10.9021736026303</v>
      </c>
    </row>
    <row r="456" customFormat="false" ht="13.8" hidden="false" customHeight="false" outlineLevel="0" collapsed="false">
      <c r="B456" s="2" t="n">
        <v>454</v>
      </c>
      <c r="C456" s="2" t="n">
        <v>0.184604238099815</v>
      </c>
      <c r="D456" s="2" t="n">
        <v>1.74895798907864</v>
      </c>
      <c r="E456" s="2" t="n">
        <v>10.8639668266396</v>
      </c>
    </row>
    <row r="457" customFormat="false" ht="13.8" hidden="false" customHeight="false" outlineLevel="0" collapsed="false">
      <c r="B457" s="2" t="n">
        <v>455</v>
      </c>
      <c r="C457" s="2" t="n">
        <v>0.184602392057433</v>
      </c>
      <c r="D457" s="2" t="n">
        <v>1.74894049949875</v>
      </c>
      <c r="E457" s="2" t="n">
        <v>10.7100832358507</v>
      </c>
    </row>
    <row r="458" customFormat="false" ht="13.8" hidden="false" customHeight="false" outlineLevel="0" collapsed="false">
      <c r="B458" s="2" t="n">
        <v>456</v>
      </c>
      <c r="C458" s="2" t="n">
        <v>0.184600546033513</v>
      </c>
      <c r="D458" s="2" t="n">
        <v>1.74892301009375</v>
      </c>
      <c r="E458" s="2" t="n">
        <v>10.5707097462908</v>
      </c>
    </row>
    <row r="459" customFormat="false" ht="13.8" hidden="false" customHeight="false" outlineLevel="0" collapsed="false">
      <c r="B459" s="2" t="n">
        <v>457</v>
      </c>
      <c r="C459" s="2" t="n">
        <v>0.184598700028052</v>
      </c>
      <c r="D459" s="2" t="n">
        <v>1.74890552086365</v>
      </c>
      <c r="E459" s="2" t="n">
        <v>10.3160477313775</v>
      </c>
    </row>
    <row r="460" customFormat="false" ht="13.8" hidden="false" customHeight="false" outlineLevel="0" collapsed="false">
      <c r="B460" s="2" t="n">
        <v>458</v>
      </c>
      <c r="C460" s="2" t="n">
        <v>0.184596854041052</v>
      </c>
      <c r="D460" s="2" t="n">
        <v>1.74888803180844</v>
      </c>
      <c r="E460" s="2" t="n">
        <v>10.1453800715198</v>
      </c>
    </row>
    <row r="461" customFormat="false" ht="13.8" hidden="false" customHeight="false" outlineLevel="0" collapsed="false">
      <c r="B461" s="2" t="n">
        <v>459</v>
      </c>
      <c r="C461" s="2" t="n">
        <v>0.184595008072511</v>
      </c>
      <c r="D461" s="2" t="n">
        <v>1.74887054292813</v>
      </c>
      <c r="E461" s="2" t="n">
        <v>9.91678270455196</v>
      </c>
    </row>
    <row r="462" customFormat="false" ht="13.8" hidden="false" customHeight="false" outlineLevel="0" collapsed="false">
      <c r="B462" s="2" t="n">
        <v>460</v>
      </c>
      <c r="C462" s="2" t="n">
        <v>0.18459316212243</v>
      </c>
      <c r="D462" s="2" t="n">
        <v>1.7488530542227</v>
      </c>
      <c r="E462" s="2" t="n">
        <v>9.633903246808</v>
      </c>
    </row>
    <row r="463" customFormat="false" ht="13.8" hidden="false" customHeight="false" outlineLevel="0" collapsed="false">
      <c r="B463" s="2" t="n">
        <v>461</v>
      </c>
      <c r="C463" s="2" t="n">
        <v>0.184591316190809</v>
      </c>
      <c r="D463" s="2" t="n">
        <v>1.74883556569215</v>
      </c>
      <c r="E463" s="2" t="n">
        <v>9.29244514851627</v>
      </c>
    </row>
    <row r="464" customFormat="false" ht="13.8" hidden="false" customHeight="false" outlineLevel="0" collapsed="false">
      <c r="B464" s="2" t="n">
        <v>462</v>
      </c>
      <c r="C464" s="2" t="n">
        <v>0.184589470277647</v>
      </c>
      <c r="D464" s="2" t="n">
        <v>1.7488180773365</v>
      </c>
      <c r="E464" s="2" t="n">
        <v>9.02543311295368</v>
      </c>
    </row>
    <row r="465" customFormat="false" ht="13.8" hidden="false" customHeight="false" outlineLevel="0" collapsed="false">
      <c r="B465" s="2" t="n">
        <v>463</v>
      </c>
      <c r="C465" s="2" t="n">
        <v>0.184587624382944</v>
      </c>
      <c r="D465" s="2" t="n">
        <v>1.74880058915572</v>
      </c>
      <c r="E465" s="2" t="n">
        <v>8.66357198825218</v>
      </c>
    </row>
    <row r="466" customFormat="false" ht="13.8" hidden="false" customHeight="false" outlineLevel="0" collapsed="false">
      <c r="B466" s="2" t="n">
        <v>464</v>
      </c>
      <c r="C466" s="2" t="n">
        <v>0.1845857785067</v>
      </c>
      <c r="D466" s="2" t="n">
        <v>1.74878310114983</v>
      </c>
      <c r="E466" s="2" t="n">
        <v>8.31838070438415</v>
      </c>
    </row>
    <row r="467" customFormat="false" ht="13.8" hidden="false" customHeight="false" outlineLevel="0" collapsed="false">
      <c r="B467" s="2" t="n">
        <v>465</v>
      </c>
      <c r="C467" s="2" t="n">
        <v>0.184583932648914</v>
      </c>
      <c r="D467" s="2" t="n">
        <v>1.74876561331882</v>
      </c>
      <c r="E467" s="2" t="n">
        <v>7.92556287242896</v>
      </c>
    </row>
    <row r="468" customFormat="false" ht="13.8" hidden="false" customHeight="false" outlineLevel="0" collapsed="false">
      <c r="B468" s="2" t="n">
        <v>466</v>
      </c>
      <c r="C468" s="2" t="n">
        <v>0.184582086809588</v>
      </c>
      <c r="D468" s="2" t="n">
        <v>1.74874812566269</v>
      </c>
      <c r="E468" s="2" t="n">
        <v>7.62241515383727</v>
      </c>
    </row>
    <row r="469" customFormat="false" ht="13.8" hidden="false" customHeight="false" outlineLevel="0" collapsed="false">
      <c r="B469" s="2" t="n">
        <v>467</v>
      </c>
      <c r="C469" s="2" t="n">
        <v>0.184580240988719</v>
      </c>
      <c r="D469" s="2" t="n">
        <v>1.74873063818143</v>
      </c>
      <c r="E469" s="2" t="n">
        <v>7.27582515190795</v>
      </c>
    </row>
    <row r="470" customFormat="false" ht="13.8" hidden="false" customHeight="false" outlineLevel="0" collapsed="false">
      <c r="B470" s="2" t="n">
        <v>468</v>
      </c>
      <c r="C470" s="2" t="n">
        <v>0.184578395186309</v>
      </c>
      <c r="D470" s="2" t="n">
        <v>1.74871315087505</v>
      </c>
      <c r="E470" s="2" t="n">
        <v>7.00309030106384</v>
      </c>
    </row>
    <row r="471" customFormat="false" ht="13.8" hidden="false" customHeight="false" outlineLevel="0" collapsed="false">
      <c r="B471" s="2" t="n">
        <v>469</v>
      </c>
      <c r="C471" s="2" t="n">
        <v>0.184576549402357</v>
      </c>
      <c r="D471" s="2" t="n">
        <v>1.74869566374354</v>
      </c>
      <c r="E471" s="2" t="n">
        <v>6.70102406645713</v>
      </c>
    </row>
    <row r="472" customFormat="false" ht="13.8" hidden="false" customHeight="false" outlineLevel="0" collapsed="false">
      <c r="B472" s="2" t="n">
        <v>470</v>
      </c>
      <c r="C472" s="2" t="n">
        <v>0.184574703636863</v>
      </c>
      <c r="D472" s="2" t="n">
        <v>1.7486781767869</v>
      </c>
      <c r="E472" s="2" t="n">
        <v>6.41570220436461</v>
      </c>
    </row>
    <row r="473" customFormat="false" ht="13.8" hidden="false" customHeight="false" outlineLevel="0" collapsed="false">
      <c r="B473" s="2" t="n">
        <v>471</v>
      </c>
      <c r="C473" s="2" t="n">
        <v>0.184572857889826</v>
      </c>
      <c r="D473" s="2" t="n">
        <v>1.74866069000513</v>
      </c>
      <c r="E473" s="2" t="n">
        <v>6.10462499178702</v>
      </c>
    </row>
    <row r="474" customFormat="false" ht="13.8" hidden="false" customHeight="false" outlineLevel="0" collapsed="false">
      <c r="B474" s="2" t="n">
        <v>472</v>
      </c>
      <c r="C474" s="2" t="n">
        <v>0.184571012161247</v>
      </c>
      <c r="D474" s="2" t="n">
        <v>1.74864320339823</v>
      </c>
      <c r="E474" s="2" t="n">
        <v>5.82481013072228</v>
      </c>
    </row>
    <row r="475" customFormat="false" ht="13.8" hidden="false" customHeight="false" outlineLevel="0" collapsed="false">
      <c r="B475" s="2" t="n">
        <v>473</v>
      </c>
      <c r="C475" s="2" t="n">
        <v>0.184569166451125</v>
      </c>
      <c r="D475" s="2" t="n">
        <v>1.7486257169662</v>
      </c>
      <c r="E475" s="2" t="n">
        <v>5.52575756780616</v>
      </c>
    </row>
    <row r="476" customFormat="false" ht="13.8" hidden="false" customHeight="false" outlineLevel="0" collapsed="false">
      <c r="B476" s="2" t="n">
        <v>474</v>
      </c>
      <c r="C476" s="2" t="n">
        <v>0.184567320759461</v>
      </c>
      <c r="D476" s="2" t="n">
        <v>1.74860823070903</v>
      </c>
      <c r="E476" s="2" t="n">
        <v>5.23985599541567</v>
      </c>
    </row>
    <row r="477" customFormat="false" ht="13.8" hidden="false" customHeight="false" outlineLevel="0" collapsed="false">
      <c r="B477" s="2" t="n">
        <v>475</v>
      </c>
      <c r="C477" s="2" t="n">
        <v>0.184565475086253</v>
      </c>
      <c r="D477" s="2" t="n">
        <v>1.74859074462672</v>
      </c>
      <c r="E477" s="2" t="n">
        <v>4.98267996722608</v>
      </c>
    </row>
    <row r="478" customFormat="false" ht="13.8" hidden="false" customHeight="false" outlineLevel="0" collapsed="false">
      <c r="B478" s="2" t="n">
        <v>476</v>
      </c>
      <c r="C478" s="2" t="n">
        <v>0.184563629431502</v>
      </c>
      <c r="D478" s="2" t="n">
        <v>1.74857325871928</v>
      </c>
      <c r="E478" s="2" t="n">
        <v>4.71041447375975</v>
      </c>
    </row>
    <row r="479" customFormat="false" ht="13.8" hidden="false" customHeight="false" outlineLevel="0" collapsed="false">
      <c r="B479" s="2" t="n">
        <v>477</v>
      </c>
      <c r="C479" s="2" t="n">
        <v>0.184561783795207</v>
      </c>
      <c r="D479" s="2" t="n">
        <v>1.74855577269287</v>
      </c>
      <c r="E479" s="2" t="n">
        <v>4.5360782585039</v>
      </c>
    </row>
    <row r="480" customFormat="false" ht="13.8" hidden="false" customHeight="false" outlineLevel="0" collapsed="false">
      <c r="B480" s="2" t="n">
        <v>478</v>
      </c>
      <c r="C480" s="2" t="n">
        <v>0.184559938177369</v>
      </c>
      <c r="D480" s="2" t="n">
        <v>1.69792260253759</v>
      </c>
      <c r="E480" s="2" t="n">
        <v>4.36726736068427</v>
      </c>
    </row>
    <row r="481" customFormat="false" ht="13.8" hidden="false" customHeight="false" outlineLevel="0" collapsed="false">
      <c r="B481" s="2" t="n">
        <v>479</v>
      </c>
      <c r="C481" s="2" t="n">
        <v>0.184558092577987</v>
      </c>
      <c r="D481" s="2" t="n">
        <v>1.69790562301775</v>
      </c>
      <c r="E481" s="2" t="n">
        <v>4.22188007689956</v>
      </c>
    </row>
    <row r="482" customFormat="false" ht="13.8" hidden="false" customHeight="false" outlineLevel="0" collapsed="false">
      <c r="B482" s="2" t="n">
        <v>480</v>
      </c>
      <c r="C482" s="2" t="n">
        <v>0.184556246997061</v>
      </c>
      <c r="D482" s="2" t="n">
        <v>1.69788864373066</v>
      </c>
      <c r="E482" s="2" t="n">
        <v>4.1511596729136</v>
      </c>
    </row>
    <row r="483" customFormat="false" ht="13.8" hidden="false" customHeight="false" outlineLevel="0" collapsed="false">
      <c r="B483" s="2" t="n">
        <v>481</v>
      </c>
      <c r="C483" s="2" t="n">
        <v>0.184554401434591</v>
      </c>
      <c r="D483" s="2" t="n">
        <v>1.68966514678742</v>
      </c>
      <c r="E483" s="2" t="n">
        <v>4.09690886502058</v>
      </c>
    </row>
    <row r="484" customFormat="false" ht="13.8" hidden="false" customHeight="false" outlineLevel="0" collapsed="false">
      <c r="B484" s="2" t="n">
        <v>482</v>
      </c>
      <c r="C484" s="2" t="n">
        <v>0.184552555890577</v>
      </c>
      <c r="D484" s="2" t="n">
        <v>1.6896482499051</v>
      </c>
      <c r="E484" s="2" t="n">
        <v>3.99980389593193</v>
      </c>
    </row>
    <row r="485" customFormat="false" ht="13.8" hidden="false" customHeight="false" outlineLevel="0" collapsed="false">
      <c r="B485" s="2" t="n">
        <v>483</v>
      </c>
      <c r="C485" s="2" t="n">
        <v>0.184550710365017</v>
      </c>
      <c r="D485" s="2" t="n">
        <v>1.6896313534226</v>
      </c>
      <c r="E485" s="2" t="n">
        <v>3.78885119418927</v>
      </c>
    </row>
    <row r="486" customFormat="false" ht="13.8" hidden="false" customHeight="false" outlineLevel="0" collapsed="false">
      <c r="B486" s="2" t="n">
        <v>484</v>
      </c>
      <c r="C486" s="2" t="n">
        <v>0.184548864857914</v>
      </c>
      <c r="D486" s="2" t="n">
        <v>1.68961445710906</v>
      </c>
      <c r="E486" s="2" t="n">
        <v>3.6629587871588</v>
      </c>
    </row>
    <row r="487" customFormat="false" ht="13.8" hidden="false" customHeight="false" outlineLevel="0" collapsed="false">
      <c r="B487" s="2" t="n">
        <v>485</v>
      </c>
      <c r="C487" s="2" t="n">
        <v>0.184547019369265</v>
      </c>
      <c r="D487" s="2" t="n">
        <v>1.68959756096449</v>
      </c>
      <c r="E487" s="2" t="n">
        <v>3.4649765279413</v>
      </c>
    </row>
    <row r="488" customFormat="false" ht="13.8" hidden="false" customHeight="false" outlineLevel="0" collapsed="false">
      <c r="B488" s="2" t="n">
        <v>486</v>
      </c>
      <c r="C488" s="2" t="n">
        <v>0.184545173899071</v>
      </c>
      <c r="D488" s="2" t="n">
        <v>1.68958066498888</v>
      </c>
      <c r="E488" s="2" t="n">
        <v>3.34688561891677</v>
      </c>
    </row>
    <row r="489" customFormat="false" ht="13.8" hidden="false" customHeight="false" outlineLevel="0" collapsed="false">
      <c r="B489" s="2" t="n">
        <v>487</v>
      </c>
      <c r="C489" s="2" t="n">
        <v>0.184543328447332</v>
      </c>
      <c r="D489" s="2" t="n">
        <v>1.68956376918223</v>
      </c>
      <c r="E489" s="2" t="n">
        <v>3.21846200191243</v>
      </c>
    </row>
    <row r="490" customFormat="false" ht="13.8" hidden="false" customHeight="false" outlineLevel="0" collapsed="false">
      <c r="B490" s="2" t="n">
        <v>488</v>
      </c>
      <c r="C490" s="2" t="n">
        <v>0.184541483014047</v>
      </c>
      <c r="D490" s="2" t="n">
        <v>1.68954687354454</v>
      </c>
      <c r="E490" s="2" t="n">
        <v>3.12929924321834</v>
      </c>
    </row>
    <row r="491" customFormat="false" ht="13.8" hidden="false" customHeight="false" outlineLevel="0" collapsed="false">
      <c r="B491" s="2" t="n">
        <v>489</v>
      </c>
      <c r="C491" s="2" t="n">
        <v>0.184539637599217</v>
      </c>
      <c r="D491" s="2" t="n">
        <v>1.68952997803383</v>
      </c>
      <c r="E491" s="2" t="n">
        <v>2.95408239467035</v>
      </c>
    </row>
    <row r="492" customFormat="false" ht="13.8" hidden="false" customHeight="false" outlineLevel="0" collapsed="false">
      <c r="B492" s="2" t="n">
        <v>490</v>
      </c>
      <c r="C492" s="2" t="n">
        <v>0.184537792202841</v>
      </c>
      <c r="D492" s="2" t="n">
        <v>1.60055004578096</v>
      </c>
      <c r="E492" s="2" t="n">
        <v>2.89599690940196</v>
      </c>
    </row>
    <row r="493" customFormat="false" ht="13.8" hidden="false" customHeight="false" outlineLevel="0" collapsed="false">
      <c r="B493" s="2" t="n">
        <v>491</v>
      </c>
      <c r="C493" s="2" t="n">
        <v>0.184535946824918</v>
      </c>
      <c r="D493" s="2" t="n">
        <v>1.60053404023853</v>
      </c>
      <c r="E493" s="2" t="n">
        <v>2.72493013461805</v>
      </c>
    </row>
    <row r="494" customFormat="false" ht="13.8" hidden="false" customHeight="false" outlineLevel="0" collapsed="false">
      <c r="B494" s="2" t="n">
        <v>492</v>
      </c>
      <c r="C494" s="2" t="n">
        <v>0.18453410146545</v>
      </c>
      <c r="D494" s="2" t="n">
        <v>1.58574442134484</v>
      </c>
      <c r="E494" s="2" t="n">
        <v>2.59434290629839</v>
      </c>
    </row>
    <row r="495" customFormat="false" ht="13.8" hidden="false" customHeight="false" outlineLevel="0" collapsed="false">
      <c r="B495" s="2" t="n">
        <v>493</v>
      </c>
      <c r="C495" s="2" t="n">
        <v>0.184532256124435</v>
      </c>
      <c r="D495" s="2" t="n">
        <v>1.56330245278952</v>
      </c>
      <c r="E495" s="2" t="n">
        <v>2.40135355546191</v>
      </c>
    </row>
    <row r="496" customFormat="false" ht="13.8" hidden="false" customHeight="false" outlineLevel="0" collapsed="false">
      <c r="B496" s="2" t="n">
        <v>494</v>
      </c>
      <c r="C496" s="2" t="n">
        <v>0.184530410801874</v>
      </c>
      <c r="D496" s="2" t="n">
        <v>1.49145326420943</v>
      </c>
      <c r="E496" s="2" t="n">
        <v>2.29875506044488</v>
      </c>
    </row>
    <row r="497" customFormat="false" ht="13.8" hidden="false" customHeight="false" outlineLevel="0" collapsed="false">
      <c r="B497" s="2" t="n">
        <v>495</v>
      </c>
      <c r="C497" s="2" t="n">
        <v>0.184528565497765</v>
      </c>
      <c r="D497" s="2" t="n">
        <v>1.49143834967679</v>
      </c>
      <c r="E497" s="2" t="n">
        <v>2.0785837025239</v>
      </c>
    </row>
    <row r="498" customFormat="false" ht="13.8" hidden="false" customHeight="false" outlineLevel="0" collapsed="false">
      <c r="B498" s="2" t="n">
        <v>496</v>
      </c>
      <c r="C498" s="2" t="n">
        <v>0.18452672021211</v>
      </c>
      <c r="D498" s="2" t="n">
        <v>1.4422010464044</v>
      </c>
      <c r="E498" s="2" t="n">
        <v>1.98446976853873</v>
      </c>
    </row>
    <row r="499" customFormat="false" ht="13.8" hidden="false" customHeight="false" outlineLevel="0" collapsed="false">
      <c r="B499" s="2" t="n">
        <v>497</v>
      </c>
      <c r="C499" s="2" t="n">
        <v>0.184524874944908</v>
      </c>
      <c r="D499" s="2" t="n">
        <v>1.44218662439394</v>
      </c>
      <c r="E499" s="2" t="n">
        <v>1.77263460902623</v>
      </c>
    </row>
    <row r="500" customFormat="false" ht="13.8" hidden="false" customHeight="false" outlineLevel="0" collapsed="false">
      <c r="B500" s="2" t="n">
        <v>498</v>
      </c>
      <c r="C500" s="2" t="n">
        <v>0.184523029696158</v>
      </c>
      <c r="D500" s="2" t="n">
        <v>1.37028292474992</v>
      </c>
      <c r="E500" s="2" t="n">
        <v>1.68613510490236</v>
      </c>
    </row>
    <row r="501" customFormat="false" ht="13.8" hidden="false" customHeight="false" outlineLevel="0" collapsed="false">
      <c r="B501" s="2" t="n">
        <v>499</v>
      </c>
      <c r="C501" s="2" t="n">
        <v>0.184521184465861</v>
      </c>
      <c r="D501" s="2" t="n">
        <v>1.35789846266141</v>
      </c>
      <c r="E501" s="2" t="n">
        <v>1.50554396577354</v>
      </c>
    </row>
    <row r="502" customFormat="false" ht="13.8" hidden="false" customHeight="false" outlineLevel="0" collapsed="false">
      <c r="B502" s="2" t="n">
        <v>500</v>
      </c>
      <c r="C502" s="2" t="n">
        <v>0.184519339254016</v>
      </c>
      <c r="D502" s="2" t="n">
        <v>1.30866247626938</v>
      </c>
      <c r="E502" s="2" t="n">
        <v>1.42601029922277</v>
      </c>
    </row>
    <row r="503" customFormat="false" ht="13.8" hidden="false" customHeight="false" outlineLevel="0" collapsed="false">
      <c r="B503" s="2" t="n">
        <v>501</v>
      </c>
      <c r="C503" s="2" t="n">
        <v>0.184517494060623</v>
      </c>
      <c r="D503" s="2" t="n">
        <v>1.24557514890387</v>
      </c>
      <c r="E503" s="2" t="n">
        <v>1.25136622430496</v>
      </c>
    </row>
    <row r="504" customFormat="false" ht="13.8" hidden="false" customHeight="false" outlineLevel="0" collapsed="false">
      <c r="B504" s="2" t="n">
        <v>502</v>
      </c>
      <c r="C504" s="2" t="n">
        <v>0.184515648885683</v>
      </c>
      <c r="D504" s="2" t="n">
        <v>1.20610678523174</v>
      </c>
      <c r="E504" s="2" t="n">
        <v>1.17457058883891</v>
      </c>
    </row>
    <row r="505" customFormat="false" ht="13.8" hidden="false" customHeight="false" outlineLevel="0" collapsed="false">
      <c r="B505" s="2" t="n">
        <v>503</v>
      </c>
      <c r="C505" s="2" t="n">
        <v>0.184513803729194</v>
      </c>
      <c r="D505" s="2" t="n">
        <v>1.13420200091519</v>
      </c>
      <c r="E505" s="2" t="n">
        <v>1.00180732174764</v>
      </c>
    </row>
    <row r="506" customFormat="false" ht="13.8" hidden="false" customHeight="false" outlineLevel="0" collapsed="false">
      <c r="B506" s="2" t="n">
        <v>504</v>
      </c>
      <c r="C506" s="2" t="n">
        <v>0.166172844137139</v>
      </c>
      <c r="D506" s="2" t="n">
        <v>1.06915726846657</v>
      </c>
      <c r="E506" s="2" t="n">
        <v>0.945676089775045</v>
      </c>
    </row>
    <row r="507" customFormat="false" ht="13.8" hidden="false" customHeight="false" outlineLevel="0" collapsed="false">
      <c r="B507" s="2" t="n">
        <v>505</v>
      </c>
      <c r="C507" s="2" t="n">
        <v>0.166171182408697</v>
      </c>
      <c r="D507" s="2" t="n">
        <v>1.01176827854464</v>
      </c>
      <c r="E507" s="2" t="n">
        <v>0.774867590243372</v>
      </c>
    </row>
    <row r="508" customFormat="false" ht="13.8" hidden="false" customHeight="false" outlineLevel="0" collapsed="false">
      <c r="B508" s="2" t="n">
        <v>506</v>
      </c>
      <c r="C508" s="2" t="n">
        <v>0.134647345312163</v>
      </c>
      <c r="D508" s="2" t="n">
        <v>0.954052197526659</v>
      </c>
      <c r="E508" s="2" t="n">
        <v>0.738810520197823</v>
      </c>
    </row>
    <row r="509" customFormat="false" ht="13.8" hidden="false" customHeight="false" outlineLevel="0" collapsed="false">
      <c r="B509" s="2" t="n">
        <v>507</v>
      </c>
      <c r="C509" s="2" t="n">
        <v>0.13464599883871</v>
      </c>
      <c r="D509" s="2" t="n">
        <v>0.876824065720582</v>
      </c>
      <c r="E509" s="2" t="n">
        <v>0.575607107280612</v>
      </c>
    </row>
    <row r="510" customFormat="false" ht="13.8" hidden="false" customHeight="false" outlineLevel="0" collapsed="false">
      <c r="B510" s="2" t="n">
        <v>508</v>
      </c>
      <c r="C510" s="2" t="n">
        <v>0.102560987077459</v>
      </c>
      <c r="D510" s="2" t="n">
        <v>0.837120541209877</v>
      </c>
      <c r="E510" s="2" t="n">
        <v>0.538901686074869</v>
      </c>
    </row>
    <row r="511" customFormat="false" ht="13.8" hidden="false" customHeight="false" outlineLevel="0" collapsed="false">
      <c r="B511" s="2" t="n">
        <v>509</v>
      </c>
      <c r="C511" s="2" t="n">
        <v>3.60629516124509E-009</v>
      </c>
      <c r="D511" s="2" t="n">
        <v>0.810219822822547</v>
      </c>
      <c r="E511" s="2" t="n">
        <v>0.470011048134964</v>
      </c>
    </row>
    <row r="512" customFormat="false" ht="13.8" hidden="false" customHeight="false" outlineLevel="0" collapsed="false">
      <c r="B512" s="2" t="n">
        <v>510</v>
      </c>
      <c r="C512" s="2" t="n">
        <v>2.11508341641417E-010</v>
      </c>
      <c r="D512" s="2" t="n">
        <v>0.751778755420919</v>
      </c>
      <c r="E512" s="2" t="n">
        <v>0.470006347268839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0.751771237633365</v>
      </c>
      <c r="E513" s="2" t="n">
        <v>0.437325367507846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0.751763719920989</v>
      </c>
      <c r="E514" s="2" t="n">
        <v>0.563071227346872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0.772985366982224</v>
      </c>
      <c r="E515" s="2" t="n">
        <v>0.645384219982591</v>
      </c>
    </row>
    <row r="516" customFormat="false" ht="13.8" hidden="false" customHeight="false" outlineLevel="0" collapsed="false">
      <c r="B516" s="2" t="n">
        <v>514</v>
      </c>
      <c r="C516" s="2" t="n">
        <v>0.00215944994821008</v>
      </c>
      <c r="D516" s="2" t="n">
        <v>0.797049362119832</v>
      </c>
      <c r="E516" s="2" t="n">
        <v>0.887662790183247</v>
      </c>
    </row>
    <row r="517" customFormat="false" ht="13.8" hidden="false" customHeight="false" outlineLevel="0" collapsed="false">
      <c r="B517" s="2" t="n">
        <v>515</v>
      </c>
      <c r="C517" s="2" t="n">
        <v>0.0021594283537106</v>
      </c>
      <c r="D517" s="2" t="n">
        <v>0.797041391626211</v>
      </c>
      <c r="E517" s="2" t="n">
        <v>1.06994766847361</v>
      </c>
    </row>
    <row r="518" customFormat="false" ht="13.8" hidden="false" customHeight="false" outlineLevel="0" collapsed="false">
      <c r="B518" s="2" t="n">
        <v>516</v>
      </c>
      <c r="C518" s="2" t="n">
        <v>0.0180540560461486</v>
      </c>
      <c r="D518" s="2" t="n">
        <v>0.799459426789261</v>
      </c>
      <c r="E518" s="2" t="n">
        <v>1.42062747498741</v>
      </c>
    </row>
    <row r="519" customFormat="false" ht="13.8" hidden="false" customHeight="false" outlineLevel="0" collapsed="false">
      <c r="B519" s="2" t="n">
        <v>517</v>
      </c>
      <c r="C519" s="2" t="n">
        <v>0.0244443819615653</v>
      </c>
      <c r="D519" s="2" t="n">
        <v>0.816644863064804</v>
      </c>
      <c r="E519" s="2" t="n">
        <v>1.78525444317696</v>
      </c>
    </row>
    <row r="520" customFormat="false" ht="13.8" hidden="false" customHeight="false" outlineLevel="0" collapsed="false">
      <c r="B520" s="2" t="n">
        <v>518</v>
      </c>
      <c r="C520" s="2" t="n">
        <v>0.0244441375177457</v>
      </c>
      <c r="D520" s="2" t="n">
        <v>0.829501385301587</v>
      </c>
      <c r="E520" s="2" t="n">
        <v>2.13103148411504</v>
      </c>
    </row>
    <row r="521" customFormat="false" ht="13.8" hidden="false" customHeight="false" outlineLevel="0" collapsed="false">
      <c r="B521" s="2" t="n">
        <v>519</v>
      </c>
      <c r="C521" s="2" t="n">
        <v>0.0244438930763705</v>
      </c>
      <c r="D521" s="2" t="n">
        <v>0.851529021788751</v>
      </c>
      <c r="E521" s="2" t="n">
        <v>2.52865329484495</v>
      </c>
    </row>
    <row r="522" customFormat="false" ht="13.8" hidden="false" customHeight="false" outlineLevel="0" collapsed="false">
      <c r="B522" s="2" t="n">
        <v>520</v>
      </c>
      <c r="C522" s="2" t="n">
        <v>0.0244436486374398</v>
      </c>
      <c r="D522" s="2" t="n">
        <v>0.870802500815152</v>
      </c>
      <c r="E522" s="2" t="n">
        <v>2.92906917691897</v>
      </c>
    </row>
    <row r="523" customFormat="false" ht="13.8" hidden="false" customHeight="false" outlineLevel="0" collapsed="false">
      <c r="B523" s="2" t="n">
        <v>521</v>
      </c>
      <c r="C523" s="2" t="n">
        <v>0.0244434042009534</v>
      </c>
      <c r="D523" s="2" t="n">
        <v>0.898827014922367</v>
      </c>
      <c r="E523" s="2" t="n">
        <v>3.33847444739641</v>
      </c>
    </row>
    <row r="524" customFormat="false" ht="13.8" hidden="false" customHeight="false" outlineLevel="0" collapsed="false">
      <c r="B524" s="2" t="n">
        <v>522</v>
      </c>
      <c r="C524" s="2" t="n">
        <v>0.0244431597669114</v>
      </c>
      <c r="D524" s="2" t="n">
        <v>0.933422057341314</v>
      </c>
      <c r="E524" s="2" t="n">
        <v>3.85085627002897</v>
      </c>
    </row>
    <row r="525" customFormat="false" ht="13.8" hidden="false" customHeight="false" outlineLevel="0" collapsed="false">
      <c r="B525" s="2" t="n">
        <v>523</v>
      </c>
      <c r="C525" s="2" t="n">
        <v>0.0357264145148343</v>
      </c>
      <c r="D525" s="2" t="n">
        <v>0.986542502366712</v>
      </c>
      <c r="E525" s="2" t="n">
        <v>4.3815052058716</v>
      </c>
    </row>
    <row r="526" customFormat="false" ht="13.8" hidden="false" customHeight="false" outlineLevel="0" collapsed="false">
      <c r="B526" s="2" t="n">
        <v>524</v>
      </c>
      <c r="C526" s="2" t="n">
        <v>0.0461891756347448</v>
      </c>
      <c r="D526" s="2" t="n">
        <v>1.05856335974453</v>
      </c>
      <c r="E526" s="2" t="n">
        <v>5.01639956222816</v>
      </c>
    </row>
    <row r="527" customFormat="false" ht="13.8" hidden="false" customHeight="false" outlineLevel="0" collapsed="false">
      <c r="B527" s="2" t="n">
        <v>525</v>
      </c>
      <c r="C527" s="2" t="n">
        <v>0.068206631331579</v>
      </c>
      <c r="D527" s="2" t="n">
        <v>1.15953462047066</v>
      </c>
      <c r="E527" s="2" t="n">
        <v>5.65376319164445</v>
      </c>
    </row>
    <row r="528" customFormat="false" ht="13.8" hidden="false" customHeight="false" outlineLevel="0" collapsed="false">
      <c r="B528" s="2" t="n">
        <v>526</v>
      </c>
      <c r="C528" s="2" t="n">
        <v>0.0810562093036151</v>
      </c>
      <c r="D528" s="2" t="n">
        <v>1.25580607833246</v>
      </c>
      <c r="E528" s="2" t="n">
        <v>6.31207959741058</v>
      </c>
    </row>
    <row r="529" customFormat="false" ht="13.8" hidden="false" customHeight="false" outlineLevel="0" collapsed="false">
      <c r="B529" s="2" t="n">
        <v>527</v>
      </c>
      <c r="C529" s="2" t="n">
        <v>0.0955379112296305</v>
      </c>
      <c r="D529" s="2" t="n">
        <v>1.34155779532798</v>
      </c>
      <c r="E529" s="2" t="n">
        <v>6.86549843499878</v>
      </c>
    </row>
    <row r="530" customFormat="false" ht="13.8" hidden="false" customHeight="false" outlineLevel="0" collapsed="false">
      <c r="B530" s="2" t="n">
        <v>528</v>
      </c>
      <c r="C530" s="2" t="n">
        <v>0.0959015407883857</v>
      </c>
      <c r="D530" s="2" t="n">
        <v>1.36812977165462</v>
      </c>
      <c r="E530" s="2" t="n">
        <v>7.47083030338475</v>
      </c>
    </row>
    <row r="531" customFormat="false" ht="13.8" hidden="false" customHeight="false" outlineLevel="0" collapsed="false">
      <c r="B531" s="2" t="n">
        <v>529</v>
      </c>
      <c r="C531" s="2" t="n">
        <v>0.102997239160604</v>
      </c>
      <c r="D531" s="2" t="n">
        <v>1.46119225410979</v>
      </c>
      <c r="E531" s="2" t="n">
        <v>8.00846510343817</v>
      </c>
    </row>
    <row r="532" customFormat="false" ht="13.8" hidden="false" customHeight="false" outlineLevel="0" collapsed="false">
      <c r="B532" s="2" t="n">
        <v>530</v>
      </c>
      <c r="C532" s="2" t="n">
        <v>0.137706367118463</v>
      </c>
      <c r="D532" s="2" t="n">
        <v>1.5221118632102</v>
      </c>
      <c r="E532" s="2" t="n">
        <v>8.52330422875627</v>
      </c>
    </row>
    <row r="533" customFormat="false" ht="13.8" hidden="false" customHeight="false" outlineLevel="0" collapsed="false">
      <c r="B533" s="2" t="n">
        <v>531</v>
      </c>
      <c r="C533" s="2" t="n">
        <v>0.137704990054791</v>
      </c>
      <c r="D533" s="2" t="n">
        <v>1.60034462538457</v>
      </c>
      <c r="E533" s="2" t="n">
        <v>9.00712676076868</v>
      </c>
    </row>
    <row r="534" customFormat="false" ht="13.8" hidden="false" customHeight="false" outlineLevel="0" collapsed="false">
      <c r="B534" s="2" t="n">
        <v>532</v>
      </c>
      <c r="C534" s="2" t="n">
        <v>0.160845982020388</v>
      </c>
      <c r="D534" s="2" t="n">
        <v>1.65821032250138</v>
      </c>
      <c r="E534" s="2" t="n">
        <v>9.53523506269558</v>
      </c>
    </row>
    <row r="535" customFormat="false" ht="13.8" hidden="false" customHeight="false" outlineLevel="0" collapsed="false">
      <c r="B535" s="2" t="n">
        <v>533</v>
      </c>
      <c r="C535" s="2" t="n">
        <v>0.160844373560568</v>
      </c>
      <c r="D535" s="2" t="n">
        <v>1.70817384323127</v>
      </c>
      <c r="E535" s="2" t="n">
        <v>10.0196038797103</v>
      </c>
    </row>
    <row r="536" customFormat="false" ht="13.8" hidden="false" customHeight="false" outlineLevel="0" collapsed="false">
      <c r="B536" s="2" t="n">
        <v>534</v>
      </c>
      <c r="C536" s="2" t="n">
        <v>0.160842765116832</v>
      </c>
      <c r="D536" s="2" t="n">
        <v>1.74460205769889</v>
      </c>
      <c r="E536" s="2" t="n">
        <v>10.3875395862135</v>
      </c>
    </row>
    <row r="537" customFormat="false" ht="13.8" hidden="false" customHeight="false" outlineLevel="0" collapsed="false">
      <c r="B537" s="2" t="n">
        <v>535</v>
      </c>
      <c r="C537" s="2" t="n">
        <v>0.184607930260947</v>
      </c>
      <c r="D537" s="2" t="n">
        <v>1.74458461167831</v>
      </c>
      <c r="E537" s="2" t="n">
        <v>10.6686673775435</v>
      </c>
    </row>
    <row r="538" customFormat="false" ht="13.8" hidden="false" customHeight="false" outlineLevel="0" collapsed="false">
      <c r="B538" s="2" t="n">
        <v>536</v>
      </c>
      <c r="C538" s="2" t="n">
        <v>0.184606084181645</v>
      </c>
      <c r="D538" s="2" t="n">
        <v>1.7489929687841</v>
      </c>
      <c r="E538" s="2" t="n">
        <v>10.8834958397651</v>
      </c>
    </row>
    <row r="539" customFormat="false" ht="13.8" hidden="false" customHeight="false" outlineLevel="0" collapsed="false">
      <c r="B539" s="2" t="n">
        <v>537</v>
      </c>
      <c r="C539" s="2" t="n">
        <v>0.184604238120803</v>
      </c>
      <c r="D539" s="2" t="n">
        <v>1.74897547885442</v>
      </c>
      <c r="E539" s="2" t="n">
        <v>10.9173745982036</v>
      </c>
    </row>
    <row r="540" customFormat="false" ht="13.8" hidden="false" customHeight="false" outlineLevel="0" collapsed="false">
      <c r="B540" s="2" t="n">
        <v>538</v>
      </c>
      <c r="C540" s="2" t="n">
        <v>0.184607931268139</v>
      </c>
      <c r="D540" s="2" t="n">
        <v>1.74899296914087</v>
      </c>
      <c r="E540" s="2" t="n">
        <v>10.9873156442865</v>
      </c>
    </row>
    <row r="541" customFormat="false" ht="13.8" hidden="false" customHeight="false" outlineLevel="0" collapsed="false">
      <c r="B541" s="2" t="n">
        <v>539</v>
      </c>
      <c r="C541" s="2" t="n">
        <v>0.184606084160656</v>
      </c>
      <c r="D541" s="2" t="n">
        <v>1.74897547883343</v>
      </c>
      <c r="E541" s="2" t="n">
        <v>10.9135691624816</v>
      </c>
    </row>
    <row r="542" customFormat="false" ht="13.8" hidden="false" customHeight="false" outlineLevel="0" collapsed="false">
      <c r="B542" s="2" t="n">
        <v>540</v>
      </c>
      <c r="C542" s="2" t="n">
        <v>0.184604238099815</v>
      </c>
      <c r="D542" s="2" t="n">
        <v>1.74895798907864</v>
      </c>
      <c r="E542" s="2" t="n">
        <v>10.9051912567822</v>
      </c>
    </row>
    <row r="543" customFormat="false" ht="13.8" hidden="false" customHeight="false" outlineLevel="0" collapsed="false">
      <c r="B543" s="2" t="n">
        <v>541</v>
      </c>
      <c r="C543" s="2" t="n">
        <v>0.184602392057433</v>
      </c>
      <c r="D543" s="2" t="n">
        <v>1.74894049949875</v>
      </c>
      <c r="E543" s="2" t="n">
        <v>10.8128289031322</v>
      </c>
    </row>
    <row r="544" customFormat="false" ht="13.8" hidden="false" customHeight="false" outlineLevel="0" collapsed="false">
      <c r="B544" s="2" t="n">
        <v>542</v>
      </c>
      <c r="C544" s="2" t="n">
        <v>0.184600546033513</v>
      </c>
      <c r="D544" s="2" t="n">
        <v>1.74892301009375</v>
      </c>
      <c r="E544" s="2" t="n">
        <v>10.6623795430275</v>
      </c>
    </row>
    <row r="545" customFormat="false" ht="13.8" hidden="false" customHeight="false" outlineLevel="0" collapsed="false">
      <c r="B545" s="2" t="n">
        <v>543</v>
      </c>
      <c r="C545" s="2" t="n">
        <v>0.184598700028052</v>
      </c>
      <c r="D545" s="2" t="n">
        <v>1.74890552086365</v>
      </c>
      <c r="E545" s="2" t="n">
        <v>10.4945840906715</v>
      </c>
    </row>
    <row r="546" customFormat="false" ht="13.8" hidden="false" customHeight="false" outlineLevel="0" collapsed="false">
      <c r="B546" s="2" t="n">
        <v>544</v>
      </c>
      <c r="C546" s="2" t="n">
        <v>0.184596854041052</v>
      </c>
      <c r="D546" s="2" t="n">
        <v>1.74888803180844</v>
      </c>
      <c r="E546" s="2" t="n">
        <v>10.373794645451</v>
      </c>
    </row>
    <row r="547" customFormat="false" ht="13.8" hidden="false" customHeight="false" outlineLevel="0" collapsed="false">
      <c r="B547" s="2" t="n">
        <v>545</v>
      </c>
      <c r="C547" s="2" t="n">
        <v>0.184595008072511</v>
      </c>
      <c r="D547" s="2" t="n">
        <v>1.74887054292813</v>
      </c>
      <c r="E547" s="2" t="n">
        <v>10.2087151447135</v>
      </c>
    </row>
    <row r="548" customFormat="false" ht="13.8" hidden="false" customHeight="false" outlineLevel="0" collapsed="false">
      <c r="B548" s="2" t="n">
        <v>546</v>
      </c>
      <c r="C548" s="2" t="n">
        <v>0.18459316212243</v>
      </c>
      <c r="D548" s="2" t="n">
        <v>1.7488530542227</v>
      </c>
      <c r="E548" s="2" t="n">
        <v>10.0378279410923</v>
      </c>
    </row>
    <row r="549" customFormat="false" ht="13.8" hidden="false" customHeight="false" outlineLevel="0" collapsed="false">
      <c r="B549" s="2" t="n">
        <v>547</v>
      </c>
      <c r="C549" s="2" t="n">
        <v>0.184591316190809</v>
      </c>
      <c r="D549" s="2" t="n">
        <v>1.74883556552426</v>
      </c>
      <c r="E549" s="2" t="n">
        <v>9.82168762970156</v>
      </c>
    </row>
    <row r="550" customFormat="false" ht="13.8" hidden="false" customHeight="false" outlineLevel="0" collapsed="false">
      <c r="B550" s="2" t="n">
        <v>548</v>
      </c>
      <c r="C550" s="2" t="n">
        <v>0.184589470277647</v>
      </c>
      <c r="D550" s="2" t="n">
        <v>1.71042525283681</v>
      </c>
      <c r="E550" s="2" t="n">
        <v>9.68018806181399</v>
      </c>
    </row>
    <row r="551" customFormat="false" ht="13.8" hidden="false" customHeight="false" outlineLevel="0" collapsed="false">
      <c r="B551" s="2" t="n">
        <v>549</v>
      </c>
      <c r="C551" s="2" t="n">
        <v>0.184587624382944</v>
      </c>
      <c r="D551" s="2" t="n">
        <v>1.71040814829045</v>
      </c>
      <c r="E551" s="2" t="n">
        <v>9.4599317676129</v>
      </c>
    </row>
    <row r="552" customFormat="false" ht="13.8" hidden="false" customHeight="false" outlineLevel="0" collapsed="false">
      <c r="B552" s="2" t="n">
        <v>550</v>
      </c>
      <c r="C552" s="2" t="n">
        <v>0.1845857785067</v>
      </c>
      <c r="D552" s="2" t="n">
        <v>1.67110786060618</v>
      </c>
      <c r="E552" s="2" t="n">
        <v>9.28820870513174</v>
      </c>
    </row>
    <row r="553" customFormat="false" ht="13.8" hidden="false" customHeight="false" outlineLevel="0" collapsed="false">
      <c r="B553" s="2" t="n">
        <v>551</v>
      </c>
      <c r="C553" s="2" t="n">
        <v>0.184583932648914</v>
      </c>
      <c r="D553" s="2" t="n">
        <v>1.6710911493177</v>
      </c>
      <c r="E553" s="2" t="n">
        <v>9.04667407688445</v>
      </c>
    </row>
    <row r="554" customFormat="false" ht="13.8" hidden="false" customHeight="false" outlineLevel="0" collapsed="false">
      <c r="B554" s="2" t="n">
        <v>552</v>
      </c>
      <c r="C554" s="2" t="n">
        <v>0.184582086809588</v>
      </c>
      <c r="D554" s="2" t="n">
        <v>1.62233765500404</v>
      </c>
      <c r="E554" s="2" t="n">
        <v>8.90994093723733</v>
      </c>
    </row>
    <row r="555" customFormat="false" ht="13.8" hidden="false" customHeight="false" outlineLevel="0" collapsed="false">
      <c r="B555" s="2" t="n">
        <v>553</v>
      </c>
      <c r="C555" s="2" t="n">
        <v>0.184580240988719</v>
      </c>
      <c r="D555" s="2" t="n">
        <v>1.53396902426206</v>
      </c>
      <c r="E555" s="2" t="n">
        <v>8.77749800449463</v>
      </c>
    </row>
    <row r="556" customFormat="false" ht="13.8" hidden="false" customHeight="false" outlineLevel="0" collapsed="false">
      <c r="B556" s="2" t="n">
        <v>554</v>
      </c>
      <c r="C556" s="2" t="n">
        <v>0.184578395186309</v>
      </c>
      <c r="D556" s="2" t="n">
        <v>1.53395368450885</v>
      </c>
      <c r="E556" s="2" t="n">
        <v>8.51977663692199</v>
      </c>
    </row>
    <row r="557" customFormat="false" ht="13.8" hidden="false" customHeight="false" outlineLevel="0" collapsed="false">
      <c r="B557" s="2" t="n">
        <v>555</v>
      </c>
      <c r="C557" s="2" t="n">
        <v>0.184576549402357</v>
      </c>
      <c r="D557" s="2" t="n">
        <v>1.53393834497201</v>
      </c>
      <c r="E557" s="2" t="n">
        <v>8.23942775397044</v>
      </c>
    </row>
    <row r="558" customFormat="false" ht="13.8" hidden="false" customHeight="false" outlineLevel="0" collapsed="false">
      <c r="B558" s="2" t="n">
        <v>556</v>
      </c>
      <c r="C558" s="2" t="n">
        <v>0.184574703636863</v>
      </c>
      <c r="D558" s="2" t="n">
        <v>1.5262299790918</v>
      </c>
      <c r="E558" s="2" t="n">
        <v>7.90227307139583</v>
      </c>
    </row>
    <row r="559" customFormat="false" ht="13.8" hidden="false" customHeight="false" outlineLevel="0" collapsed="false">
      <c r="B559" s="2" t="n">
        <v>557</v>
      </c>
      <c r="C559" s="2" t="n">
        <v>0.184572857889826</v>
      </c>
      <c r="D559" s="2" t="n">
        <v>1.52621471679201</v>
      </c>
      <c r="E559" s="2" t="n">
        <v>7.55303812273919</v>
      </c>
    </row>
    <row r="560" customFormat="false" ht="13.8" hidden="false" customHeight="false" outlineLevel="0" collapsed="false">
      <c r="B560" s="2" t="n">
        <v>558</v>
      </c>
      <c r="C560" s="2" t="n">
        <v>0.184571012161247</v>
      </c>
      <c r="D560" s="2" t="n">
        <v>1.52619945464484</v>
      </c>
      <c r="E560" s="2" t="n">
        <v>7.27260085161722</v>
      </c>
    </row>
    <row r="561" customFormat="false" ht="13.8" hidden="false" customHeight="false" outlineLevel="0" collapsed="false">
      <c r="B561" s="2" t="n">
        <v>559</v>
      </c>
      <c r="C561" s="2" t="n">
        <v>0.184569166451125</v>
      </c>
      <c r="D561" s="2" t="n">
        <v>1.52618419265029</v>
      </c>
      <c r="E561" s="2" t="n">
        <v>7.00383277375686</v>
      </c>
    </row>
    <row r="562" customFormat="false" ht="13.8" hidden="false" customHeight="false" outlineLevel="0" collapsed="false">
      <c r="B562" s="2" t="n">
        <v>560</v>
      </c>
      <c r="C562" s="2" t="n">
        <v>0.184567320759461</v>
      </c>
      <c r="D562" s="2" t="n">
        <v>1.3901472641417</v>
      </c>
      <c r="E562" s="2" t="n">
        <v>6.78445906876245</v>
      </c>
    </row>
    <row r="563" customFormat="false" ht="13.8" hidden="false" customHeight="false" outlineLevel="0" collapsed="false">
      <c r="B563" s="2" t="n">
        <v>561</v>
      </c>
      <c r="C563" s="2" t="n">
        <v>0.184565475086253</v>
      </c>
      <c r="D563" s="2" t="n">
        <v>1.39013336266906</v>
      </c>
      <c r="E563" s="2" t="n">
        <v>6.47006409454213</v>
      </c>
    </row>
    <row r="564" customFormat="false" ht="13.8" hidden="false" customHeight="false" outlineLevel="0" collapsed="false">
      <c r="B564" s="2" t="n">
        <v>562</v>
      </c>
      <c r="C564" s="2" t="n">
        <v>0.184563629431502</v>
      </c>
      <c r="D564" s="2" t="n">
        <v>1.39011946133543</v>
      </c>
      <c r="E564" s="2" t="n">
        <v>6.18235637538267</v>
      </c>
    </row>
    <row r="565" customFormat="false" ht="13.8" hidden="false" customHeight="false" outlineLevel="0" collapsed="false">
      <c r="B565" s="2" t="n">
        <v>563</v>
      </c>
      <c r="C565" s="2" t="n">
        <v>0.184561783795207</v>
      </c>
      <c r="D565" s="2" t="n">
        <v>1.39010556014082</v>
      </c>
      <c r="E565" s="2" t="n">
        <v>5.86676494070781</v>
      </c>
    </row>
    <row r="566" customFormat="false" ht="13.8" hidden="false" customHeight="false" outlineLevel="0" collapsed="false">
      <c r="B566" s="2" t="n">
        <v>564</v>
      </c>
      <c r="C566" s="2" t="n">
        <v>0.184559938177369</v>
      </c>
      <c r="D566" s="2" t="n">
        <v>1.29047610352966</v>
      </c>
      <c r="E566" s="2" t="n">
        <v>5.63369853231766</v>
      </c>
    </row>
    <row r="567" customFormat="false" ht="13.8" hidden="false" customHeight="false" outlineLevel="0" collapsed="false">
      <c r="B567" s="2" t="n">
        <v>565</v>
      </c>
      <c r="C567" s="2" t="n">
        <v>0.184558092577987</v>
      </c>
      <c r="D567" s="2" t="n">
        <v>1.29046319876863</v>
      </c>
      <c r="E567" s="2" t="n">
        <v>5.31146225088789</v>
      </c>
    </row>
    <row r="568" customFormat="false" ht="13.8" hidden="false" customHeight="false" outlineLevel="0" collapsed="false">
      <c r="B568" s="2" t="n">
        <v>566</v>
      </c>
      <c r="C568" s="2" t="n">
        <v>0.184556246997061</v>
      </c>
      <c r="D568" s="2" t="n">
        <v>1.29045029413664</v>
      </c>
      <c r="E568" s="2" t="n">
        <v>4.98813767330242</v>
      </c>
    </row>
    <row r="569" customFormat="false" ht="13.8" hidden="false" customHeight="false" outlineLevel="0" collapsed="false">
      <c r="B569" s="2" t="n">
        <v>567</v>
      </c>
      <c r="C569" s="2" t="n">
        <v>0.184554401434591</v>
      </c>
      <c r="D569" s="2" t="n">
        <v>1.2904373896337</v>
      </c>
      <c r="E569" s="2" t="n">
        <v>4.72776119933309</v>
      </c>
    </row>
    <row r="570" customFormat="false" ht="13.8" hidden="false" customHeight="false" outlineLevel="0" collapsed="false">
      <c r="B570" s="2" t="n">
        <v>568</v>
      </c>
      <c r="C570" s="2" t="n">
        <v>0.184552555890577</v>
      </c>
      <c r="D570" s="2" t="n">
        <v>1.2904244852598</v>
      </c>
      <c r="E570" s="2" t="n">
        <v>4.41757032912851</v>
      </c>
    </row>
    <row r="571" customFormat="false" ht="13.8" hidden="false" customHeight="false" outlineLevel="0" collapsed="false">
      <c r="B571" s="2" t="n">
        <v>569</v>
      </c>
      <c r="C571" s="2" t="n">
        <v>0.184550710365018</v>
      </c>
      <c r="D571" s="2" t="n">
        <v>1.29041158101495</v>
      </c>
      <c r="E571" s="2" t="n">
        <v>4.16006711638818</v>
      </c>
    </row>
    <row r="572" customFormat="false" ht="13.8" hidden="false" customHeight="false" outlineLevel="0" collapsed="false">
      <c r="B572" s="2" t="n">
        <v>570</v>
      </c>
      <c r="C572" s="2" t="n">
        <v>0.184548864857914</v>
      </c>
      <c r="D572" s="2" t="n">
        <v>1.29039867689914</v>
      </c>
      <c r="E572" s="2" t="n">
        <v>3.89541910830961</v>
      </c>
    </row>
    <row r="573" customFormat="false" ht="13.8" hidden="false" customHeight="false" outlineLevel="0" collapsed="false">
      <c r="B573" s="2" t="n">
        <v>571</v>
      </c>
      <c r="C573" s="2" t="n">
        <v>0.184547019369265</v>
      </c>
      <c r="D573" s="2" t="n">
        <v>1.29038577291237</v>
      </c>
      <c r="E573" s="2" t="n">
        <v>3.61081117263704</v>
      </c>
    </row>
    <row r="574" customFormat="false" ht="13.8" hidden="false" customHeight="false" outlineLevel="0" collapsed="false">
      <c r="B574" s="2" t="n">
        <v>572</v>
      </c>
      <c r="C574" s="2" t="n">
        <v>0.184545173899071</v>
      </c>
      <c r="D574" s="2" t="n">
        <v>1.29037286905464</v>
      </c>
      <c r="E574" s="2" t="n">
        <v>3.40474350896976</v>
      </c>
    </row>
    <row r="575" customFormat="false" ht="13.8" hidden="false" customHeight="false" outlineLevel="0" collapsed="false">
      <c r="B575" s="2" t="n">
        <v>573</v>
      </c>
      <c r="C575" s="2" t="n">
        <v>0.184543328447332</v>
      </c>
      <c r="D575" s="2" t="n">
        <v>1.29035996532595</v>
      </c>
      <c r="E575" s="2" t="n">
        <v>3.2086218874606</v>
      </c>
    </row>
    <row r="576" customFormat="false" ht="13.8" hidden="false" customHeight="false" outlineLevel="0" collapsed="false">
      <c r="B576" s="2" t="n">
        <v>574</v>
      </c>
      <c r="C576" s="2" t="n">
        <v>0.184541483014047</v>
      </c>
      <c r="D576" s="2" t="n">
        <v>1.2903470617263</v>
      </c>
      <c r="E576" s="2" t="n">
        <v>3.04309644938987</v>
      </c>
    </row>
    <row r="577" customFormat="false" ht="13.8" hidden="false" customHeight="false" outlineLevel="0" collapsed="false">
      <c r="B577" s="2" t="n">
        <v>575</v>
      </c>
      <c r="C577" s="2" t="n">
        <v>0.184539637599217</v>
      </c>
      <c r="D577" s="2" t="n">
        <v>1.29033415825568</v>
      </c>
      <c r="E577" s="2" t="n">
        <v>2.87907462953649</v>
      </c>
    </row>
    <row r="578" customFormat="false" ht="13.8" hidden="false" customHeight="false" outlineLevel="0" collapsed="false">
      <c r="B578" s="2" t="n">
        <v>576</v>
      </c>
      <c r="C578" s="2" t="n">
        <v>0.184537792202841</v>
      </c>
      <c r="D578" s="2" t="n">
        <v>1.2903212549141</v>
      </c>
      <c r="E578" s="2" t="n">
        <v>2.72807244990131</v>
      </c>
    </row>
    <row r="579" customFormat="false" ht="13.8" hidden="false" customHeight="false" outlineLevel="0" collapsed="false">
      <c r="B579" s="2" t="n">
        <v>577</v>
      </c>
      <c r="C579" s="2" t="n">
        <v>0.184535946824918</v>
      </c>
      <c r="D579" s="2" t="n">
        <v>1.29030835170155</v>
      </c>
      <c r="E579" s="2" t="n">
        <v>2.52777848399162</v>
      </c>
    </row>
    <row r="580" customFormat="false" ht="13.8" hidden="false" customHeight="false" outlineLevel="0" collapsed="false">
      <c r="B580" s="2" t="n">
        <v>578</v>
      </c>
      <c r="C580" s="2" t="n">
        <v>0.18453410146545</v>
      </c>
      <c r="D580" s="2" t="n">
        <v>1.29029544861803</v>
      </c>
      <c r="E580" s="2" t="n">
        <v>2.45309726176234</v>
      </c>
    </row>
    <row r="581" customFormat="false" ht="13.8" hidden="false" customHeight="false" outlineLevel="0" collapsed="false">
      <c r="B581" s="2" t="n">
        <v>579</v>
      </c>
      <c r="C581" s="2" t="n">
        <v>0.184532256124435</v>
      </c>
      <c r="D581" s="2" t="n">
        <v>1.29028254566355</v>
      </c>
      <c r="E581" s="2" t="n">
        <v>2.19606760116009</v>
      </c>
    </row>
    <row r="582" customFormat="false" ht="13.8" hidden="false" customHeight="false" outlineLevel="0" collapsed="false">
      <c r="B582" s="2" t="n">
        <v>580</v>
      </c>
      <c r="C582" s="2" t="n">
        <v>0.184530410801874</v>
      </c>
      <c r="D582" s="2" t="n">
        <v>1.29026964283809</v>
      </c>
      <c r="E582" s="2" t="n">
        <v>2.10254091826186</v>
      </c>
    </row>
    <row r="583" customFormat="false" ht="13.8" hidden="false" customHeight="false" outlineLevel="0" collapsed="false">
      <c r="B583" s="2" t="n">
        <v>581</v>
      </c>
      <c r="C583" s="2" t="n">
        <v>0.184528565497765</v>
      </c>
      <c r="D583" s="2" t="n">
        <v>1.29025674014166</v>
      </c>
      <c r="E583" s="2" t="n">
        <v>1.88105474470453</v>
      </c>
    </row>
    <row r="584" customFormat="false" ht="13.8" hidden="false" customHeight="false" outlineLevel="0" collapsed="false">
      <c r="B584" s="2" t="n">
        <v>582</v>
      </c>
      <c r="C584" s="2" t="n">
        <v>0.18452672021211</v>
      </c>
      <c r="D584" s="2" t="n">
        <v>1.24454000424093</v>
      </c>
      <c r="E584" s="2" t="n">
        <v>1.8051096563793</v>
      </c>
    </row>
    <row r="585" customFormat="false" ht="13.8" hidden="false" customHeight="false" outlineLevel="0" collapsed="false">
      <c r="B585" s="2" t="n">
        <v>583</v>
      </c>
      <c r="C585" s="2" t="n">
        <v>0.184524874944908</v>
      </c>
      <c r="D585" s="2" t="n">
        <v>1.17900865143348</v>
      </c>
      <c r="E585" s="2" t="n">
        <v>1.70062838306052</v>
      </c>
    </row>
    <row r="586" customFormat="false" ht="13.8" hidden="false" customHeight="false" outlineLevel="0" collapsed="false">
      <c r="B586" s="2" t="n">
        <v>584</v>
      </c>
      <c r="C586" s="2" t="n">
        <v>0.184523029696158</v>
      </c>
      <c r="D586" s="2" t="n">
        <v>1.12121908356918</v>
      </c>
      <c r="E586" s="2" t="n">
        <v>1.58394417307298</v>
      </c>
    </row>
    <row r="587" customFormat="false" ht="13.8" hidden="false" customHeight="false" outlineLevel="0" collapsed="false">
      <c r="B587" s="2" t="n">
        <v>585</v>
      </c>
      <c r="C587" s="2" t="n">
        <v>0.184521184465861</v>
      </c>
      <c r="D587" s="2" t="n">
        <v>1.05211526026724</v>
      </c>
      <c r="E587" s="2" t="n">
        <v>1.48237220400162</v>
      </c>
    </row>
    <row r="588" customFormat="false" ht="13.8" hidden="false" customHeight="false" outlineLevel="0" collapsed="false">
      <c r="B588" s="2" t="n">
        <v>586</v>
      </c>
      <c r="C588" s="2" t="n">
        <v>0.184519339254016</v>
      </c>
      <c r="D588" s="2" t="n">
        <v>0.993197239114635</v>
      </c>
      <c r="E588" s="2" t="n">
        <v>1.4112646025018</v>
      </c>
    </row>
    <row r="589" customFormat="false" ht="13.8" hidden="false" customHeight="false" outlineLevel="0" collapsed="false">
      <c r="B589" s="2" t="n">
        <v>587</v>
      </c>
      <c r="C589" s="2" t="n">
        <v>0.137502284201041</v>
      </c>
      <c r="D589" s="2" t="n">
        <v>0.922150066401503</v>
      </c>
      <c r="E589" s="2" t="n">
        <v>1.34332097751413</v>
      </c>
    </row>
    <row r="590" customFormat="false" ht="13.8" hidden="false" customHeight="false" outlineLevel="0" collapsed="false">
      <c r="B590" s="2" t="n">
        <v>588</v>
      </c>
      <c r="C590" s="2" t="n">
        <v>0.137500909178199</v>
      </c>
      <c r="D590" s="2" t="n">
        <v>0.862233344900839</v>
      </c>
      <c r="E590" s="2" t="n">
        <v>1.22527026652657</v>
      </c>
    </row>
    <row r="591" customFormat="false" ht="13.8" hidden="false" customHeight="false" outlineLevel="0" collapsed="false">
      <c r="B591" s="2" t="n">
        <v>589</v>
      </c>
      <c r="C591" s="2" t="n">
        <v>0.137499534169107</v>
      </c>
      <c r="D591" s="2" t="n">
        <v>0.795206092937761</v>
      </c>
      <c r="E591" s="2" t="n">
        <v>1.14105397678687</v>
      </c>
    </row>
    <row r="592" customFormat="false" ht="13.8" hidden="false" customHeight="false" outlineLevel="0" collapsed="false">
      <c r="B592" s="2" t="n">
        <v>590</v>
      </c>
      <c r="C592" s="2" t="n">
        <v>0.0905537147293209</v>
      </c>
      <c r="D592" s="2" t="n">
        <v>0.739142474210165</v>
      </c>
      <c r="E592" s="2" t="n">
        <v>1.06272754772859</v>
      </c>
    </row>
    <row r="593" customFormat="false" ht="13.8" hidden="false" customHeight="false" outlineLevel="0" collapsed="false">
      <c r="B593" s="2" t="n">
        <v>591</v>
      </c>
      <c r="C593" s="2" t="n">
        <v>0.0905528091921736</v>
      </c>
      <c r="D593" s="2" t="n">
        <v>0.673264545748386</v>
      </c>
      <c r="E593" s="2" t="n">
        <v>0.963086753786441</v>
      </c>
    </row>
    <row r="594" customFormat="false" ht="13.8" hidden="false" customHeight="false" outlineLevel="0" collapsed="false">
      <c r="B594" s="2" t="n">
        <v>592</v>
      </c>
      <c r="C594" s="2" t="n">
        <v>0.0440889036640817</v>
      </c>
      <c r="D594" s="2" t="n">
        <v>0.61733179458441</v>
      </c>
      <c r="E594" s="2" t="n">
        <v>0.893410308104089</v>
      </c>
    </row>
    <row r="595" customFormat="false" ht="13.8" hidden="false" customHeight="false" outlineLevel="0" collapsed="false">
      <c r="B595" s="2" t="n">
        <v>593</v>
      </c>
      <c r="C595" s="2" t="n">
        <v>0.0440884627750451</v>
      </c>
      <c r="D595" s="2" t="n">
        <v>0.551455010155353</v>
      </c>
      <c r="E595" s="2" t="n">
        <v>0.841863670297304</v>
      </c>
    </row>
    <row r="596" customFormat="false" ht="13.8" hidden="false" customHeight="false" outlineLevel="0" collapsed="false">
      <c r="B596" s="2" t="n">
        <v>594</v>
      </c>
      <c r="C596" s="2" t="n">
        <v>0.0440880218904173</v>
      </c>
      <c r="D596" s="2" t="n">
        <v>0.494782828938584</v>
      </c>
      <c r="E596" s="2" t="n">
        <v>0.725039936845786</v>
      </c>
    </row>
    <row r="597" customFormat="false" ht="13.8" hidden="false" customHeight="false" outlineLevel="0" collapsed="false">
      <c r="B597" s="2" t="n">
        <v>595</v>
      </c>
      <c r="C597" s="2" t="n">
        <v>0.0440875810101984</v>
      </c>
      <c r="D597" s="2" t="n">
        <v>0.430110881110295</v>
      </c>
      <c r="E597" s="2" t="n">
        <v>0.63308790866864</v>
      </c>
    </row>
    <row r="598" customFormat="false" ht="13.8" hidden="false" customHeight="false" outlineLevel="0" collapsed="false">
      <c r="B598" s="2" t="n">
        <v>596</v>
      </c>
      <c r="C598" s="2" t="n">
        <v>0.0440871401343883</v>
      </c>
      <c r="D598" s="2" t="n">
        <v>0.373439913334817</v>
      </c>
      <c r="E598" s="2" t="n">
        <v>0.538988577789553</v>
      </c>
    </row>
    <row r="599" customFormat="false" ht="13.8" hidden="false" customHeight="false" outlineLevel="0" collapsed="false">
      <c r="B599" s="2" t="n">
        <v>597</v>
      </c>
      <c r="C599" s="2" t="n">
        <v>0.044086699262987</v>
      </c>
      <c r="D599" s="2" t="n">
        <v>0.308584327083832</v>
      </c>
      <c r="E599" s="2" t="n">
        <v>0.435982928644516</v>
      </c>
    </row>
    <row r="600" customFormat="false" ht="13.8" hidden="false" customHeight="false" outlineLevel="0" collapsed="false">
      <c r="B600" s="2" t="n">
        <v>598</v>
      </c>
      <c r="C600" s="2" t="n">
        <v>0.0440862583959943</v>
      </c>
      <c r="D600" s="2" t="n">
        <v>0.257901894265644</v>
      </c>
      <c r="E600" s="2" t="n">
        <v>0.300855993413976</v>
      </c>
    </row>
    <row r="601" customFormat="false" ht="13.8" hidden="false" customHeight="false" outlineLevel="0" collapsed="false">
      <c r="B601" s="2" t="n">
        <v>599</v>
      </c>
      <c r="C601" s="2" t="n">
        <v>0.0440858175334104</v>
      </c>
      <c r="D601" s="2" t="n">
        <v>0.202984806482051</v>
      </c>
      <c r="E601" s="2" t="n">
        <v>0.226646074792275</v>
      </c>
    </row>
    <row r="602" customFormat="false" ht="13.8" hidden="false" customHeight="false" outlineLevel="0" collapsed="false">
      <c r="B602" s="2" t="n">
        <v>600</v>
      </c>
      <c r="C602" s="2" t="n">
        <v>0.0440853766752351</v>
      </c>
      <c r="D602" s="2" t="n">
        <v>0.148074217190714</v>
      </c>
      <c r="E602" s="2" t="n">
        <v>0.0731667673129507</v>
      </c>
    </row>
    <row r="603" customFormat="false" ht="13.8" hidden="false" customHeight="false" outlineLevel="0" collapsed="false">
      <c r="B603" s="2" t="n">
        <v>601</v>
      </c>
      <c r="C603" s="2" t="n">
        <v>0.0440849363119064</v>
      </c>
      <c r="D603" s="2" t="n">
        <v>0.0868737004007237</v>
      </c>
      <c r="E603" s="2" t="n">
        <v>0.0452888644323805</v>
      </c>
    </row>
    <row r="604" customFormat="false" ht="13.8" hidden="false" customHeight="false" outlineLevel="0" collapsed="false">
      <c r="B604" s="2" t="n">
        <v>602</v>
      </c>
      <c r="C604" s="2" t="n">
        <v>8.34968813886703E-009</v>
      </c>
      <c r="D604" s="2" t="n">
        <v>0.0487780820639308</v>
      </c>
      <c r="E604" s="2" t="n">
        <v>1.03509031579088E-008</v>
      </c>
    </row>
    <row r="605" customFormat="false" ht="13.8" hidden="false" customHeight="false" outlineLevel="0" collapsed="false">
      <c r="B605" s="2" t="n">
        <v>603</v>
      </c>
      <c r="C605" s="2" t="n">
        <v>2.45223668612299E-009</v>
      </c>
      <c r="D605" s="2" t="n">
        <v>0.0274920286370434</v>
      </c>
      <c r="E605" s="2" t="n">
        <v>4.01835108096788E-009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0.017805249646739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3.6408524800002E-020</v>
      </c>
      <c r="D609" s="2" t="n">
        <v>0.0178050715942426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0.0570076946979767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0.000702635146522762</v>
      </c>
      <c r="D611" s="2" t="n">
        <v>0.0682078315293352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0.000702628120171297</v>
      </c>
      <c r="D612" s="2" t="n">
        <v>0.150968399503996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0.0135425005658648</v>
      </c>
      <c r="D613" s="2" t="n">
        <v>0.182304328017646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0.0135423653958694</v>
      </c>
      <c r="D614" s="2" t="n">
        <v>0.243605756316682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0.0135422298447103</v>
      </c>
      <c r="D615" s="2" t="n">
        <v>0.292692459746105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0.0135420944224119</v>
      </c>
      <c r="D616" s="2" t="n">
        <v>0.368808094136933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0.0440825118018935</v>
      </c>
      <c r="D617" s="2" t="n">
        <v>0.434857209199857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0.0440820709767755</v>
      </c>
      <c r="D618" s="2" t="n">
        <v>0.526660355600071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0.0716881359993202</v>
      </c>
      <c r="D619" s="2" t="n">
        <v>0.60817236579726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0.0716874191179598</v>
      </c>
      <c r="D620" s="2" t="n">
        <v>0.71445501797926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0.0716867022437682</v>
      </c>
      <c r="D621" s="2" t="n">
        <v>0.803358214439651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0.071685985546753</v>
      </c>
      <c r="D622" s="2" t="n">
        <v>0.915202488972989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0.145673077669448</v>
      </c>
      <c r="D623" s="2" t="n">
        <v>1.0455018771685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0.145671620683657</v>
      </c>
      <c r="D624" s="2" t="n">
        <v>1.11588500532056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0.145670164477479</v>
      </c>
      <c r="D625" s="2" t="n">
        <v>1.22253299759177</v>
      </c>
      <c r="E625" s="2" t="n">
        <v>0.833586099636739</v>
      </c>
    </row>
    <row r="626" customFormat="false" ht="13.8" hidden="false" customHeight="false" outlineLevel="0" collapsed="false">
      <c r="B626" s="2" t="n">
        <v>624</v>
      </c>
      <c r="C626" s="2" t="n">
        <v>0.145668707180797</v>
      </c>
      <c r="D626" s="2" t="n">
        <v>1.3072452813335</v>
      </c>
      <c r="E626" s="2" t="n">
        <v>1.57481703973521</v>
      </c>
    </row>
    <row r="627" customFormat="false" ht="13.8" hidden="false" customHeight="false" outlineLevel="0" collapsed="false">
      <c r="B627" s="2" t="n">
        <v>625</v>
      </c>
      <c r="C627" s="2" t="n">
        <v>0.14566725117377</v>
      </c>
      <c r="D627" s="2" t="n">
        <v>1.40879688090282</v>
      </c>
      <c r="E627" s="2" t="n">
        <v>2.37792753222005</v>
      </c>
    </row>
    <row r="628" customFormat="false" ht="13.8" hidden="false" customHeight="false" outlineLevel="0" collapsed="false">
      <c r="B628" s="2" t="n">
        <v>626</v>
      </c>
      <c r="C628" s="2" t="n">
        <v>0.145665794161236</v>
      </c>
      <c r="D628" s="2" t="n">
        <v>1.46325347438354</v>
      </c>
      <c r="E628" s="2" t="n">
        <v>3.00446755643169</v>
      </c>
    </row>
    <row r="629" customFormat="false" ht="13.8" hidden="false" customHeight="false" outlineLevel="0" collapsed="false">
      <c r="B629" s="2" t="n">
        <v>627</v>
      </c>
      <c r="C629" s="2" t="n">
        <v>0.184607930260947</v>
      </c>
      <c r="D629" s="2" t="n">
        <v>1.54198578772572</v>
      </c>
      <c r="E629" s="2" t="n">
        <v>3.61958526393587</v>
      </c>
    </row>
    <row r="630" customFormat="false" ht="13.8" hidden="false" customHeight="false" outlineLevel="0" collapsed="false">
      <c r="B630" s="2" t="n">
        <v>628</v>
      </c>
      <c r="C630" s="2" t="n">
        <v>0.184606084181645</v>
      </c>
      <c r="D630" s="2" t="n">
        <v>1.55478387817216</v>
      </c>
      <c r="E630" s="2" t="n">
        <v>4.04598895947105</v>
      </c>
    </row>
    <row r="631" customFormat="false" ht="13.8" hidden="false" customHeight="false" outlineLevel="0" collapsed="false">
      <c r="B631" s="2" t="n">
        <v>629</v>
      </c>
      <c r="C631" s="2" t="n">
        <v>0.184604238120803</v>
      </c>
      <c r="D631" s="2" t="n">
        <v>1.5996728800651</v>
      </c>
      <c r="E631" s="2" t="n">
        <v>4.4693539182857</v>
      </c>
    </row>
    <row r="632" customFormat="false" ht="13.8" hidden="false" customHeight="false" outlineLevel="0" collapsed="false">
      <c r="B632" s="2" t="n">
        <v>630</v>
      </c>
      <c r="C632" s="2" t="n">
        <v>0.184602392078422</v>
      </c>
      <c r="D632" s="2" t="n">
        <v>1.60236886517869</v>
      </c>
      <c r="E632" s="2" t="n">
        <v>4.56231136313114</v>
      </c>
    </row>
    <row r="633" customFormat="false" ht="13.8" hidden="false" customHeight="false" outlineLevel="0" collapsed="false">
      <c r="B633" s="2" t="n">
        <v>631</v>
      </c>
      <c r="C633" s="2" t="n">
        <v>0.184600546054501</v>
      </c>
      <c r="D633" s="2" t="n">
        <v>1.65588766044313</v>
      </c>
      <c r="E633" s="2" t="n">
        <v>4.96200550401854</v>
      </c>
    </row>
    <row r="634" customFormat="false" ht="13.8" hidden="false" customHeight="false" outlineLevel="0" collapsed="false">
      <c r="B634" s="2" t="n">
        <v>632</v>
      </c>
      <c r="C634" s="2" t="n">
        <v>0.18459870004904</v>
      </c>
      <c r="D634" s="2" t="n">
        <v>1.65587110156653</v>
      </c>
      <c r="E634" s="2" t="n">
        <v>5.29455223738917</v>
      </c>
    </row>
    <row r="635" customFormat="false" ht="13.8" hidden="false" customHeight="false" outlineLevel="0" collapsed="false">
      <c r="B635" s="2" t="n">
        <v>633</v>
      </c>
      <c r="C635" s="2" t="n">
        <v>0.18459685406204</v>
      </c>
      <c r="D635" s="2" t="n">
        <v>1.71593460102998</v>
      </c>
      <c r="E635" s="2" t="n">
        <v>5.2944992921218</v>
      </c>
    </row>
    <row r="636" customFormat="false" ht="13.8" hidden="false" customHeight="false" outlineLevel="0" collapsed="false">
      <c r="B636" s="2" t="n">
        <v>634</v>
      </c>
      <c r="C636" s="2" t="n">
        <v>0.184595008093499</v>
      </c>
      <c r="D636" s="2" t="n">
        <v>1.72451311040784</v>
      </c>
      <c r="E636" s="2" t="n">
        <v>5.54614656499222</v>
      </c>
    </row>
    <row r="637" customFormat="false" ht="13.8" hidden="false" customHeight="false" outlineLevel="0" collapsed="false">
      <c r="B637" s="2" t="n">
        <v>635</v>
      </c>
      <c r="C637" s="2" t="n">
        <v>0.184593162143418</v>
      </c>
      <c r="D637" s="2" t="n">
        <v>1.72449586527673</v>
      </c>
      <c r="E637" s="2" t="n">
        <v>5.54609110395159</v>
      </c>
    </row>
    <row r="638" customFormat="false" ht="13.8" hidden="false" customHeight="false" outlineLevel="0" collapsed="false">
      <c r="B638" s="2" t="n">
        <v>636</v>
      </c>
      <c r="C638" s="2" t="n">
        <v>0.184591316211797</v>
      </c>
      <c r="D638" s="2" t="n">
        <v>1.74269658595667</v>
      </c>
      <c r="E638" s="2" t="n">
        <v>5.73234547020931</v>
      </c>
    </row>
    <row r="639" customFormat="false" ht="13.8" hidden="false" customHeight="false" outlineLevel="0" collapsed="false">
      <c r="B639" s="2" t="n">
        <v>637</v>
      </c>
      <c r="C639" s="2" t="n">
        <v>0.184607930260947</v>
      </c>
      <c r="D639" s="2" t="n">
        <v>1.7489929687841</v>
      </c>
      <c r="E639" s="2" t="n">
        <v>5.97488064918556</v>
      </c>
    </row>
    <row r="640" customFormat="false" ht="13.8" hidden="false" customHeight="false" outlineLevel="0" collapsed="false">
      <c r="B640" s="2" t="n">
        <v>638</v>
      </c>
      <c r="C640" s="2" t="n">
        <v>0.184606084181645</v>
      </c>
      <c r="D640" s="2" t="n">
        <v>1.74897547885442</v>
      </c>
      <c r="E640" s="2" t="n">
        <v>6.04231476267568</v>
      </c>
    </row>
    <row r="641" customFormat="false" ht="13.8" hidden="false" customHeight="false" outlineLevel="0" collapsed="false">
      <c r="B641" s="2" t="n">
        <v>639</v>
      </c>
      <c r="C641" s="2" t="n">
        <v>0.18460423835166</v>
      </c>
      <c r="D641" s="2" t="n">
        <v>1.74895798909963</v>
      </c>
      <c r="E641" s="2" t="n">
        <v>6.0668237680551</v>
      </c>
    </row>
    <row r="642" customFormat="false" ht="13.8" hidden="false" customHeight="false" outlineLevel="0" collapsed="false">
      <c r="B642" s="2" t="n">
        <v>640</v>
      </c>
      <c r="C642" s="2" t="n">
        <v>0.184602392057433</v>
      </c>
      <c r="D642" s="2" t="n">
        <v>1.67246604955146</v>
      </c>
      <c r="E642" s="2" t="n">
        <v>6.03937336430112</v>
      </c>
    </row>
    <row r="643" customFormat="false" ht="13.8" hidden="false" customHeight="false" outlineLevel="0" collapsed="false">
      <c r="B643" s="2" t="n">
        <v>641</v>
      </c>
      <c r="C643" s="2" t="n">
        <v>0.184600546033513</v>
      </c>
      <c r="D643" s="2" t="n">
        <v>1.63288511596482</v>
      </c>
      <c r="E643" s="2" t="n">
        <v>5.97664914367625</v>
      </c>
    </row>
    <row r="644" customFormat="false" ht="13.8" hidden="false" customHeight="false" outlineLevel="0" collapsed="false">
      <c r="B644" s="2" t="n">
        <v>642</v>
      </c>
      <c r="C644" s="2" t="n">
        <v>0.184598700028052</v>
      </c>
      <c r="D644" s="2" t="n">
        <v>1.54570978129645</v>
      </c>
      <c r="E644" s="2" t="n">
        <v>5.89393815921487</v>
      </c>
    </row>
    <row r="645" customFormat="false" ht="13.8" hidden="false" customHeight="false" outlineLevel="0" collapsed="false">
      <c r="B645" s="2" t="n">
        <v>643</v>
      </c>
      <c r="C645" s="2" t="n">
        <v>0.184596854041052</v>
      </c>
      <c r="D645" s="2" t="n">
        <v>1.4906628548237</v>
      </c>
      <c r="E645" s="2" t="n">
        <v>5.76346320337721</v>
      </c>
    </row>
    <row r="646" customFormat="false" ht="13.8" hidden="false" customHeight="false" outlineLevel="0" collapsed="false">
      <c r="B646" s="2" t="n">
        <v>644</v>
      </c>
      <c r="C646" s="2" t="n">
        <v>0.184595008072511</v>
      </c>
      <c r="D646" s="2" t="n">
        <v>1.40857734859582</v>
      </c>
      <c r="E646" s="2" t="n">
        <v>5.67226155009929</v>
      </c>
    </row>
    <row r="647" customFormat="false" ht="13.8" hidden="false" customHeight="false" outlineLevel="0" collapsed="false">
      <c r="B647" s="2" t="n">
        <v>645</v>
      </c>
      <c r="C647" s="2" t="n">
        <v>0.18459316212243</v>
      </c>
      <c r="D647" s="2" t="n">
        <v>1.35121277373934</v>
      </c>
      <c r="E647" s="2" t="n">
        <v>5.51644393627769</v>
      </c>
    </row>
    <row r="648" customFormat="false" ht="13.8" hidden="false" customHeight="false" outlineLevel="0" collapsed="false">
      <c r="B648" s="2" t="n">
        <v>646</v>
      </c>
      <c r="C648" s="2" t="n">
        <v>0.184591316190809</v>
      </c>
      <c r="D648" s="2" t="n">
        <v>1.25464467720677</v>
      </c>
      <c r="E648" s="2" t="n">
        <v>5.40369252935969</v>
      </c>
    </row>
    <row r="649" customFormat="false" ht="13.8" hidden="false" customHeight="false" outlineLevel="0" collapsed="false">
      <c r="B649" s="2" t="n">
        <v>647</v>
      </c>
      <c r="C649" s="2" t="n">
        <v>0.184589470277647</v>
      </c>
      <c r="D649" s="2" t="n">
        <v>1.23341021029257</v>
      </c>
      <c r="E649" s="2" t="n">
        <v>5.26515452831283</v>
      </c>
    </row>
    <row r="650" customFormat="false" ht="13.8" hidden="false" customHeight="false" outlineLevel="0" collapsed="false">
      <c r="B650" s="2" t="n">
        <v>648</v>
      </c>
      <c r="C650" s="2" t="n">
        <v>0.184587624340968</v>
      </c>
      <c r="D650" s="2" t="n">
        <v>1.15908328632713</v>
      </c>
      <c r="E650" s="2" t="n">
        <v>5.10979415396602</v>
      </c>
    </row>
    <row r="651" customFormat="false" ht="13.8" hidden="false" customHeight="false" outlineLevel="0" collapsed="false">
      <c r="B651" s="2" t="n">
        <v>649</v>
      </c>
      <c r="C651" s="2" t="n">
        <v>0.0820258172925941</v>
      </c>
      <c r="D651" s="2" t="n">
        <v>1.07083076956834</v>
      </c>
      <c r="E651" s="2" t="n">
        <v>5.03081890616946</v>
      </c>
    </row>
    <row r="652" customFormat="false" ht="13.8" hidden="false" customHeight="false" outlineLevel="0" collapsed="false">
      <c r="B652" s="2" t="n">
        <v>650</v>
      </c>
      <c r="C652" s="2" t="n">
        <v>0.082024996992445</v>
      </c>
      <c r="D652" s="2" t="n">
        <v>1.00463426496435</v>
      </c>
      <c r="E652" s="2" t="n">
        <v>4.85643137575817</v>
      </c>
    </row>
    <row r="653" customFormat="false" ht="13.8" hidden="false" customHeight="false" outlineLevel="0" collapsed="false">
      <c r="B653" s="2" t="n">
        <v>651</v>
      </c>
      <c r="C653" s="2" t="n">
        <v>2.51843175476857E-010</v>
      </c>
      <c r="D653" s="2" t="n">
        <v>0.937086403806882</v>
      </c>
      <c r="E653" s="2" t="n">
        <v>4.7885129141338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0.85259395886877</v>
      </c>
      <c r="E654" s="2" t="n">
        <v>4.57429225122688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0.751972544229178</v>
      </c>
      <c r="E655" s="2" t="n">
        <v>4.39720148978585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0.751965024293864</v>
      </c>
      <c r="E656" s="2" t="n">
        <v>4.03361101777096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0.751957504643621</v>
      </c>
      <c r="E657" s="2" t="n">
        <v>3.68513488536448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0.751949985068574</v>
      </c>
      <c r="E658" s="2" t="n">
        <v>3.32869901549711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0.751942465463785</v>
      </c>
      <c r="E659" s="2" t="n">
        <v>3.04021039517362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0.698728020323081</v>
      </c>
      <c r="E660" s="2" t="n">
        <v>2.82572771529189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0.698721032937939</v>
      </c>
      <c r="E661" s="2" t="n">
        <v>2.53803943949622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0.69871404572761</v>
      </c>
      <c r="E662" s="2" t="n">
        <v>2.28868694799072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0.698707058566164</v>
      </c>
      <c r="E663" s="2" t="n">
        <v>1.92457700556568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0.615159460426444</v>
      </c>
      <c r="E664" s="2" t="n">
        <v>1.73967798201785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0.547920432764994</v>
      </c>
      <c r="E665" s="2" t="n">
        <v>1.46156455389746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0.547914953560666</v>
      </c>
      <c r="E666" s="2" t="n">
        <v>1.21136923454822</v>
      </c>
    </row>
    <row r="667" customFormat="false" ht="13.8" hidden="false" customHeight="false" outlineLevel="0" collapsed="false">
      <c r="B667" s="2" t="n">
        <v>665</v>
      </c>
      <c r="C667" s="2" t="n">
        <v>2.09880856002097E-011</v>
      </c>
      <c r="D667" s="2" t="n">
        <v>0.413350178114834</v>
      </c>
      <c r="E667" s="2" t="n">
        <v>1.03073599122625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0.35817558165009</v>
      </c>
      <c r="E668" s="2" t="n">
        <v>0.839178461644113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0.24405666656094</v>
      </c>
      <c r="E669" s="2" t="n">
        <v>0.659864329118756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0.193476170438719</v>
      </c>
      <c r="E670" s="2" t="n">
        <v>0.455219860105094</v>
      </c>
    </row>
    <row r="671" customFormat="false" ht="13.8" hidden="false" customHeight="false" outlineLevel="0" collapsed="false">
      <c r="B671" s="2" t="n">
        <v>669</v>
      </c>
      <c r="C671" s="2" t="n">
        <v>2.09880855967964E-011</v>
      </c>
      <c r="D671" s="2" t="n">
        <v>0.102915754195533</v>
      </c>
      <c r="E671" s="2" t="n">
        <v>0.29850284494353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0.0410223176305837</v>
      </c>
      <c r="E672" s="2" t="n">
        <v>0.124880396952118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0.129225551182663</v>
      </c>
      <c r="D674" s="2" t="n">
        <v>1.22429507814887</v>
      </c>
      <c r="E674" s="2" t="n">
        <v>7.69112095100054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4" width="8.85"/>
  </cols>
  <sheetData>
    <row r="2" customFormat="false" ht="13.8" hidden="false" customHeight="false" outlineLevel="0" collapsed="false">
      <c r="B2" s="2" t="n">
        <v>1</v>
      </c>
      <c r="C2" s="4" t="n">
        <v>0.000608474899465326</v>
      </c>
    </row>
    <row r="3" customFormat="false" ht="13.8" hidden="false" customHeight="false" outlineLevel="0" collapsed="false">
      <c r="B3" s="2" t="n">
        <v>2</v>
      </c>
      <c r="C3" s="4" t="n">
        <v>0.000608476522500587</v>
      </c>
    </row>
    <row r="4" customFormat="false" ht="13.8" hidden="false" customHeight="false" outlineLevel="0" collapsed="false">
      <c r="B4" s="2" t="n">
        <v>3</v>
      </c>
      <c r="C4" s="4" t="n">
        <v>0.000608481220173685</v>
      </c>
    </row>
    <row r="5" customFormat="false" ht="13.8" hidden="false" customHeight="false" outlineLevel="0" collapsed="false">
      <c r="B5" s="2" t="n">
        <v>4</v>
      </c>
      <c r="C5" s="4" t="n">
        <v>0.000608484380575347</v>
      </c>
    </row>
    <row r="6" customFormat="false" ht="13.8" hidden="false" customHeight="false" outlineLevel="0" collapsed="false">
      <c r="B6" s="2" t="n">
        <v>5</v>
      </c>
      <c r="C6" s="4" t="n">
        <v>0.000608487541008614</v>
      </c>
    </row>
    <row r="7" customFormat="false" ht="13.8" hidden="false" customHeight="false" outlineLevel="0" collapsed="false">
      <c r="B7" s="2" t="n">
        <v>6</v>
      </c>
      <c r="C7" s="4" t="n">
        <v>0.000608490777031352</v>
      </c>
    </row>
    <row r="8" customFormat="false" ht="13.8" hidden="false" customHeight="false" outlineLevel="0" collapsed="false">
      <c r="B8" s="2" t="n">
        <v>7</v>
      </c>
      <c r="C8" s="4" t="n">
        <v>0.000608493861969972</v>
      </c>
    </row>
    <row r="9" customFormat="false" ht="13.8" hidden="false" customHeight="false" outlineLevel="0" collapsed="false">
      <c r="B9" s="2" t="n">
        <v>8</v>
      </c>
      <c r="C9" s="4" t="n">
        <v>0.000608494352481927</v>
      </c>
    </row>
    <row r="10" customFormat="false" ht="13.8" hidden="false" customHeight="false" outlineLevel="0" collapsed="false">
      <c r="B10" s="2" t="n">
        <v>9</v>
      </c>
      <c r="C10" s="4" t="n">
        <v>0.000608497513014387</v>
      </c>
    </row>
    <row r="11" customFormat="false" ht="13.8" hidden="false" customHeight="false" outlineLevel="0" collapsed="false">
      <c r="B11" s="2" t="n">
        <v>10</v>
      </c>
      <c r="C11" s="4" t="n">
        <v>0.00060850067357936</v>
      </c>
    </row>
    <row r="12" customFormat="false" ht="13.8" hidden="false" customHeight="false" outlineLevel="0" collapsed="false">
      <c r="B12" s="2" t="n">
        <v>11</v>
      </c>
      <c r="C12" s="4" t="n">
        <v>0.00060850383417683</v>
      </c>
    </row>
    <row r="13" customFormat="false" ht="13.8" hidden="false" customHeight="false" outlineLevel="0" collapsed="false">
      <c r="B13" s="2" t="n">
        <v>12</v>
      </c>
      <c r="C13" s="4" t="n">
        <v>0.000608506994802862</v>
      </c>
    </row>
    <row r="14" customFormat="false" ht="13.8" hidden="false" customHeight="false" outlineLevel="0" collapsed="false">
      <c r="B14" s="2" t="n">
        <v>13</v>
      </c>
      <c r="C14" s="4" t="n">
        <v>0.000608510155461903</v>
      </c>
    </row>
    <row r="15" customFormat="false" ht="13.8" hidden="false" customHeight="false" outlineLevel="0" collapsed="false">
      <c r="B15" s="2" t="n">
        <v>14</v>
      </c>
      <c r="C15" s="4" t="n">
        <v>0.00060851331615279</v>
      </c>
    </row>
    <row r="16" customFormat="false" ht="13.8" hidden="false" customHeight="false" outlineLevel="0" collapsed="false">
      <c r="B16" s="2" t="n">
        <v>15</v>
      </c>
      <c r="C16" s="4" t="n">
        <v>0.000608516476875811</v>
      </c>
    </row>
    <row r="17" customFormat="false" ht="13.8" hidden="false" customHeight="false" outlineLevel="0" collapsed="false">
      <c r="B17" s="2" t="n">
        <v>16</v>
      </c>
      <c r="C17" s="4" t="n">
        <v>0.000608519637629629</v>
      </c>
    </row>
    <row r="18" customFormat="false" ht="13.8" hidden="false" customHeight="false" outlineLevel="0" collapsed="false">
      <c r="B18" s="2" t="n">
        <v>17</v>
      </c>
      <c r="C18" s="4" t="n">
        <v>0.000608521891771897</v>
      </c>
    </row>
    <row r="19" customFormat="false" ht="13.8" hidden="false" customHeight="false" outlineLevel="0" collapsed="false">
      <c r="B19" s="2" t="n">
        <v>18</v>
      </c>
      <c r="C19" s="4" t="n">
        <v>0.00060852512813805</v>
      </c>
    </row>
    <row r="20" customFormat="false" ht="13.8" hidden="false" customHeight="false" outlineLevel="0" collapsed="false">
      <c r="B20" s="2" t="n">
        <v>19</v>
      </c>
      <c r="C20" s="4" t="n">
        <v>0.000608529120082263</v>
      </c>
    </row>
    <row r="21" customFormat="false" ht="13.8" hidden="false" customHeight="false" outlineLevel="0" collapsed="false">
      <c r="B21" s="2" t="n">
        <v>20</v>
      </c>
      <c r="C21" s="4" t="n">
        <v>0.000608532280962688</v>
      </c>
    </row>
    <row r="22" customFormat="false" ht="13.8" hidden="false" customHeight="false" outlineLevel="0" collapsed="false">
      <c r="B22" s="2" t="n">
        <v>21</v>
      </c>
      <c r="C22" s="4" t="n">
        <v>0.000608535441874832</v>
      </c>
    </row>
    <row r="23" customFormat="false" ht="13.8" hidden="false" customHeight="false" outlineLevel="0" collapsed="false">
      <c r="B23" s="2" t="n">
        <v>22</v>
      </c>
      <c r="C23" s="4" t="n">
        <v>0.00060853860281865</v>
      </c>
    </row>
    <row r="24" customFormat="false" ht="13.8" hidden="false" customHeight="false" outlineLevel="0" collapsed="false">
      <c r="B24" s="2" t="n">
        <v>23</v>
      </c>
      <c r="C24" s="4" t="n">
        <v>0.000608541310458592</v>
      </c>
    </row>
    <row r="25" customFormat="false" ht="13.8" hidden="false" customHeight="false" outlineLevel="0" collapsed="false">
      <c r="B25" s="2" t="n">
        <v>24</v>
      </c>
      <c r="C25" s="4" t="n">
        <v>0.000608544547019383</v>
      </c>
    </row>
    <row r="26" customFormat="false" ht="13.8" hidden="false" customHeight="false" outlineLevel="0" collapsed="false">
      <c r="B26" s="2" t="n">
        <v>25</v>
      </c>
      <c r="C26" s="4" t="n">
        <v>0.000608547783613217</v>
      </c>
    </row>
    <row r="27" customFormat="false" ht="13.8" hidden="false" customHeight="false" outlineLevel="0" collapsed="false">
      <c r="B27" s="2" t="n">
        <v>26</v>
      </c>
      <c r="C27" s="4" t="n">
        <v>0.000608551246910117</v>
      </c>
    </row>
    <row r="28" customFormat="false" ht="13.8" hidden="false" customHeight="false" outlineLevel="0" collapsed="false">
      <c r="B28" s="2" t="n">
        <v>27</v>
      </c>
      <c r="C28" s="4" t="n">
        <v>0.000608554408012291</v>
      </c>
    </row>
    <row r="29" customFormat="false" ht="13.8" hidden="false" customHeight="false" outlineLevel="0" collapsed="false">
      <c r="B29" s="2" t="n">
        <v>28</v>
      </c>
      <c r="C29" s="4" t="n">
        <v>0.000608557493587728</v>
      </c>
    </row>
    <row r="30" customFormat="false" ht="13.8" hidden="false" customHeight="false" outlineLevel="0" collapsed="false">
      <c r="B30" s="2" t="n">
        <v>29</v>
      </c>
      <c r="C30" s="4" t="n">
        <v>0.000608561738425124</v>
      </c>
    </row>
    <row r="31" customFormat="false" ht="13.8" hidden="false" customHeight="false" outlineLevel="0" collapsed="false">
      <c r="B31" s="2" t="n">
        <v>30</v>
      </c>
      <c r="C31" s="4" t="n">
        <v>0.000608564824073365</v>
      </c>
    </row>
    <row r="32" customFormat="false" ht="13.8" hidden="false" customHeight="false" outlineLevel="0" collapsed="false">
      <c r="B32" s="2" t="n">
        <v>31</v>
      </c>
      <c r="C32" s="4" t="n">
        <v>5E-005</v>
      </c>
    </row>
    <row r="33" customFormat="false" ht="13.8" hidden="false" customHeight="false" outlineLevel="0" collapsed="false">
      <c r="B33" s="2" t="n">
        <v>32</v>
      </c>
      <c r="C33" s="4" t="n">
        <v>5E-005</v>
      </c>
    </row>
    <row r="34" customFormat="false" ht="13.8" hidden="false" customHeight="false" outlineLevel="0" collapsed="false">
      <c r="B34" s="2" t="n">
        <v>33</v>
      </c>
      <c r="C34" s="4" t="n">
        <v>5E-005</v>
      </c>
    </row>
    <row r="35" customFormat="false" ht="13.8" hidden="false" customHeight="false" outlineLevel="0" collapsed="false">
      <c r="B35" s="2" t="n">
        <v>34</v>
      </c>
      <c r="C35" s="4" t="n">
        <v>5E-005</v>
      </c>
    </row>
    <row r="36" customFormat="false" ht="13.8" hidden="false" customHeight="false" outlineLevel="0" collapsed="false">
      <c r="B36" s="2" t="n">
        <v>35</v>
      </c>
      <c r="C36" s="4" t="n">
        <v>5E-005</v>
      </c>
    </row>
    <row r="37" customFormat="false" ht="13.8" hidden="false" customHeight="false" outlineLevel="0" collapsed="false">
      <c r="B37" s="2" t="n">
        <v>36</v>
      </c>
      <c r="C37" s="4" t="n">
        <v>5E-005</v>
      </c>
    </row>
    <row r="38" customFormat="false" ht="13.8" hidden="false" customHeight="false" outlineLevel="0" collapsed="false">
      <c r="B38" s="2" t="n">
        <v>37</v>
      </c>
      <c r="C38" s="4" t="n">
        <v>5E-005</v>
      </c>
    </row>
    <row r="39" customFormat="false" ht="13.8" hidden="false" customHeight="false" outlineLevel="0" collapsed="false">
      <c r="B39" s="2" t="n">
        <v>38</v>
      </c>
      <c r="C39" s="4" t="n">
        <v>5E-005</v>
      </c>
    </row>
    <row r="40" customFormat="false" ht="13.8" hidden="false" customHeight="false" outlineLevel="0" collapsed="false">
      <c r="B40" s="2" t="n">
        <v>39</v>
      </c>
      <c r="C40" s="4" t="n">
        <v>5E-005</v>
      </c>
    </row>
    <row r="41" customFormat="false" ht="13.8" hidden="false" customHeight="false" outlineLevel="0" collapsed="false">
      <c r="B41" s="2" t="n">
        <v>40</v>
      </c>
      <c r="C41" s="4" t="n">
        <v>5E-005</v>
      </c>
    </row>
    <row r="42" customFormat="false" ht="13.8" hidden="false" customHeight="false" outlineLevel="0" collapsed="false">
      <c r="B42" s="2" t="n">
        <v>41</v>
      </c>
      <c r="C42" s="4" t="n">
        <v>1.55385978368836E-006</v>
      </c>
    </row>
    <row r="43" customFormat="false" ht="13.8" hidden="false" customHeight="false" outlineLevel="0" collapsed="false">
      <c r="B43" s="2" t="n">
        <v>42</v>
      </c>
      <c r="C43" s="4" t="n">
        <v>5E-005</v>
      </c>
    </row>
    <row r="44" customFormat="false" ht="13.8" hidden="false" customHeight="false" outlineLevel="0" collapsed="false">
      <c r="B44" s="2" t="n">
        <v>43</v>
      </c>
      <c r="C44" s="4" t="n">
        <v>1.5594533868608E-006</v>
      </c>
    </row>
    <row r="45" customFormat="false" ht="13.8" hidden="false" customHeight="false" outlineLevel="0" collapsed="false">
      <c r="B45" s="2" t="n">
        <v>44</v>
      </c>
      <c r="C45" s="4" t="n">
        <v>5E-005</v>
      </c>
    </row>
    <row r="46" customFormat="false" ht="13.8" hidden="false" customHeight="false" outlineLevel="0" collapsed="false">
      <c r="B46" s="2" t="n">
        <v>45</v>
      </c>
      <c r="C46" s="4" t="n">
        <v>1.56584567616988E-006</v>
      </c>
    </row>
    <row r="47" customFormat="false" ht="13.8" hidden="false" customHeight="false" outlineLevel="0" collapsed="false">
      <c r="B47" s="2" t="n">
        <v>46</v>
      </c>
      <c r="C47" s="4" t="n">
        <v>1.5670597916093E-006</v>
      </c>
    </row>
    <row r="48" customFormat="false" ht="13.8" hidden="false" customHeight="false" outlineLevel="0" collapsed="false">
      <c r="B48" s="2" t="n">
        <v>47</v>
      </c>
      <c r="C48" s="4" t="n">
        <v>1.57187708355437E-006</v>
      </c>
    </row>
    <row r="49" customFormat="false" ht="13.8" hidden="false" customHeight="false" outlineLevel="0" collapsed="false">
      <c r="B49" s="2" t="n">
        <v>48</v>
      </c>
      <c r="C49" s="4" t="n">
        <v>1.5741736877585E-006</v>
      </c>
    </row>
    <row r="50" customFormat="false" ht="13.8" hidden="false" customHeight="false" outlineLevel="0" collapsed="false">
      <c r="B50" s="2" t="n">
        <v>49</v>
      </c>
      <c r="C50" s="4" t="n">
        <v>1.57754758735569E-006</v>
      </c>
    </row>
    <row r="51" customFormat="false" ht="13.8" hidden="false" customHeight="false" outlineLevel="0" collapsed="false">
      <c r="B51" s="2" t="n">
        <v>50</v>
      </c>
      <c r="C51" s="4" t="n">
        <v>1.58059830628756E-006</v>
      </c>
    </row>
    <row r="52" customFormat="false" ht="13.8" hidden="false" customHeight="false" outlineLevel="0" collapsed="false">
      <c r="B52" s="2" t="n">
        <v>51</v>
      </c>
      <c r="C52" s="4" t="n">
        <v>1.58213859696002E-006</v>
      </c>
    </row>
    <row r="53" customFormat="false" ht="13.8" hidden="false" customHeight="false" outlineLevel="0" collapsed="false">
      <c r="B53" s="2" t="n">
        <v>52</v>
      </c>
      <c r="C53" s="4" t="n">
        <v>1.58635571869288E-006</v>
      </c>
    </row>
    <row r="54" customFormat="false" ht="13.8" hidden="false" customHeight="false" outlineLevel="0" collapsed="false">
      <c r="B54" s="2" t="n">
        <v>53</v>
      </c>
      <c r="C54" s="4" t="n">
        <v>1.5896109908427E-006</v>
      </c>
    </row>
    <row r="55" customFormat="false" ht="13.8" hidden="false" customHeight="false" outlineLevel="0" collapsed="false">
      <c r="B55" s="2" t="n">
        <v>54</v>
      </c>
      <c r="C55" s="4" t="n">
        <v>1.59118624207019E-006</v>
      </c>
    </row>
    <row r="56" customFormat="false" ht="13.8" hidden="false" customHeight="false" outlineLevel="0" collapsed="false">
      <c r="B56" s="2" t="n">
        <v>55</v>
      </c>
      <c r="C56" s="4" t="n">
        <v>1.59546961495284E-006</v>
      </c>
    </row>
    <row r="57" customFormat="false" ht="13.8" hidden="false" customHeight="false" outlineLevel="0" collapsed="false">
      <c r="B57" s="2" t="n">
        <v>56</v>
      </c>
      <c r="C57" s="4" t="n">
        <v>1.59865886012917E-006</v>
      </c>
    </row>
    <row r="58" customFormat="false" ht="13.8" hidden="false" customHeight="false" outlineLevel="0" collapsed="false">
      <c r="B58" s="2" t="n">
        <v>57</v>
      </c>
      <c r="C58" s="4" t="n">
        <v>1.60208394912232E-006</v>
      </c>
    </row>
    <row r="59" customFormat="false" ht="13.8" hidden="false" customHeight="false" outlineLevel="0" collapsed="false">
      <c r="B59" s="2" t="n">
        <v>58</v>
      </c>
      <c r="C59" s="4" t="n">
        <v>1.60512855391767E-006</v>
      </c>
    </row>
    <row r="60" customFormat="false" ht="13.8" hidden="false" customHeight="false" outlineLevel="0" collapsed="false">
      <c r="B60" s="2" t="n">
        <v>59</v>
      </c>
      <c r="C60" s="4" t="n">
        <v>1.60806806117467E-006</v>
      </c>
    </row>
    <row r="61" customFormat="false" ht="13.8" hidden="false" customHeight="false" outlineLevel="0" collapsed="false">
      <c r="B61" s="2" t="n">
        <v>60</v>
      </c>
      <c r="C61" s="4" t="n">
        <v>5.00025000250002E-005</v>
      </c>
    </row>
    <row r="62" customFormat="false" ht="13.8" hidden="false" customHeight="false" outlineLevel="0" collapsed="false">
      <c r="B62" s="2" t="n">
        <v>61</v>
      </c>
      <c r="C62" s="4" t="n">
        <v>5.0005000075001E-005</v>
      </c>
    </row>
    <row r="63" customFormat="false" ht="13.8" hidden="false" customHeight="false" outlineLevel="0" collapsed="false">
      <c r="B63" s="2" t="n">
        <v>62</v>
      </c>
      <c r="C63" s="4" t="n">
        <v>5.00075001500025E-005</v>
      </c>
    </row>
    <row r="64" customFormat="false" ht="13.8" hidden="false" customHeight="false" outlineLevel="0" collapsed="false">
      <c r="B64" s="2" t="n">
        <v>63</v>
      </c>
      <c r="C64" s="4" t="n">
        <v>5.0010000250005E-005</v>
      </c>
    </row>
    <row r="65" customFormat="false" ht="13.8" hidden="false" customHeight="false" outlineLevel="0" collapsed="false">
      <c r="B65" s="2" t="n">
        <v>64</v>
      </c>
      <c r="C65" s="4" t="n">
        <v>5.00125003750088E-005</v>
      </c>
    </row>
    <row r="66" customFormat="false" ht="13.8" hidden="false" customHeight="false" outlineLevel="0" collapsed="false">
      <c r="B66" s="2" t="n">
        <v>65</v>
      </c>
      <c r="C66" s="4" t="n">
        <v>5.0015000525014E-005</v>
      </c>
    </row>
    <row r="67" customFormat="false" ht="13.8" hidden="false" customHeight="false" outlineLevel="0" collapsed="false">
      <c r="B67" s="2" t="n">
        <v>66</v>
      </c>
      <c r="C67" s="4" t="n">
        <v>5.0017500700021E-005</v>
      </c>
    </row>
    <row r="68" customFormat="false" ht="13.8" hidden="false" customHeight="false" outlineLevel="0" collapsed="false">
      <c r="B68" s="2" t="n">
        <v>67</v>
      </c>
      <c r="C68" s="4" t="n">
        <v>5.00015112249194E-005</v>
      </c>
    </row>
    <row r="69" customFormat="false" ht="13.8" hidden="false" customHeight="false" outlineLevel="0" collapsed="false">
      <c r="B69" s="2" t="n">
        <v>68</v>
      </c>
      <c r="C69" s="4" t="n">
        <v>0.000608665523845484</v>
      </c>
    </row>
    <row r="70" customFormat="false" ht="13.8" hidden="false" customHeight="false" outlineLevel="0" collapsed="false">
      <c r="B70" s="2" t="n">
        <v>69</v>
      </c>
      <c r="C70" s="4" t="n">
        <v>0.000608668761648448</v>
      </c>
    </row>
    <row r="71" customFormat="false" ht="13.8" hidden="false" customHeight="false" outlineLevel="0" collapsed="false">
      <c r="B71" s="2" t="n">
        <v>70</v>
      </c>
      <c r="C71" s="4" t="n">
        <v>0.000608671999483766</v>
      </c>
    </row>
    <row r="72" customFormat="false" ht="13.8" hidden="false" customHeight="false" outlineLevel="0" collapsed="false">
      <c r="B72" s="2" t="n">
        <v>71</v>
      </c>
      <c r="C72" s="4" t="n">
        <v>0.000608675237351696</v>
      </c>
    </row>
    <row r="73" customFormat="false" ht="13.8" hidden="false" customHeight="false" outlineLevel="0" collapsed="false">
      <c r="B73" s="2" t="n">
        <v>72</v>
      </c>
      <c r="C73" s="4" t="n">
        <v>0.000608678475251928</v>
      </c>
    </row>
    <row r="74" customFormat="false" ht="13.8" hidden="false" customHeight="false" outlineLevel="0" collapsed="false">
      <c r="B74" s="2" t="n">
        <v>73</v>
      </c>
      <c r="C74" s="4" t="n">
        <v>0.000608681713184651</v>
      </c>
    </row>
    <row r="75" customFormat="false" ht="13.8" hidden="false" customHeight="false" outlineLevel="0" collapsed="false">
      <c r="B75" s="2" t="n">
        <v>74</v>
      </c>
      <c r="C75" s="4" t="n">
        <v>0.00060868495114972</v>
      </c>
    </row>
    <row r="76" customFormat="false" ht="13.8" hidden="false" customHeight="false" outlineLevel="0" collapsed="false">
      <c r="B76" s="2" t="n">
        <v>75</v>
      </c>
      <c r="C76" s="4" t="n">
        <v>0.000608688189147282</v>
      </c>
    </row>
    <row r="77" customFormat="false" ht="13.8" hidden="false" customHeight="false" outlineLevel="0" collapsed="false">
      <c r="B77" s="2" t="n">
        <v>76</v>
      </c>
      <c r="C77" s="4" t="n">
        <v>0.000608691427177313</v>
      </c>
    </row>
    <row r="78" customFormat="false" ht="13.8" hidden="false" customHeight="false" outlineLevel="0" collapsed="false">
      <c r="B78" s="2" t="n">
        <v>77</v>
      </c>
      <c r="C78" s="4" t="n">
        <v>0.000608694665239429</v>
      </c>
    </row>
    <row r="79" customFormat="false" ht="13.8" hidden="false" customHeight="false" outlineLevel="0" collapsed="false">
      <c r="B79" s="2" t="n">
        <v>78</v>
      </c>
      <c r="C79" s="4" t="n">
        <v>0.000608697903334178</v>
      </c>
    </row>
    <row r="80" customFormat="false" ht="13.8" hidden="false" customHeight="false" outlineLevel="0" collapsed="false">
      <c r="B80" s="2" t="n">
        <v>79</v>
      </c>
      <c r="C80" s="4" t="n">
        <v>0.000608701141461151</v>
      </c>
    </row>
    <row r="81" customFormat="false" ht="13.8" hidden="false" customHeight="false" outlineLevel="0" collapsed="false">
      <c r="B81" s="2" t="n">
        <v>80</v>
      </c>
      <c r="C81" s="4" t="n">
        <v>0.000608704379620739</v>
      </c>
    </row>
    <row r="82" customFormat="false" ht="13.8" hidden="false" customHeight="false" outlineLevel="0" collapsed="false">
      <c r="B82" s="2" t="n">
        <v>81</v>
      </c>
      <c r="C82" s="4" t="n">
        <v>0.000608707617812498</v>
      </c>
    </row>
    <row r="83" customFormat="false" ht="13.8" hidden="false" customHeight="false" outlineLevel="0" collapsed="false">
      <c r="B83" s="2" t="n">
        <v>82</v>
      </c>
      <c r="C83" s="4" t="n">
        <v>0.00060871085603679</v>
      </c>
    </row>
    <row r="84" customFormat="false" ht="13.8" hidden="false" customHeight="false" outlineLevel="0" collapsed="false">
      <c r="B84" s="2" t="n">
        <v>83</v>
      </c>
      <c r="C84" s="4" t="n">
        <v>0.000608714094293413</v>
      </c>
    </row>
    <row r="85" customFormat="false" ht="13.8" hidden="false" customHeight="false" outlineLevel="0" collapsed="false">
      <c r="B85" s="2" t="n">
        <v>84</v>
      </c>
      <c r="C85" s="4" t="n">
        <v>0.000608717332582423</v>
      </c>
    </row>
    <row r="86" customFormat="false" ht="13.8" hidden="false" customHeight="false" outlineLevel="0" collapsed="false">
      <c r="B86" s="2" t="n">
        <v>85</v>
      </c>
      <c r="C86" s="4" t="n">
        <v>0.000608720570903847</v>
      </c>
    </row>
    <row r="87" customFormat="false" ht="13.8" hidden="false" customHeight="false" outlineLevel="0" collapsed="false">
      <c r="B87" s="2" t="n">
        <v>86</v>
      </c>
      <c r="C87" s="4" t="n">
        <v>0.000608723809257673</v>
      </c>
    </row>
    <row r="88" customFormat="false" ht="13.8" hidden="false" customHeight="false" outlineLevel="0" collapsed="false">
      <c r="B88" s="2" t="n">
        <v>87</v>
      </c>
      <c r="C88" s="4" t="n">
        <v>0.000608727774010906</v>
      </c>
    </row>
    <row r="89" customFormat="false" ht="13.8" hidden="false" customHeight="false" outlineLevel="0" collapsed="false">
      <c r="B89" s="2" t="n">
        <v>88</v>
      </c>
      <c r="C89" s="4" t="n">
        <v>0.000608730286062428</v>
      </c>
    </row>
    <row r="90" customFormat="false" ht="13.8" hidden="false" customHeight="false" outlineLevel="0" collapsed="false">
      <c r="B90" s="2" t="n">
        <v>89</v>
      </c>
      <c r="C90" s="4" t="n">
        <v>0.000608734582254617</v>
      </c>
    </row>
    <row r="91" customFormat="false" ht="13.8" hidden="false" customHeight="false" outlineLevel="0" collapsed="false">
      <c r="B91" s="2" t="n">
        <v>90</v>
      </c>
      <c r="C91" s="4" t="n">
        <v>0.000608736687438126</v>
      </c>
    </row>
    <row r="92" customFormat="false" ht="13.8" hidden="false" customHeight="false" outlineLevel="0" collapsed="false">
      <c r="B92" s="2" t="n">
        <v>91</v>
      </c>
      <c r="C92" s="4" t="n">
        <v>0.000608740757038884</v>
      </c>
    </row>
    <row r="93" customFormat="false" ht="13.8" hidden="false" customHeight="false" outlineLevel="0" collapsed="false">
      <c r="B93" s="2" t="n">
        <v>92</v>
      </c>
      <c r="C93" s="4" t="n">
        <v>0.000608743844477329</v>
      </c>
    </row>
    <row r="94" customFormat="false" ht="13.8" hidden="false" customHeight="false" outlineLevel="0" collapsed="false">
      <c r="B94" s="2" t="n">
        <v>93</v>
      </c>
      <c r="C94" s="4" t="n">
        <v>0.000608746931946648</v>
      </c>
    </row>
    <row r="95" customFormat="false" ht="13.8" hidden="false" customHeight="false" outlineLevel="0" collapsed="false">
      <c r="B95" s="2" t="n">
        <v>94</v>
      </c>
      <c r="C95" s="4" t="n">
        <v>0.000608750019446842</v>
      </c>
    </row>
    <row r="96" customFormat="false" ht="13.8" hidden="false" customHeight="false" outlineLevel="0" collapsed="false">
      <c r="B96" s="2" t="n">
        <v>95</v>
      </c>
      <c r="C96" s="4" t="n">
        <v>0.000608752502536271</v>
      </c>
    </row>
    <row r="97" customFormat="false" ht="13.8" hidden="false" customHeight="false" outlineLevel="0" collapsed="false">
      <c r="B97" s="2" t="n">
        <v>96</v>
      </c>
      <c r="C97" s="4" t="n">
        <v>0.000608755665650769</v>
      </c>
    </row>
    <row r="98" customFormat="false" ht="13.8" hidden="false" customHeight="false" outlineLevel="0" collapsed="false">
      <c r="B98" s="2" t="n">
        <v>97</v>
      </c>
      <c r="C98" s="4" t="n">
        <v>0.000608759282132679</v>
      </c>
    </row>
    <row r="99" customFormat="false" ht="13.8" hidden="false" customHeight="false" outlineLevel="0" collapsed="false">
      <c r="B99" s="2" t="n">
        <v>98</v>
      </c>
      <c r="C99" s="4" t="n">
        <v>0.000608762369756376</v>
      </c>
    </row>
    <row r="100" customFormat="false" ht="13.8" hidden="false" customHeight="false" outlineLevel="0" collapsed="false">
      <c r="B100" s="2" t="n">
        <v>99</v>
      </c>
      <c r="C100" s="4" t="n">
        <v>0.00060876545741095</v>
      </c>
    </row>
    <row r="101" customFormat="false" ht="13.8" hidden="false" customHeight="false" outlineLevel="0" collapsed="false">
      <c r="B101" s="2" t="n">
        <v>100</v>
      </c>
      <c r="C101" s="4" t="n">
        <v>0.000608768318425101</v>
      </c>
    </row>
    <row r="102" customFormat="false" ht="13.8" hidden="false" customHeight="false" outlineLevel="0" collapsed="false">
      <c r="B102" s="2" t="n">
        <v>101</v>
      </c>
      <c r="C102" s="4" t="n">
        <v>0.00060877163281273</v>
      </c>
    </row>
    <row r="103" customFormat="false" ht="13.8" hidden="false" customHeight="false" outlineLevel="0" collapsed="false">
      <c r="B103" s="2" t="n">
        <v>102</v>
      </c>
      <c r="C103" s="4" t="n">
        <v>0.000608774720559935</v>
      </c>
    </row>
    <row r="104" customFormat="false" ht="13.8" hidden="false" customHeight="false" outlineLevel="0" collapsed="false">
      <c r="B104" s="2" t="n">
        <v>103</v>
      </c>
      <c r="C104" s="4" t="n">
        <v>0.000608777808338018</v>
      </c>
    </row>
    <row r="105" customFormat="false" ht="13.8" hidden="false" customHeight="false" outlineLevel="0" collapsed="false">
      <c r="B105" s="2" t="n">
        <v>104</v>
      </c>
      <c r="C105" s="4" t="n">
        <v>0.000608781389297803</v>
      </c>
    </row>
    <row r="106" customFormat="false" ht="13.8" hidden="false" customHeight="false" outlineLevel="0" collapsed="false">
      <c r="B106" s="2" t="n">
        <v>105</v>
      </c>
      <c r="C106" s="4" t="n">
        <v>0.00060878398398682</v>
      </c>
    </row>
    <row r="107" customFormat="false" ht="13.8" hidden="false" customHeight="false" outlineLevel="0" collapsed="false">
      <c r="B107" s="2" t="n">
        <v>106</v>
      </c>
      <c r="C107" s="4" t="n">
        <v>0.000608787071857538</v>
      </c>
    </row>
    <row r="108" customFormat="false" ht="13.8" hidden="false" customHeight="false" outlineLevel="0" collapsed="false">
      <c r="B108" s="2" t="n">
        <v>107</v>
      </c>
      <c r="C108" s="4" t="n">
        <v>0.000608790159759136</v>
      </c>
    </row>
    <row r="109" customFormat="false" ht="13.8" hidden="false" customHeight="false" outlineLevel="0" collapsed="false">
      <c r="B109" s="2" t="n">
        <v>108</v>
      </c>
      <c r="C109" s="4" t="n">
        <v>0.000608793247691613</v>
      </c>
    </row>
    <row r="110" customFormat="false" ht="13.8" hidden="false" customHeight="false" outlineLevel="0" collapsed="false">
      <c r="B110" s="2" t="n">
        <v>109</v>
      </c>
      <c r="C110" s="4" t="n">
        <v>0.000608796335654969</v>
      </c>
    </row>
    <row r="111" customFormat="false" ht="13.8" hidden="false" customHeight="false" outlineLevel="0" collapsed="false">
      <c r="B111" s="2" t="n">
        <v>110</v>
      </c>
      <c r="C111" s="4" t="n">
        <v>0.000608802875808529</v>
      </c>
    </row>
    <row r="112" customFormat="false" ht="13.8" hidden="false" customHeight="false" outlineLevel="0" collapsed="false">
      <c r="B112" s="2" t="n">
        <v>111</v>
      </c>
      <c r="C112" s="4" t="n">
        <v>0.000608806457018991</v>
      </c>
    </row>
    <row r="113" customFormat="false" ht="13.8" hidden="false" customHeight="false" outlineLevel="0" collapsed="false">
      <c r="B113" s="2" t="n">
        <v>112</v>
      </c>
      <c r="C113" s="4" t="n">
        <v>0.000608810038265264</v>
      </c>
    </row>
    <row r="114" customFormat="false" ht="13.8" hidden="false" customHeight="false" outlineLevel="0" collapsed="false">
      <c r="B114" s="2" t="n">
        <v>113</v>
      </c>
      <c r="C114" s="4" t="n">
        <v>0.000608813619547351</v>
      </c>
    </row>
    <row r="115" customFormat="false" ht="13.8" hidden="false" customHeight="false" outlineLevel="0" collapsed="false">
      <c r="B115" s="2" t="n">
        <v>114</v>
      </c>
      <c r="C115" s="4" t="n">
        <v>0.00060881720086525</v>
      </c>
    </row>
    <row r="116" customFormat="false" ht="13.8" hidden="false" customHeight="false" outlineLevel="0" collapsed="false">
      <c r="B116" s="2" t="n">
        <v>115</v>
      </c>
      <c r="C116" s="4" t="n">
        <v>0.000608820782218964</v>
      </c>
    </row>
    <row r="117" customFormat="false" ht="13.8" hidden="false" customHeight="false" outlineLevel="0" collapsed="false">
      <c r="B117" s="2" t="n">
        <v>116</v>
      </c>
      <c r="C117" s="4" t="n">
        <v>0.000608824363608491</v>
      </c>
    </row>
    <row r="118" customFormat="false" ht="13.8" hidden="false" customHeight="false" outlineLevel="0" collapsed="false">
      <c r="B118" s="2" t="n">
        <v>117</v>
      </c>
      <c r="C118" s="4" t="n">
        <v>0.000608827945033832</v>
      </c>
    </row>
    <row r="119" customFormat="false" ht="13.8" hidden="false" customHeight="false" outlineLevel="0" collapsed="false">
      <c r="B119" s="2" t="n">
        <v>118</v>
      </c>
      <c r="C119" s="4" t="n">
        <v>0.000608831526494988</v>
      </c>
    </row>
    <row r="120" customFormat="false" ht="13.8" hidden="false" customHeight="false" outlineLevel="0" collapsed="false">
      <c r="B120" s="2" t="n">
        <v>119</v>
      </c>
      <c r="C120" s="4" t="n">
        <v>0.000608835107991958</v>
      </c>
    </row>
    <row r="121" customFormat="false" ht="13.8" hidden="false" customHeight="false" outlineLevel="0" collapsed="false">
      <c r="B121" s="2" t="n">
        <v>120</v>
      </c>
      <c r="C121" s="4" t="n">
        <v>0.000608838689524745</v>
      </c>
    </row>
    <row r="122" customFormat="false" ht="13.8" hidden="false" customHeight="false" outlineLevel="0" collapsed="false">
      <c r="B122" s="2" t="n">
        <v>121</v>
      </c>
      <c r="C122" s="4" t="n">
        <v>0.000608842271093346</v>
      </c>
    </row>
    <row r="123" customFormat="false" ht="13.8" hidden="false" customHeight="false" outlineLevel="0" collapsed="false">
      <c r="B123" s="2" t="n">
        <v>122</v>
      </c>
      <c r="C123" s="4" t="n">
        <v>0.000608869487599446</v>
      </c>
    </row>
    <row r="124" customFormat="false" ht="13.8" hidden="false" customHeight="false" outlineLevel="0" collapsed="false">
      <c r="B124" s="2" t="n">
        <v>123</v>
      </c>
      <c r="C124" s="4" t="n">
        <v>5E-005</v>
      </c>
    </row>
    <row r="125" customFormat="false" ht="13.8" hidden="false" customHeight="false" outlineLevel="0" collapsed="false">
      <c r="B125" s="2" t="n">
        <v>124</v>
      </c>
      <c r="C125" s="4" t="n">
        <v>0.00060864506175926</v>
      </c>
    </row>
    <row r="126" customFormat="false" ht="13.8" hidden="false" customHeight="false" outlineLevel="0" collapsed="false">
      <c r="B126" s="2" t="n">
        <v>125</v>
      </c>
      <c r="C126" s="4" t="n">
        <v>5E-005</v>
      </c>
    </row>
    <row r="127" customFormat="false" ht="13.8" hidden="false" customHeight="false" outlineLevel="0" collapsed="false">
      <c r="B127" s="2" t="n">
        <v>126</v>
      </c>
      <c r="C127" s="4" t="n">
        <v>5E-005</v>
      </c>
    </row>
    <row r="128" customFormat="false" ht="13.8" hidden="false" customHeight="false" outlineLevel="0" collapsed="false">
      <c r="B128" s="2" t="n">
        <v>127</v>
      </c>
      <c r="C128" s="4" t="n">
        <v>-5E-005</v>
      </c>
    </row>
    <row r="129" customFormat="false" ht="13.8" hidden="false" customHeight="false" outlineLevel="0" collapsed="false">
      <c r="B129" s="2" t="n">
        <v>128</v>
      </c>
      <c r="C129" s="4" t="n">
        <v>5E-005</v>
      </c>
    </row>
    <row r="130" customFormat="false" ht="13.8" hidden="false" customHeight="false" outlineLevel="0" collapsed="false">
      <c r="B130" s="2" t="n">
        <v>129</v>
      </c>
      <c r="C130" s="4" t="n">
        <v>5E-005</v>
      </c>
    </row>
    <row r="131" customFormat="false" ht="13.8" hidden="false" customHeight="false" outlineLevel="0" collapsed="false">
      <c r="B131" s="2" t="n">
        <v>130</v>
      </c>
      <c r="C131" s="4" t="n">
        <v>-5E-005</v>
      </c>
    </row>
    <row r="132" customFormat="false" ht="13.8" hidden="false" customHeight="false" outlineLevel="0" collapsed="false">
      <c r="B132" s="2" t="n">
        <v>131</v>
      </c>
      <c r="C132" s="4" t="n">
        <v>-4.99974999749998E-005</v>
      </c>
    </row>
    <row r="133" customFormat="false" ht="13.8" hidden="false" customHeight="false" outlineLevel="0" collapsed="false">
      <c r="B133" s="2" t="n">
        <v>132</v>
      </c>
      <c r="C133" s="4" t="n">
        <v>5E-005</v>
      </c>
    </row>
    <row r="134" customFormat="false" ht="13.8" hidden="false" customHeight="false" outlineLevel="0" collapsed="false">
      <c r="B134" s="2" t="n">
        <v>133</v>
      </c>
      <c r="C134" s="4" t="n">
        <v>-4.99885083632011E-005</v>
      </c>
    </row>
    <row r="135" customFormat="false" ht="13.8" hidden="false" customHeight="false" outlineLevel="0" collapsed="false">
      <c r="B135" s="2" t="n">
        <v>134</v>
      </c>
      <c r="C135" s="4" t="n">
        <v>5E-005</v>
      </c>
    </row>
    <row r="136" customFormat="false" ht="13.8" hidden="false" customHeight="false" outlineLevel="0" collapsed="false">
      <c r="B136" s="2" t="n">
        <v>135</v>
      </c>
      <c r="C136" s="4" t="n">
        <v>-5E-005</v>
      </c>
    </row>
    <row r="137" customFormat="false" ht="13.8" hidden="false" customHeight="false" outlineLevel="0" collapsed="false">
      <c r="B137" s="2" t="n">
        <v>136</v>
      </c>
      <c r="C137" s="4" t="n">
        <v>-4.99942541528712E-005</v>
      </c>
    </row>
    <row r="138" customFormat="false" ht="13.8" hidden="false" customHeight="false" outlineLevel="0" collapsed="false">
      <c r="B138" s="2" t="n">
        <v>137</v>
      </c>
      <c r="C138" s="4" t="n">
        <v>-4.99984888200579E-005</v>
      </c>
    </row>
    <row r="139" customFormat="false" ht="13.8" hidden="false" customHeight="false" outlineLevel="0" collapsed="false">
      <c r="B139" s="2" t="n">
        <v>138</v>
      </c>
      <c r="C139" s="4" t="n">
        <v>-4.99974999749998E-005</v>
      </c>
    </row>
    <row r="140" customFormat="false" ht="13.8" hidden="false" customHeight="false" outlineLevel="0" collapsed="false">
      <c r="B140" s="2" t="n">
        <v>139</v>
      </c>
      <c r="C140" s="4" t="n">
        <v>-4.99890236375843E-005</v>
      </c>
    </row>
    <row r="141" customFormat="false" ht="13.8" hidden="false" customHeight="false" outlineLevel="0" collapsed="false">
      <c r="B141" s="2" t="n">
        <v>140</v>
      </c>
      <c r="C141" s="4" t="n">
        <v>-4.99962219934746E-005</v>
      </c>
    </row>
    <row r="142" customFormat="false" ht="13.8" hidden="false" customHeight="false" outlineLevel="0" collapsed="false">
      <c r="B142" s="2" t="n">
        <v>141</v>
      </c>
      <c r="C142" s="4" t="n">
        <v>-4.9995715151058E-005</v>
      </c>
    </row>
    <row r="143" customFormat="false" ht="13.8" hidden="false" customHeight="false" outlineLevel="0" collapsed="false">
      <c r="B143" s="2" t="n">
        <v>142</v>
      </c>
      <c r="C143" s="4" t="n">
        <v>-4.99947107379716E-005</v>
      </c>
    </row>
    <row r="144" customFormat="false" ht="13.8" hidden="false" customHeight="false" outlineLevel="0" collapsed="false">
      <c r="B144" s="2" t="n">
        <v>143</v>
      </c>
      <c r="C144" s="4" t="n">
        <v>-4.99942038804421E-005</v>
      </c>
    </row>
    <row r="145" customFormat="false" ht="13.8" hidden="false" customHeight="false" outlineLevel="0" collapsed="false">
      <c r="B145" s="2" t="n">
        <v>144</v>
      </c>
      <c r="C145" s="4" t="n">
        <v>-4.99931994522431E-005</v>
      </c>
    </row>
    <row r="146" customFormat="false" ht="13.8" hidden="false" customHeight="false" outlineLevel="0" collapsed="false">
      <c r="B146" s="2" t="n">
        <v>145</v>
      </c>
      <c r="C146" s="4" t="n">
        <v>-4.99924437980441E-005</v>
      </c>
    </row>
    <row r="147" customFormat="false" ht="13.8" hidden="false" customHeight="false" outlineLevel="0" collapsed="false">
      <c r="B147" s="2" t="n">
        <v>146</v>
      </c>
      <c r="C147" s="4" t="n">
        <v>-4.99909325500954E-005</v>
      </c>
    </row>
    <row r="148" customFormat="false" ht="13.8" hidden="false" customHeight="false" outlineLevel="0" collapsed="false">
      <c r="B148" s="2" t="n">
        <v>147</v>
      </c>
      <c r="C148" s="4" t="n">
        <v>-4.99914300325768E-005</v>
      </c>
    </row>
    <row r="149" customFormat="false" ht="13.8" hidden="false" customHeight="false" outlineLevel="0" collapsed="false">
      <c r="B149" s="2" t="n">
        <v>148</v>
      </c>
      <c r="C149" s="4" t="n">
        <v>-4.99906743557076E-005</v>
      </c>
    </row>
    <row r="150" customFormat="false" ht="13.8" hidden="false" customHeight="false" outlineLevel="0" collapsed="false">
      <c r="B150" s="2" t="n">
        <v>149</v>
      </c>
      <c r="C150" s="4" t="n">
        <v>-4.9990167457814E-005</v>
      </c>
    </row>
    <row r="151" customFormat="false" ht="13.8" hidden="false" customHeight="false" outlineLevel="0" collapsed="false">
      <c r="B151" s="2" t="n">
        <v>150</v>
      </c>
      <c r="C151" s="4" t="n">
        <v>-4.99896605548516E-005</v>
      </c>
    </row>
    <row r="152" customFormat="false" ht="13.8" hidden="false" customHeight="false" outlineLevel="0" collapsed="false">
      <c r="B152" s="2" t="n">
        <v>151</v>
      </c>
      <c r="C152" s="4" t="n">
        <v>-4.99874996249912E-005</v>
      </c>
    </row>
    <row r="153" customFormat="false" ht="13.8" hidden="false" customHeight="false" outlineLevel="0" collapsed="false">
      <c r="B153" s="2" t="n">
        <v>152</v>
      </c>
      <c r="C153" s="4" t="n">
        <v>5.00001888964471E-005</v>
      </c>
    </row>
    <row r="154" customFormat="false" ht="13.8" hidden="false" customHeight="false" outlineLevel="0" collapsed="false">
      <c r="B154" s="2" t="n">
        <v>153</v>
      </c>
      <c r="C154" s="4" t="n">
        <v>-4.99523111337319E-005</v>
      </c>
    </row>
    <row r="155" customFormat="false" ht="13.8" hidden="false" customHeight="false" outlineLevel="0" collapsed="false">
      <c r="B155" s="2" t="n">
        <v>154</v>
      </c>
      <c r="C155" s="4" t="n">
        <v>-4.997999909997E-005</v>
      </c>
    </row>
    <row r="156" customFormat="false" ht="13.8" hidden="false" customHeight="false" outlineLevel="0" collapsed="false">
      <c r="B156" s="2" t="n">
        <v>155</v>
      </c>
      <c r="C156" s="4" t="n">
        <v>-4.99774988749588E-005</v>
      </c>
    </row>
    <row r="157" customFormat="false" ht="13.8" hidden="false" customHeight="false" outlineLevel="0" collapsed="false">
      <c r="B157" s="2" t="n">
        <v>156</v>
      </c>
      <c r="C157" s="4" t="n">
        <v>-4.9974998624945E-005</v>
      </c>
    </row>
    <row r="158" customFormat="false" ht="13.8" hidden="false" customHeight="false" outlineLevel="0" collapsed="false">
      <c r="B158" s="2" t="n">
        <v>157</v>
      </c>
      <c r="C158" s="4" t="n">
        <v>5E-005</v>
      </c>
    </row>
    <row r="159" customFormat="false" ht="13.8" hidden="false" customHeight="false" outlineLevel="0" collapsed="false">
      <c r="B159" s="2" t="n">
        <v>158</v>
      </c>
      <c r="C159" s="4" t="n">
        <v>5.0030001950091E-005</v>
      </c>
    </row>
    <row r="160" customFormat="false" ht="13.8" hidden="false" customHeight="false" outlineLevel="0" collapsed="false">
      <c r="B160" s="2" t="n">
        <v>159</v>
      </c>
      <c r="C160" s="4" t="n">
        <v>-4.99674977248863E-005</v>
      </c>
    </row>
    <row r="161" customFormat="false" ht="13.8" hidden="false" customHeight="false" outlineLevel="0" collapsed="false">
      <c r="B161" s="2" t="n">
        <v>160</v>
      </c>
      <c r="C161" s="4" t="n">
        <v>5.00350026251399E-005</v>
      </c>
    </row>
    <row r="162" customFormat="false" ht="13.8" hidden="false" customHeight="false" outlineLevel="0" collapsed="false">
      <c r="B162" s="2" t="n">
        <v>161</v>
      </c>
      <c r="C162" s="4" t="n">
        <v>-4.99624969998301E-005</v>
      </c>
    </row>
    <row r="163" customFormat="false" ht="13.8" hidden="false" customHeight="false" outlineLevel="0" collapsed="false">
      <c r="B163" s="2" t="n">
        <v>162</v>
      </c>
      <c r="C163" s="4" t="n">
        <v>5.00400034002039E-005</v>
      </c>
    </row>
    <row r="164" customFormat="false" ht="13.8" hidden="false" customHeight="false" outlineLevel="0" collapsed="false">
      <c r="B164" s="2" t="n">
        <v>163</v>
      </c>
      <c r="C164" s="4" t="n">
        <v>5.00425038252421E-005</v>
      </c>
    </row>
    <row r="165" customFormat="false" ht="13.8" hidden="false" customHeight="false" outlineLevel="0" collapsed="false">
      <c r="B165" s="2" t="n">
        <v>164</v>
      </c>
      <c r="C165" s="4" t="n">
        <v>5.00450042752849E-005</v>
      </c>
    </row>
    <row r="166" customFormat="false" ht="13.8" hidden="false" customHeight="false" outlineLevel="0" collapsed="false">
      <c r="B166" s="2" t="n">
        <v>165</v>
      </c>
      <c r="C166" s="4" t="n">
        <v>5.00475047503324E-005</v>
      </c>
    </row>
    <row r="167" customFormat="false" ht="13.8" hidden="false" customHeight="false" outlineLevel="0" collapsed="false">
      <c r="B167" s="2" t="n">
        <v>166</v>
      </c>
      <c r="C167" s="4" t="n">
        <v>0.000608692537941899</v>
      </c>
    </row>
    <row r="168" customFormat="false" ht="13.8" hidden="false" customHeight="false" outlineLevel="0" collapsed="false">
      <c r="B168" s="2" t="n">
        <v>167</v>
      </c>
      <c r="C168" s="4" t="n">
        <v>0.000608703095809554</v>
      </c>
    </row>
    <row r="169" customFormat="false" ht="13.8" hidden="false" customHeight="false" outlineLevel="0" collapsed="false">
      <c r="B169" s="2" t="n">
        <v>168</v>
      </c>
      <c r="C169" s="4" t="n">
        <v>0.000608706258428892</v>
      </c>
    </row>
    <row r="170" customFormat="false" ht="13.8" hidden="false" customHeight="false" outlineLevel="0" collapsed="false">
      <c r="B170" s="2" t="n">
        <v>169</v>
      </c>
      <c r="C170" s="4" t="n">
        <v>0.000608709421081732</v>
      </c>
    </row>
    <row r="171" customFormat="false" ht="13.8" hidden="false" customHeight="false" outlineLevel="0" collapsed="false">
      <c r="B171" s="2" t="n">
        <v>170</v>
      </c>
      <c r="C171" s="4" t="n">
        <v>0.000608712583764349</v>
      </c>
    </row>
    <row r="172" customFormat="false" ht="13.8" hidden="false" customHeight="false" outlineLevel="0" collapsed="false">
      <c r="B172" s="2" t="n">
        <v>171</v>
      </c>
      <c r="C172" s="4" t="n">
        <v>0.000608715746481134</v>
      </c>
    </row>
    <row r="173" customFormat="false" ht="13.8" hidden="false" customHeight="false" outlineLevel="0" collapsed="false">
      <c r="B173" s="2" t="n">
        <v>172</v>
      </c>
      <c r="C173" s="4" t="n">
        <v>0.000608718909226918</v>
      </c>
    </row>
    <row r="174" customFormat="false" ht="13.8" hidden="false" customHeight="false" outlineLevel="0" collapsed="false">
      <c r="B174" s="2" t="n">
        <v>173</v>
      </c>
      <c r="C174" s="4" t="n">
        <v>0.000608721996447535</v>
      </c>
    </row>
    <row r="175" customFormat="false" ht="13.8" hidden="false" customHeight="false" outlineLevel="0" collapsed="false">
      <c r="B175" s="2" t="n">
        <v>174</v>
      </c>
      <c r="C175" s="4" t="n">
        <v>0.000608725234815109</v>
      </c>
    </row>
    <row r="176" customFormat="false" ht="13.8" hidden="false" customHeight="false" outlineLevel="0" collapsed="false">
      <c r="B176" s="2" t="n">
        <v>175</v>
      </c>
      <c r="C176" s="4" t="n">
        <v>0.000608728397657258</v>
      </c>
    </row>
    <row r="177" customFormat="false" ht="13.8" hidden="false" customHeight="false" outlineLevel="0" collapsed="false">
      <c r="B177" s="2" t="n">
        <v>176</v>
      </c>
      <c r="C177" s="4" t="n">
        <v>0.000608731560530274</v>
      </c>
    </row>
    <row r="178" customFormat="false" ht="13.8" hidden="false" customHeight="false" outlineLevel="0" collapsed="false">
      <c r="B178" s="2" t="n">
        <v>177</v>
      </c>
      <c r="C178" s="4" t="n">
        <v>0.000608734723435498</v>
      </c>
    </row>
    <row r="179" customFormat="false" ht="13.8" hidden="false" customHeight="false" outlineLevel="0" collapsed="false">
      <c r="B179" s="2" t="n">
        <v>178</v>
      </c>
      <c r="C179" s="4" t="n">
        <v>0.000608737886371999</v>
      </c>
    </row>
    <row r="180" customFormat="false" ht="13.8" hidden="false" customHeight="false" outlineLevel="0" collapsed="false">
      <c r="B180" s="2" t="n">
        <v>179</v>
      </c>
      <c r="C180" s="4" t="n">
        <v>0.000608741049340505</v>
      </c>
    </row>
    <row r="181" customFormat="false" ht="13.8" hidden="false" customHeight="false" outlineLevel="0" collapsed="false">
      <c r="B181" s="2" t="n">
        <v>180</v>
      </c>
      <c r="C181" s="4" t="n">
        <v>0.000608744212340346</v>
      </c>
    </row>
    <row r="182" customFormat="false" ht="13.8" hidden="false" customHeight="false" outlineLevel="0" collapsed="false">
      <c r="B182" s="2" t="n">
        <v>181</v>
      </c>
      <c r="C182" s="4" t="n">
        <v>0.000608747375372122</v>
      </c>
    </row>
    <row r="183" customFormat="false" ht="13.8" hidden="false" customHeight="false" outlineLevel="0" collapsed="false">
      <c r="B183" s="2" t="n">
        <v>182</v>
      </c>
      <c r="C183" s="4" t="n">
        <v>0.000608750538435331</v>
      </c>
    </row>
    <row r="184" customFormat="false" ht="13.8" hidden="false" customHeight="false" outlineLevel="0" collapsed="false">
      <c r="B184" s="2" t="n">
        <v>183</v>
      </c>
      <c r="C184" s="4" t="n">
        <v>0.000608753701530338</v>
      </c>
    </row>
    <row r="185" customFormat="false" ht="13.8" hidden="false" customHeight="false" outlineLevel="0" collapsed="false">
      <c r="B185" s="2" t="n">
        <v>184</v>
      </c>
      <c r="C185" s="4" t="n">
        <v>0.00060875686465721</v>
      </c>
    </row>
    <row r="186" customFormat="false" ht="13.8" hidden="false" customHeight="false" outlineLevel="0" collapsed="false">
      <c r="B186" s="2" t="n">
        <v>185</v>
      </c>
      <c r="C186" s="4" t="n">
        <v>0.000608760027814465</v>
      </c>
    </row>
    <row r="187" customFormat="false" ht="13.8" hidden="false" customHeight="false" outlineLevel="0" collapsed="false">
      <c r="B187" s="2" t="n">
        <v>186</v>
      </c>
      <c r="C187" s="4" t="n">
        <v>0.000608763191004839</v>
      </c>
    </row>
    <row r="188" customFormat="false" ht="13.8" hidden="false" customHeight="false" outlineLevel="0" collapsed="false">
      <c r="B188" s="2" t="n">
        <v>187</v>
      </c>
      <c r="C188" s="4" t="n">
        <v>0.0006087663542258</v>
      </c>
    </row>
    <row r="189" customFormat="false" ht="13.8" hidden="false" customHeight="false" outlineLevel="0" collapsed="false">
      <c r="B189" s="2" t="n">
        <v>188</v>
      </c>
      <c r="C189" s="4" t="n">
        <v>0.000608769517478644</v>
      </c>
    </row>
    <row r="190" customFormat="false" ht="13.8" hidden="false" customHeight="false" outlineLevel="0" collapsed="false">
      <c r="B190" s="2" t="n">
        <v>189</v>
      </c>
      <c r="C190" s="4" t="n">
        <v>0.000608772680763462</v>
      </c>
    </row>
    <row r="191" customFormat="false" ht="13.8" hidden="false" customHeight="false" outlineLevel="0" collapsed="false">
      <c r="B191" s="2" t="n">
        <v>190</v>
      </c>
      <c r="C191" s="4" t="n">
        <v>0.000608775844079817</v>
      </c>
    </row>
    <row r="192" customFormat="false" ht="13.8" hidden="false" customHeight="false" outlineLevel="0" collapsed="false">
      <c r="B192" s="2" t="n">
        <v>191</v>
      </c>
      <c r="C192" s="4" t="n">
        <v>0.000608779007429139</v>
      </c>
    </row>
    <row r="193" customFormat="false" ht="13.8" hidden="false" customHeight="false" outlineLevel="0" collapsed="false">
      <c r="B193" s="2" t="n">
        <v>192</v>
      </c>
      <c r="C193" s="4" t="n">
        <v>0.000608782170807421</v>
      </c>
    </row>
    <row r="194" customFormat="false" ht="13.8" hidden="false" customHeight="false" outlineLevel="0" collapsed="false">
      <c r="B194" s="2" t="n">
        <v>193</v>
      </c>
      <c r="C194" s="4" t="n">
        <v>0.000608785334221375</v>
      </c>
    </row>
    <row r="195" customFormat="false" ht="13.8" hidden="false" customHeight="false" outlineLevel="0" collapsed="false">
      <c r="B195" s="2" t="n">
        <v>194</v>
      </c>
      <c r="C195" s="4" t="n">
        <v>0.000608788497661702</v>
      </c>
    </row>
    <row r="196" customFormat="false" ht="13.8" hidden="false" customHeight="false" outlineLevel="0" collapsed="false">
      <c r="B196" s="2" t="n">
        <v>195</v>
      </c>
      <c r="C196" s="4" t="n">
        <v>0.000608791661135472</v>
      </c>
    </row>
    <row r="197" customFormat="false" ht="13.8" hidden="false" customHeight="false" outlineLevel="0" collapsed="false">
      <c r="B197" s="2" t="n">
        <v>196</v>
      </c>
      <c r="C197" s="4" t="n">
        <v>0.000608805675117037</v>
      </c>
    </row>
    <row r="198" customFormat="false" ht="13.8" hidden="false" customHeight="false" outlineLevel="0" collapsed="false">
      <c r="B198" s="2" t="n">
        <v>197</v>
      </c>
      <c r="C198" s="4" t="n">
        <v>0.000608796638768312</v>
      </c>
    </row>
    <row r="199" customFormat="false" ht="13.8" hidden="false" customHeight="false" outlineLevel="0" collapsed="false">
      <c r="B199" s="2" t="n">
        <v>198</v>
      </c>
      <c r="C199" s="4" t="n">
        <v>0.000608812988746449</v>
      </c>
    </row>
    <row r="200" customFormat="false" ht="13.8" hidden="false" customHeight="false" outlineLevel="0" collapsed="false">
      <c r="B200" s="2" t="n">
        <v>199</v>
      </c>
      <c r="C200" s="4" t="n">
        <v>0.000608816645604464</v>
      </c>
    </row>
    <row r="201" customFormat="false" ht="13.8" hidden="false" customHeight="false" outlineLevel="0" collapsed="false">
      <c r="B201" s="2" t="n">
        <v>200</v>
      </c>
      <c r="C201" s="4" t="n">
        <v>0.000608820302520953</v>
      </c>
    </row>
    <row r="202" customFormat="false" ht="13.8" hidden="false" customHeight="false" outlineLevel="0" collapsed="false">
      <c r="B202" s="2" t="n">
        <v>201</v>
      </c>
      <c r="C202" s="4" t="n">
        <v>0.00060882395945236</v>
      </c>
    </row>
    <row r="203" customFormat="false" ht="13.8" hidden="false" customHeight="false" outlineLevel="0" collapsed="false">
      <c r="B203" s="2" t="n">
        <v>202</v>
      </c>
      <c r="C203" s="4" t="n">
        <v>0.000608827616443749</v>
      </c>
    </row>
    <row r="204" customFormat="false" ht="13.8" hidden="false" customHeight="false" outlineLevel="0" collapsed="false">
      <c r="B204" s="2" t="n">
        <v>203</v>
      </c>
      <c r="C204" s="4" t="n">
        <v>0.000608831273460025</v>
      </c>
    </row>
    <row r="205" customFormat="false" ht="13.8" hidden="false" customHeight="false" outlineLevel="0" collapsed="false">
      <c r="B205" s="2" t="n">
        <v>204</v>
      </c>
      <c r="C205" s="4" t="n">
        <v>0.000608834930501817</v>
      </c>
    </row>
    <row r="206" customFormat="false" ht="13.8" hidden="false" customHeight="false" outlineLevel="0" collapsed="false">
      <c r="B206" s="2" t="n">
        <v>205</v>
      </c>
      <c r="C206" s="4" t="n">
        <v>0.000608820547482288</v>
      </c>
    </row>
    <row r="207" customFormat="false" ht="13.8" hidden="false" customHeight="false" outlineLevel="0" collapsed="false">
      <c r="B207" s="2" t="n">
        <v>206</v>
      </c>
      <c r="C207" s="4" t="n">
        <v>0.000608842244717316</v>
      </c>
    </row>
    <row r="208" customFormat="false" ht="13.8" hidden="false" customHeight="false" outlineLevel="0" collapsed="false">
      <c r="B208" s="2" t="n">
        <v>207</v>
      </c>
      <c r="C208" s="4" t="n">
        <v>0.000608845901885752</v>
      </c>
    </row>
    <row r="209" customFormat="false" ht="13.8" hidden="false" customHeight="false" outlineLevel="0" collapsed="false">
      <c r="B209" s="2" t="n">
        <v>208</v>
      </c>
      <c r="C209" s="4" t="n">
        <v>0.00060884955907903</v>
      </c>
    </row>
    <row r="210" customFormat="false" ht="13.8" hidden="false" customHeight="false" outlineLevel="0" collapsed="false">
      <c r="B210" s="2" t="n">
        <v>209</v>
      </c>
      <c r="C210" s="4" t="n">
        <v>0.000608853216319746</v>
      </c>
    </row>
    <row r="211" customFormat="false" ht="13.8" hidden="false" customHeight="false" outlineLevel="0" collapsed="false">
      <c r="B211" s="2" t="n">
        <v>210</v>
      </c>
      <c r="C211" s="4" t="n">
        <v>0.000608856873587969</v>
      </c>
    </row>
    <row r="212" customFormat="false" ht="13.8" hidden="false" customHeight="false" outlineLevel="0" collapsed="false">
      <c r="B212" s="2" t="n">
        <v>211</v>
      </c>
      <c r="C212" s="4" t="n">
        <v>0.000608860530896832</v>
      </c>
    </row>
    <row r="213" customFormat="false" ht="13.8" hidden="false" customHeight="false" outlineLevel="0" collapsed="false">
      <c r="B213" s="2" t="n">
        <v>212</v>
      </c>
      <c r="C213" s="4" t="n">
        <v>0.000608864188241324</v>
      </c>
    </row>
    <row r="214" customFormat="false" ht="13.8" hidden="false" customHeight="false" outlineLevel="0" collapsed="false">
      <c r="B214" s="2" t="n">
        <v>213</v>
      </c>
      <c r="C214" s="4" t="n">
        <v>0.000608867845623096</v>
      </c>
    </row>
    <row r="215" customFormat="false" ht="13.8" hidden="false" customHeight="false" outlineLevel="0" collapsed="false">
      <c r="B215" s="2" t="n">
        <v>214</v>
      </c>
      <c r="C215" s="4" t="n">
        <v>0.000608847447071896</v>
      </c>
    </row>
    <row r="216" customFormat="false" ht="13.8" hidden="false" customHeight="false" outlineLevel="0" collapsed="false">
      <c r="B216" s="2" t="n">
        <v>215</v>
      </c>
      <c r="C216" s="4" t="n">
        <v>0.000608875160496809</v>
      </c>
    </row>
    <row r="217" customFormat="false" ht="13.8" hidden="false" customHeight="false" outlineLevel="0" collapsed="false">
      <c r="B217" s="2" t="n">
        <v>216</v>
      </c>
      <c r="C217" s="4" t="n">
        <v>0.000608878817988468</v>
      </c>
    </row>
    <row r="218" customFormat="false" ht="13.8" hidden="false" customHeight="false" outlineLevel="0" collapsed="false">
      <c r="B218" s="2" t="n">
        <v>217</v>
      </c>
      <c r="C218" s="4" t="n">
        <v>0.000608882324400797</v>
      </c>
    </row>
    <row r="219" customFormat="false" ht="13.8" hidden="false" customHeight="false" outlineLevel="0" collapsed="false">
      <c r="B219" s="2" t="n">
        <v>218</v>
      </c>
      <c r="C219" s="4" t="n">
        <v>0.000608885981964068</v>
      </c>
    </row>
    <row r="220" customFormat="false" ht="13.8" hidden="false" customHeight="false" outlineLevel="0" collapsed="false">
      <c r="B220" s="2" t="n">
        <v>219</v>
      </c>
      <c r="C220" s="4" t="n">
        <v>5E-005</v>
      </c>
    </row>
    <row r="221" customFormat="false" ht="13.8" hidden="false" customHeight="false" outlineLevel="0" collapsed="false">
      <c r="B221" s="2" t="n">
        <v>220</v>
      </c>
      <c r="C221" s="4" t="n">
        <v>5E-005</v>
      </c>
    </row>
    <row r="222" customFormat="false" ht="13.8" hidden="false" customHeight="false" outlineLevel="0" collapsed="false">
      <c r="B222" s="2" t="n">
        <v>221</v>
      </c>
      <c r="C222" s="4" t="n">
        <v>5E-005</v>
      </c>
    </row>
    <row r="223" customFormat="false" ht="13.8" hidden="false" customHeight="false" outlineLevel="0" collapsed="false">
      <c r="B223" s="2" t="n">
        <v>222</v>
      </c>
      <c r="C223" s="4" t="n">
        <v>5E-005</v>
      </c>
    </row>
    <row r="224" customFormat="false" ht="13.8" hidden="false" customHeight="false" outlineLevel="0" collapsed="false">
      <c r="B224" s="2" t="n">
        <v>223</v>
      </c>
      <c r="C224" s="4" t="n">
        <v>5E-005</v>
      </c>
    </row>
    <row r="225" customFormat="false" ht="13.8" hidden="false" customHeight="false" outlineLevel="0" collapsed="false">
      <c r="B225" s="2" t="n">
        <v>224</v>
      </c>
      <c r="C225" s="4" t="n">
        <v>5E-005</v>
      </c>
    </row>
    <row r="226" customFormat="false" ht="13.8" hidden="false" customHeight="false" outlineLevel="0" collapsed="false">
      <c r="B226" s="2" t="n">
        <v>225</v>
      </c>
      <c r="C226" s="4" t="n">
        <v>5E-005</v>
      </c>
    </row>
    <row r="227" customFormat="false" ht="13.8" hidden="false" customHeight="false" outlineLevel="0" collapsed="false">
      <c r="B227" s="2" t="n">
        <v>226</v>
      </c>
      <c r="C227" s="4" t="n">
        <v>-5E-005</v>
      </c>
    </row>
    <row r="228" customFormat="false" ht="13.8" hidden="false" customHeight="false" outlineLevel="0" collapsed="false">
      <c r="B228" s="2" t="n">
        <v>227</v>
      </c>
      <c r="C228" s="4" t="n">
        <v>5E-005</v>
      </c>
    </row>
    <row r="229" customFormat="false" ht="13.8" hidden="false" customHeight="false" outlineLevel="0" collapsed="false">
      <c r="B229" s="2" t="n">
        <v>228</v>
      </c>
      <c r="C229" s="4" t="n">
        <v>-4.99974999749998E-005</v>
      </c>
    </row>
    <row r="230" customFormat="false" ht="13.8" hidden="false" customHeight="false" outlineLevel="0" collapsed="false">
      <c r="B230" s="2" t="n">
        <v>229</v>
      </c>
      <c r="C230" s="4" t="n">
        <v>-4.9994999924999E-005</v>
      </c>
    </row>
    <row r="231" customFormat="false" ht="13.8" hidden="false" customHeight="false" outlineLevel="0" collapsed="false">
      <c r="B231" s="2" t="n">
        <v>230</v>
      </c>
      <c r="C231" s="4" t="n">
        <v>-5E-005</v>
      </c>
    </row>
    <row r="232" customFormat="false" ht="13.8" hidden="false" customHeight="false" outlineLevel="0" collapsed="false">
      <c r="B232" s="2" t="n">
        <v>231</v>
      </c>
      <c r="C232" s="4" t="n">
        <v>-4.99974999749998E-005</v>
      </c>
    </row>
    <row r="233" customFormat="false" ht="13.8" hidden="false" customHeight="false" outlineLevel="0" collapsed="false">
      <c r="B233" s="2" t="n">
        <v>232</v>
      </c>
      <c r="C233" s="4" t="n">
        <v>-4.99972559505569E-005</v>
      </c>
    </row>
    <row r="234" customFormat="false" ht="13.8" hidden="false" customHeight="false" outlineLevel="0" collapsed="false">
      <c r="B234" s="2" t="n">
        <v>233</v>
      </c>
      <c r="C234" s="4" t="n">
        <v>-4.99974999749998E-005</v>
      </c>
    </row>
    <row r="235" customFormat="false" ht="13.8" hidden="false" customHeight="false" outlineLevel="0" collapsed="false">
      <c r="B235" s="2" t="n">
        <v>234</v>
      </c>
      <c r="C235" s="4" t="n">
        <v>-4.99942542684627E-005</v>
      </c>
    </row>
    <row r="236" customFormat="false" ht="13.8" hidden="false" customHeight="false" outlineLevel="0" collapsed="false">
      <c r="B236" s="2" t="n">
        <v>235</v>
      </c>
      <c r="C236" s="4" t="n">
        <v>-4.99969776098918E-005</v>
      </c>
    </row>
    <row r="237" customFormat="false" ht="13.8" hidden="false" customHeight="false" outlineLevel="0" collapsed="false">
      <c r="B237" s="2" t="n">
        <v>236</v>
      </c>
      <c r="C237" s="4" t="n">
        <v>-4.99962219934746E-005</v>
      </c>
    </row>
    <row r="238" customFormat="false" ht="13.8" hidden="false" customHeight="false" outlineLevel="0" collapsed="false">
      <c r="B238" s="2" t="n">
        <v>237</v>
      </c>
      <c r="C238" s="4" t="n">
        <v>-4.99952774729074E-005</v>
      </c>
    </row>
    <row r="239" customFormat="false" ht="13.8" hidden="false" customHeight="false" outlineLevel="0" collapsed="false">
      <c r="B239" s="2" t="n">
        <v>238</v>
      </c>
      <c r="C239" s="4" t="n">
        <v>-4.99947558981159E-005</v>
      </c>
    </row>
    <row r="240" customFormat="false" ht="13.8" hidden="false" customHeight="false" outlineLevel="0" collapsed="false">
      <c r="B240" s="2" t="n">
        <v>239</v>
      </c>
      <c r="C240" s="4" t="n">
        <v>-4.99922558206741E-005</v>
      </c>
    </row>
    <row r="241" customFormat="false" ht="13.8" hidden="false" customHeight="false" outlineLevel="0" collapsed="false">
      <c r="B241" s="2" t="n">
        <v>240</v>
      </c>
      <c r="C241" s="4" t="n">
        <v>-4.99890236375843E-005</v>
      </c>
    </row>
    <row r="242" customFormat="false" ht="13.8" hidden="false" customHeight="false" outlineLevel="0" collapsed="false">
      <c r="B242" s="2" t="n">
        <v>241</v>
      </c>
      <c r="C242" s="4" t="n">
        <v>-4.99737784173227E-005</v>
      </c>
    </row>
    <row r="243" customFormat="false" ht="13.8" hidden="false" customHeight="false" outlineLevel="0" collapsed="false">
      <c r="B243" s="2" t="n">
        <v>242</v>
      </c>
      <c r="C243" s="4" t="n">
        <v>-4.99592737402533E-005</v>
      </c>
    </row>
    <row r="244" customFormat="false" ht="13.8" hidden="false" customHeight="false" outlineLevel="0" collapsed="false">
      <c r="B244" s="2" t="n">
        <v>243</v>
      </c>
      <c r="C244" s="4" t="n">
        <v>-4.99815231582844E-005</v>
      </c>
    </row>
    <row r="245" customFormat="false" ht="13.8" hidden="false" customHeight="false" outlineLevel="0" collapsed="false">
      <c r="B245" s="2" t="n">
        <v>244</v>
      </c>
      <c r="C245" s="4" t="n">
        <v>-4.99790229485139E-005</v>
      </c>
    </row>
    <row r="246" customFormat="false" ht="13.8" hidden="false" customHeight="false" outlineLevel="0" collapsed="false">
      <c r="B246" s="2" t="n">
        <v>245</v>
      </c>
      <c r="C246" s="4" t="n">
        <v>-4.9976522713741E-005</v>
      </c>
    </row>
    <row r="247" customFormat="false" ht="13.8" hidden="false" customHeight="false" outlineLevel="0" collapsed="false">
      <c r="B247" s="2" t="n">
        <v>246</v>
      </c>
      <c r="C247" s="4" t="n">
        <v>-4.99740224539655E-005</v>
      </c>
    </row>
    <row r="248" customFormat="false" ht="13.8" hidden="false" customHeight="false" outlineLevel="0" collapsed="false">
      <c r="B248" s="2" t="n">
        <v>247</v>
      </c>
      <c r="C248" s="4" t="n">
        <v>-4.9982499299979E-005</v>
      </c>
    </row>
    <row r="249" customFormat="false" ht="13.8" hidden="false" customHeight="false" outlineLevel="0" collapsed="false">
      <c r="B249" s="2" t="n">
        <v>248</v>
      </c>
      <c r="C249" s="4" t="n">
        <v>-4.997999909997E-005</v>
      </c>
    </row>
    <row r="250" customFormat="false" ht="13.8" hidden="false" customHeight="false" outlineLevel="0" collapsed="false">
      <c r="B250" s="2" t="n">
        <v>249</v>
      </c>
      <c r="C250" s="4" t="n">
        <v>-4.99774988749588E-005</v>
      </c>
    </row>
    <row r="251" customFormat="false" ht="13.8" hidden="false" customHeight="false" outlineLevel="0" collapsed="false">
      <c r="B251" s="2" t="n">
        <v>250</v>
      </c>
      <c r="C251" s="4" t="n">
        <v>-4.9974998624945E-005</v>
      </c>
    </row>
    <row r="252" customFormat="false" ht="13.8" hidden="false" customHeight="false" outlineLevel="0" collapsed="false">
      <c r="B252" s="2" t="n">
        <v>251</v>
      </c>
      <c r="C252" s="4" t="n">
        <v>-4.99724983499285E-005</v>
      </c>
    </row>
    <row r="253" customFormat="false" ht="13.8" hidden="false" customHeight="false" outlineLevel="0" collapsed="false">
      <c r="B253" s="2" t="n">
        <v>252</v>
      </c>
      <c r="C253" s="4" t="n">
        <v>-4.99699980499091E-005</v>
      </c>
    </row>
    <row r="254" customFormat="false" ht="13.8" hidden="false" customHeight="false" outlineLevel="0" collapsed="false">
      <c r="B254" s="2" t="n">
        <v>253</v>
      </c>
      <c r="C254" s="4" t="n">
        <v>-4.99674977248863E-005</v>
      </c>
    </row>
    <row r="255" customFormat="false" ht="13.8" hidden="false" customHeight="false" outlineLevel="0" collapsed="false">
      <c r="B255" s="2" t="n">
        <v>254</v>
      </c>
      <c r="C255" s="4" t="n">
        <v>-4.99615808106244E-005</v>
      </c>
    </row>
    <row r="256" customFormat="false" ht="13.8" hidden="false" customHeight="false" outlineLevel="0" collapsed="false">
      <c r="B256" s="2" t="n">
        <v>255</v>
      </c>
      <c r="C256" s="4" t="n">
        <v>5.00375030001699E-005</v>
      </c>
    </row>
    <row r="257" customFormat="false" ht="13.8" hidden="false" customHeight="false" outlineLevel="0" collapsed="false">
      <c r="B257" s="2" t="n">
        <v>256</v>
      </c>
      <c r="C257" s="4" t="n">
        <v>5.00400034002039E-005</v>
      </c>
    </row>
    <row r="258" customFormat="false" ht="13.8" hidden="false" customHeight="false" outlineLevel="0" collapsed="false">
      <c r="B258" s="2" t="n">
        <v>257</v>
      </c>
      <c r="C258" s="4" t="n">
        <v>0.000608688330400286</v>
      </c>
    </row>
    <row r="259" customFormat="false" ht="13.8" hidden="false" customHeight="false" outlineLevel="0" collapsed="false">
      <c r="B259" s="2" t="n">
        <v>258</v>
      </c>
      <c r="C259" s="4" t="n">
        <v>0.000608691568428769</v>
      </c>
    </row>
    <row r="260" customFormat="false" ht="13.8" hidden="false" customHeight="false" outlineLevel="0" collapsed="false">
      <c r="B260" s="2" t="n">
        <v>259</v>
      </c>
      <c r="C260" s="4" t="n">
        <v>0.000608694806494007</v>
      </c>
    </row>
    <row r="261" customFormat="false" ht="13.8" hidden="false" customHeight="false" outlineLevel="0" collapsed="false">
      <c r="B261" s="2" t="n">
        <v>260</v>
      </c>
      <c r="C261" s="4" t="n">
        <v>0.000608698044588555</v>
      </c>
    </row>
    <row r="262" customFormat="false" ht="13.8" hidden="false" customHeight="false" outlineLevel="0" collapsed="false">
      <c r="B262" s="2" t="n">
        <v>261</v>
      </c>
      <c r="C262" s="4" t="n">
        <v>0.000608701282718566</v>
      </c>
    </row>
    <row r="263" customFormat="false" ht="13.8" hidden="false" customHeight="false" outlineLevel="0" collapsed="false">
      <c r="B263" s="2" t="n">
        <v>262</v>
      </c>
      <c r="C263" s="4" t="n">
        <v>0.000608704520877343</v>
      </c>
    </row>
    <row r="264" customFormat="false" ht="13.8" hidden="false" customHeight="false" outlineLevel="0" collapsed="false">
      <c r="B264" s="2" t="n">
        <v>263</v>
      </c>
      <c r="C264" s="4" t="n">
        <v>0.000608707759071643</v>
      </c>
    </row>
    <row r="265" customFormat="false" ht="13.8" hidden="false" customHeight="false" outlineLevel="0" collapsed="false">
      <c r="B265" s="2" t="n">
        <v>264</v>
      </c>
      <c r="C265" s="4" t="n">
        <v>0.00060871099729604</v>
      </c>
    </row>
    <row r="266" customFormat="false" ht="13.8" hidden="false" customHeight="false" outlineLevel="0" collapsed="false">
      <c r="B266" s="2" t="n">
        <v>265</v>
      </c>
      <c r="C266" s="4" t="n">
        <v>0.000608714235555418</v>
      </c>
    </row>
    <row r="267" customFormat="false" ht="13.8" hidden="false" customHeight="false" outlineLevel="0" collapsed="false">
      <c r="B267" s="2" t="n">
        <v>266</v>
      </c>
      <c r="C267" s="4" t="n">
        <v>0.000608717473844414</v>
      </c>
    </row>
    <row r="268" customFormat="false" ht="13.8" hidden="false" customHeight="false" outlineLevel="0" collapsed="false">
      <c r="B268" s="2" t="n">
        <v>267</v>
      </c>
      <c r="C268" s="4" t="n">
        <v>0.000608720712168102</v>
      </c>
    </row>
    <row r="269" customFormat="false" ht="13.8" hidden="false" customHeight="false" outlineLevel="0" collapsed="false">
      <c r="B269" s="2" t="n">
        <v>268</v>
      </c>
      <c r="C269" s="4" t="n">
        <v>0.00060872395052214</v>
      </c>
    </row>
    <row r="270" customFormat="false" ht="13.8" hidden="false" customHeight="false" outlineLevel="0" collapsed="false">
      <c r="B270" s="2" t="n">
        <v>269</v>
      </c>
      <c r="C270" s="4" t="n">
        <v>0.000608727188910008</v>
      </c>
    </row>
    <row r="271" customFormat="false" ht="13.8" hidden="false" customHeight="false" outlineLevel="0" collapsed="false">
      <c r="B271" s="2" t="n">
        <v>270</v>
      </c>
      <c r="C271" s="4" t="n">
        <v>0.000608730427329303</v>
      </c>
    </row>
    <row r="272" customFormat="false" ht="13.8" hidden="false" customHeight="false" outlineLevel="0" collapsed="false">
      <c r="B272" s="2" t="n">
        <v>271</v>
      </c>
      <c r="C272" s="4" t="n">
        <v>0.00060873366578234</v>
      </c>
    </row>
    <row r="273" customFormat="false" ht="13.8" hidden="false" customHeight="false" outlineLevel="0" collapsed="false">
      <c r="B273" s="2" t="n">
        <v>272</v>
      </c>
      <c r="C273" s="4" t="n">
        <v>0.000608736904266402</v>
      </c>
    </row>
    <row r="274" customFormat="false" ht="13.8" hidden="false" customHeight="false" outlineLevel="0" collapsed="false">
      <c r="B274" s="2" t="n">
        <v>273</v>
      </c>
      <c r="C274" s="4" t="n">
        <v>0.000608740142783772</v>
      </c>
    </row>
    <row r="275" customFormat="false" ht="13.8" hidden="false" customHeight="false" outlineLevel="0" collapsed="false">
      <c r="B275" s="2" t="n">
        <v>274</v>
      </c>
      <c r="C275" s="4" t="n">
        <v>0.000608743381332982</v>
      </c>
    </row>
    <row r="276" customFormat="false" ht="13.8" hidden="false" customHeight="false" outlineLevel="0" collapsed="false">
      <c r="B276" s="2" t="n">
        <v>275</v>
      </c>
      <c r="C276" s="4" t="n">
        <v>0.000608746619915283</v>
      </c>
    </row>
    <row r="277" customFormat="false" ht="13.8" hidden="false" customHeight="false" outlineLevel="0" collapsed="false">
      <c r="B277" s="2" t="n">
        <v>276</v>
      </c>
      <c r="C277" s="4" t="n">
        <v>0.000608749858529271</v>
      </c>
    </row>
    <row r="278" customFormat="false" ht="13.8" hidden="false" customHeight="false" outlineLevel="0" collapsed="false">
      <c r="B278" s="2" t="n">
        <v>277</v>
      </c>
      <c r="C278" s="4" t="n">
        <v>0.000608753097175906</v>
      </c>
    </row>
    <row r="279" customFormat="false" ht="13.8" hidden="false" customHeight="false" outlineLevel="0" collapsed="false">
      <c r="B279" s="2" t="n">
        <v>278</v>
      </c>
      <c r="C279" s="4" t="n">
        <v>0.000608756335854879</v>
      </c>
    </row>
    <row r="280" customFormat="false" ht="13.8" hidden="false" customHeight="false" outlineLevel="0" collapsed="false">
      <c r="B280" s="2" t="n">
        <v>279</v>
      </c>
      <c r="C280" s="4" t="n">
        <v>0.000608759574566303</v>
      </c>
    </row>
    <row r="281" customFormat="false" ht="13.8" hidden="false" customHeight="false" outlineLevel="0" collapsed="false">
      <c r="B281" s="2" t="n">
        <v>280</v>
      </c>
      <c r="C281" s="4" t="n">
        <v>0.000608762813310119</v>
      </c>
    </row>
    <row r="282" customFormat="false" ht="13.8" hidden="false" customHeight="false" outlineLevel="0" collapsed="false">
      <c r="B282" s="2" t="n">
        <v>281</v>
      </c>
      <c r="C282" s="4" t="n">
        <v>0.000608766052086479</v>
      </c>
    </row>
    <row r="283" customFormat="false" ht="13.8" hidden="false" customHeight="false" outlineLevel="0" collapsed="false">
      <c r="B283" s="2" t="n">
        <v>282</v>
      </c>
      <c r="C283" s="4" t="n">
        <v>0.000608769708487609</v>
      </c>
    </row>
    <row r="284" customFormat="false" ht="13.8" hidden="false" customHeight="false" outlineLevel="0" collapsed="false">
      <c r="B284" s="2" t="n">
        <v>283</v>
      </c>
      <c r="C284" s="4" t="n">
        <v>0.000608773364927148</v>
      </c>
    </row>
    <row r="285" customFormat="false" ht="13.8" hidden="false" customHeight="false" outlineLevel="0" collapsed="false">
      <c r="B285" s="2" t="n">
        <v>284</v>
      </c>
      <c r="C285" s="4" t="n">
        <v>0.00060877702140046</v>
      </c>
    </row>
    <row r="286" customFormat="false" ht="13.8" hidden="false" customHeight="false" outlineLevel="0" collapsed="false">
      <c r="B286" s="2" t="n">
        <v>285</v>
      </c>
      <c r="C286" s="4" t="n">
        <v>0.000608780677910505</v>
      </c>
    </row>
    <row r="287" customFormat="false" ht="13.8" hidden="false" customHeight="false" outlineLevel="0" collapsed="false">
      <c r="B287" s="2" t="n">
        <v>286</v>
      </c>
      <c r="C287" s="4" t="n">
        <v>0.000608784334457953</v>
      </c>
    </row>
    <row r="288" customFormat="false" ht="13.8" hidden="false" customHeight="false" outlineLevel="0" collapsed="false">
      <c r="B288" s="2" t="n">
        <v>287</v>
      </c>
      <c r="C288" s="4" t="n">
        <v>0.00060878799104197</v>
      </c>
    </row>
    <row r="289" customFormat="false" ht="13.8" hidden="false" customHeight="false" outlineLevel="0" collapsed="false">
      <c r="B289" s="2" t="n">
        <v>288</v>
      </c>
      <c r="C289" s="4" t="n">
        <v>0.000608791647661121</v>
      </c>
    </row>
    <row r="290" customFormat="false" ht="13.8" hidden="false" customHeight="false" outlineLevel="0" collapsed="false">
      <c r="B290" s="2" t="n">
        <v>289</v>
      </c>
      <c r="C290" s="4" t="n">
        <v>0.000608795304325978</v>
      </c>
    </row>
    <row r="291" customFormat="false" ht="13.8" hidden="false" customHeight="false" outlineLevel="0" collapsed="false">
      <c r="B291" s="2" t="n">
        <v>290</v>
      </c>
      <c r="C291" s="4" t="n">
        <v>0.000608798961015096</v>
      </c>
    </row>
    <row r="292" customFormat="false" ht="13.8" hidden="false" customHeight="false" outlineLevel="0" collapsed="false">
      <c r="B292" s="2" t="n">
        <v>291</v>
      </c>
      <c r="C292" s="4" t="n">
        <v>0.000608802617742614</v>
      </c>
    </row>
    <row r="293" customFormat="false" ht="13.8" hidden="false" customHeight="false" outlineLevel="0" collapsed="false">
      <c r="B293" s="2" t="n">
        <v>292</v>
      </c>
      <c r="C293" s="4" t="n">
        <v>0.000608806274509888</v>
      </c>
    </row>
    <row r="294" customFormat="false" ht="13.8" hidden="false" customHeight="false" outlineLevel="0" collapsed="false">
      <c r="B294" s="2" t="n">
        <v>293</v>
      </c>
      <c r="C294" s="4" t="n">
        <v>0.000608809931312865</v>
      </c>
    </row>
    <row r="295" customFormat="false" ht="13.8" hidden="false" customHeight="false" outlineLevel="0" collapsed="false">
      <c r="B295" s="2" t="n">
        <v>294</v>
      </c>
      <c r="C295" s="4" t="n">
        <v>0.000608813588152343</v>
      </c>
    </row>
    <row r="296" customFormat="false" ht="13.8" hidden="false" customHeight="false" outlineLevel="0" collapsed="false">
      <c r="B296" s="2" t="n">
        <v>295</v>
      </c>
      <c r="C296" s="4" t="n">
        <v>0.000608809993097585</v>
      </c>
    </row>
    <row r="297" customFormat="false" ht="13.8" hidden="false" customHeight="false" outlineLevel="0" collapsed="false">
      <c r="B297" s="2" t="n">
        <v>296</v>
      </c>
      <c r="C297" s="4" t="n">
        <v>0.000608820901942016</v>
      </c>
    </row>
    <row r="298" customFormat="false" ht="13.8" hidden="false" customHeight="false" outlineLevel="0" collapsed="false">
      <c r="B298" s="2" t="n">
        <v>297</v>
      </c>
      <c r="C298" s="4" t="n">
        <v>0.000608824558893375</v>
      </c>
    </row>
    <row r="299" customFormat="false" ht="13.8" hidden="false" customHeight="false" outlineLevel="0" collapsed="false">
      <c r="B299" s="2" t="n">
        <v>298</v>
      </c>
      <c r="C299" s="4" t="n">
        <v>0.000608828215876216</v>
      </c>
    </row>
    <row r="300" customFormat="false" ht="13.8" hidden="false" customHeight="false" outlineLevel="0" collapsed="false">
      <c r="B300" s="2" t="n">
        <v>299</v>
      </c>
      <c r="C300" s="4" t="n">
        <v>0.000608831872906462</v>
      </c>
    </row>
    <row r="301" customFormat="false" ht="13.8" hidden="false" customHeight="false" outlineLevel="0" collapsed="false">
      <c r="B301" s="2" t="n">
        <v>300</v>
      </c>
      <c r="C301" s="4" t="n">
        <v>0.00060883552995809</v>
      </c>
    </row>
    <row r="302" customFormat="false" ht="13.8" hidden="false" customHeight="false" outlineLevel="0" collapsed="false">
      <c r="B302" s="2" t="n">
        <v>301</v>
      </c>
      <c r="C302" s="4" t="n">
        <v>0.000608839187061775</v>
      </c>
    </row>
    <row r="303" customFormat="false" ht="13.8" hidden="false" customHeight="false" outlineLevel="0" collapsed="false">
      <c r="B303" s="2" t="n">
        <v>302</v>
      </c>
      <c r="C303" s="4" t="n">
        <v>0.000608842844187259</v>
      </c>
    </row>
    <row r="304" customFormat="false" ht="13.8" hidden="false" customHeight="false" outlineLevel="0" collapsed="false">
      <c r="B304" s="2" t="n">
        <v>303</v>
      </c>
      <c r="C304" s="4" t="n">
        <v>0.000608846501353897</v>
      </c>
    </row>
    <row r="305" customFormat="false" ht="13.8" hidden="false" customHeight="false" outlineLevel="0" collapsed="false">
      <c r="B305" s="2" t="n">
        <v>304</v>
      </c>
      <c r="C305" s="4" t="n">
        <v>0.000608850158559707</v>
      </c>
    </row>
    <row r="306" customFormat="false" ht="13.8" hidden="false" customHeight="false" outlineLevel="0" collapsed="false">
      <c r="B306" s="2" t="n">
        <v>305</v>
      </c>
      <c r="C306" s="4" t="n">
        <v>0.000608853815800741</v>
      </c>
    </row>
    <row r="307" customFormat="false" ht="13.8" hidden="false" customHeight="false" outlineLevel="0" collapsed="false">
      <c r="B307" s="2" t="n">
        <v>306</v>
      </c>
      <c r="C307" s="4" t="n">
        <v>0.000608857473079631</v>
      </c>
    </row>
    <row r="308" customFormat="false" ht="13.8" hidden="false" customHeight="false" outlineLevel="0" collapsed="false">
      <c r="B308" s="2" t="n">
        <v>307</v>
      </c>
      <c r="C308" s="4" t="n">
        <v>0.00060884585848845</v>
      </c>
    </row>
    <row r="309" customFormat="false" ht="13.8" hidden="false" customHeight="false" outlineLevel="0" collapsed="false">
      <c r="B309" s="2" t="n">
        <v>308</v>
      </c>
      <c r="C309" s="4" t="n">
        <v>0.000608848847465299</v>
      </c>
    </row>
    <row r="310" customFormat="false" ht="13.8" hidden="false" customHeight="false" outlineLevel="0" collapsed="false">
      <c r="B310" s="2" t="n">
        <v>309</v>
      </c>
      <c r="C310" s="4" t="n">
        <v>0.000608851836472038</v>
      </c>
    </row>
    <row r="311" customFormat="false" ht="13.8" hidden="false" customHeight="false" outlineLevel="0" collapsed="false">
      <c r="B311" s="2" t="n">
        <v>310</v>
      </c>
      <c r="C311" s="4" t="n">
        <v>0.000608854825508667</v>
      </c>
    </row>
    <row r="312" customFormat="false" ht="13.8" hidden="false" customHeight="false" outlineLevel="0" collapsed="false">
      <c r="B312" s="2" t="n">
        <v>311</v>
      </c>
      <c r="C312" s="4" t="n">
        <v>0.000608875760019217</v>
      </c>
    </row>
    <row r="313" customFormat="false" ht="13.8" hidden="false" customHeight="false" outlineLevel="0" collapsed="false">
      <c r="B313" s="2" t="n">
        <v>312</v>
      </c>
      <c r="C313" s="4" t="n">
        <v>0.000608879417516691</v>
      </c>
    </row>
    <row r="314" customFormat="false" ht="13.8" hidden="false" customHeight="false" outlineLevel="0" collapsed="false">
      <c r="B314" s="2" t="n">
        <v>313</v>
      </c>
      <c r="C314" s="4" t="n">
        <v>0.000608883075050654</v>
      </c>
    </row>
    <row r="315" customFormat="false" ht="13.8" hidden="false" customHeight="false" outlineLevel="0" collapsed="false">
      <c r="B315" s="2" t="n">
        <v>314</v>
      </c>
      <c r="C315" s="4" t="n">
        <v>0.000608886732621488</v>
      </c>
    </row>
    <row r="316" customFormat="false" ht="13.8" hidden="false" customHeight="false" outlineLevel="0" collapsed="false">
      <c r="B316" s="2" t="n">
        <v>315</v>
      </c>
      <c r="C316" s="4" t="n">
        <v>0.000608907550726381</v>
      </c>
    </row>
    <row r="317" customFormat="false" ht="13.8" hidden="false" customHeight="false" outlineLevel="0" collapsed="false">
      <c r="B317" s="2" t="n">
        <v>316</v>
      </c>
      <c r="C317" s="4" t="n">
        <v>5E-005</v>
      </c>
    </row>
    <row r="318" customFormat="false" ht="13.8" hidden="false" customHeight="false" outlineLevel="0" collapsed="false">
      <c r="B318" s="2" t="n">
        <v>317</v>
      </c>
      <c r="C318" s="4" t="n">
        <v>5E-005</v>
      </c>
    </row>
    <row r="319" customFormat="false" ht="13.8" hidden="false" customHeight="false" outlineLevel="0" collapsed="false">
      <c r="B319" s="2" t="n">
        <v>318</v>
      </c>
      <c r="C319" s="4" t="n">
        <v>5E-005</v>
      </c>
    </row>
    <row r="320" customFormat="false" ht="13.8" hidden="false" customHeight="false" outlineLevel="0" collapsed="false">
      <c r="B320" s="2" t="n">
        <v>319</v>
      </c>
      <c r="C320" s="4" t="n">
        <v>5E-005</v>
      </c>
    </row>
    <row r="321" customFormat="false" ht="13.8" hidden="false" customHeight="false" outlineLevel="0" collapsed="false">
      <c r="B321" s="2" t="n">
        <v>320</v>
      </c>
      <c r="C321" s="4" t="n">
        <v>-5E-005</v>
      </c>
    </row>
    <row r="322" customFormat="false" ht="13.8" hidden="false" customHeight="false" outlineLevel="0" collapsed="false">
      <c r="B322" s="2" t="n">
        <v>321</v>
      </c>
      <c r="C322" s="4" t="n">
        <v>5E-005</v>
      </c>
    </row>
    <row r="323" customFormat="false" ht="13.8" hidden="false" customHeight="false" outlineLevel="0" collapsed="false">
      <c r="B323" s="2" t="n">
        <v>322</v>
      </c>
      <c r="C323" s="4" t="n">
        <v>5E-005</v>
      </c>
    </row>
    <row r="324" customFormat="false" ht="13.8" hidden="false" customHeight="false" outlineLevel="0" collapsed="false">
      <c r="B324" s="2" t="n">
        <v>323</v>
      </c>
      <c r="C324" s="4" t="n">
        <v>-4.99974999749998E-005</v>
      </c>
    </row>
    <row r="325" customFormat="false" ht="13.8" hidden="false" customHeight="false" outlineLevel="0" collapsed="false">
      <c r="B325" s="2" t="n">
        <v>324</v>
      </c>
      <c r="C325" s="4" t="n">
        <v>-4.9994999924999E-005</v>
      </c>
    </row>
    <row r="326" customFormat="false" ht="13.8" hidden="false" customHeight="false" outlineLevel="0" collapsed="false">
      <c r="B326" s="2" t="n">
        <v>325</v>
      </c>
      <c r="C326" s="4" t="n">
        <v>-4.99924998499975E-005</v>
      </c>
    </row>
    <row r="327" customFormat="false" ht="13.8" hidden="false" customHeight="false" outlineLevel="0" collapsed="false">
      <c r="B327" s="2" t="n">
        <v>326</v>
      </c>
      <c r="C327" s="4" t="n">
        <v>5E-005</v>
      </c>
    </row>
    <row r="328" customFormat="false" ht="13.8" hidden="false" customHeight="false" outlineLevel="0" collapsed="false">
      <c r="B328" s="2" t="n">
        <v>327</v>
      </c>
      <c r="C328" s="4" t="n">
        <v>-4.99874996249912E-005</v>
      </c>
    </row>
    <row r="329" customFormat="false" ht="13.8" hidden="false" customHeight="false" outlineLevel="0" collapsed="false">
      <c r="B329" s="2" t="n">
        <v>328</v>
      </c>
      <c r="C329" s="4" t="n">
        <v>-4.9984999474986E-005</v>
      </c>
    </row>
    <row r="330" customFormat="false" ht="13.8" hidden="false" customHeight="false" outlineLevel="0" collapsed="false">
      <c r="B330" s="2" t="n">
        <v>329</v>
      </c>
      <c r="C330" s="4" t="n">
        <v>-4.9982499299979E-005</v>
      </c>
    </row>
    <row r="331" customFormat="false" ht="13.8" hidden="false" customHeight="false" outlineLevel="0" collapsed="false">
      <c r="B331" s="2" t="n">
        <v>330</v>
      </c>
      <c r="C331" s="4" t="n">
        <v>-4.997999909997E-005</v>
      </c>
    </row>
    <row r="332" customFormat="false" ht="13.8" hidden="false" customHeight="false" outlineLevel="0" collapsed="false">
      <c r="B332" s="2" t="n">
        <v>331</v>
      </c>
      <c r="C332" s="4" t="n">
        <v>-4.99774988749588E-005</v>
      </c>
    </row>
    <row r="333" customFormat="false" ht="13.8" hidden="false" customHeight="false" outlineLevel="0" collapsed="false">
      <c r="B333" s="2" t="n">
        <v>332</v>
      </c>
      <c r="C333" s="4" t="n">
        <v>-4.9974998624945E-005</v>
      </c>
    </row>
    <row r="334" customFormat="false" ht="13.8" hidden="false" customHeight="false" outlineLevel="0" collapsed="false">
      <c r="B334" s="2" t="n">
        <v>333</v>
      </c>
      <c r="C334" s="4" t="n">
        <v>-4.99724983499285E-005</v>
      </c>
    </row>
    <row r="335" customFormat="false" ht="13.8" hidden="false" customHeight="false" outlineLevel="0" collapsed="false">
      <c r="B335" s="2" t="n">
        <v>334</v>
      </c>
      <c r="C335" s="4" t="n">
        <v>-4.99699980499091E-005</v>
      </c>
    </row>
    <row r="336" customFormat="false" ht="13.8" hidden="false" customHeight="false" outlineLevel="0" collapsed="false">
      <c r="B336" s="2" t="n">
        <v>335</v>
      </c>
      <c r="C336" s="4" t="n">
        <v>-4.99674977248863E-005</v>
      </c>
    </row>
    <row r="337" customFormat="false" ht="13.8" hidden="false" customHeight="false" outlineLevel="0" collapsed="false">
      <c r="B337" s="2" t="n">
        <v>336</v>
      </c>
      <c r="C337" s="4" t="n">
        <v>-4.99649973748601E-005</v>
      </c>
    </row>
    <row r="338" customFormat="false" ht="13.8" hidden="false" customHeight="false" outlineLevel="0" collapsed="false">
      <c r="B338" s="2" t="n">
        <v>337</v>
      </c>
      <c r="C338" s="4" t="n">
        <v>-4.99624969998301E-005</v>
      </c>
    </row>
    <row r="339" customFormat="false" ht="13.8" hidden="false" customHeight="false" outlineLevel="0" collapsed="false">
      <c r="B339" s="2" t="n">
        <v>338</v>
      </c>
      <c r="C339" s="4" t="n">
        <v>-4.99599965997961E-005</v>
      </c>
    </row>
    <row r="340" customFormat="false" ht="13.8" hidden="false" customHeight="false" outlineLevel="0" collapsed="false">
      <c r="B340" s="2" t="n">
        <v>339</v>
      </c>
      <c r="C340" s="4" t="n">
        <v>-4.99574961747579E-005</v>
      </c>
    </row>
    <row r="341" customFormat="false" ht="13.8" hidden="false" customHeight="false" outlineLevel="0" collapsed="false">
      <c r="B341" s="2" t="n">
        <v>340</v>
      </c>
      <c r="C341" s="4" t="n">
        <v>-4.99549957247151E-005</v>
      </c>
    </row>
    <row r="342" customFormat="false" ht="13.8" hidden="false" customHeight="false" outlineLevel="0" collapsed="false">
      <c r="B342" s="2" t="n">
        <v>341</v>
      </c>
      <c r="C342" s="4" t="n">
        <v>-4.99524952496676E-005</v>
      </c>
    </row>
    <row r="343" customFormat="false" ht="13.8" hidden="false" customHeight="false" outlineLevel="0" collapsed="false">
      <c r="B343" s="2" t="n">
        <v>342</v>
      </c>
      <c r="C343" s="4" t="n">
        <v>-4.99499947496152E-005</v>
      </c>
    </row>
    <row r="344" customFormat="false" ht="13.8" hidden="false" customHeight="false" outlineLevel="0" collapsed="false">
      <c r="B344" s="2" t="n">
        <v>343</v>
      </c>
      <c r="C344" s="4" t="n">
        <v>-4.99474942245574E-005</v>
      </c>
    </row>
    <row r="345" customFormat="false" ht="13.8" hidden="false" customHeight="false" outlineLevel="0" collapsed="false">
      <c r="B345" s="2" t="n">
        <v>344</v>
      </c>
      <c r="C345" s="4" t="n">
        <v>-4.99449936744942E-005</v>
      </c>
    </row>
    <row r="346" customFormat="false" ht="13.8" hidden="false" customHeight="false" outlineLevel="0" collapsed="false">
      <c r="B346" s="2" t="n">
        <v>345</v>
      </c>
      <c r="C346" s="4" t="n">
        <v>5E-005</v>
      </c>
    </row>
    <row r="347" customFormat="false" ht="13.8" hidden="false" customHeight="false" outlineLevel="0" collapsed="false">
      <c r="B347" s="2" t="n">
        <v>346</v>
      </c>
      <c r="C347" s="4" t="n">
        <v>5E-005</v>
      </c>
    </row>
    <row r="348" customFormat="false" ht="13.8" hidden="false" customHeight="false" outlineLevel="0" collapsed="false">
      <c r="B348" s="2" t="n">
        <v>347</v>
      </c>
      <c r="C348" s="4" t="n">
        <v>5.00025000250002E-005</v>
      </c>
    </row>
    <row r="349" customFormat="false" ht="13.8" hidden="false" customHeight="false" outlineLevel="0" collapsed="false">
      <c r="B349" s="2" t="n">
        <v>348</v>
      </c>
      <c r="C349" s="4" t="n">
        <v>5.0005000075001E-005</v>
      </c>
    </row>
    <row r="350" customFormat="false" ht="13.8" hidden="false" customHeight="false" outlineLevel="0" collapsed="false">
      <c r="B350" s="2" t="n">
        <v>349</v>
      </c>
      <c r="C350" s="4" t="n">
        <v>5.0000566695197E-005</v>
      </c>
    </row>
    <row r="351" customFormat="false" ht="13.8" hidden="false" customHeight="false" outlineLevel="0" collapsed="false">
      <c r="B351" s="2" t="n">
        <v>350</v>
      </c>
      <c r="C351" s="4" t="n">
        <v>5.0010000250005E-005</v>
      </c>
    </row>
    <row r="352" customFormat="false" ht="13.8" hidden="false" customHeight="false" outlineLevel="0" collapsed="false">
      <c r="B352" s="2" t="n">
        <v>351</v>
      </c>
      <c r="C352" s="4" t="n">
        <v>5.00125003750088E-005</v>
      </c>
    </row>
    <row r="353" customFormat="false" ht="13.8" hidden="false" customHeight="false" outlineLevel="0" collapsed="false">
      <c r="B353" s="2" t="n">
        <v>352</v>
      </c>
      <c r="C353" s="4" t="n">
        <v>0.000608655810641469</v>
      </c>
    </row>
    <row r="354" customFormat="false" ht="13.8" hidden="false" customHeight="false" outlineLevel="0" collapsed="false">
      <c r="B354" s="2" t="n">
        <v>353</v>
      </c>
      <c r="C354" s="4" t="n">
        <v>0.000608659048347001</v>
      </c>
    </row>
    <row r="355" customFormat="false" ht="13.8" hidden="false" customHeight="false" outlineLevel="0" collapsed="false">
      <c r="B355" s="2" t="n">
        <v>354</v>
      </c>
      <c r="C355" s="4" t="n">
        <v>0.000608662286086339</v>
      </c>
    </row>
    <row r="356" customFormat="false" ht="13.8" hidden="false" customHeight="false" outlineLevel="0" collapsed="false">
      <c r="B356" s="2" t="n">
        <v>355</v>
      </c>
      <c r="C356" s="4" t="n">
        <v>0.0006086655238565</v>
      </c>
    </row>
    <row r="357" customFormat="false" ht="13.8" hidden="false" customHeight="false" outlineLevel="0" collapsed="false">
      <c r="B357" s="2" t="n">
        <v>356</v>
      </c>
      <c r="C357" s="4" t="n">
        <v>0.000608668761659245</v>
      </c>
    </row>
    <row r="358" customFormat="false" ht="13.8" hidden="false" customHeight="false" outlineLevel="0" collapsed="false">
      <c r="B358" s="2" t="n">
        <v>357</v>
      </c>
      <c r="C358" s="4" t="n">
        <v>0.000608671999495426</v>
      </c>
    </row>
    <row r="359" customFormat="false" ht="13.8" hidden="false" customHeight="false" outlineLevel="0" collapsed="false">
      <c r="B359" s="2" t="n">
        <v>358</v>
      </c>
      <c r="C359" s="4" t="n">
        <v>0.000608675237362805</v>
      </c>
    </row>
    <row r="360" customFormat="false" ht="13.8" hidden="false" customHeight="false" outlineLevel="0" collapsed="false">
      <c r="B360" s="2" t="n">
        <v>359</v>
      </c>
      <c r="C360" s="4" t="n">
        <v>0.000608678475263614</v>
      </c>
    </row>
    <row r="361" customFormat="false" ht="13.8" hidden="false" customHeight="false" outlineLevel="0" collapsed="false">
      <c r="B361" s="2" t="n">
        <v>360</v>
      </c>
      <c r="C361" s="4" t="n">
        <v>0.000608681713195871</v>
      </c>
    </row>
    <row r="362" customFormat="false" ht="13.8" hidden="false" customHeight="false" outlineLevel="0" collapsed="false">
      <c r="B362" s="2" t="n">
        <v>361</v>
      </c>
      <c r="C362" s="4" t="n">
        <v>0.000608684951161575</v>
      </c>
    </row>
    <row r="363" customFormat="false" ht="13.8" hidden="false" customHeight="false" outlineLevel="0" collapsed="false">
      <c r="B363" s="2" t="n">
        <v>362</v>
      </c>
      <c r="C363" s="4" t="n">
        <v>0.00060868818915864</v>
      </c>
    </row>
    <row r="364" customFormat="false" ht="13.8" hidden="false" customHeight="false" outlineLevel="0" collapsed="false">
      <c r="B364" s="2" t="n">
        <v>363</v>
      </c>
      <c r="C364" s="4" t="n">
        <v>0.000608691427188729</v>
      </c>
    </row>
    <row r="365" customFormat="false" ht="13.8" hidden="false" customHeight="false" outlineLevel="0" collapsed="false">
      <c r="B365" s="2" t="n">
        <v>364</v>
      </c>
      <c r="C365" s="4" t="n">
        <v>0.000608694665250759</v>
      </c>
    </row>
    <row r="366" customFormat="false" ht="13.8" hidden="false" customHeight="false" outlineLevel="0" collapsed="false">
      <c r="B366" s="2" t="n">
        <v>365</v>
      </c>
      <c r="C366" s="4" t="n">
        <v>0.00060869790334553</v>
      </c>
    </row>
    <row r="367" customFormat="false" ht="13.8" hidden="false" customHeight="false" outlineLevel="0" collapsed="false">
      <c r="B367" s="2" t="n">
        <v>366</v>
      </c>
      <c r="C367" s="4" t="n">
        <v>0.000608701141472599</v>
      </c>
    </row>
    <row r="368" customFormat="false" ht="13.8" hidden="false" customHeight="false" outlineLevel="0" collapsed="false">
      <c r="B368" s="2" t="n">
        <v>367</v>
      </c>
      <c r="C368" s="4" t="n">
        <v>0.000608704379632153</v>
      </c>
    </row>
    <row r="369" customFormat="false" ht="13.8" hidden="false" customHeight="false" outlineLevel="0" collapsed="false">
      <c r="B369" s="2" t="n">
        <v>368</v>
      </c>
      <c r="C369" s="4" t="n">
        <v>0.000608707617823889</v>
      </c>
    </row>
    <row r="370" customFormat="false" ht="13.8" hidden="false" customHeight="false" outlineLevel="0" collapsed="false">
      <c r="B370" s="2" t="n">
        <v>369</v>
      </c>
      <c r="C370" s="4" t="n">
        <v>0.000608710856048179</v>
      </c>
    </row>
    <row r="371" customFormat="false" ht="13.8" hidden="false" customHeight="false" outlineLevel="0" collapsed="false">
      <c r="B371" s="2" t="n">
        <v>370</v>
      </c>
      <c r="C371" s="4" t="n">
        <v>0.000608714094304739</v>
      </c>
    </row>
    <row r="372" customFormat="false" ht="13.8" hidden="false" customHeight="false" outlineLevel="0" collapsed="false">
      <c r="B372" s="2" t="n">
        <v>371</v>
      </c>
      <c r="C372" s="4" t="n">
        <v>0.000608717332593828</v>
      </c>
    </row>
    <row r="373" customFormat="false" ht="13.8" hidden="false" customHeight="false" outlineLevel="0" collapsed="false">
      <c r="B373" s="2" t="n">
        <v>372</v>
      </c>
      <c r="C373" s="4" t="n">
        <v>0.00060872057091519</v>
      </c>
    </row>
    <row r="374" customFormat="false" ht="13.8" hidden="false" customHeight="false" outlineLevel="0" collapsed="false">
      <c r="B374" s="2" t="n">
        <v>373</v>
      </c>
      <c r="C374" s="4" t="n">
        <v>0.000608723809269077</v>
      </c>
    </row>
    <row r="375" customFormat="false" ht="13.8" hidden="false" customHeight="false" outlineLevel="0" collapsed="false">
      <c r="B375" s="2" t="n">
        <v>374</v>
      </c>
      <c r="C375" s="4" t="n">
        <v>0.00060872704765528</v>
      </c>
    </row>
    <row r="376" customFormat="false" ht="13.8" hidden="false" customHeight="false" outlineLevel="0" collapsed="false">
      <c r="B376" s="2" t="n">
        <v>375</v>
      </c>
      <c r="C376" s="4" t="n">
        <v>0.000608730286073832</v>
      </c>
    </row>
    <row r="377" customFormat="false" ht="13.8" hidden="false" customHeight="false" outlineLevel="0" collapsed="false">
      <c r="B377" s="2" t="n">
        <v>376</v>
      </c>
      <c r="C377" s="4" t="n">
        <v>0.000608734582254617</v>
      </c>
    </row>
    <row r="378" customFormat="false" ht="13.8" hidden="false" customHeight="false" outlineLevel="0" collapsed="false">
      <c r="B378" s="2" t="n">
        <v>377</v>
      </c>
      <c r="C378" s="4" t="n">
        <v>0.000608737281729211</v>
      </c>
    </row>
    <row r="379" customFormat="false" ht="13.8" hidden="false" customHeight="false" outlineLevel="0" collapsed="false">
      <c r="B379" s="2" t="n">
        <v>378</v>
      </c>
      <c r="C379" s="4" t="n">
        <v>0.000608740269620279</v>
      </c>
    </row>
    <row r="380" customFormat="false" ht="13.8" hidden="false" customHeight="false" outlineLevel="0" collapsed="false">
      <c r="B380" s="2" t="n">
        <v>379</v>
      </c>
      <c r="C380" s="4" t="n">
        <v>0.000608744910466124</v>
      </c>
    </row>
    <row r="381" customFormat="false" ht="13.8" hidden="false" customHeight="false" outlineLevel="0" collapsed="false">
      <c r="B381" s="2" t="n">
        <v>380</v>
      </c>
      <c r="C381" s="4" t="n">
        <v>0.00060874856665562</v>
      </c>
    </row>
    <row r="382" customFormat="false" ht="13.8" hidden="false" customHeight="false" outlineLevel="0" collapsed="false">
      <c r="B382" s="2" t="n">
        <v>381</v>
      </c>
      <c r="C382" s="4" t="n">
        <v>0.00060875222288158</v>
      </c>
    </row>
    <row r="383" customFormat="false" ht="13.8" hidden="false" customHeight="false" outlineLevel="0" collapsed="false">
      <c r="B383" s="2" t="n">
        <v>382</v>
      </c>
      <c r="C383" s="4" t="n">
        <v>0.000608755879144274</v>
      </c>
    </row>
    <row r="384" customFormat="false" ht="13.8" hidden="false" customHeight="false" outlineLevel="0" collapsed="false">
      <c r="B384" s="2" t="n">
        <v>383</v>
      </c>
      <c r="C384" s="4" t="n">
        <v>0.000608759535444023</v>
      </c>
    </row>
    <row r="385" customFormat="false" ht="13.8" hidden="false" customHeight="false" outlineLevel="0" collapsed="false">
      <c r="B385" s="2" t="n">
        <v>384</v>
      </c>
      <c r="C385" s="4" t="n">
        <v>0.000608763191778895</v>
      </c>
    </row>
    <row r="386" customFormat="false" ht="13.8" hidden="false" customHeight="false" outlineLevel="0" collapsed="false">
      <c r="B386" s="2" t="n">
        <v>385</v>
      </c>
      <c r="C386" s="4" t="n">
        <v>0.000608766848151108</v>
      </c>
    </row>
    <row r="387" customFormat="false" ht="13.8" hidden="false" customHeight="false" outlineLevel="0" collapsed="false">
      <c r="B387" s="2" t="n">
        <v>386</v>
      </c>
      <c r="C387" s="4" t="n">
        <v>0.000608770504561637</v>
      </c>
    </row>
    <row r="388" customFormat="false" ht="13.8" hidden="false" customHeight="false" outlineLevel="0" collapsed="false">
      <c r="B388" s="2" t="n">
        <v>387</v>
      </c>
      <c r="C388" s="4" t="n">
        <v>0.00060877416100512</v>
      </c>
    </row>
    <row r="389" customFormat="false" ht="13.8" hidden="false" customHeight="false" outlineLevel="0" collapsed="false">
      <c r="B389" s="2" t="n">
        <v>388</v>
      </c>
      <c r="C389" s="4" t="n">
        <v>0.000608777817487603</v>
      </c>
    </row>
    <row r="390" customFormat="false" ht="13.8" hidden="false" customHeight="false" outlineLevel="0" collapsed="false">
      <c r="B390" s="2" t="n">
        <v>389</v>
      </c>
      <c r="C390" s="4" t="n">
        <v>0.00060878147400547</v>
      </c>
    </row>
    <row r="391" customFormat="false" ht="13.8" hidden="false" customHeight="false" outlineLevel="0" collapsed="false">
      <c r="B391" s="2" t="n">
        <v>390</v>
      </c>
      <c r="C391" s="4" t="n">
        <v>0.000608785130560658</v>
      </c>
    </row>
    <row r="392" customFormat="false" ht="13.8" hidden="false" customHeight="false" outlineLevel="0" collapsed="false">
      <c r="B392" s="2" t="n">
        <v>391</v>
      </c>
      <c r="C392" s="4" t="n">
        <v>0.000608788787151956</v>
      </c>
    </row>
    <row r="393" customFormat="false" ht="13.8" hidden="false" customHeight="false" outlineLevel="0" collapsed="false">
      <c r="B393" s="2" t="n">
        <v>392</v>
      </c>
      <c r="C393" s="4" t="n">
        <v>0.000608791234935493</v>
      </c>
    </row>
    <row r="394" customFormat="false" ht="13.8" hidden="false" customHeight="false" outlineLevel="0" collapsed="false">
      <c r="B394" s="2" t="n">
        <v>393</v>
      </c>
      <c r="C394" s="4" t="n">
        <v>0.000608794891589648</v>
      </c>
    </row>
    <row r="395" customFormat="false" ht="13.8" hidden="false" customHeight="false" outlineLevel="0" collapsed="false">
      <c r="B395" s="2" t="n">
        <v>394</v>
      </c>
      <c r="C395" s="4" t="n">
        <v>0.000608798548277387</v>
      </c>
    </row>
    <row r="396" customFormat="false" ht="13.8" hidden="false" customHeight="false" outlineLevel="0" collapsed="false">
      <c r="B396" s="2" t="n">
        <v>395</v>
      </c>
      <c r="C396" s="4" t="n">
        <v>0.000608802205004463</v>
      </c>
    </row>
    <row r="397" customFormat="false" ht="13.8" hidden="false" customHeight="false" outlineLevel="0" collapsed="false">
      <c r="B397" s="2" t="n">
        <v>396</v>
      </c>
      <c r="C397" s="4" t="n">
        <v>0.000608805861768417</v>
      </c>
    </row>
    <row r="398" customFormat="false" ht="13.8" hidden="false" customHeight="false" outlineLevel="0" collapsed="false">
      <c r="B398" s="2" t="n">
        <v>397</v>
      </c>
      <c r="C398" s="4" t="n">
        <v>0.000608809518563624</v>
      </c>
    </row>
    <row r="399" customFormat="false" ht="13.8" hidden="false" customHeight="false" outlineLevel="0" collapsed="false">
      <c r="B399" s="2" t="n">
        <v>398</v>
      </c>
      <c r="C399" s="4" t="n">
        <v>0.000608813175403779</v>
      </c>
    </row>
    <row r="400" customFormat="false" ht="13.8" hidden="false" customHeight="false" outlineLevel="0" collapsed="false">
      <c r="B400" s="2" t="n">
        <v>399</v>
      </c>
      <c r="C400" s="4" t="n">
        <v>0.000608816832271022</v>
      </c>
    </row>
    <row r="401" customFormat="false" ht="13.8" hidden="false" customHeight="false" outlineLevel="0" collapsed="false">
      <c r="B401" s="2" t="n">
        <v>400</v>
      </c>
      <c r="C401" s="4" t="n">
        <v>0.000608820489195633</v>
      </c>
    </row>
    <row r="402" customFormat="false" ht="13.8" hidden="false" customHeight="false" outlineLevel="0" collapsed="false">
      <c r="B402" s="2" t="n">
        <v>401</v>
      </c>
      <c r="C402" s="4" t="n">
        <v>0.000608824146124667</v>
      </c>
    </row>
    <row r="403" customFormat="false" ht="13.8" hidden="false" customHeight="false" outlineLevel="0" collapsed="false">
      <c r="B403" s="2" t="n">
        <v>402</v>
      </c>
      <c r="C403" s="4" t="n">
        <v>0.000608827803108293</v>
      </c>
    </row>
    <row r="404" customFormat="false" ht="13.8" hidden="false" customHeight="false" outlineLevel="0" collapsed="false">
      <c r="B404" s="2" t="n">
        <v>403</v>
      </c>
      <c r="C404" s="4" t="n">
        <v>0.000608831460124478</v>
      </c>
    </row>
    <row r="405" customFormat="false" ht="13.8" hidden="false" customHeight="false" outlineLevel="0" collapsed="false">
      <c r="B405" s="2" t="n">
        <v>404</v>
      </c>
      <c r="C405" s="4" t="n">
        <v>0.000608835117180523</v>
      </c>
    </row>
    <row r="406" customFormat="false" ht="13.8" hidden="false" customHeight="false" outlineLevel="0" collapsed="false">
      <c r="B406" s="2" t="n">
        <v>405</v>
      </c>
      <c r="C406" s="4" t="n">
        <v>0.000608838774270563</v>
      </c>
    </row>
    <row r="407" customFormat="false" ht="13.8" hidden="false" customHeight="false" outlineLevel="0" collapsed="false">
      <c r="B407" s="2" t="n">
        <v>406</v>
      </c>
      <c r="C407" s="4" t="n">
        <v>0.000608842431398354</v>
      </c>
    </row>
    <row r="408" customFormat="false" ht="13.8" hidden="false" customHeight="false" outlineLevel="0" collapsed="false">
      <c r="B408" s="2" t="n">
        <v>407</v>
      </c>
      <c r="C408" s="4" t="n">
        <v>0.000608846088562648</v>
      </c>
    </row>
    <row r="409" customFormat="false" ht="13.8" hidden="false" customHeight="false" outlineLevel="0" collapsed="false">
      <c r="B409" s="2" t="n">
        <v>408</v>
      </c>
      <c r="C409" s="4" t="n">
        <v>0.000608849594647725</v>
      </c>
    </row>
    <row r="410" customFormat="false" ht="13.8" hidden="false" customHeight="false" outlineLevel="0" collapsed="false">
      <c r="B410" s="2" t="n">
        <v>409</v>
      </c>
      <c r="C410" s="4" t="n">
        <v>0.000608853251883649</v>
      </c>
    </row>
    <row r="411" customFormat="false" ht="13.8" hidden="false" customHeight="false" outlineLevel="0" collapsed="false">
      <c r="B411" s="2" t="n">
        <v>410</v>
      </c>
      <c r="C411" s="4" t="n">
        <v>5.01892171150707E-005</v>
      </c>
    </row>
    <row r="412" customFormat="false" ht="13.8" hidden="false" customHeight="false" outlineLevel="0" collapsed="false">
      <c r="B412" s="2" t="n">
        <v>411</v>
      </c>
      <c r="C412" s="4" t="n">
        <v>0.000608878665471927</v>
      </c>
    </row>
    <row r="413" customFormat="false" ht="13.8" hidden="false" customHeight="false" outlineLevel="0" collapsed="false">
      <c r="B413" s="2" t="n">
        <v>412</v>
      </c>
      <c r="C413" s="4" t="n">
        <v>5E-005</v>
      </c>
    </row>
    <row r="414" customFormat="false" ht="13.8" hidden="false" customHeight="false" outlineLevel="0" collapsed="false">
      <c r="B414" s="2" t="n">
        <v>413</v>
      </c>
      <c r="C414" s="4" t="n">
        <v>5E-005</v>
      </c>
    </row>
    <row r="415" customFormat="false" ht="13.8" hidden="false" customHeight="false" outlineLevel="0" collapsed="false">
      <c r="B415" s="2" t="n">
        <v>414</v>
      </c>
      <c r="C415" s="4" t="n">
        <v>5E-005</v>
      </c>
    </row>
    <row r="416" customFormat="false" ht="13.8" hidden="false" customHeight="false" outlineLevel="0" collapsed="false">
      <c r="B416" s="2" t="n">
        <v>415</v>
      </c>
      <c r="C416" s="4" t="n">
        <v>5E-005</v>
      </c>
    </row>
    <row r="417" customFormat="false" ht="13.8" hidden="false" customHeight="false" outlineLevel="0" collapsed="false">
      <c r="B417" s="2" t="n">
        <v>416</v>
      </c>
      <c r="C417" s="4" t="n">
        <v>-5E-005</v>
      </c>
    </row>
    <row r="418" customFormat="false" ht="13.8" hidden="false" customHeight="false" outlineLevel="0" collapsed="false">
      <c r="B418" s="2" t="n">
        <v>417</v>
      </c>
      <c r="C418" s="4" t="n">
        <v>5E-005</v>
      </c>
    </row>
    <row r="419" customFormat="false" ht="13.8" hidden="false" customHeight="false" outlineLevel="0" collapsed="false">
      <c r="B419" s="2" t="n">
        <v>418</v>
      </c>
      <c r="C419" s="4" t="n">
        <v>-5E-005</v>
      </c>
    </row>
    <row r="420" customFormat="false" ht="13.8" hidden="false" customHeight="false" outlineLevel="0" collapsed="false">
      <c r="B420" s="2" t="n">
        <v>419</v>
      </c>
      <c r="C420" s="4" t="n">
        <v>-4.99974999749998E-005</v>
      </c>
    </row>
    <row r="421" customFormat="false" ht="13.8" hidden="false" customHeight="false" outlineLevel="0" collapsed="false">
      <c r="B421" s="2" t="n">
        <v>420</v>
      </c>
      <c r="C421" s="4" t="n">
        <v>5E-005</v>
      </c>
    </row>
    <row r="422" customFormat="false" ht="13.8" hidden="false" customHeight="false" outlineLevel="0" collapsed="false">
      <c r="B422" s="2" t="n">
        <v>421</v>
      </c>
      <c r="C422" s="4" t="n">
        <v>-5E-005</v>
      </c>
    </row>
    <row r="423" customFormat="false" ht="13.8" hidden="false" customHeight="false" outlineLevel="0" collapsed="false">
      <c r="B423" s="2" t="n">
        <v>422</v>
      </c>
      <c r="C423" s="4" t="n">
        <v>-4.99972559505569E-005</v>
      </c>
    </row>
    <row r="424" customFormat="false" ht="13.8" hidden="false" customHeight="false" outlineLevel="0" collapsed="false">
      <c r="B424" s="2" t="n">
        <v>423</v>
      </c>
      <c r="C424" s="4" t="n">
        <v>-5E-005</v>
      </c>
    </row>
    <row r="425" customFormat="false" ht="13.8" hidden="false" customHeight="false" outlineLevel="0" collapsed="false">
      <c r="B425" s="2" t="n">
        <v>424</v>
      </c>
      <c r="C425" s="4" t="n">
        <v>-5E-005</v>
      </c>
    </row>
    <row r="426" customFormat="false" ht="13.8" hidden="false" customHeight="false" outlineLevel="0" collapsed="false">
      <c r="B426" s="2" t="n">
        <v>425</v>
      </c>
      <c r="C426" s="4" t="n">
        <v>-5E-005</v>
      </c>
    </row>
    <row r="427" customFormat="false" ht="13.8" hidden="false" customHeight="false" outlineLevel="0" collapsed="false">
      <c r="B427" s="2" t="n">
        <v>426</v>
      </c>
      <c r="C427" s="4" t="n">
        <v>-4.99974999749998E-005</v>
      </c>
    </row>
    <row r="428" customFormat="false" ht="13.8" hidden="false" customHeight="false" outlineLevel="0" collapsed="false">
      <c r="B428" s="2" t="n">
        <v>427</v>
      </c>
      <c r="C428" s="4" t="n">
        <v>-4.99972559505569E-005</v>
      </c>
    </row>
    <row r="429" customFormat="false" ht="13.8" hidden="false" customHeight="false" outlineLevel="0" collapsed="false">
      <c r="B429" s="2" t="n">
        <v>428</v>
      </c>
      <c r="C429" s="4" t="n">
        <v>-4.99998111034393E-005</v>
      </c>
    </row>
    <row r="430" customFormat="false" ht="13.8" hidden="false" customHeight="false" outlineLevel="0" collapsed="false">
      <c r="B430" s="2" t="n">
        <v>429</v>
      </c>
      <c r="C430" s="4" t="n">
        <v>-5E-005</v>
      </c>
    </row>
    <row r="431" customFormat="false" ht="13.8" hidden="false" customHeight="false" outlineLevel="0" collapsed="false">
      <c r="B431" s="2" t="n">
        <v>430</v>
      </c>
      <c r="C431" s="4" t="n">
        <v>-5E-005</v>
      </c>
    </row>
    <row r="432" customFormat="false" ht="13.8" hidden="false" customHeight="false" outlineLevel="0" collapsed="false">
      <c r="B432" s="2" t="n">
        <v>431</v>
      </c>
      <c r="C432" s="4" t="n">
        <v>-4.99992444138069E-005</v>
      </c>
    </row>
    <row r="433" customFormat="false" ht="13.8" hidden="false" customHeight="false" outlineLevel="0" collapsed="false">
      <c r="B433" s="2" t="n">
        <v>432</v>
      </c>
      <c r="C433" s="4" t="n">
        <v>-5E-005</v>
      </c>
    </row>
    <row r="434" customFormat="false" ht="13.8" hidden="false" customHeight="false" outlineLevel="0" collapsed="false">
      <c r="B434" s="2" t="n">
        <v>433</v>
      </c>
      <c r="C434" s="4" t="n">
        <v>-4.99974999749998E-005</v>
      </c>
    </row>
    <row r="435" customFormat="false" ht="13.8" hidden="false" customHeight="false" outlineLevel="0" collapsed="false">
      <c r="B435" s="2" t="n">
        <v>434</v>
      </c>
      <c r="C435" s="4" t="n">
        <v>-5E-005</v>
      </c>
    </row>
    <row r="436" customFormat="false" ht="13.8" hidden="false" customHeight="false" outlineLevel="0" collapsed="false">
      <c r="B436" s="2" t="n">
        <v>435</v>
      </c>
      <c r="C436" s="4" t="n">
        <v>-4.99999999999411E-005</v>
      </c>
    </row>
    <row r="437" customFormat="false" ht="13.8" hidden="false" customHeight="false" outlineLevel="0" collapsed="false">
      <c r="B437" s="2" t="n">
        <v>436</v>
      </c>
      <c r="C437" s="4" t="n">
        <v>-4.99972559505569E-005</v>
      </c>
    </row>
    <row r="438" customFormat="false" ht="13.8" hidden="false" customHeight="false" outlineLevel="0" collapsed="false">
      <c r="B438" s="2" t="n">
        <v>437</v>
      </c>
      <c r="C438" s="4" t="n">
        <v>-4.99947558981159E-005</v>
      </c>
    </row>
    <row r="439" customFormat="false" ht="13.8" hidden="false" customHeight="false" outlineLevel="0" collapsed="false">
      <c r="B439" s="2" t="n">
        <v>438</v>
      </c>
      <c r="C439" s="4" t="n">
        <v>-4.99917677693493E-005</v>
      </c>
    </row>
    <row r="440" customFormat="false" ht="13.8" hidden="false" customHeight="false" outlineLevel="0" collapsed="false">
      <c r="B440" s="2" t="n">
        <v>439</v>
      </c>
      <c r="C440" s="4" t="n">
        <v>5E-005</v>
      </c>
    </row>
    <row r="441" customFormat="false" ht="13.8" hidden="false" customHeight="false" outlineLevel="0" collapsed="false">
      <c r="B441" s="2" t="n">
        <v>440</v>
      </c>
      <c r="C441" s="4" t="n">
        <v>5.00001888965069E-005</v>
      </c>
    </row>
    <row r="442" customFormat="false" ht="13.8" hidden="false" customHeight="false" outlineLevel="0" collapsed="false">
      <c r="B442" s="2" t="n">
        <v>441</v>
      </c>
      <c r="C442" s="4" t="n">
        <v>5.00003777949612E-005</v>
      </c>
    </row>
    <row r="443" customFormat="false" ht="13.8" hidden="false" customHeight="false" outlineLevel="0" collapsed="false">
      <c r="B443" s="2" t="n">
        <v>442</v>
      </c>
      <c r="C443" s="4" t="n">
        <v>5.0000566695186E-005</v>
      </c>
    </row>
    <row r="444" customFormat="false" ht="13.8" hidden="false" customHeight="false" outlineLevel="0" collapsed="false">
      <c r="B444" s="2" t="n">
        <v>443</v>
      </c>
      <c r="C444" s="4" t="n">
        <v>5E-005</v>
      </c>
    </row>
    <row r="445" customFormat="false" ht="13.8" hidden="false" customHeight="false" outlineLevel="0" collapsed="false">
      <c r="B445" s="2" t="n">
        <v>444</v>
      </c>
      <c r="C445" s="4" t="n">
        <v>5E-005</v>
      </c>
    </row>
    <row r="446" customFormat="false" ht="13.8" hidden="false" customHeight="false" outlineLevel="0" collapsed="false">
      <c r="B446" s="2" t="n">
        <v>445</v>
      </c>
      <c r="C446" s="4" t="n">
        <v>5E-005</v>
      </c>
    </row>
    <row r="447" customFormat="false" ht="13.8" hidden="false" customHeight="false" outlineLevel="0" collapsed="false">
      <c r="B447" s="2" t="n">
        <v>446</v>
      </c>
      <c r="C447" s="4" t="n">
        <v>5.00001888965328E-005</v>
      </c>
    </row>
    <row r="448" customFormat="false" ht="13.8" hidden="false" customHeight="false" outlineLevel="0" collapsed="false">
      <c r="B448" s="2" t="n">
        <v>447</v>
      </c>
      <c r="C448" s="4" t="n">
        <v>5E-005</v>
      </c>
    </row>
    <row r="449" customFormat="false" ht="13.8" hidden="false" customHeight="false" outlineLevel="0" collapsed="false">
      <c r="B449" s="2" t="n">
        <v>448</v>
      </c>
      <c r="C449" s="4" t="n">
        <v>5E-005</v>
      </c>
    </row>
    <row r="450" customFormat="false" ht="13.8" hidden="false" customHeight="false" outlineLevel="0" collapsed="false">
      <c r="B450" s="2" t="n">
        <v>449</v>
      </c>
      <c r="C450" s="4" t="n">
        <v>5.00001888965428E-005</v>
      </c>
    </row>
    <row r="451" customFormat="false" ht="13.8" hidden="false" customHeight="false" outlineLevel="0" collapsed="false">
      <c r="B451" s="2" t="n">
        <v>450</v>
      </c>
      <c r="C451" s="4" t="n">
        <v>5.00006044749901E-005</v>
      </c>
    </row>
    <row r="452" customFormat="false" ht="13.8" hidden="false" customHeight="false" outlineLevel="0" collapsed="false">
      <c r="B452" s="2" t="n">
        <v>451</v>
      </c>
      <c r="C452" s="4" t="n">
        <v>5.00015489703161E-005</v>
      </c>
    </row>
    <row r="453" customFormat="false" ht="13.8" hidden="false" customHeight="false" outlineLevel="0" collapsed="false">
      <c r="B453" s="2" t="n">
        <v>452</v>
      </c>
      <c r="C453" s="4" t="n">
        <v>5.0010000250005E-005</v>
      </c>
    </row>
    <row r="454" customFormat="false" ht="13.8" hidden="false" customHeight="false" outlineLevel="0" collapsed="false">
      <c r="B454" s="2" t="n">
        <v>453</v>
      </c>
      <c r="C454" s="4" t="n">
        <v>0.10573272834619</v>
      </c>
    </row>
    <row r="455" customFormat="false" ht="13.8" hidden="false" customHeight="false" outlineLevel="0" collapsed="false">
      <c r="B455" s="2" t="n">
        <v>454</v>
      </c>
      <c r="C455" s="4" t="n">
        <v>0.105733782835136</v>
      </c>
    </row>
    <row r="456" customFormat="false" ht="13.8" hidden="false" customHeight="false" outlineLevel="0" collapsed="false">
      <c r="B456" s="2" t="n">
        <v>455</v>
      </c>
      <c r="C456" s="4" t="n">
        <v>0.105734837334623</v>
      </c>
    </row>
    <row r="457" customFormat="false" ht="13.8" hidden="false" customHeight="false" outlineLevel="0" collapsed="false">
      <c r="B457" s="2" t="n">
        <v>456</v>
      </c>
      <c r="C457" s="4" t="n">
        <v>0.105735891844657</v>
      </c>
    </row>
    <row r="458" customFormat="false" ht="13.8" hidden="false" customHeight="false" outlineLevel="0" collapsed="false">
      <c r="B458" s="2" t="n">
        <v>457</v>
      </c>
      <c r="C458" s="4" t="n">
        <v>0.105736946365235</v>
      </c>
    </row>
    <row r="459" customFormat="false" ht="13.8" hidden="false" customHeight="false" outlineLevel="0" collapsed="false">
      <c r="B459" s="2" t="n">
        <v>458</v>
      </c>
      <c r="C459" s="4" t="n">
        <v>0.10573800089636</v>
      </c>
    </row>
    <row r="460" customFormat="false" ht="13.8" hidden="false" customHeight="false" outlineLevel="0" collapsed="false">
      <c r="B460" s="2" t="n">
        <v>459</v>
      </c>
      <c r="C460" s="4" t="n">
        <v>0.105739055438029</v>
      </c>
    </row>
    <row r="461" customFormat="false" ht="13.8" hidden="false" customHeight="false" outlineLevel="0" collapsed="false">
      <c r="B461" s="2" t="n">
        <v>460</v>
      </c>
      <c r="C461" s="4" t="n">
        <v>0.105740109990245</v>
      </c>
    </row>
    <row r="462" customFormat="false" ht="13.8" hidden="false" customHeight="false" outlineLevel="0" collapsed="false">
      <c r="B462" s="2" t="n">
        <v>461</v>
      </c>
      <c r="C462" s="4" t="n">
        <v>0.105741164553005</v>
      </c>
    </row>
    <row r="463" customFormat="false" ht="13.8" hidden="false" customHeight="false" outlineLevel="0" collapsed="false">
      <c r="B463" s="2" t="n">
        <v>462</v>
      </c>
      <c r="C463" s="4" t="n">
        <v>0.105742219126313</v>
      </c>
    </row>
    <row r="464" customFormat="false" ht="13.8" hidden="false" customHeight="false" outlineLevel="0" collapsed="false">
      <c r="B464" s="2" t="n">
        <v>463</v>
      </c>
      <c r="C464" s="4" t="n">
        <v>0.105743273710165</v>
      </c>
    </row>
    <row r="465" customFormat="false" ht="13.8" hidden="false" customHeight="false" outlineLevel="0" collapsed="false">
      <c r="B465" s="2" t="n">
        <v>464</v>
      </c>
      <c r="C465" s="4" t="n">
        <v>0.105744328304564</v>
      </c>
    </row>
    <row r="466" customFormat="false" ht="13.8" hidden="false" customHeight="false" outlineLevel="0" collapsed="false">
      <c r="B466" s="2" t="n">
        <v>465</v>
      </c>
      <c r="C466" s="4" t="n">
        <v>0.105745382909508</v>
      </c>
    </row>
    <row r="467" customFormat="false" ht="13.8" hidden="false" customHeight="false" outlineLevel="0" collapsed="false">
      <c r="B467" s="2" t="n">
        <v>466</v>
      </c>
      <c r="C467" s="4" t="n">
        <v>0.105746437524999</v>
      </c>
    </row>
    <row r="468" customFormat="false" ht="13.8" hidden="false" customHeight="false" outlineLevel="0" collapsed="false">
      <c r="B468" s="2" t="n">
        <v>467</v>
      </c>
      <c r="C468" s="4" t="n">
        <v>0.105747492151036</v>
      </c>
    </row>
    <row r="469" customFormat="false" ht="13.8" hidden="false" customHeight="false" outlineLevel="0" collapsed="false">
      <c r="B469" s="2" t="n">
        <v>468</v>
      </c>
      <c r="C469" s="4" t="n">
        <v>0.10574854678762</v>
      </c>
    </row>
    <row r="470" customFormat="false" ht="13.8" hidden="false" customHeight="false" outlineLevel="0" collapsed="false">
      <c r="B470" s="2" t="n">
        <v>469</v>
      </c>
      <c r="C470" s="4" t="n">
        <v>0.10574960143475</v>
      </c>
    </row>
    <row r="471" customFormat="false" ht="13.8" hidden="false" customHeight="false" outlineLevel="0" collapsed="false">
      <c r="B471" s="2" t="n">
        <v>470</v>
      </c>
      <c r="C471" s="4" t="n">
        <v>0.105750656092426</v>
      </c>
    </row>
    <row r="472" customFormat="false" ht="13.8" hidden="false" customHeight="false" outlineLevel="0" collapsed="false">
      <c r="B472" s="2" t="n">
        <v>471</v>
      </c>
      <c r="C472" s="4" t="n">
        <v>0.10575171076065</v>
      </c>
    </row>
    <row r="473" customFormat="false" ht="13.8" hidden="false" customHeight="false" outlineLevel="0" collapsed="false">
      <c r="B473" s="2" t="n">
        <v>472</v>
      </c>
      <c r="C473" s="4" t="n">
        <v>0.10575276543942</v>
      </c>
    </row>
    <row r="474" customFormat="false" ht="13.8" hidden="false" customHeight="false" outlineLevel="0" collapsed="false">
      <c r="B474" s="2" t="n">
        <v>473</v>
      </c>
      <c r="C474" s="4" t="n">
        <v>0.105753820128737</v>
      </c>
    </row>
    <row r="475" customFormat="false" ht="13.8" hidden="false" customHeight="false" outlineLevel="0" collapsed="false">
      <c r="B475" s="2" t="n">
        <v>474</v>
      </c>
      <c r="C475" s="4" t="n">
        <v>0.105754874828601</v>
      </c>
    </row>
    <row r="476" customFormat="false" ht="13.8" hidden="false" customHeight="false" outlineLevel="0" collapsed="false">
      <c r="B476" s="2" t="n">
        <v>475</v>
      </c>
      <c r="C476" s="4" t="n">
        <v>0.105755929539012</v>
      </c>
    </row>
    <row r="477" customFormat="false" ht="13.8" hidden="false" customHeight="false" outlineLevel="0" collapsed="false">
      <c r="B477" s="2" t="n">
        <v>476</v>
      </c>
      <c r="C477" s="4" t="n">
        <v>0.10575698425997</v>
      </c>
    </row>
    <row r="478" customFormat="false" ht="13.8" hidden="false" customHeight="false" outlineLevel="0" collapsed="false">
      <c r="B478" s="2" t="n">
        <v>477</v>
      </c>
      <c r="C478" s="4" t="n">
        <v>0.105758038991477</v>
      </c>
    </row>
    <row r="479" customFormat="false" ht="13.8" hidden="false" customHeight="false" outlineLevel="0" collapsed="false">
      <c r="B479" s="2" t="n">
        <v>478</v>
      </c>
      <c r="C479" s="4" t="n">
        <v>0.10575909479127</v>
      </c>
    </row>
    <row r="480" customFormat="false" ht="13.8" hidden="false" customHeight="false" outlineLevel="0" collapsed="false">
      <c r="B480" s="2" t="n">
        <v>479</v>
      </c>
      <c r="C480" s="4" t="n">
        <v>0.10576014848613</v>
      </c>
    </row>
    <row r="481" customFormat="false" ht="13.8" hidden="false" customHeight="false" outlineLevel="0" collapsed="false">
      <c r="B481" s="2" t="n">
        <v>480</v>
      </c>
      <c r="C481" s="4" t="n">
        <v>0.10576120324928</v>
      </c>
    </row>
    <row r="482" customFormat="false" ht="13.8" hidden="false" customHeight="false" outlineLevel="0" collapsed="false">
      <c r="B482" s="2" t="n">
        <v>481</v>
      </c>
      <c r="C482" s="4" t="n">
        <v>0.105762258854071</v>
      </c>
    </row>
    <row r="483" customFormat="false" ht="13.8" hidden="false" customHeight="false" outlineLevel="0" collapsed="false">
      <c r="B483" s="2" t="n">
        <v>482</v>
      </c>
      <c r="C483" s="4" t="n">
        <v>0.105763312807218</v>
      </c>
    </row>
    <row r="484" customFormat="false" ht="13.8" hidden="false" customHeight="false" outlineLevel="0" collapsed="false">
      <c r="B484" s="2" t="n">
        <v>483</v>
      </c>
      <c r="C484" s="4" t="n">
        <v>0.105764367602009</v>
      </c>
    </row>
    <row r="485" customFormat="false" ht="13.8" hidden="false" customHeight="false" outlineLevel="0" collapsed="false">
      <c r="B485" s="2" t="n">
        <v>484</v>
      </c>
      <c r="C485" s="4" t="n">
        <v>0.105765422407349</v>
      </c>
    </row>
    <row r="486" customFormat="false" ht="13.8" hidden="false" customHeight="false" outlineLevel="0" collapsed="false">
      <c r="B486" s="2" t="n">
        <v>485</v>
      </c>
      <c r="C486" s="4" t="n">
        <v>0.105766477223236</v>
      </c>
    </row>
    <row r="487" customFormat="false" ht="13.8" hidden="false" customHeight="false" outlineLevel="0" collapsed="false">
      <c r="B487" s="2" t="n">
        <v>486</v>
      </c>
      <c r="C487" s="4" t="n">
        <v>0.105767532049674</v>
      </c>
    </row>
    <row r="488" customFormat="false" ht="13.8" hidden="false" customHeight="false" outlineLevel="0" collapsed="false">
      <c r="B488" s="2" t="n">
        <v>487</v>
      </c>
      <c r="C488" s="4" t="n">
        <v>0.105768586886658</v>
      </c>
    </row>
    <row r="489" customFormat="false" ht="13.8" hidden="false" customHeight="false" outlineLevel="0" collapsed="false">
      <c r="B489" s="2" t="n">
        <v>488</v>
      </c>
      <c r="C489" s="4" t="n">
        <v>0.105769641734191</v>
      </c>
    </row>
    <row r="490" customFormat="false" ht="13.8" hidden="false" customHeight="false" outlineLevel="0" collapsed="false">
      <c r="B490" s="2" t="n">
        <v>489</v>
      </c>
      <c r="C490" s="4" t="n">
        <v>0.105770696592272</v>
      </c>
    </row>
    <row r="491" customFormat="false" ht="13.8" hidden="false" customHeight="false" outlineLevel="0" collapsed="false">
      <c r="B491" s="2" t="n">
        <v>490</v>
      </c>
      <c r="C491" s="4" t="n">
        <v>0.105771751612018</v>
      </c>
    </row>
    <row r="492" customFormat="false" ht="13.8" hidden="false" customHeight="false" outlineLevel="0" collapsed="false">
      <c r="B492" s="2" t="n">
        <v>491</v>
      </c>
      <c r="C492" s="4" t="n">
        <v>0.105772806340081</v>
      </c>
    </row>
    <row r="493" customFormat="false" ht="13.8" hidden="false" customHeight="false" outlineLevel="0" collapsed="false">
      <c r="B493" s="2" t="n">
        <v>492</v>
      </c>
      <c r="C493" s="4" t="n">
        <v>0.10577386122981</v>
      </c>
    </row>
    <row r="494" customFormat="false" ht="13.8" hidden="false" customHeight="false" outlineLevel="0" collapsed="false">
      <c r="B494" s="2" t="n">
        <v>493</v>
      </c>
      <c r="C494" s="4" t="n">
        <v>0.105774916547678</v>
      </c>
    </row>
    <row r="495" customFormat="false" ht="13.8" hidden="false" customHeight="false" outlineLevel="0" collapsed="false">
      <c r="B495" s="2" t="n">
        <v>494</v>
      </c>
      <c r="C495" s="4" t="n">
        <v>0.105775971876101</v>
      </c>
    </row>
    <row r="496" customFormat="false" ht="13.8" hidden="false" customHeight="false" outlineLevel="0" collapsed="false">
      <c r="B496" s="2" t="n">
        <v>495</v>
      </c>
      <c r="C496" s="4" t="n">
        <v>0.105777025735609</v>
      </c>
    </row>
    <row r="497" customFormat="false" ht="13.8" hidden="false" customHeight="false" outlineLevel="0" collapsed="false">
      <c r="B497" s="2" t="n">
        <v>496</v>
      </c>
      <c r="C497" s="4" t="n">
        <v>0.105778082564607</v>
      </c>
    </row>
    <row r="498" customFormat="false" ht="13.8" hidden="false" customHeight="false" outlineLevel="0" collapsed="false">
      <c r="B498" s="2" t="n">
        <v>497</v>
      </c>
      <c r="C498" s="4" t="n">
        <v>0.105779135458886</v>
      </c>
    </row>
    <row r="499" customFormat="false" ht="13.8" hidden="false" customHeight="false" outlineLevel="0" collapsed="false">
      <c r="B499" s="2" t="n">
        <v>498</v>
      </c>
      <c r="C499" s="4" t="n">
        <v>0.105780193295326</v>
      </c>
    </row>
    <row r="500" customFormat="false" ht="13.8" hidden="false" customHeight="false" outlineLevel="0" collapsed="false">
      <c r="B500" s="2" t="n">
        <v>499</v>
      </c>
      <c r="C500" s="4" t="n">
        <v>0.105781248676516</v>
      </c>
    </row>
    <row r="501" customFormat="false" ht="13.8" hidden="false" customHeight="false" outlineLevel="0" collapsed="false">
      <c r="B501" s="2" t="n">
        <v>500</v>
      </c>
      <c r="C501" s="4" t="n">
        <v>0.105782304068261</v>
      </c>
    </row>
    <row r="502" customFormat="false" ht="13.8" hidden="false" customHeight="false" outlineLevel="0" collapsed="false">
      <c r="B502" s="2" t="n">
        <v>501</v>
      </c>
      <c r="C502" s="4" t="n">
        <v>0.105783359470559</v>
      </c>
    </row>
    <row r="503" customFormat="false" ht="13.8" hidden="false" customHeight="false" outlineLevel="0" collapsed="false">
      <c r="B503" s="2" t="n">
        <v>502</v>
      </c>
      <c r="C503" s="4" t="n">
        <v>0.105784414883412</v>
      </c>
    </row>
    <row r="504" customFormat="false" ht="13.8" hidden="false" customHeight="false" outlineLevel="0" collapsed="false">
      <c r="B504" s="2" t="n">
        <v>503</v>
      </c>
      <c r="C504" s="4" t="n">
        <v>0.105785470306819</v>
      </c>
    </row>
    <row r="505" customFormat="false" ht="13.8" hidden="false" customHeight="false" outlineLevel="0" collapsed="false">
      <c r="B505" s="2" t="n">
        <v>504</v>
      </c>
      <c r="C505" s="4" t="n">
        <v>0.10578652574078</v>
      </c>
    </row>
    <row r="506" customFormat="false" ht="13.8" hidden="false" customHeight="false" outlineLevel="0" collapsed="false">
      <c r="B506" s="2" t="n">
        <v>505</v>
      </c>
      <c r="C506" s="4" t="n">
        <v>0.105787581109737</v>
      </c>
    </row>
    <row r="507" customFormat="false" ht="13.8" hidden="false" customHeight="false" outlineLevel="0" collapsed="false">
      <c r="B507" s="2" t="n">
        <v>506</v>
      </c>
      <c r="C507" s="4" t="n">
        <v>0.105788655360701</v>
      </c>
    </row>
    <row r="508" customFormat="false" ht="13.8" hidden="false" customHeight="false" outlineLevel="0" collapsed="false">
      <c r="B508" s="2" t="n">
        <v>507</v>
      </c>
      <c r="C508" s="4" t="n">
        <v>0.105789691879312</v>
      </c>
    </row>
    <row r="509" customFormat="false" ht="13.8" hidden="false" customHeight="false" outlineLevel="0" collapsed="false">
      <c r="B509" s="2" t="n">
        <v>508</v>
      </c>
      <c r="C509" s="4" t="n">
        <v>0.10579076980601</v>
      </c>
    </row>
    <row r="510" customFormat="false" ht="13.8" hidden="false" customHeight="false" outlineLevel="0" collapsed="false">
      <c r="B510" s="2" t="n">
        <v>509</v>
      </c>
      <c r="C510" s="4" t="n">
        <v>0.105791802785551</v>
      </c>
    </row>
    <row r="511" customFormat="false" ht="13.8" hidden="false" customHeight="false" outlineLevel="0" collapsed="false">
      <c r="B511" s="2" t="n">
        <v>510</v>
      </c>
      <c r="C511" s="4" t="n">
        <v>0.1057928658769</v>
      </c>
    </row>
    <row r="512" customFormat="false" ht="13.8" hidden="false" customHeight="false" outlineLevel="0" collapsed="false">
      <c r="B512" s="2" t="n">
        <v>511</v>
      </c>
      <c r="C512" s="4" t="n">
        <v>0.105793904174403</v>
      </c>
    </row>
    <row r="513" customFormat="false" ht="13.8" hidden="false" customHeight="false" outlineLevel="0" collapsed="false">
      <c r="B513" s="2" t="n">
        <v>512</v>
      </c>
      <c r="C513" s="4" t="n">
        <v>0.0852509168904352</v>
      </c>
    </row>
    <row r="514" customFormat="false" ht="13.8" hidden="false" customHeight="false" outlineLevel="0" collapsed="false">
      <c r="B514" s="2" t="n">
        <v>513</v>
      </c>
      <c r="C514" s="4" t="n">
        <v>0.0852517714081493</v>
      </c>
    </row>
    <row r="515" customFormat="false" ht="13.8" hidden="false" customHeight="false" outlineLevel="0" collapsed="false">
      <c r="B515" s="2" t="n">
        <v>514</v>
      </c>
      <c r="C515" s="4" t="n">
        <v>0.0852336968178078</v>
      </c>
    </row>
    <row r="516" customFormat="false" ht="13.8" hidden="false" customHeight="false" outlineLevel="0" collapsed="false">
      <c r="B516" s="2" t="n">
        <v>515</v>
      </c>
      <c r="C516" s="4" t="n">
        <v>0.0852534804692133</v>
      </c>
    </row>
    <row r="517" customFormat="false" ht="13.8" hidden="false" customHeight="false" outlineLevel="0" collapsed="false">
      <c r="B517" s="2" t="n">
        <v>516</v>
      </c>
      <c r="C517" s="4" t="n">
        <v>0.0852354075174046</v>
      </c>
    </row>
    <row r="518" customFormat="false" ht="13.8" hidden="false" customHeight="false" outlineLevel="0" collapsed="false">
      <c r="B518" s="2" t="n">
        <v>517</v>
      </c>
      <c r="C518" s="4" t="n">
        <v>0.0852362628800334</v>
      </c>
    </row>
    <row r="519" customFormat="false" ht="13.8" hidden="false" customHeight="false" outlineLevel="0" collapsed="false">
      <c r="B519" s="2" t="n">
        <v>518</v>
      </c>
      <c r="C519" s="4" t="n">
        <v>0.0852560441249003</v>
      </c>
    </row>
    <row r="520" customFormat="false" ht="13.8" hidden="false" customHeight="false" outlineLevel="0" collapsed="false">
      <c r="B520" s="2" t="n">
        <v>519</v>
      </c>
      <c r="C520" s="4" t="n">
        <v>0.0852568986938873</v>
      </c>
    </row>
    <row r="521" customFormat="false" ht="13.8" hidden="false" customHeight="false" outlineLevel="0" collapsed="false">
      <c r="B521" s="2" t="n">
        <v>520</v>
      </c>
      <c r="C521" s="4" t="n">
        <v>0.08525775327142</v>
      </c>
    </row>
    <row r="522" customFormat="false" ht="13.8" hidden="false" customHeight="false" outlineLevel="0" collapsed="false">
      <c r="B522" s="2" t="n">
        <v>521</v>
      </c>
      <c r="C522" s="4" t="n">
        <v>0.0852586078574985</v>
      </c>
    </row>
    <row r="523" customFormat="false" ht="13.8" hidden="false" customHeight="false" outlineLevel="0" collapsed="false">
      <c r="B523" s="2" t="n">
        <v>522</v>
      </c>
      <c r="C523" s="4" t="n">
        <v>0.0852594624521231</v>
      </c>
    </row>
    <row r="524" customFormat="false" ht="13.8" hidden="false" customHeight="false" outlineLevel="0" collapsed="false">
      <c r="B524" s="2" t="n">
        <v>523</v>
      </c>
      <c r="C524" s="4" t="n">
        <v>0.0852413952354371</v>
      </c>
    </row>
    <row r="525" customFormat="false" ht="13.8" hidden="false" customHeight="false" outlineLevel="0" collapsed="false">
      <c r="B525" s="2" t="n">
        <v>524</v>
      </c>
      <c r="C525" s="4" t="n">
        <v>0.0852422506579437</v>
      </c>
    </row>
    <row r="526" customFormat="false" ht="13.8" hidden="false" customHeight="false" outlineLevel="0" collapsed="false">
      <c r="B526" s="2" t="n">
        <v>525</v>
      </c>
      <c r="C526" s="4" t="n">
        <v>0.0852431060890046</v>
      </c>
    </row>
    <row r="527" customFormat="false" ht="13.8" hidden="false" customHeight="false" outlineLevel="0" collapsed="false">
      <c r="B527" s="2" t="n">
        <v>526</v>
      </c>
      <c r="C527" s="4" t="n">
        <v>0.0852439615286199</v>
      </c>
    </row>
    <row r="528" customFormat="false" ht="13.8" hidden="false" customHeight="false" outlineLevel="0" collapsed="false">
      <c r="B528" s="2" t="n">
        <v>527</v>
      </c>
      <c r="C528" s="4" t="n">
        <v>0.0852448169767896</v>
      </c>
    </row>
    <row r="529" customFormat="false" ht="13.8" hidden="false" customHeight="false" outlineLevel="0" collapsed="false">
      <c r="B529" s="2" t="n">
        <v>528</v>
      </c>
      <c r="C529" s="4" t="n">
        <v>0.085245672433514</v>
      </c>
    </row>
    <row r="530" customFormat="false" ht="13.8" hidden="false" customHeight="false" outlineLevel="0" collapsed="false">
      <c r="B530" s="2" t="n">
        <v>529</v>
      </c>
      <c r="C530" s="4" t="n">
        <v>0.085246527898793</v>
      </c>
    </row>
    <row r="531" customFormat="false" ht="13.8" hidden="false" customHeight="false" outlineLevel="0" collapsed="false">
      <c r="B531" s="2" t="n">
        <v>530</v>
      </c>
      <c r="C531" s="4" t="n">
        <v>0.0852473833726267</v>
      </c>
    </row>
    <row r="532" customFormat="false" ht="13.8" hidden="false" customHeight="false" outlineLevel="0" collapsed="false">
      <c r="B532" s="2" t="n">
        <v>531</v>
      </c>
      <c r="C532" s="4" t="n">
        <v>0.0852671541883254</v>
      </c>
    </row>
    <row r="533" customFormat="false" ht="13.8" hidden="false" customHeight="false" outlineLevel="0" collapsed="false">
      <c r="B533" s="2" t="n">
        <v>532</v>
      </c>
      <c r="C533" s="4" t="n">
        <v>0.0852490943459587</v>
      </c>
    </row>
    <row r="534" customFormat="false" ht="13.8" hidden="false" customHeight="false" outlineLevel="0" collapsed="false">
      <c r="B534" s="2" t="n">
        <v>533</v>
      </c>
      <c r="C534" s="4" t="n">
        <v>0.0852688635570496</v>
      </c>
    </row>
    <row r="535" customFormat="false" ht="13.8" hidden="false" customHeight="false" outlineLevel="0" collapsed="false">
      <c r="B535" s="2" t="n">
        <v>534</v>
      </c>
      <c r="C535" s="4" t="n">
        <v>0.0852697182542322</v>
      </c>
    </row>
    <row r="536" customFormat="false" ht="13.8" hidden="false" customHeight="false" outlineLevel="0" collapsed="false">
      <c r="B536" s="2" t="n">
        <v>535</v>
      </c>
      <c r="C536" s="4" t="n">
        <v>0.0852705729599618</v>
      </c>
    </row>
    <row r="537" customFormat="false" ht="13.8" hidden="false" customHeight="false" outlineLevel="0" collapsed="false">
      <c r="B537" s="2" t="n">
        <v>536</v>
      </c>
      <c r="C537" s="4" t="n">
        <v>0.0852714276742385</v>
      </c>
    </row>
    <row r="538" customFormat="false" ht="13.8" hidden="false" customHeight="false" outlineLevel="0" collapsed="false">
      <c r="B538" s="2" t="n">
        <v>537</v>
      </c>
      <c r="C538" s="4" t="n">
        <v>0.0852722823970625</v>
      </c>
    </row>
    <row r="539" customFormat="false" ht="13.8" hidden="false" customHeight="false" outlineLevel="0" collapsed="false">
      <c r="B539" s="2" t="n">
        <v>538</v>
      </c>
      <c r="C539" s="4" t="n">
        <v>0.0852731371284338</v>
      </c>
    </row>
    <row r="540" customFormat="false" ht="13.8" hidden="false" customHeight="false" outlineLevel="0" collapsed="false">
      <c r="B540" s="2" t="n">
        <v>539</v>
      </c>
      <c r="C540" s="4" t="n">
        <v>0.21381889588544</v>
      </c>
    </row>
    <row r="541" customFormat="false" ht="13.8" hidden="false" customHeight="false" outlineLevel="0" collapsed="false">
      <c r="B541" s="2" t="n">
        <v>540</v>
      </c>
      <c r="C541" s="4" t="n">
        <v>0.21382103124687</v>
      </c>
    </row>
    <row r="542" customFormat="false" ht="13.8" hidden="false" customHeight="false" outlineLevel="0" collapsed="false">
      <c r="B542" s="2" t="n">
        <v>541</v>
      </c>
      <c r="C542" s="4" t="n">
        <v>0.213823166629653</v>
      </c>
    </row>
    <row r="543" customFormat="false" ht="13.8" hidden="false" customHeight="false" outlineLevel="0" collapsed="false">
      <c r="B543" s="2" t="n">
        <v>542</v>
      </c>
      <c r="C543" s="4" t="n">
        <v>0.213825302033786</v>
      </c>
    </row>
    <row r="544" customFormat="false" ht="13.8" hidden="false" customHeight="false" outlineLevel="0" collapsed="false">
      <c r="B544" s="2" t="n">
        <v>543</v>
      </c>
      <c r="C544" s="4" t="n">
        <v>0.213827437459276</v>
      </c>
    </row>
    <row r="545" customFormat="false" ht="13.8" hidden="false" customHeight="false" outlineLevel="0" collapsed="false">
      <c r="B545" s="2" t="n">
        <v>544</v>
      </c>
      <c r="C545" s="4" t="n">
        <v>0.213829572906122</v>
      </c>
    </row>
    <row r="546" customFormat="false" ht="13.8" hidden="false" customHeight="false" outlineLevel="0" collapsed="false">
      <c r="B546" s="2" t="n">
        <v>545</v>
      </c>
      <c r="C546" s="4" t="n">
        <v>0.21383170837432</v>
      </c>
    </row>
    <row r="547" customFormat="false" ht="13.8" hidden="false" customHeight="false" outlineLevel="0" collapsed="false">
      <c r="B547" s="2" t="n">
        <v>546</v>
      </c>
      <c r="C547" s="4" t="n">
        <v>0.213833843863874</v>
      </c>
    </row>
    <row r="548" customFormat="false" ht="13.8" hidden="false" customHeight="false" outlineLevel="0" collapsed="false">
      <c r="B548" s="2" t="n">
        <v>547</v>
      </c>
      <c r="C548" s="4" t="n">
        <v>0.213835979374784</v>
      </c>
    </row>
    <row r="549" customFormat="false" ht="13.8" hidden="false" customHeight="false" outlineLevel="0" collapsed="false">
      <c r="B549" s="2" t="n">
        <v>548</v>
      </c>
      <c r="C549" s="4" t="n">
        <v>0.21383811551149</v>
      </c>
    </row>
    <row r="550" customFormat="false" ht="13.8" hidden="false" customHeight="false" outlineLevel="0" collapsed="false">
      <c r="B550" s="2" t="n">
        <v>549</v>
      </c>
      <c r="C550" s="4" t="n">
        <v>0.213840250460669</v>
      </c>
    </row>
    <row r="551" customFormat="false" ht="13.8" hidden="false" customHeight="false" outlineLevel="0" collapsed="false">
      <c r="B551" s="2" t="n">
        <v>550</v>
      </c>
      <c r="C551" s="4" t="n">
        <v>0.21384238648898</v>
      </c>
    </row>
    <row r="552" customFormat="false" ht="13.8" hidden="false" customHeight="false" outlineLevel="0" collapsed="false">
      <c r="B552" s="2" t="n">
        <v>551</v>
      </c>
      <c r="C552" s="4" t="n">
        <v>0.213844521631976</v>
      </c>
    </row>
    <row r="553" customFormat="false" ht="13.8" hidden="false" customHeight="false" outlineLevel="0" collapsed="false">
      <c r="B553" s="2" t="n">
        <v>552</v>
      </c>
      <c r="C553" s="4" t="n">
        <v>0.213846657551891</v>
      </c>
    </row>
    <row r="554" customFormat="false" ht="13.8" hidden="false" customHeight="false" outlineLevel="0" collapsed="false">
      <c r="B554" s="2" t="n">
        <v>553</v>
      </c>
      <c r="C554" s="4" t="n">
        <v>0.21384879311538</v>
      </c>
    </row>
    <row r="555" customFormat="false" ht="13.8" hidden="false" customHeight="false" outlineLevel="0" collapsed="false">
      <c r="B555" s="2" t="n">
        <v>554</v>
      </c>
      <c r="C555" s="4" t="n">
        <v>0.21385092854911</v>
      </c>
    </row>
    <row r="556" customFormat="false" ht="13.8" hidden="false" customHeight="false" outlineLevel="0" collapsed="false">
      <c r="B556" s="2" t="n">
        <v>555</v>
      </c>
      <c r="C556" s="4" t="n">
        <v>0.213853064230868</v>
      </c>
    </row>
    <row r="557" customFormat="false" ht="13.8" hidden="false" customHeight="false" outlineLevel="0" collapsed="false">
      <c r="B557" s="2" t="n">
        <v>556</v>
      </c>
      <c r="C557" s="4" t="n">
        <v>0.213855199933983</v>
      </c>
    </row>
    <row r="558" customFormat="false" ht="13.8" hidden="false" customHeight="false" outlineLevel="0" collapsed="false">
      <c r="B558" s="2" t="n">
        <v>557</v>
      </c>
      <c r="C558" s="4" t="n">
        <v>0.213857335582896</v>
      </c>
    </row>
    <row r="559" customFormat="false" ht="13.8" hidden="false" customHeight="false" outlineLevel="0" collapsed="false">
      <c r="B559" s="2" t="n">
        <v>558</v>
      </c>
      <c r="C559" s="4" t="n">
        <v>0.213859471253167</v>
      </c>
    </row>
    <row r="560" customFormat="false" ht="13.8" hidden="false" customHeight="false" outlineLevel="0" collapsed="false">
      <c r="B560" s="2" t="n">
        <v>559</v>
      </c>
      <c r="C560" s="4" t="n">
        <v>0.213861606944794</v>
      </c>
    </row>
    <row r="561" customFormat="false" ht="13.8" hidden="false" customHeight="false" outlineLevel="0" collapsed="false">
      <c r="B561" s="2" t="n">
        <v>560</v>
      </c>
      <c r="C561" s="4" t="n">
        <v>0.213863744630412</v>
      </c>
    </row>
    <row r="562" customFormat="false" ht="13.8" hidden="false" customHeight="false" outlineLevel="0" collapsed="false">
      <c r="B562" s="2" t="n">
        <v>561</v>
      </c>
      <c r="C562" s="4" t="n">
        <v>0.21386587839212</v>
      </c>
    </row>
    <row r="563" customFormat="false" ht="13.8" hidden="false" customHeight="false" outlineLevel="0" collapsed="false">
      <c r="B563" s="2" t="n">
        <v>562</v>
      </c>
      <c r="C563" s="4" t="n">
        <v>0.21386801414782</v>
      </c>
    </row>
    <row r="564" customFormat="false" ht="13.8" hidden="false" customHeight="false" outlineLevel="0" collapsed="false">
      <c r="B564" s="2" t="n">
        <v>563</v>
      </c>
      <c r="C564" s="4" t="n">
        <v>0.213870149924877</v>
      </c>
    </row>
    <row r="565" customFormat="false" ht="13.8" hidden="false" customHeight="false" outlineLevel="0" collapsed="false">
      <c r="B565" s="2" t="n">
        <v>564</v>
      </c>
      <c r="C565" s="4" t="n">
        <v>0.213872289668637</v>
      </c>
    </row>
    <row r="566" customFormat="false" ht="13.8" hidden="false" customHeight="false" outlineLevel="0" collapsed="false">
      <c r="B566" s="2" t="n">
        <v>565</v>
      </c>
      <c r="C566" s="4" t="n">
        <v>0.213874421543065</v>
      </c>
    </row>
    <row r="567" customFormat="false" ht="13.8" hidden="false" customHeight="false" outlineLevel="0" collapsed="false">
      <c r="B567" s="2" t="n">
        <v>566</v>
      </c>
      <c r="C567" s="4" t="n">
        <v>0.213876557384197</v>
      </c>
    </row>
    <row r="568" customFormat="false" ht="13.8" hidden="false" customHeight="false" outlineLevel="0" collapsed="false">
      <c r="B568" s="2" t="n">
        <v>567</v>
      </c>
      <c r="C568" s="4" t="n">
        <v>0.213878693246687</v>
      </c>
    </row>
    <row r="569" customFormat="false" ht="13.8" hidden="false" customHeight="false" outlineLevel="0" collapsed="false">
      <c r="B569" s="2" t="n">
        <v>568</v>
      </c>
      <c r="C569" s="4" t="n">
        <v>0.213880829130536</v>
      </c>
    </row>
    <row r="570" customFormat="false" ht="13.8" hidden="false" customHeight="false" outlineLevel="0" collapsed="false">
      <c r="B570" s="2" t="n">
        <v>569</v>
      </c>
      <c r="C570" s="4" t="n">
        <v>0.213882965035744</v>
      </c>
    </row>
    <row r="571" customFormat="false" ht="13.8" hidden="false" customHeight="false" outlineLevel="0" collapsed="false">
      <c r="B571" s="2" t="n">
        <v>570</v>
      </c>
      <c r="C571" s="4" t="n">
        <v>0.213885100962312</v>
      </c>
    </row>
    <row r="572" customFormat="false" ht="13.8" hidden="false" customHeight="false" outlineLevel="0" collapsed="false">
      <c r="B572" s="2" t="n">
        <v>571</v>
      </c>
      <c r="C572" s="4" t="n">
        <v>0.213887236910239</v>
      </c>
    </row>
    <row r="573" customFormat="false" ht="13.8" hidden="false" customHeight="false" outlineLevel="0" collapsed="false">
      <c r="B573" s="2" t="n">
        <v>572</v>
      </c>
      <c r="C573" s="4" t="n">
        <v>0.213889372879525</v>
      </c>
    </row>
    <row r="574" customFormat="false" ht="13.8" hidden="false" customHeight="false" outlineLevel="0" collapsed="false">
      <c r="B574" s="2" t="n">
        <v>573</v>
      </c>
      <c r="C574" s="4" t="n">
        <v>0.213891508870172</v>
      </c>
    </row>
    <row r="575" customFormat="false" ht="13.8" hidden="false" customHeight="false" outlineLevel="0" collapsed="false">
      <c r="B575" s="2" t="n">
        <v>574</v>
      </c>
      <c r="C575" s="4" t="n">
        <v>0.213893644882179</v>
      </c>
    </row>
    <row r="576" customFormat="false" ht="13.8" hidden="false" customHeight="false" outlineLevel="0" collapsed="false">
      <c r="B576" s="2" t="n">
        <v>575</v>
      </c>
      <c r="C576" s="4" t="n">
        <v>0.213895780915545</v>
      </c>
    </row>
    <row r="577" customFormat="false" ht="13.8" hidden="false" customHeight="false" outlineLevel="0" collapsed="false">
      <c r="B577" s="2" t="n">
        <v>576</v>
      </c>
      <c r="C577" s="4" t="n">
        <v>0.213897916970273</v>
      </c>
    </row>
    <row r="578" customFormat="false" ht="13.8" hidden="false" customHeight="false" outlineLevel="0" collapsed="false">
      <c r="B578" s="2" t="n">
        <v>577</v>
      </c>
      <c r="C578" s="4" t="n">
        <v>0.213900053046361</v>
      </c>
    </row>
    <row r="579" customFormat="false" ht="13.8" hidden="false" customHeight="false" outlineLevel="0" collapsed="false">
      <c r="B579" s="2" t="n">
        <v>578</v>
      </c>
      <c r="C579" s="4" t="n">
        <v>0.213902189143811</v>
      </c>
    </row>
    <row r="580" customFormat="false" ht="13.8" hidden="false" customHeight="false" outlineLevel="0" collapsed="false">
      <c r="B580" s="2" t="n">
        <v>579</v>
      </c>
      <c r="C580" s="4" t="n">
        <v>0.213904325262621</v>
      </c>
    </row>
    <row r="581" customFormat="false" ht="13.8" hidden="false" customHeight="false" outlineLevel="0" collapsed="false">
      <c r="B581" s="2" t="n">
        <v>580</v>
      </c>
      <c r="C581" s="4" t="n">
        <v>0.213906461402793</v>
      </c>
    </row>
    <row r="582" customFormat="false" ht="13.8" hidden="false" customHeight="false" outlineLevel="0" collapsed="false">
      <c r="B582" s="2" t="n">
        <v>581</v>
      </c>
      <c r="C582" s="4" t="n">
        <v>0.213908597564326</v>
      </c>
    </row>
    <row r="583" customFormat="false" ht="13.8" hidden="false" customHeight="false" outlineLevel="0" collapsed="false">
      <c r="B583" s="2" t="n">
        <v>582</v>
      </c>
      <c r="C583" s="4" t="n">
        <v>0.213910746570748</v>
      </c>
    </row>
    <row r="584" customFormat="false" ht="13.8" hidden="false" customHeight="false" outlineLevel="0" collapsed="false">
      <c r="B584" s="2" t="n">
        <v>583</v>
      </c>
      <c r="C584" s="4" t="n">
        <v>0.213912883268284</v>
      </c>
    </row>
    <row r="585" customFormat="false" ht="13.8" hidden="false" customHeight="false" outlineLevel="0" collapsed="false">
      <c r="B585" s="2" t="n">
        <v>584</v>
      </c>
      <c r="C585" s="4" t="n">
        <v>0.213915019987187</v>
      </c>
    </row>
    <row r="586" customFormat="false" ht="13.8" hidden="false" customHeight="false" outlineLevel="0" collapsed="false">
      <c r="B586" s="2" t="n">
        <v>585</v>
      </c>
      <c r="C586" s="4" t="n">
        <v>0.213917156727458</v>
      </c>
    </row>
    <row r="587" customFormat="false" ht="13.8" hidden="false" customHeight="false" outlineLevel="0" collapsed="false">
      <c r="B587" s="2" t="n">
        <v>586</v>
      </c>
      <c r="C587" s="4" t="n">
        <v>0.213919293489096</v>
      </c>
    </row>
    <row r="588" customFormat="false" ht="13.8" hidden="false" customHeight="false" outlineLevel="0" collapsed="false">
      <c r="B588" s="2" t="n">
        <v>587</v>
      </c>
      <c r="C588" s="4" t="n">
        <v>0.213921430272102</v>
      </c>
    </row>
    <row r="589" customFormat="false" ht="13.8" hidden="false" customHeight="false" outlineLevel="0" collapsed="false">
      <c r="B589" s="2" t="n">
        <v>588</v>
      </c>
      <c r="C589" s="4" t="n">
        <v>0.213923567000918</v>
      </c>
    </row>
    <row r="590" customFormat="false" ht="13.8" hidden="false" customHeight="false" outlineLevel="0" collapsed="false">
      <c r="B590" s="2" t="n">
        <v>589</v>
      </c>
      <c r="C590" s="4" t="n">
        <v>0.213925703751101</v>
      </c>
    </row>
    <row r="591" customFormat="false" ht="13.8" hidden="false" customHeight="false" outlineLevel="0" collapsed="false">
      <c r="B591" s="2" t="n">
        <v>590</v>
      </c>
      <c r="C591" s="4" t="n">
        <v>0.213927829310052</v>
      </c>
    </row>
    <row r="592" customFormat="false" ht="13.8" hidden="false" customHeight="false" outlineLevel="0" collapsed="false">
      <c r="B592" s="2" t="n">
        <v>591</v>
      </c>
      <c r="C592" s="4" t="n">
        <v>0.213929977315572</v>
      </c>
    </row>
    <row r="593" customFormat="false" ht="13.8" hidden="false" customHeight="false" outlineLevel="0" collapsed="false">
      <c r="B593" s="2" t="n">
        <v>592</v>
      </c>
      <c r="C593" s="4" t="n">
        <v>0.213932105025123</v>
      </c>
    </row>
    <row r="594" customFormat="false" ht="13.8" hidden="false" customHeight="false" outlineLevel="0" collapsed="false">
      <c r="B594" s="2" t="n">
        <v>593</v>
      </c>
      <c r="C594" s="4" t="n">
        <v>0.213934250965514</v>
      </c>
    </row>
    <row r="595" customFormat="false" ht="13.8" hidden="false" customHeight="false" outlineLevel="0" collapsed="false">
      <c r="B595" s="2" t="n">
        <v>594</v>
      </c>
      <c r="C595" s="4" t="n">
        <v>0.213936387822538</v>
      </c>
    </row>
    <row r="596" customFormat="false" ht="13.8" hidden="false" customHeight="false" outlineLevel="0" collapsed="false">
      <c r="B596" s="2" t="n">
        <v>595</v>
      </c>
      <c r="C596" s="4" t="n">
        <v>0.213938524700931</v>
      </c>
    </row>
    <row r="597" customFormat="false" ht="13.8" hidden="false" customHeight="false" outlineLevel="0" collapsed="false">
      <c r="B597" s="2" t="n">
        <v>596</v>
      </c>
      <c r="C597" s="4" t="n">
        <v>0.213940661600693</v>
      </c>
    </row>
    <row r="598" customFormat="false" ht="13.8" hidden="false" customHeight="false" outlineLevel="0" collapsed="false">
      <c r="B598" s="2" t="n">
        <v>597</v>
      </c>
      <c r="C598" s="4" t="n">
        <v>0.213942798521824</v>
      </c>
    </row>
    <row r="599" customFormat="false" ht="13.8" hidden="false" customHeight="false" outlineLevel="0" collapsed="false">
      <c r="B599" s="2" t="n">
        <v>598</v>
      </c>
      <c r="C599" s="4" t="n">
        <v>0.213944935464325</v>
      </c>
    </row>
    <row r="600" customFormat="false" ht="13.8" hidden="false" customHeight="false" outlineLevel="0" collapsed="false">
      <c r="B600" s="2" t="n">
        <v>599</v>
      </c>
      <c r="C600" s="4" t="n">
        <v>0.213947072428195</v>
      </c>
    </row>
    <row r="601" customFormat="false" ht="13.8" hidden="false" customHeight="false" outlineLevel="0" collapsed="false">
      <c r="B601" s="2" t="n">
        <v>600</v>
      </c>
      <c r="C601" s="4" t="n">
        <v>0.213949209413435</v>
      </c>
    </row>
    <row r="602" customFormat="false" ht="13.8" hidden="false" customHeight="false" outlineLevel="0" collapsed="false">
      <c r="B602" s="2" t="n">
        <v>601</v>
      </c>
      <c r="C602" s="4" t="n">
        <v>0.213951346420045</v>
      </c>
    </row>
    <row r="603" customFormat="false" ht="13.8" hidden="false" customHeight="false" outlineLevel="0" collapsed="false">
      <c r="B603" s="2" t="n">
        <v>602</v>
      </c>
      <c r="C603" s="4" t="n">
        <v>0.213953485280119</v>
      </c>
    </row>
    <row r="604" customFormat="false" ht="13.8" hidden="false" customHeight="false" outlineLevel="0" collapsed="false">
      <c r="B604" s="2" t="n">
        <v>603</v>
      </c>
      <c r="C604" s="4" t="n">
        <v>0.213955643998797</v>
      </c>
    </row>
    <row r="605" customFormat="false" ht="13.8" hidden="false" customHeight="false" outlineLevel="0" collapsed="false">
      <c r="B605" s="2" t="n">
        <v>604</v>
      </c>
      <c r="C605" s="4" t="n">
        <v>0.21395778157652</v>
      </c>
    </row>
    <row r="606" customFormat="false" ht="13.8" hidden="false" customHeight="false" outlineLevel="0" collapsed="false">
      <c r="B606" s="2" t="n">
        <v>605</v>
      </c>
      <c r="C606" s="4" t="n">
        <v>5E-005</v>
      </c>
    </row>
    <row r="607" customFormat="false" ht="13.8" hidden="false" customHeight="false" outlineLevel="0" collapsed="false">
      <c r="B607" s="2" t="n">
        <v>606</v>
      </c>
      <c r="C607" s="4" t="n">
        <v>5E-005</v>
      </c>
    </row>
    <row r="608" customFormat="false" ht="13.8" hidden="false" customHeight="false" outlineLevel="0" collapsed="false">
      <c r="B608" s="2" t="n">
        <v>607</v>
      </c>
      <c r="C608" s="4" t="n">
        <v>5E-005</v>
      </c>
    </row>
    <row r="609" customFormat="false" ht="13.8" hidden="false" customHeight="false" outlineLevel="0" collapsed="false">
      <c r="B609" s="2" t="n">
        <v>608</v>
      </c>
      <c r="C609" s="4" t="n">
        <v>5E-005</v>
      </c>
    </row>
    <row r="610" customFormat="false" ht="13.8" hidden="false" customHeight="false" outlineLevel="0" collapsed="false">
      <c r="B610" s="2" t="n">
        <v>609</v>
      </c>
      <c r="C610" s="4" t="n">
        <v>-4.99942541528708E-005</v>
      </c>
    </row>
    <row r="611" customFormat="false" ht="13.8" hidden="false" customHeight="false" outlineLevel="0" collapsed="false">
      <c r="B611" s="2" t="n">
        <v>610</v>
      </c>
      <c r="C611" s="4" t="n">
        <v>5E-005</v>
      </c>
    </row>
    <row r="612" customFormat="false" ht="13.8" hidden="false" customHeight="false" outlineLevel="0" collapsed="false">
      <c r="B612" s="2" t="n">
        <v>611</v>
      </c>
      <c r="C612" s="4" t="n">
        <v>-4.99947558981159E-005</v>
      </c>
    </row>
    <row r="613" customFormat="false" ht="13.8" hidden="false" customHeight="false" outlineLevel="0" collapsed="false">
      <c r="B613" s="2" t="n">
        <v>612</v>
      </c>
      <c r="C613" s="4" t="n">
        <v>-4.99977332187529E-005</v>
      </c>
    </row>
    <row r="614" customFormat="false" ht="13.8" hidden="false" customHeight="false" outlineLevel="0" collapsed="false">
      <c r="B614" s="2" t="n">
        <v>613</v>
      </c>
      <c r="C614" s="4" t="n">
        <v>-4.99974999749998E-005</v>
      </c>
    </row>
    <row r="615" customFormat="false" ht="13.8" hidden="false" customHeight="false" outlineLevel="0" collapsed="false">
      <c r="B615" s="2" t="n">
        <v>614</v>
      </c>
      <c r="C615" s="4" t="n">
        <v>5E-005</v>
      </c>
    </row>
    <row r="616" customFormat="false" ht="13.8" hidden="false" customHeight="false" outlineLevel="0" collapsed="false">
      <c r="B616" s="2" t="n">
        <v>615</v>
      </c>
      <c r="C616" s="4" t="n">
        <v>-4.99924998499975E-005</v>
      </c>
    </row>
    <row r="617" customFormat="false" ht="13.8" hidden="false" customHeight="false" outlineLevel="0" collapsed="false">
      <c r="B617" s="2" t="n">
        <v>616</v>
      </c>
      <c r="C617" s="4" t="n">
        <v>5E-005</v>
      </c>
    </row>
    <row r="618" customFormat="false" ht="13.8" hidden="false" customHeight="false" outlineLevel="0" collapsed="false">
      <c r="B618" s="2" t="n">
        <v>617</v>
      </c>
      <c r="C618" s="4" t="n">
        <v>-4.99974999749998E-005</v>
      </c>
    </row>
    <row r="619" customFormat="false" ht="13.8" hidden="false" customHeight="false" outlineLevel="0" collapsed="false">
      <c r="B619" s="2" t="n">
        <v>618</v>
      </c>
      <c r="C619" s="4" t="n">
        <v>-4.9994999924999E-005</v>
      </c>
    </row>
    <row r="620" customFormat="false" ht="13.8" hidden="false" customHeight="false" outlineLevel="0" collapsed="false">
      <c r="B620" s="2" t="n">
        <v>619</v>
      </c>
      <c r="C620" s="4" t="n">
        <v>-4.99984888200579E-005</v>
      </c>
    </row>
    <row r="621" customFormat="false" ht="13.8" hidden="false" customHeight="false" outlineLevel="0" collapsed="false">
      <c r="B621" s="2" t="n">
        <v>620</v>
      </c>
      <c r="C621" s="4" t="n">
        <v>-4.99977332187529E-005</v>
      </c>
    </row>
    <row r="622" customFormat="false" ht="13.8" hidden="false" customHeight="false" outlineLevel="0" collapsed="false">
      <c r="B622" s="2" t="n">
        <v>621</v>
      </c>
      <c r="C622" s="4" t="n">
        <v>-4.99890236375843E-005</v>
      </c>
    </row>
    <row r="623" customFormat="false" ht="13.8" hidden="false" customHeight="false" outlineLevel="0" collapsed="false">
      <c r="B623" s="2" t="n">
        <v>622</v>
      </c>
      <c r="C623" s="4" t="n">
        <v>5E-005</v>
      </c>
    </row>
    <row r="624" customFormat="false" ht="13.8" hidden="false" customHeight="false" outlineLevel="0" collapsed="false">
      <c r="B624" s="2" t="n">
        <v>623</v>
      </c>
      <c r="C624" s="4" t="n">
        <v>-4.99954663695013E-005</v>
      </c>
    </row>
    <row r="625" customFormat="false" ht="13.8" hidden="false" customHeight="false" outlineLevel="0" collapsed="false">
      <c r="B625" s="2" t="n">
        <v>624</v>
      </c>
      <c r="C625" s="4" t="n">
        <v>5E-005</v>
      </c>
    </row>
    <row r="626" customFormat="false" ht="13.8" hidden="false" customHeight="false" outlineLevel="0" collapsed="false">
      <c r="B626" s="2" t="n">
        <v>625</v>
      </c>
      <c r="C626" s="4" t="n">
        <v>-4.99942038804421E-005</v>
      </c>
    </row>
    <row r="627" customFormat="false" ht="13.8" hidden="false" customHeight="false" outlineLevel="0" collapsed="false">
      <c r="B627" s="2" t="n">
        <v>626</v>
      </c>
      <c r="C627" s="4" t="n">
        <v>5E-005</v>
      </c>
    </row>
    <row r="628" customFormat="false" ht="13.8" hidden="false" customHeight="false" outlineLevel="0" collapsed="false">
      <c r="B628" s="2" t="n">
        <v>627</v>
      </c>
      <c r="C628" s="4" t="n">
        <v>-4.997255827072E-005</v>
      </c>
    </row>
    <row r="629" customFormat="false" ht="13.8" hidden="false" customHeight="false" outlineLevel="0" collapsed="false">
      <c r="B629" s="2" t="n">
        <v>628</v>
      </c>
      <c r="C629" s="4" t="n">
        <v>5.00000000000165E-005</v>
      </c>
    </row>
    <row r="630" customFormat="false" ht="13.8" hidden="false" customHeight="false" outlineLevel="0" collapsed="false">
      <c r="B630" s="2" t="n">
        <v>629</v>
      </c>
      <c r="C630" s="4" t="n">
        <v>-4.9997255950557E-005</v>
      </c>
    </row>
    <row r="631" customFormat="false" ht="13.8" hidden="false" customHeight="false" outlineLevel="0" collapsed="false">
      <c r="B631" s="2" t="n">
        <v>630</v>
      </c>
      <c r="C631" s="4" t="n">
        <v>5E-005</v>
      </c>
    </row>
    <row r="632" customFormat="false" ht="13.8" hidden="false" customHeight="false" outlineLevel="0" collapsed="false">
      <c r="B632" s="2" t="n">
        <v>631</v>
      </c>
      <c r="C632" s="4" t="n">
        <v>-4.9994999924999E-005</v>
      </c>
    </row>
    <row r="633" customFormat="false" ht="13.8" hidden="false" customHeight="false" outlineLevel="0" collapsed="false">
      <c r="B633" s="2" t="n">
        <v>632</v>
      </c>
      <c r="C633" s="4" t="n">
        <v>5.0005000075001E-005</v>
      </c>
    </row>
    <row r="634" customFormat="false" ht="13.8" hidden="false" customHeight="false" outlineLevel="0" collapsed="false">
      <c r="B634" s="2" t="n">
        <v>633</v>
      </c>
      <c r="C634" s="4" t="n">
        <v>-4.9989999749995E-005</v>
      </c>
    </row>
    <row r="635" customFormat="false" ht="13.8" hidden="false" customHeight="false" outlineLevel="0" collapsed="false">
      <c r="B635" s="2" t="n">
        <v>634</v>
      </c>
      <c r="C635" s="4" t="n">
        <v>5.00107607694822E-005</v>
      </c>
    </row>
    <row r="636" customFormat="false" ht="13.8" hidden="false" customHeight="false" outlineLevel="0" collapsed="false">
      <c r="B636" s="2" t="n">
        <v>635</v>
      </c>
      <c r="C636" s="4" t="n">
        <v>5E-005</v>
      </c>
    </row>
    <row r="637" customFormat="false" ht="13.8" hidden="false" customHeight="false" outlineLevel="0" collapsed="false">
      <c r="B637" s="2" t="n">
        <v>636</v>
      </c>
      <c r="C637" s="4" t="n">
        <v>5.0015000525014E-005</v>
      </c>
    </row>
    <row r="638" customFormat="false" ht="13.8" hidden="false" customHeight="false" outlineLevel="0" collapsed="false">
      <c r="B638" s="2" t="n">
        <v>637</v>
      </c>
      <c r="C638" s="4" t="n">
        <v>-4.997999909997E-005</v>
      </c>
    </row>
    <row r="639" customFormat="false" ht="13.8" hidden="false" customHeight="false" outlineLevel="0" collapsed="false">
      <c r="B639" s="2" t="n">
        <v>638</v>
      </c>
      <c r="C639" s="4" t="n">
        <v>5.002000090003E-005</v>
      </c>
    </row>
    <row r="640" customFormat="false" ht="13.8" hidden="false" customHeight="false" outlineLevel="0" collapsed="false">
      <c r="B640" s="2" t="n">
        <v>639</v>
      </c>
      <c r="C640" s="4" t="n">
        <v>5.00225011250412E-005</v>
      </c>
    </row>
    <row r="641" customFormat="false" ht="13.8" hidden="false" customHeight="false" outlineLevel="0" collapsed="false">
      <c r="B641" s="2" t="n">
        <v>640</v>
      </c>
      <c r="C641" s="4" t="n">
        <v>0.000608672010108931</v>
      </c>
    </row>
    <row r="642" customFormat="false" ht="13.8" hidden="false" customHeight="false" outlineLevel="0" collapsed="false">
      <c r="B642" s="2" t="n">
        <v>641</v>
      </c>
      <c r="C642" s="4" t="n">
        <v>0.00060867517241853</v>
      </c>
    </row>
    <row r="643" customFormat="false" ht="13.8" hidden="false" customHeight="false" outlineLevel="0" collapsed="false">
      <c r="B643" s="2" t="n">
        <v>642</v>
      </c>
      <c r="C643" s="4" t="n">
        <v>0.000608678334759788</v>
      </c>
    </row>
    <row r="644" customFormat="false" ht="13.8" hidden="false" customHeight="false" outlineLevel="0" collapsed="false">
      <c r="B644" s="2" t="n">
        <v>643</v>
      </c>
      <c r="C644" s="4" t="n">
        <v>0.00060868149713251</v>
      </c>
    </row>
    <row r="645" customFormat="false" ht="13.8" hidden="false" customHeight="false" outlineLevel="0" collapsed="false">
      <c r="B645" s="2" t="n">
        <v>644</v>
      </c>
      <c r="C645" s="4" t="n">
        <v>0.000608684659536975</v>
      </c>
    </row>
    <row r="646" customFormat="false" ht="13.8" hidden="false" customHeight="false" outlineLevel="0" collapsed="false">
      <c r="B646" s="2" t="n">
        <v>645</v>
      </c>
      <c r="C646" s="4" t="n">
        <v>0.000608687821973029</v>
      </c>
    </row>
    <row r="647" customFormat="false" ht="13.8" hidden="false" customHeight="false" outlineLevel="0" collapsed="false">
      <c r="B647" s="2" t="n">
        <v>646</v>
      </c>
      <c r="C647" s="4" t="n">
        <v>0.000608690984440736</v>
      </c>
    </row>
    <row r="648" customFormat="false" ht="13.8" hidden="false" customHeight="false" outlineLevel="0" collapsed="false">
      <c r="B648" s="2" t="n">
        <v>647</v>
      </c>
      <c r="C648" s="4" t="n">
        <v>0.000608694146940056</v>
      </c>
    </row>
    <row r="649" customFormat="false" ht="13.8" hidden="false" customHeight="false" outlineLevel="0" collapsed="false">
      <c r="B649" s="2" t="n">
        <v>648</v>
      </c>
      <c r="C649" s="4" t="n">
        <v>0.000608697309471011</v>
      </c>
    </row>
    <row r="650" customFormat="false" ht="13.8" hidden="false" customHeight="false" outlineLevel="0" collapsed="false">
      <c r="B650" s="2" t="n">
        <v>649</v>
      </c>
      <c r="C650" s="4" t="n">
        <v>0.000608700623148559</v>
      </c>
    </row>
    <row r="651" customFormat="false" ht="13.8" hidden="false" customHeight="false" outlineLevel="0" collapsed="false">
      <c r="B651" s="2" t="n">
        <v>650</v>
      </c>
      <c r="C651" s="4" t="n">
        <v>0.000608703634627797</v>
      </c>
    </row>
    <row r="652" customFormat="false" ht="13.8" hidden="false" customHeight="false" outlineLevel="0" collapsed="false">
      <c r="B652" s="2" t="n">
        <v>651</v>
      </c>
      <c r="C652" s="4" t="n">
        <v>0.000608706797253633</v>
      </c>
    </row>
    <row r="653" customFormat="false" ht="13.8" hidden="false" customHeight="false" outlineLevel="0" collapsed="false">
      <c r="B653" s="2" t="n">
        <v>652</v>
      </c>
      <c r="C653" s="4" t="n">
        <v>0.000608708977708093</v>
      </c>
    </row>
    <row r="654" customFormat="false" ht="13.8" hidden="false" customHeight="false" outlineLevel="0" collapsed="false">
      <c r="B654" s="2" t="n">
        <v>653</v>
      </c>
      <c r="C654" s="4" t="n">
        <v>0.000608712140387337</v>
      </c>
    </row>
    <row r="655" customFormat="false" ht="13.8" hidden="false" customHeight="false" outlineLevel="0" collapsed="false">
      <c r="B655" s="2" t="n">
        <v>654</v>
      </c>
      <c r="C655" s="4" t="n">
        <v>0.000608714623104667</v>
      </c>
    </row>
    <row r="656" customFormat="false" ht="13.8" hidden="false" customHeight="false" outlineLevel="0" collapsed="false">
      <c r="B656" s="2" t="n">
        <v>655</v>
      </c>
      <c r="C656" s="4" t="n">
        <v>0.000608717861399</v>
      </c>
    </row>
    <row r="657" customFormat="false" ht="13.8" hidden="false" customHeight="false" outlineLevel="0" collapsed="false">
      <c r="B657" s="2" t="n">
        <v>656</v>
      </c>
      <c r="C657" s="4" t="n">
        <v>0.000608721099725694</v>
      </c>
    </row>
    <row r="658" customFormat="false" ht="13.8" hidden="false" customHeight="false" outlineLevel="0" collapsed="false">
      <c r="B658" s="2" t="n">
        <v>657</v>
      </c>
      <c r="C658" s="4" t="n">
        <v>0.000608724338084801</v>
      </c>
    </row>
    <row r="659" customFormat="false" ht="13.8" hidden="false" customHeight="false" outlineLevel="0" collapsed="false">
      <c r="B659" s="2" t="n">
        <v>658</v>
      </c>
      <c r="C659" s="4" t="n">
        <v>0.000608727954258016</v>
      </c>
    </row>
    <row r="660" customFormat="false" ht="13.8" hidden="false" customHeight="false" outlineLevel="0" collapsed="false">
      <c r="B660" s="2" t="n">
        <v>659</v>
      </c>
      <c r="C660" s="4" t="n">
        <v>0.000608730814900137</v>
      </c>
    </row>
    <row r="661" customFormat="false" ht="13.8" hidden="false" customHeight="false" outlineLevel="0" collapsed="false">
      <c r="B661" s="2" t="n">
        <v>660</v>
      </c>
      <c r="C661" s="4" t="n">
        <v>0.000608734053356391</v>
      </c>
    </row>
    <row r="662" customFormat="false" ht="13.8" hidden="false" customHeight="false" outlineLevel="0" collapsed="false">
      <c r="B662" s="2" t="n">
        <v>661</v>
      </c>
      <c r="C662" s="4" t="n">
        <v>0.000608737291845025</v>
      </c>
    </row>
    <row r="663" customFormat="false" ht="13.8" hidden="false" customHeight="false" outlineLevel="0" collapsed="false">
      <c r="B663" s="2" t="n">
        <v>662</v>
      </c>
      <c r="C663" s="4" t="n">
        <v>0.000608740605923914</v>
      </c>
    </row>
    <row r="664" customFormat="false" ht="13.8" hidden="false" customHeight="false" outlineLevel="0" collapsed="false">
      <c r="B664" s="2" t="n">
        <v>663</v>
      </c>
      <c r="C664" s="4" t="n">
        <v>0.000608743768919466</v>
      </c>
    </row>
    <row r="665" customFormat="false" ht="13.8" hidden="false" customHeight="false" outlineLevel="0" collapsed="false">
      <c r="B665" s="2" t="n">
        <v>664</v>
      </c>
      <c r="C665" s="4" t="n">
        <v>0.000608746931946648</v>
      </c>
    </row>
    <row r="666" customFormat="false" ht="13.8" hidden="false" customHeight="false" outlineLevel="0" collapsed="false">
      <c r="B666" s="2" t="n">
        <v>665</v>
      </c>
      <c r="C666" s="4" t="n">
        <v>0.00060875100575342</v>
      </c>
    </row>
    <row r="667" customFormat="false" ht="13.8" hidden="false" customHeight="false" outlineLevel="0" collapsed="false">
      <c r="B667" s="2" t="n">
        <v>666</v>
      </c>
      <c r="C667" s="4" t="n">
        <v>0.000608754510887328</v>
      </c>
    </row>
    <row r="668" customFormat="false" ht="13.8" hidden="false" customHeight="false" outlineLevel="0" collapsed="false">
      <c r="B668" s="2" t="n">
        <v>667</v>
      </c>
      <c r="C668" s="4" t="n">
        <v>0.000608758167172738</v>
      </c>
    </row>
    <row r="669" customFormat="false" ht="13.8" hidden="false" customHeight="false" outlineLevel="0" collapsed="false">
      <c r="B669" s="2" t="n">
        <v>668</v>
      </c>
      <c r="C669" s="4" t="n">
        <v>0.000608761747936109</v>
      </c>
    </row>
    <row r="670" customFormat="false" ht="13.8" hidden="false" customHeight="false" outlineLevel="0" collapsed="false">
      <c r="B670" s="2" t="n">
        <v>669</v>
      </c>
      <c r="C670" s="4" t="n">
        <v>0.000608765328735287</v>
      </c>
    </row>
    <row r="671" customFormat="false" ht="13.8" hidden="false" customHeight="false" outlineLevel="0" collapsed="false">
      <c r="B671" s="2" t="n">
        <v>670</v>
      </c>
      <c r="C671" s="4" t="n">
        <v>0.000608768834012452</v>
      </c>
    </row>
    <row r="672" customFormat="false" ht="13.8" hidden="false" customHeight="false" outlineLevel="0" collapsed="false">
      <c r="B672" s="2" t="n">
        <v>671</v>
      </c>
      <c r="C672" s="4" t="n">
        <v>0.000608772490441069</v>
      </c>
    </row>
    <row r="673" customFormat="false" ht="13.8" hidden="false" customHeight="false" outlineLevel="0" collapsed="false">
      <c r="B673" s="2" t="n">
        <v>672</v>
      </c>
      <c r="C673" s="4" t="n">
        <v>0.0002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0" sqref="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5" min="5" style="5" width="8.85"/>
    <col collapsed="false" customWidth="true" hidden="false" outlineLevel="0" max="6" min="6" style="6" width="8.85"/>
    <col collapsed="false" customWidth="true" hidden="false" outlineLevel="0" max="14" min="14" style="4" width="10.43"/>
  </cols>
  <sheetData>
    <row r="2" customFormat="false" ht="13.8" hidden="false" customHeight="false" outlineLevel="0" collapsed="false">
      <c r="B2" s="7" t="s">
        <v>3</v>
      </c>
      <c r="C2" s="8" t="n">
        <v>1</v>
      </c>
      <c r="D2" s="8"/>
      <c r="E2" s="9" t="s">
        <v>4</v>
      </c>
    </row>
    <row r="4" customFormat="false" ht="13.8" hidden="false" customHeight="false" outlineLevel="0" collapsed="false">
      <c r="B4" s="10" t="s">
        <v>5</v>
      </c>
      <c r="C4" s="11"/>
      <c r="D4" s="11" t="s">
        <v>6</v>
      </c>
      <c r="E4" s="12" t="s">
        <v>7</v>
      </c>
      <c r="F4" s="13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5" t="s">
        <v>16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11" t="n">
        <v>1</v>
      </c>
      <c r="E5" s="5" t="n">
        <v>1</v>
      </c>
      <c r="F5" s="16" t="n">
        <f aca="false">IFERROR(INDEX($B$5:$C$173, MATCH($E5, $B$5:$B$175, 0), 2), 0)*investment!$C$2</f>
        <v>0</v>
      </c>
      <c r="G5" s="5" t="n">
        <f aca="false">demand!C3</f>
        <v>0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-0</v>
      </c>
      <c r="K5" s="2" t="n">
        <f aca="false">-charge!C3</f>
        <v>-0</v>
      </c>
      <c r="L5" s="2" t="n">
        <f aca="false">discharge!C3</f>
        <v>0</v>
      </c>
      <c r="M5" s="2" t="n">
        <f aca="false">soc!C3/investment!$E$2 *100</f>
        <v>62.7760015210488</v>
      </c>
      <c r="N5" s="4" t="n">
        <f aca="false">p_micro!C2</f>
        <v>0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11" t="n">
        <v>2</v>
      </c>
      <c r="E6" s="5" t="n">
        <v>2</v>
      </c>
      <c r="F6" s="16" t="n">
        <f aca="false">IFERROR(INDEX($B$5:$C$173, MATCH($E6, $B$5:$B$175, 0), 2), 0)*investment!$C$2</f>
        <v>0</v>
      </c>
      <c r="G6" s="5" t="n">
        <f aca="false">demand!C4</f>
        <v>0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-0</v>
      </c>
      <c r="K6" s="2" t="n">
        <f aca="false">-charge!C4</f>
        <v>-0</v>
      </c>
      <c r="L6" s="2" t="n">
        <f aca="false">discharge!C4</f>
        <v>0</v>
      </c>
      <c r="M6" s="2" t="n">
        <f aca="false">soc!C4/investment!$E$2 *100</f>
        <v>33.6533051339729</v>
      </c>
      <c r="N6" s="4" t="n">
        <f aca="false">p_micro!C3</f>
        <v>0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11" t="n">
        <v>3</v>
      </c>
      <c r="E7" s="5" t="n">
        <v>3</v>
      </c>
      <c r="F7" s="16" t="n">
        <f aca="false">IFERROR(INDEX($B$5:$C$173, MATCH($E7, $B$5:$B$175, 0), 2), 0)*investment!$C$2</f>
        <v>0</v>
      </c>
      <c r="G7" s="5" t="n">
        <f aca="false">demand!C5</f>
        <v>0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-0</v>
      </c>
      <c r="K7" s="2" t="n">
        <f aca="false">-charge!C5</f>
        <v>-0</v>
      </c>
      <c r="L7" s="2" t="n">
        <f aca="false">discharge!C5</f>
        <v>0</v>
      </c>
      <c r="M7" s="2" t="n">
        <f aca="false">soc!C5/investment!$E$2 *100</f>
        <v>33.6529685966583</v>
      </c>
      <c r="N7" s="4" t="n">
        <f aca="false">p_micro!C4</f>
        <v>0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11" t="n">
        <v>4</v>
      </c>
      <c r="E8" s="5" t="n">
        <v>4</v>
      </c>
      <c r="F8" s="16" t="n">
        <f aca="false">IFERROR(INDEX($B$5:$C$173, MATCH($E8, $B$5:$B$175, 0), 2), 0)*investment!$C$2</f>
        <v>0</v>
      </c>
      <c r="G8" s="5" t="n">
        <f aca="false">demand!C6</f>
        <v>0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-0</v>
      </c>
      <c r="K8" s="2" t="n">
        <f aca="false">-charge!C6</f>
        <v>-0</v>
      </c>
      <c r="L8" s="2" t="n">
        <f aca="false">discharge!C6</f>
        <v>0</v>
      </c>
      <c r="M8" s="2" t="n">
        <f aca="false">soc!C6/investment!$E$2 *100</f>
        <v>33.6526320648406</v>
      </c>
      <c r="N8" s="4" t="n">
        <f aca="false">p_micro!C5</f>
        <v>0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11" t="n">
        <v>5</v>
      </c>
      <c r="E9" s="5" t="n">
        <v>5</v>
      </c>
      <c r="F9" s="16" t="n">
        <f aca="false">IFERROR(INDEX($B$5:$C$173, MATCH($E9, $B$5:$B$175, 0), 2), 0)*investment!$C$2</f>
        <v>0</v>
      </c>
      <c r="G9" s="5" t="n">
        <f aca="false">demand!C7</f>
        <v>0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-0</v>
      </c>
      <c r="K9" s="2" t="n">
        <f aca="false">-charge!C7</f>
        <v>-0</v>
      </c>
      <c r="L9" s="2" t="n">
        <f aca="false">discharge!C7</f>
        <v>0</v>
      </c>
      <c r="M9" s="2" t="n">
        <f aca="false">soc!C7/investment!$E$2 *100</f>
        <v>1.00025336125043</v>
      </c>
      <c r="N9" s="4" t="n">
        <f aca="false">p_micro!C6</f>
        <v>0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11" t="n">
        <v>6</v>
      </c>
      <c r="E10" s="5" t="n">
        <v>6</v>
      </c>
      <c r="F10" s="16" t="n">
        <f aca="false">IFERROR(INDEX($B$5:$C$173, MATCH($E10, $B$5:$B$175, 0), 2), 0)*investment!$C$2</f>
        <v>0</v>
      </c>
      <c r="G10" s="5" t="n">
        <f aca="false">demand!C8</f>
        <v>0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-0</v>
      </c>
      <c r="K10" s="2" t="n">
        <f aca="false">-charge!C8</f>
        <v>-0</v>
      </c>
      <c r="L10" s="2" t="n">
        <f aca="false">discharge!C8</f>
        <v>0</v>
      </c>
      <c r="M10" s="2" t="n">
        <f aca="false">soc!C8/investment!$E$2 *100</f>
        <v>1.00024335658515</v>
      </c>
      <c r="N10" s="4" t="n">
        <f aca="false">p_micro!C7</f>
        <v>0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11" t="n">
        <v>7</v>
      </c>
      <c r="E11" s="5" t="n">
        <v>7</v>
      </c>
      <c r="F11" s="16" t="n">
        <f aca="false">IFERROR(INDEX($B$5:$C$173, MATCH($E11, $B$5:$B$175, 0), 2), 0)*investment!$C$2</f>
        <v>0</v>
      </c>
      <c r="G11" s="5" t="n">
        <f aca="false">demand!C9</f>
        <v>0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-0</v>
      </c>
      <c r="K11" s="2" t="n">
        <f aca="false">-charge!C9</f>
        <v>-0</v>
      </c>
      <c r="L11" s="2" t="n">
        <f aca="false">discharge!C9</f>
        <v>0</v>
      </c>
      <c r="M11" s="2" t="n">
        <f aca="false">soc!C9/investment!$E$2 *100</f>
        <v>1.00023335415157</v>
      </c>
      <c r="N11" s="4" t="n">
        <f aca="false">p_micro!C8</f>
        <v>0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11" t="n">
        <v>8</v>
      </c>
      <c r="E12" s="5" t="n">
        <v>8</v>
      </c>
      <c r="F12" s="16" t="n">
        <f aca="false">IFERROR(INDEX($B$5:$C$173, MATCH($E12, $B$5:$B$175, 0), 2), 0)*investment!$C$2</f>
        <v>0</v>
      </c>
      <c r="G12" s="5" t="n">
        <f aca="false">demand!C10</f>
        <v>0</v>
      </c>
      <c r="H12" s="2" t="n">
        <f aca="false">solgen!C10</f>
        <v>0</v>
      </c>
      <c r="I12" s="2" t="n">
        <f aca="false">import!C10</f>
        <v>0</v>
      </c>
      <c r="J12" s="2" t="n">
        <f aca="false">-export!C10</f>
        <v>-0</v>
      </c>
      <c r="K12" s="2" t="n">
        <f aca="false">-charge!C10</f>
        <v>-0</v>
      </c>
      <c r="L12" s="2" t="n">
        <f aca="false">discharge!C10</f>
        <v>0</v>
      </c>
      <c r="M12" s="2" t="n">
        <f aca="false">soc!C10/investment!$E$2 *100</f>
        <v>1.44795203705564E-017</v>
      </c>
      <c r="N12" s="4" t="n">
        <f aca="false">p_micro!C9</f>
        <v>0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11" t="n">
        <v>9</v>
      </c>
      <c r="E13" s="5" t="n">
        <v>9</v>
      </c>
      <c r="F13" s="16" t="n">
        <f aca="false">IFERROR(INDEX($B$5:$C$173, MATCH($E13, $B$5:$B$175, 0), 2), 0)*investment!$C$2</f>
        <v>0</v>
      </c>
      <c r="G13" s="5" t="n">
        <f aca="false">demand!C11</f>
        <v>0</v>
      </c>
      <c r="H13" s="2" t="n">
        <f aca="false">solgen!C11</f>
        <v>0</v>
      </c>
      <c r="I13" s="2" t="n">
        <f aca="false">import!C11</f>
        <v>0</v>
      </c>
      <c r="J13" s="2" t="n">
        <f aca="false">-export!C11</f>
        <v>-0</v>
      </c>
      <c r="K13" s="2" t="n">
        <f aca="false">-charge!C11</f>
        <v>-0</v>
      </c>
      <c r="L13" s="2" t="n">
        <f aca="false">discharge!C11</f>
        <v>0</v>
      </c>
      <c r="M13" s="2" t="n">
        <f aca="false">soc!C11/investment!$E$2 *100</f>
        <v>6.68270878140721E-008</v>
      </c>
      <c r="N13" s="4" t="n">
        <f aca="false">p_micro!C10</f>
        <v>0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11" t="n">
        <v>10</v>
      </c>
      <c r="E14" s="5" t="n">
        <v>10</v>
      </c>
      <c r="F14" s="16" t="n">
        <f aca="false">IFERROR(INDEX($B$5:$C$173, MATCH($E14, $B$5:$B$175, 0), 2), 0)*investment!$C$2</f>
        <v>0</v>
      </c>
      <c r="G14" s="5" t="n">
        <f aca="false">demand!C12</f>
        <v>0</v>
      </c>
      <c r="H14" s="2" t="n">
        <f aca="false">solgen!C12</f>
        <v>0</v>
      </c>
      <c r="I14" s="2" t="n">
        <f aca="false">import!C12</f>
        <v>0</v>
      </c>
      <c r="J14" s="2" t="n">
        <f aca="false">-export!C12</f>
        <v>-0</v>
      </c>
      <c r="K14" s="2" t="n">
        <f aca="false">-charge!C12</f>
        <v>-0</v>
      </c>
      <c r="L14" s="2" t="n">
        <f aca="false">discharge!C12</f>
        <v>0</v>
      </c>
      <c r="M14" s="2" t="n">
        <f aca="false">soc!C12/investment!$E$2 *100</f>
        <v>0</v>
      </c>
      <c r="N14" s="4" t="n">
        <f aca="false">p_micro!C11</f>
        <v>0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11" t="n">
        <v>11</v>
      </c>
      <c r="E15" s="5" t="n">
        <v>11</v>
      </c>
      <c r="F15" s="16" t="n">
        <f aca="false">IFERROR(INDEX($B$5:$C$173, MATCH($E15, $B$5:$B$175, 0), 2), 0)*investment!$C$2</f>
        <v>0</v>
      </c>
      <c r="G15" s="5" t="n">
        <f aca="false">demand!C13</f>
        <v>0</v>
      </c>
      <c r="H15" s="2" t="n">
        <f aca="false">solgen!C13</f>
        <v>0</v>
      </c>
      <c r="I15" s="2" t="n">
        <f aca="false">import!C13</f>
        <v>0</v>
      </c>
      <c r="J15" s="2" t="n">
        <f aca="false">-export!C13</f>
        <v>-0</v>
      </c>
      <c r="K15" s="2" t="n">
        <f aca="false">-charge!C13</f>
        <v>-0</v>
      </c>
      <c r="L15" s="2" t="n">
        <f aca="false">discharge!C13</f>
        <v>0</v>
      </c>
      <c r="M15" s="2" t="n">
        <f aca="false">soc!C13/investment!$E$2 *100</f>
        <v>0</v>
      </c>
      <c r="N15" s="4" t="n">
        <f aca="false">p_micro!C12</f>
        <v>0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11" t="n">
        <v>12</v>
      </c>
      <c r="E16" s="5" t="n">
        <v>12</v>
      </c>
      <c r="F16" s="16" t="n">
        <f aca="false">IFERROR(INDEX($B$5:$C$173, MATCH($E16, $B$5:$B$175, 0), 2), 0)*investment!$C$2</f>
        <v>0</v>
      </c>
      <c r="G16" s="5" t="n">
        <f aca="false">demand!C14</f>
        <v>0</v>
      </c>
      <c r="H16" s="2" t="n">
        <f aca="false">solgen!C14</f>
        <v>0</v>
      </c>
      <c r="I16" s="2" t="n">
        <f aca="false">import!C14</f>
        <v>0</v>
      </c>
      <c r="J16" s="2" t="n">
        <f aca="false">-export!C14</f>
        <v>-0</v>
      </c>
      <c r="K16" s="2" t="n">
        <f aca="false">-charge!C14</f>
        <v>-0</v>
      </c>
      <c r="L16" s="2" t="n">
        <f aca="false">discharge!C14</f>
        <v>0</v>
      </c>
      <c r="M16" s="2" t="n">
        <f aca="false">soc!C14/investment!$E$2 *100</f>
        <v>0</v>
      </c>
      <c r="N16" s="4" t="n">
        <f aca="false">p_micro!C13</f>
        <v>0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11" t="n">
        <v>13</v>
      </c>
      <c r="E17" s="5" t="n">
        <v>13</v>
      </c>
      <c r="F17" s="16" t="n">
        <f aca="false">IFERROR(INDEX($B$5:$C$173, MATCH($E17, $B$5:$B$175, 0), 2), 0)*investment!$C$2</f>
        <v>0</v>
      </c>
      <c r="G17" s="5" t="n">
        <f aca="false">demand!C15</f>
        <v>0</v>
      </c>
      <c r="H17" s="2" t="n">
        <f aca="false">solgen!C15</f>
        <v>0</v>
      </c>
      <c r="I17" s="2" t="n">
        <f aca="false">import!C15</f>
        <v>0</v>
      </c>
      <c r="J17" s="2" t="n">
        <f aca="false">-export!C15</f>
        <v>-0</v>
      </c>
      <c r="K17" s="2" t="n">
        <f aca="false">-charge!C15</f>
        <v>-0</v>
      </c>
      <c r="L17" s="2" t="n">
        <f aca="false">discharge!C15</f>
        <v>0</v>
      </c>
      <c r="M17" s="2" t="n">
        <f aca="false">soc!C15/investment!$E$2 *100</f>
        <v>0</v>
      </c>
      <c r="N17" s="4" t="n">
        <f aca="false">p_micro!C14</f>
        <v>0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11" t="n">
        <v>14</v>
      </c>
      <c r="E18" s="5" t="n">
        <v>14</v>
      </c>
      <c r="F18" s="16" t="n">
        <f aca="false">IFERROR(INDEX($B$5:$C$173, MATCH($E18, $B$5:$B$175, 0), 2), 0)*investment!$C$2</f>
        <v>0</v>
      </c>
      <c r="G18" s="5" t="n">
        <f aca="false">demand!C16</f>
        <v>0</v>
      </c>
      <c r="H18" s="2" t="n">
        <f aca="false">solgen!C16</f>
        <v>0</v>
      </c>
      <c r="I18" s="2" t="n">
        <f aca="false">import!C16</f>
        <v>0</v>
      </c>
      <c r="J18" s="2" t="n">
        <f aca="false">-export!C16</f>
        <v>-0</v>
      </c>
      <c r="K18" s="2" t="n">
        <f aca="false">-charge!C16</f>
        <v>-0</v>
      </c>
      <c r="L18" s="2" t="n">
        <f aca="false">discharge!C16</f>
        <v>0</v>
      </c>
      <c r="M18" s="2" t="n">
        <f aca="false">soc!C16/investment!$E$2 *100</f>
        <v>0</v>
      </c>
      <c r="N18" s="4" t="n">
        <f aca="false">p_micro!C15</f>
        <v>0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11" t="n">
        <v>15</v>
      </c>
      <c r="E19" s="5" t="n">
        <v>15</v>
      </c>
      <c r="F19" s="16" t="n">
        <f aca="false">IFERROR(INDEX($B$5:$C$173, MATCH($E19, $B$5:$B$175, 0), 2), 0)*investment!$C$2</f>
        <v>0</v>
      </c>
      <c r="G19" s="5" t="n">
        <f aca="false">demand!C17</f>
        <v>0</v>
      </c>
      <c r="H19" s="2" t="n">
        <f aca="false">solgen!C17</f>
        <v>0</v>
      </c>
      <c r="I19" s="2" t="n">
        <f aca="false">import!C17</f>
        <v>0</v>
      </c>
      <c r="J19" s="2" t="n">
        <f aca="false">-export!C17</f>
        <v>-0</v>
      </c>
      <c r="K19" s="2" t="n">
        <f aca="false">-charge!C17</f>
        <v>-0</v>
      </c>
      <c r="L19" s="2" t="n">
        <f aca="false">discharge!C17</f>
        <v>0</v>
      </c>
      <c r="M19" s="2" t="n">
        <f aca="false">soc!C17/investment!$E$2 *100</f>
        <v>0</v>
      </c>
      <c r="N19" s="4" t="n">
        <f aca="false">p_micro!C16</f>
        <v>0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11" t="n">
        <v>16</v>
      </c>
      <c r="E20" s="5" t="n">
        <v>16</v>
      </c>
      <c r="F20" s="16" t="n">
        <f aca="false">IFERROR(INDEX($B$5:$C$173, MATCH($E20, $B$5:$B$175, 0), 2), 0)*investment!$C$2</f>
        <v>0</v>
      </c>
      <c r="G20" s="5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-0</v>
      </c>
      <c r="K20" s="2" t="n">
        <f aca="false">-charge!C18</f>
        <v>-0</v>
      </c>
      <c r="L20" s="2" t="n">
        <f aca="false">discharge!C18</f>
        <v>0</v>
      </c>
      <c r="M20" s="2" t="n">
        <f aca="false">soc!C18/investment!$E$2 *100</f>
        <v>0</v>
      </c>
      <c r="N20" s="4" t="n">
        <f aca="false">p_micro!C17</f>
        <v>0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11" t="n">
        <v>17</v>
      </c>
      <c r="E21" s="5" t="n">
        <v>17</v>
      </c>
      <c r="F21" s="16" t="n">
        <f aca="false">IFERROR(INDEX($B$5:$C$173, MATCH($E21, $B$5:$B$175, 0), 2), 0)*investment!$C$2</f>
        <v>0</v>
      </c>
      <c r="G21" s="5" t="n">
        <f aca="false">demand!C19</f>
        <v>0</v>
      </c>
      <c r="H21" s="2" t="n">
        <f aca="false">solgen!C19</f>
        <v>0</v>
      </c>
      <c r="I21" s="2" t="n">
        <f aca="false">import!C19</f>
        <v>0</v>
      </c>
      <c r="J21" s="2" t="n">
        <f aca="false">-export!C19</f>
        <v>-0</v>
      </c>
      <c r="K21" s="2" t="n">
        <f aca="false">-charge!C19</f>
        <v>-0</v>
      </c>
      <c r="L21" s="2" t="n">
        <f aca="false">discharge!C19</f>
        <v>0</v>
      </c>
      <c r="M21" s="2" t="n">
        <f aca="false">soc!C19/investment!$E$2 *100</f>
        <v>0</v>
      </c>
      <c r="N21" s="4" t="n">
        <f aca="false">p_micro!C18</f>
        <v>0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11" t="n">
        <v>18</v>
      </c>
      <c r="E22" s="5" t="n">
        <v>18</v>
      </c>
      <c r="F22" s="16" t="n">
        <f aca="false">IFERROR(INDEX($B$5:$C$173, MATCH($E22, $B$5:$B$175, 0), 2), 0)*investment!$C$2</f>
        <v>0</v>
      </c>
      <c r="G22" s="5" t="n">
        <f aca="false">demand!C20</f>
        <v>0</v>
      </c>
      <c r="H22" s="2" t="n">
        <f aca="false">solgen!C20</f>
        <v>0</v>
      </c>
      <c r="I22" s="2" t="n">
        <f aca="false">import!C20</f>
        <v>0</v>
      </c>
      <c r="J22" s="2" t="n">
        <f aca="false">-export!C20</f>
        <v>-0</v>
      </c>
      <c r="K22" s="2" t="n">
        <f aca="false">-charge!C20</f>
        <v>-0</v>
      </c>
      <c r="L22" s="2" t="n">
        <f aca="false">discharge!C20</f>
        <v>0</v>
      </c>
      <c r="M22" s="2" t="n">
        <f aca="false">soc!C20/investment!$E$2 *100</f>
        <v>0</v>
      </c>
      <c r="N22" s="4" t="n">
        <f aca="false">p_micro!C19</f>
        <v>0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11" t="n">
        <v>19</v>
      </c>
      <c r="E23" s="5" t="n">
        <v>19</v>
      </c>
      <c r="F23" s="16" t="n">
        <f aca="false">IFERROR(INDEX($B$5:$C$173, MATCH($E23, $B$5:$B$175, 0), 2), 0)*investment!$C$2</f>
        <v>0</v>
      </c>
      <c r="G23" s="5" t="n">
        <f aca="false">demand!C21</f>
        <v>0</v>
      </c>
      <c r="H23" s="2" t="n">
        <f aca="false">solgen!C21</f>
        <v>0</v>
      </c>
      <c r="I23" s="2" t="n">
        <f aca="false">import!C21</f>
        <v>0</v>
      </c>
      <c r="J23" s="2" t="n">
        <f aca="false">-export!C21</f>
        <v>-0</v>
      </c>
      <c r="K23" s="2" t="n">
        <f aca="false">-charge!C21</f>
        <v>-0</v>
      </c>
      <c r="L23" s="2" t="n">
        <f aca="false">discharge!C21</f>
        <v>0</v>
      </c>
      <c r="M23" s="2" t="n">
        <f aca="false">soc!C21/investment!$E$2 *100</f>
        <v>0</v>
      </c>
      <c r="N23" s="4" t="n">
        <f aca="false">p_micro!C20</f>
        <v>0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11" t="n">
        <v>20</v>
      </c>
      <c r="E24" s="5" t="n">
        <v>20</v>
      </c>
      <c r="F24" s="16" t="n">
        <f aca="false">IFERROR(INDEX($B$5:$C$173, MATCH($E24, $B$5:$B$175, 0), 2), 0)*investment!$C$2</f>
        <v>0</v>
      </c>
      <c r="G24" s="5" t="n">
        <f aca="false">demand!C22</f>
        <v>0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-0</v>
      </c>
      <c r="K24" s="2" t="n">
        <f aca="false">-charge!C22</f>
        <v>-0</v>
      </c>
      <c r="L24" s="2" t="n">
        <f aca="false">discharge!C22</f>
        <v>0</v>
      </c>
      <c r="M24" s="2" t="n">
        <f aca="false">soc!C22/investment!$E$2 *100</f>
        <v>0</v>
      </c>
      <c r="N24" s="4" t="n">
        <f aca="false">p_micro!C21</f>
        <v>0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11" t="n">
        <v>21</v>
      </c>
      <c r="E25" s="5" t="n">
        <v>21</v>
      </c>
      <c r="F25" s="16" t="n">
        <f aca="false">IFERROR(INDEX($B$5:$C$173, MATCH($E25, $B$5:$B$175, 0), 2), 0)*investment!$C$2</f>
        <v>0</v>
      </c>
      <c r="G25" s="5" t="n">
        <f aca="false">demand!C23</f>
        <v>0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-0</v>
      </c>
      <c r="K25" s="2" t="n">
        <f aca="false">-charge!C23</f>
        <v>-0</v>
      </c>
      <c r="L25" s="2" t="n">
        <f aca="false">discharge!C23</f>
        <v>0</v>
      </c>
      <c r="M25" s="2" t="n">
        <f aca="false">soc!C23/investment!$E$2 *100</f>
        <v>0</v>
      </c>
      <c r="N25" s="4" t="n">
        <f aca="false">p_micro!C22</f>
        <v>0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11" t="n">
        <v>22</v>
      </c>
      <c r="E26" s="5" t="n">
        <v>22</v>
      </c>
      <c r="F26" s="16" t="n">
        <f aca="false">IFERROR(INDEX($B$5:$C$173, MATCH($E26, $B$5:$B$175, 0), 2), 0)*investment!$C$2</f>
        <v>0</v>
      </c>
      <c r="G26" s="5" t="n">
        <f aca="false">demand!C24</f>
        <v>0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-0</v>
      </c>
      <c r="K26" s="2" t="n">
        <f aca="false">-charge!C24</f>
        <v>-0</v>
      </c>
      <c r="L26" s="2" t="n">
        <f aca="false">discharge!C24</f>
        <v>0</v>
      </c>
      <c r="M26" s="2" t="n">
        <f aca="false">soc!C24/investment!$E$2 *100</f>
        <v>0</v>
      </c>
      <c r="N26" s="4" t="n">
        <f aca="false">p_micro!C23</f>
        <v>0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11" t="n">
        <v>23</v>
      </c>
      <c r="E27" s="5" t="n">
        <v>23</v>
      </c>
      <c r="F27" s="16" t="n">
        <f aca="false">IFERROR(INDEX($B$5:$C$173, MATCH($E27, $B$5:$B$175, 0), 2), 0)*investment!$C$2</f>
        <v>0</v>
      </c>
      <c r="G27" s="5" t="n">
        <f aca="false">demand!C25</f>
        <v>0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-0</v>
      </c>
      <c r="K27" s="2" t="n">
        <f aca="false">-charge!C25</f>
        <v>-0</v>
      </c>
      <c r="L27" s="2" t="n">
        <f aca="false">discharge!C25</f>
        <v>0</v>
      </c>
      <c r="M27" s="2" t="n">
        <f aca="false">soc!C25/investment!$E$2 *100</f>
        <v>0</v>
      </c>
      <c r="N27" s="4" t="n">
        <f aca="false">p_micro!C24</f>
        <v>0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11" t="n">
        <v>24</v>
      </c>
      <c r="E28" s="5" t="n">
        <v>24</v>
      </c>
      <c r="F28" s="16" t="n">
        <f aca="false">IFERROR(INDEX($B$5:$C$173, MATCH($E28, $B$5:$B$175, 0), 2), 0)*investment!$C$2</f>
        <v>0</v>
      </c>
      <c r="G28" s="5" t="n">
        <f aca="false">demand!C26</f>
        <v>0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-0</v>
      </c>
      <c r="K28" s="2" t="n">
        <f aca="false">-charge!C26</f>
        <v>-0</v>
      </c>
      <c r="L28" s="2" t="n">
        <f aca="false">discharge!C26</f>
        <v>0</v>
      </c>
      <c r="M28" s="2" t="n">
        <f aca="false">soc!C26/investment!$E$2 *100</f>
        <v>0</v>
      </c>
      <c r="N28" s="4" t="n">
        <f aca="false">p_micro!C25</f>
        <v>0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11" t="n">
        <v>1</v>
      </c>
      <c r="E29" s="5" t="n">
        <v>25</v>
      </c>
      <c r="F29" s="16" t="n">
        <f aca="false">IFERROR(INDEX($B$5:$C$173, MATCH($E29, $B$5:$B$175, 0), 2), 0)*investment!$C$2</f>
        <v>0</v>
      </c>
      <c r="G29" s="5" t="n">
        <f aca="false">demand!C27</f>
        <v>0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-0</v>
      </c>
      <c r="K29" s="2" t="n">
        <f aca="false">-charge!C27</f>
        <v>-0</v>
      </c>
      <c r="L29" s="2" t="n">
        <f aca="false">discharge!C27</f>
        <v>0</v>
      </c>
      <c r="M29" s="2" t="n">
        <f aca="false">soc!C27/investment!$E$2 *100</f>
        <v>0</v>
      </c>
      <c r="N29" s="4" t="n">
        <f aca="false">p_micro!C26</f>
        <v>0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11" t="n">
        <v>2</v>
      </c>
      <c r="E30" s="5" t="n">
        <v>26</v>
      </c>
      <c r="F30" s="16" t="n">
        <f aca="false">IFERROR(INDEX($B$5:$C$173, MATCH($E30, $B$5:$B$175, 0), 2), 0)*investment!$C$2</f>
        <v>0</v>
      </c>
      <c r="G30" s="5" t="n">
        <f aca="false">demand!C28</f>
        <v>0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-0</v>
      </c>
      <c r="K30" s="2" t="n">
        <f aca="false">-charge!C28</f>
        <v>-0</v>
      </c>
      <c r="L30" s="2" t="n">
        <f aca="false">discharge!C28</f>
        <v>0</v>
      </c>
      <c r="M30" s="2" t="n">
        <f aca="false">soc!C28/investment!$E$2 *100</f>
        <v>0</v>
      </c>
      <c r="N30" s="4" t="n">
        <f aca="false">p_micro!C27</f>
        <v>0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11" t="n">
        <v>3</v>
      </c>
      <c r="E31" s="5" t="n">
        <v>27</v>
      </c>
      <c r="F31" s="16" t="n">
        <f aca="false">IFERROR(INDEX($B$5:$C$173, MATCH($E31, $B$5:$B$175, 0), 2), 0)*investment!$C$2</f>
        <v>0</v>
      </c>
      <c r="G31" s="5" t="n">
        <f aca="false">demand!C29</f>
        <v>0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-0</v>
      </c>
      <c r="K31" s="2" t="n">
        <f aca="false">-charge!C29</f>
        <v>-0</v>
      </c>
      <c r="L31" s="2" t="n">
        <f aca="false">discharge!C29</f>
        <v>0</v>
      </c>
      <c r="M31" s="2" t="n">
        <f aca="false">soc!C29/investment!$E$2 *100</f>
        <v>3.90747392630128E-008</v>
      </c>
      <c r="N31" s="4" t="n">
        <f aca="false">p_micro!C28</f>
        <v>0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11" t="n">
        <v>4</v>
      </c>
      <c r="E32" s="5" t="n">
        <v>28</v>
      </c>
      <c r="F32" s="16" t="n">
        <f aca="false">IFERROR(INDEX($B$5:$C$173, MATCH($E32, $B$5:$B$175, 0), 2), 0)*investment!$C$2</f>
        <v>0</v>
      </c>
      <c r="G32" s="5" t="n">
        <f aca="false">demand!C30</f>
        <v>0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-0</v>
      </c>
      <c r="K32" s="2" t="n">
        <f aca="false">-charge!C30</f>
        <v>-0</v>
      </c>
      <c r="L32" s="2" t="n">
        <f aca="false">discharge!C30</f>
        <v>0</v>
      </c>
      <c r="M32" s="2" t="n">
        <f aca="false">soc!C30/investment!$E$2 *100</f>
        <v>2.53156210589618E-007</v>
      </c>
      <c r="N32" s="4" t="n">
        <f aca="false">p_micro!C29</f>
        <v>0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11" t="n">
        <v>5</v>
      </c>
      <c r="E33" s="5" t="n">
        <v>29</v>
      </c>
      <c r="F33" s="16" t="n">
        <f aca="false">IFERROR(INDEX($B$5:$C$173, MATCH($E33, $B$5:$B$175, 0), 2), 0)*investment!$C$2</f>
        <v>0</v>
      </c>
      <c r="G33" s="5" t="n">
        <f aca="false">demand!C31</f>
        <v>0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-0</v>
      </c>
      <c r="K33" s="2" t="n">
        <f aca="false">-charge!C31</f>
        <v>-0</v>
      </c>
      <c r="L33" s="2" t="n">
        <f aca="false">discharge!C31</f>
        <v>0</v>
      </c>
      <c r="M33" s="2" t="n">
        <f aca="false">soc!C31/investment!$E$2 *100</f>
        <v>4.18097434400383E-007</v>
      </c>
      <c r="N33" s="4" t="n">
        <f aca="false">p_micro!C30</f>
        <v>0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11" t="n">
        <v>6</v>
      </c>
      <c r="E34" s="5" t="n">
        <v>30</v>
      </c>
      <c r="F34" s="16" t="n">
        <f aca="false">IFERROR(INDEX($B$5:$C$173, MATCH($E34, $B$5:$B$175, 0), 2), 0)*investment!$C$2</f>
        <v>0</v>
      </c>
      <c r="G34" s="5" t="n">
        <f aca="false">demand!C32</f>
        <v>0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-0</v>
      </c>
      <c r="K34" s="2" t="n">
        <f aca="false">-charge!C32</f>
        <v>-0</v>
      </c>
      <c r="L34" s="2" t="n">
        <f aca="false">discharge!C32</f>
        <v>0</v>
      </c>
      <c r="M34" s="2" t="n">
        <f aca="false">soc!C32/investment!$E$2 *100</f>
        <v>3.41024122130294E-008</v>
      </c>
      <c r="N34" s="4" t="n">
        <f aca="false">p_micro!C31</f>
        <v>0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11" t="n">
        <v>7</v>
      </c>
      <c r="E35" s="5" t="n">
        <v>31</v>
      </c>
      <c r="F35" s="16" t="n">
        <f aca="false">IFERROR(INDEX($B$5:$C$173, MATCH($E35, $B$5:$B$175, 0), 2), 0)*investment!$C$2</f>
        <v>0</v>
      </c>
      <c r="G35" s="5" t="n">
        <f aca="false">demand!C33</f>
        <v>0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-0</v>
      </c>
      <c r="K35" s="2" t="n">
        <f aca="false">-charge!C33</f>
        <v>-0</v>
      </c>
      <c r="L35" s="2" t="n">
        <f aca="false">discharge!C33</f>
        <v>0</v>
      </c>
      <c r="M35" s="2" t="n">
        <f aca="false">soc!C33/investment!$E$2 *100</f>
        <v>0</v>
      </c>
      <c r="N35" s="4" t="n">
        <f aca="false">p_micro!C32</f>
        <v>0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11" t="n">
        <v>8</v>
      </c>
      <c r="E36" s="5" t="n">
        <v>32</v>
      </c>
      <c r="F36" s="16" t="n">
        <f aca="false">IFERROR(INDEX($B$5:$C$173, MATCH($E36, $B$5:$B$175, 0), 2), 0)*investment!$C$2</f>
        <v>0</v>
      </c>
      <c r="G36" s="5" t="n">
        <f aca="false">demand!C34</f>
        <v>0</v>
      </c>
      <c r="H36" s="2" t="n">
        <f aca="false">solgen!C34</f>
        <v>0</v>
      </c>
      <c r="I36" s="2" t="n">
        <f aca="false">import!C34</f>
        <v>0</v>
      </c>
      <c r="J36" s="2" t="n">
        <f aca="false">-export!C34</f>
        <v>-0</v>
      </c>
      <c r="K36" s="2" t="n">
        <f aca="false">-charge!C34</f>
        <v>-0</v>
      </c>
      <c r="L36" s="2" t="n">
        <f aca="false">discharge!C34</f>
        <v>0</v>
      </c>
      <c r="M36" s="2" t="n">
        <f aca="false">soc!C34/investment!$E$2 *100</f>
        <v>0</v>
      </c>
      <c r="N36" s="4" t="n">
        <f aca="false">p_micro!C33</f>
        <v>0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11" t="n">
        <v>9</v>
      </c>
      <c r="E37" s="5" t="n">
        <v>33</v>
      </c>
      <c r="F37" s="16" t="n">
        <f aca="false">IFERROR(INDEX($B$5:$C$173, MATCH($E37, $B$5:$B$175, 0), 2), 0)*investment!$C$2</f>
        <v>0</v>
      </c>
      <c r="G37" s="5" t="n">
        <f aca="false">demand!C35</f>
        <v>0</v>
      </c>
      <c r="H37" s="2" t="n">
        <f aca="false">solgen!C35</f>
        <v>0</v>
      </c>
      <c r="I37" s="2" t="n">
        <f aca="false">import!C35</f>
        <v>0</v>
      </c>
      <c r="J37" s="2" t="n">
        <f aca="false">-export!C35</f>
        <v>-0</v>
      </c>
      <c r="K37" s="2" t="n">
        <f aca="false">-charge!C35</f>
        <v>-0</v>
      </c>
      <c r="L37" s="2" t="n">
        <f aca="false">discharge!C35</f>
        <v>0</v>
      </c>
      <c r="M37" s="2" t="n">
        <f aca="false">soc!C35/investment!$E$2 *100</f>
        <v>0</v>
      </c>
      <c r="N37" s="4" t="n">
        <f aca="false">p_micro!C34</f>
        <v>0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11" t="n">
        <v>10</v>
      </c>
      <c r="E38" s="5" t="n">
        <v>34</v>
      </c>
      <c r="F38" s="16" t="n">
        <f aca="false">IFERROR(INDEX($B$5:$C$173, MATCH($E38, $B$5:$B$175, 0), 2), 0)*investment!$C$2</f>
        <v>0</v>
      </c>
      <c r="G38" s="5" t="n">
        <f aca="false">demand!C36</f>
        <v>0</v>
      </c>
      <c r="H38" s="2" t="n">
        <f aca="false">solgen!C36</f>
        <v>0</v>
      </c>
      <c r="I38" s="2" t="n">
        <f aca="false">import!C36</f>
        <v>0</v>
      </c>
      <c r="J38" s="2" t="n">
        <f aca="false">-export!C36</f>
        <v>-0</v>
      </c>
      <c r="K38" s="2" t="n">
        <f aca="false">-charge!C36</f>
        <v>-0</v>
      </c>
      <c r="L38" s="2" t="n">
        <f aca="false">discharge!C36</f>
        <v>0</v>
      </c>
      <c r="M38" s="2" t="n">
        <f aca="false">soc!C36/investment!$E$2 *100</f>
        <v>0</v>
      </c>
      <c r="N38" s="4" t="n">
        <f aca="false">p_micro!C35</f>
        <v>0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11" t="n">
        <v>11</v>
      </c>
      <c r="E39" s="5" t="n">
        <v>35</v>
      </c>
      <c r="F39" s="16" t="n">
        <f aca="false">IFERROR(INDEX($B$5:$C$173, MATCH($E39, $B$5:$B$175, 0), 2), 0)*investment!$C$2</f>
        <v>0</v>
      </c>
      <c r="G39" s="5" t="n">
        <f aca="false">demand!C37</f>
        <v>0</v>
      </c>
      <c r="H39" s="2" t="n">
        <f aca="false">solgen!C37</f>
        <v>0</v>
      </c>
      <c r="I39" s="2" t="n">
        <f aca="false">import!C37</f>
        <v>0</v>
      </c>
      <c r="J39" s="2" t="n">
        <f aca="false">-export!C37</f>
        <v>-0</v>
      </c>
      <c r="K39" s="2" t="n">
        <f aca="false">-charge!C37</f>
        <v>-0</v>
      </c>
      <c r="L39" s="2" t="n">
        <f aca="false">discharge!C37</f>
        <v>0</v>
      </c>
      <c r="M39" s="2" t="n">
        <f aca="false">soc!C37/investment!$E$2 *100</f>
        <v>0</v>
      </c>
      <c r="N39" s="4" t="n">
        <f aca="false">p_micro!C36</f>
        <v>0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11" t="n">
        <v>12</v>
      </c>
      <c r="E40" s="5" t="n">
        <v>36</v>
      </c>
      <c r="F40" s="16" t="n">
        <f aca="false">IFERROR(INDEX($B$5:$C$173, MATCH($E40, $B$5:$B$175, 0), 2), 0)*investment!$C$2</f>
        <v>0</v>
      </c>
      <c r="G40" s="5" t="n">
        <f aca="false">demand!C38</f>
        <v>0</v>
      </c>
      <c r="H40" s="2" t="n">
        <f aca="false">solgen!C38</f>
        <v>0</v>
      </c>
      <c r="I40" s="2" t="n">
        <f aca="false">import!C38</f>
        <v>0</v>
      </c>
      <c r="J40" s="2" t="n">
        <f aca="false">-export!C38</f>
        <v>-0</v>
      </c>
      <c r="K40" s="2" t="n">
        <f aca="false">-charge!C38</f>
        <v>-0</v>
      </c>
      <c r="L40" s="2" t="n">
        <f aca="false">discharge!C38</f>
        <v>0</v>
      </c>
      <c r="M40" s="2" t="n">
        <f aca="false">soc!C38/investment!$E$2 *100</f>
        <v>0</v>
      </c>
      <c r="N40" s="4" t="n">
        <f aca="false">p_micro!C37</f>
        <v>0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11" t="n">
        <v>13</v>
      </c>
      <c r="E41" s="5" t="n">
        <v>37</v>
      </c>
      <c r="F41" s="16" t="n">
        <f aca="false">IFERROR(INDEX($B$5:$C$173, MATCH($E41, $B$5:$B$175, 0), 2), 0)*investment!$C$2</f>
        <v>0</v>
      </c>
      <c r="G41" s="5" t="n">
        <f aca="false">demand!C39</f>
        <v>0</v>
      </c>
      <c r="H41" s="2" t="n">
        <f aca="false">solgen!C39</f>
        <v>0</v>
      </c>
      <c r="I41" s="2" t="n">
        <f aca="false">import!C39</f>
        <v>0</v>
      </c>
      <c r="J41" s="2" t="n">
        <f aca="false">-export!C39</f>
        <v>-0</v>
      </c>
      <c r="K41" s="2" t="n">
        <f aca="false">-charge!C39</f>
        <v>-0</v>
      </c>
      <c r="L41" s="2" t="n">
        <f aca="false">discharge!C39</f>
        <v>0</v>
      </c>
      <c r="M41" s="2" t="n">
        <f aca="false">soc!C39/investment!$E$2 *100</f>
        <v>0</v>
      </c>
      <c r="N41" s="4" t="n">
        <f aca="false">p_micro!C38</f>
        <v>0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11" t="n">
        <v>14</v>
      </c>
      <c r="E42" s="5" t="n">
        <v>38</v>
      </c>
      <c r="F42" s="16" t="n">
        <f aca="false">IFERROR(INDEX($B$5:$C$173, MATCH($E42, $B$5:$B$175, 0), 2), 0)*investment!$C$2</f>
        <v>0</v>
      </c>
      <c r="G42" s="5" t="n">
        <f aca="false">demand!C40</f>
        <v>0</v>
      </c>
      <c r="H42" s="2" t="n">
        <f aca="false">solgen!C40</f>
        <v>0</v>
      </c>
      <c r="I42" s="2" t="n">
        <f aca="false">import!C40</f>
        <v>0</v>
      </c>
      <c r="J42" s="2" t="n">
        <f aca="false">-export!C40</f>
        <v>-0</v>
      </c>
      <c r="K42" s="2" t="n">
        <f aca="false">-charge!C40</f>
        <v>-0</v>
      </c>
      <c r="L42" s="2" t="n">
        <f aca="false">discharge!C40</f>
        <v>0</v>
      </c>
      <c r="M42" s="2" t="n">
        <f aca="false">soc!C40/investment!$E$2 *100</f>
        <v>0</v>
      </c>
      <c r="N42" s="4" t="n">
        <f aca="false">p_micro!C39</f>
        <v>0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11" t="n">
        <v>15</v>
      </c>
      <c r="E43" s="5" t="n">
        <v>39</v>
      </c>
      <c r="F43" s="16" t="n">
        <f aca="false">IFERROR(INDEX($B$5:$C$173, MATCH($E43, $B$5:$B$175, 0), 2), 0)*investment!$C$2</f>
        <v>0</v>
      </c>
      <c r="G43" s="5" t="n">
        <f aca="false">demand!C41</f>
        <v>0</v>
      </c>
      <c r="H43" s="2" t="n">
        <f aca="false">solgen!C41</f>
        <v>0</v>
      </c>
      <c r="I43" s="2" t="n">
        <f aca="false">import!C41</f>
        <v>0</v>
      </c>
      <c r="J43" s="2" t="n">
        <f aca="false">-export!C41</f>
        <v>-0</v>
      </c>
      <c r="K43" s="2" t="n">
        <f aca="false">-charge!C41</f>
        <v>-0</v>
      </c>
      <c r="L43" s="2" t="n">
        <f aca="false">discharge!C41</f>
        <v>0</v>
      </c>
      <c r="M43" s="2" t="n">
        <f aca="false">soc!C41/investment!$E$2 *100</f>
        <v>0</v>
      </c>
      <c r="N43" s="4" t="n">
        <f aca="false">p_micro!C40</f>
        <v>0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11" t="n">
        <v>16</v>
      </c>
      <c r="E44" s="5" t="n">
        <v>40</v>
      </c>
      <c r="F44" s="16" t="n">
        <f aca="false">IFERROR(INDEX($B$5:$C$173, MATCH($E44, $B$5:$B$175, 0), 2), 0)*investment!$C$2</f>
        <v>0</v>
      </c>
      <c r="G44" s="5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-0</v>
      </c>
      <c r="K44" s="2" t="n">
        <f aca="false">-charge!C42</f>
        <v>-0</v>
      </c>
      <c r="L44" s="2" t="n">
        <f aca="false">discharge!C42</f>
        <v>0</v>
      </c>
      <c r="M44" s="2" t="n">
        <f aca="false">soc!C42/investment!$E$2 *100</f>
        <v>6.79355991587176</v>
      </c>
      <c r="N44" s="4" t="n">
        <f aca="false">p_micro!C41</f>
        <v>0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11" t="n">
        <v>17</v>
      </c>
      <c r="E45" s="5" t="n">
        <v>41</v>
      </c>
      <c r="F45" s="16" t="n">
        <f aca="false">IFERROR(INDEX($B$5:$C$173, MATCH($E45, $B$5:$B$175, 0), 2), 0)*investment!$C$2</f>
        <v>0</v>
      </c>
      <c r="G45" s="5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-0</v>
      </c>
      <c r="K45" s="2" t="n">
        <f aca="false">-charge!C43</f>
        <v>-0</v>
      </c>
      <c r="L45" s="2" t="n">
        <f aca="false">discharge!C43</f>
        <v>0</v>
      </c>
      <c r="M45" s="2" t="n">
        <f aca="false">soc!C43/investment!$E$2 *100</f>
        <v>30.0179432074297</v>
      </c>
      <c r="N45" s="4" t="n">
        <f aca="false">p_micro!C42</f>
        <v>0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11" t="n">
        <v>18</v>
      </c>
      <c r="E46" s="5" t="n">
        <v>42</v>
      </c>
      <c r="F46" s="16" t="n">
        <f aca="false">IFERROR(INDEX($B$5:$C$173, MATCH($E46, $B$5:$B$175, 0), 2), 0)*investment!$C$2</f>
        <v>0</v>
      </c>
      <c r="G46" s="5" t="n">
        <f aca="false">demand!C44</f>
        <v>0</v>
      </c>
      <c r="H46" s="2" t="n">
        <f aca="false">solgen!C44</f>
        <v>0</v>
      </c>
      <c r="I46" s="2" t="n">
        <f aca="false">import!C44</f>
        <v>0</v>
      </c>
      <c r="J46" s="2" t="n">
        <f aca="false">-export!C44</f>
        <v>-0</v>
      </c>
      <c r="K46" s="2" t="n">
        <f aca="false">-charge!C44</f>
        <v>-0</v>
      </c>
      <c r="L46" s="2" t="n">
        <f aca="false">discharge!C44</f>
        <v>0</v>
      </c>
      <c r="M46" s="2" t="n">
        <f aca="false">soc!C44/investment!$E$2 *100</f>
        <v>56.4495455622864</v>
      </c>
      <c r="N46" s="4" t="n">
        <f aca="false">p_micro!C43</f>
        <v>0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11" t="n">
        <v>19</v>
      </c>
      <c r="E47" s="5" t="n">
        <v>43</v>
      </c>
      <c r="F47" s="16" t="n">
        <f aca="false">IFERROR(INDEX($B$5:$C$173, MATCH($E47, $B$5:$B$175, 0), 2), 0)*investment!$C$2</f>
        <v>0</v>
      </c>
      <c r="G47" s="5" t="n">
        <f aca="false">demand!C45</f>
        <v>0</v>
      </c>
      <c r="H47" s="2" t="n">
        <f aca="false">solgen!C45</f>
        <v>0</v>
      </c>
      <c r="I47" s="2" t="n">
        <f aca="false">import!C45</f>
        <v>0</v>
      </c>
      <c r="J47" s="2" t="n">
        <f aca="false">-export!C45</f>
        <v>-0</v>
      </c>
      <c r="K47" s="2" t="n">
        <f aca="false">-charge!C45</f>
        <v>-0</v>
      </c>
      <c r="L47" s="2" t="n">
        <f aca="false">discharge!C45</f>
        <v>0</v>
      </c>
      <c r="M47" s="2" t="n">
        <f aca="false">soc!C45/investment!$E$2 *100</f>
        <v>66.1163597347668</v>
      </c>
      <c r="N47" s="4" t="n">
        <f aca="false">p_micro!C44</f>
        <v>0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11" t="n">
        <v>20</v>
      </c>
      <c r="E48" s="5" t="n">
        <v>44</v>
      </c>
      <c r="F48" s="16" t="n">
        <f aca="false">IFERROR(INDEX($B$5:$C$173, MATCH($E48, $B$5:$B$175, 0), 2), 0)*investment!$C$2</f>
        <v>0</v>
      </c>
      <c r="G48" s="5" t="n">
        <f aca="false">demand!C46</f>
        <v>0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-0</v>
      </c>
      <c r="K48" s="2" t="n">
        <f aca="false">-charge!C46</f>
        <v>-0</v>
      </c>
      <c r="L48" s="2" t="n">
        <f aca="false">discharge!C46</f>
        <v>0</v>
      </c>
      <c r="M48" s="2" t="n">
        <f aca="false">soc!C46/investment!$E$2 *100</f>
        <v>84.8246522400439</v>
      </c>
      <c r="N48" s="4" t="n">
        <f aca="false">p_micro!C45</f>
        <v>0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11" t="n">
        <v>21</v>
      </c>
      <c r="E49" s="5" t="n">
        <v>45</v>
      </c>
      <c r="F49" s="16" t="n">
        <f aca="false">IFERROR(INDEX($B$5:$C$173, MATCH($E49, $B$5:$B$175, 0), 2), 0)*investment!$C$2</f>
        <v>0</v>
      </c>
      <c r="G49" s="5" t="n">
        <f aca="false">demand!C47</f>
        <v>0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-0</v>
      </c>
      <c r="K49" s="2" t="n">
        <f aca="false">-charge!C47</f>
        <v>-0</v>
      </c>
      <c r="L49" s="2" t="n">
        <f aca="false">discharge!C47</f>
        <v>0</v>
      </c>
      <c r="M49" s="2" t="n">
        <f aca="false">soc!C47/investment!$E$2 *100</f>
        <v>89.5796948165224</v>
      </c>
      <c r="N49" s="4" t="n">
        <f aca="false">p_micro!C46</f>
        <v>0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11" t="n">
        <v>22</v>
      </c>
      <c r="E50" s="5" t="n">
        <v>46</v>
      </c>
      <c r="F50" s="16" t="n">
        <f aca="false">IFERROR(INDEX($B$5:$C$173, MATCH($E50, $B$5:$B$175, 0), 2), 0)*investment!$C$2</f>
        <v>0</v>
      </c>
      <c r="G50" s="5" t="n">
        <f aca="false">demand!C48</f>
        <v>0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-0</v>
      </c>
      <c r="K50" s="2" t="n">
        <f aca="false">-charge!C48</f>
        <v>-0</v>
      </c>
      <c r="L50" s="2" t="n">
        <f aca="false">discharge!C48</f>
        <v>0</v>
      </c>
      <c r="M50" s="2" t="n">
        <f aca="false">soc!C48/investment!$E$2 *100</f>
        <v>100</v>
      </c>
      <c r="N50" s="4" t="n">
        <f aca="false">p_micro!C47</f>
        <v>0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11" t="n">
        <v>23</v>
      </c>
      <c r="E51" s="5" t="n">
        <v>47</v>
      </c>
      <c r="F51" s="16" t="n">
        <f aca="false">IFERROR(INDEX($B$5:$C$173, MATCH($E51, $B$5:$B$175, 0), 2), 0)*investment!$C$2</f>
        <v>0</v>
      </c>
      <c r="G51" s="5" t="n">
        <f aca="false">demand!C49</f>
        <v>0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-0</v>
      </c>
      <c r="K51" s="2" t="n">
        <f aca="false">-charge!C49</f>
        <v>-0</v>
      </c>
      <c r="L51" s="2" t="n">
        <f aca="false">discharge!C49</f>
        <v>0</v>
      </c>
      <c r="M51" s="2" t="n">
        <f aca="false">soc!C49/investment!$E$2 *100</f>
        <v>100</v>
      </c>
      <c r="N51" s="4" t="n">
        <f aca="false">p_micro!C48</f>
        <v>0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11" t="n">
        <v>24</v>
      </c>
      <c r="E52" s="5" t="n">
        <v>48</v>
      </c>
      <c r="F52" s="16" t="n">
        <f aca="false">IFERROR(INDEX($B$5:$C$173, MATCH($E52, $B$5:$B$175, 0), 2), 0)*investment!$C$2</f>
        <v>0</v>
      </c>
      <c r="G52" s="5" t="n">
        <f aca="false">demand!C50</f>
        <v>0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-0</v>
      </c>
      <c r="K52" s="2" t="n">
        <f aca="false">-charge!C50</f>
        <v>-0</v>
      </c>
      <c r="L52" s="2" t="n">
        <f aca="false">discharge!C50</f>
        <v>0</v>
      </c>
      <c r="M52" s="2" t="n">
        <f aca="false">soc!C50/investment!$E$2 *100</f>
        <v>100</v>
      </c>
      <c r="N52" s="4" t="n">
        <f aca="false">p_micro!C49</f>
        <v>0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11" t="n">
        <v>1</v>
      </c>
      <c r="E53" s="5" t="n">
        <v>49</v>
      </c>
      <c r="F53" s="16" t="n">
        <f aca="false">IFERROR(INDEX($B$5:$C$173, MATCH($E53, $B$5:$B$175, 0), 2), 0)*investment!$C$2</f>
        <v>0</v>
      </c>
      <c r="G53" s="5" t="n">
        <f aca="false">demand!C51</f>
        <v>0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-0</v>
      </c>
      <c r="K53" s="2" t="n">
        <f aca="false">-charge!C51</f>
        <v>-0</v>
      </c>
      <c r="L53" s="2" t="n">
        <f aca="false">discharge!C51</f>
        <v>0</v>
      </c>
      <c r="M53" s="2" t="n">
        <f aca="false">soc!C51/investment!$E$2 *100</f>
        <v>100</v>
      </c>
      <c r="N53" s="4" t="n">
        <f aca="false">p_micro!C50</f>
        <v>0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11" t="n">
        <v>2</v>
      </c>
      <c r="E54" s="5" t="n">
        <v>50</v>
      </c>
      <c r="F54" s="16" t="n">
        <f aca="false">IFERROR(INDEX($B$5:$C$173, MATCH($E54, $B$5:$B$175, 0), 2), 0)*investment!$C$2</f>
        <v>0</v>
      </c>
      <c r="G54" s="5" t="n">
        <f aca="false">demand!C52</f>
        <v>0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-0</v>
      </c>
      <c r="K54" s="2" t="n">
        <f aca="false">-charge!C52</f>
        <v>-0</v>
      </c>
      <c r="L54" s="2" t="n">
        <f aca="false">discharge!C52</f>
        <v>0</v>
      </c>
      <c r="M54" s="2" t="n">
        <f aca="false">soc!C52/investment!$E$2 *100</f>
        <v>100</v>
      </c>
      <c r="N54" s="4" t="n">
        <f aca="false">p_micro!C51</f>
        <v>0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11" t="n">
        <v>3</v>
      </c>
      <c r="E55" s="5" t="n">
        <v>51</v>
      </c>
      <c r="F55" s="16" t="n">
        <f aca="false">IFERROR(INDEX($B$5:$C$173, MATCH($E55, $B$5:$B$175, 0), 2), 0)*investment!$C$2</f>
        <v>0</v>
      </c>
      <c r="G55" s="5" t="n">
        <f aca="false">demand!C53</f>
        <v>0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-0</v>
      </c>
      <c r="K55" s="2" t="n">
        <f aca="false">-charge!C53</f>
        <v>-0</v>
      </c>
      <c r="L55" s="2" t="n">
        <f aca="false">discharge!C53</f>
        <v>0</v>
      </c>
      <c r="M55" s="2" t="n">
        <f aca="false">soc!C53/investment!$E$2 *100</f>
        <v>99.999</v>
      </c>
      <c r="N55" s="4" t="n">
        <f aca="false">p_micro!C52</f>
        <v>0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11" t="n">
        <v>4</v>
      </c>
      <c r="E56" s="5" t="n">
        <v>52</v>
      </c>
      <c r="F56" s="16" t="n">
        <f aca="false">IFERROR(INDEX($B$5:$C$173, MATCH($E56, $B$5:$B$175, 0), 2), 0)*investment!$C$2</f>
        <v>0</v>
      </c>
      <c r="G56" s="5" t="n">
        <f aca="false">demand!C54</f>
        <v>0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-0</v>
      </c>
      <c r="K56" s="2" t="n">
        <f aca="false">-charge!C54</f>
        <v>-0</v>
      </c>
      <c r="L56" s="2" t="n">
        <f aca="false">discharge!C54</f>
        <v>0</v>
      </c>
      <c r="M56" s="2" t="n">
        <f aca="false">soc!C54/investment!$E$2 *100</f>
        <v>99.99800001</v>
      </c>
      <c r="N56" s="4" t="n">
        <f aca="false">p_micro!C53</f>
        <v>0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11" t="n">
        <v>5</v>
      </c>
      <c r="E57" s="5" t="n">
        <v>53</v>
      </c>
      <c r="F57" s="16" t="n">
        <f aca="false">IFERROR(INDEX($B$5:$C$173, MATCH($E57, $B$5:$B$175, 0), 2), 0)*investment!$C$2</f>
        <v>0</v>
      </c>
      <c r="G57" s="5" t="n">
        <f aca="false">demand!C55</f>
        <v>0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-0</v>
      </c>
      <c r="K57" s="2" t="n">
        <f aca="false">-charge!C55</f>
        <v>-0</v>
      </c>
      <c r="L57" s="2" t="n">
        <f aca="false">discharge!C55</f>
        <v>0</v>
      </c>
      <c r="M57" s="2" t="n">
        <f aca="false">soc!C55/investment!$E$2 *100</f>
        <v>99.9970000299999</v>
      </c>
      <c r="N57" s="4" t="n">
        <f aca="false">p_micro!C54</f>
        <v>0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11" t="n">
        <v>6</v>
      </c>
      <c r="E58" s="5" t="n">
        <v>54</v>
      </c>
      <c r="F58" s="16" t="n">
        <f aca="false">IFERROR(INDEX($B$5:$C$173, MATCH($E58, $B$5:$B$175, 0), 2), 0)*investment!$C$2</f>
        <v>0</v>
      </c>
      <c r="G58" s="5" t="n">
        <f aca="false">demand!C56</f>
        <v>0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-0</v>
      </c>
      <c r="K58" s="2" t="n">
        <f aca="false">-charge!C56</f>
        <v>-0</v>
      </c>
      <c r="L58" s="2" t="n">
        <f aca="false">discharge!C56</f>
        <v>0</v>
      </c>
      <c r="M58" s="2" t="n">
        <f aca="false">soc!C56/investment!$E$2 *100</f>
        <v>99.9960000599996</v>
      </c>
      <c r="N58" s="4" t="n">
        <f aca="false">p_micro!C55</f>
        <v>0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11" t="n">
        <v>7</v>
      </c>
      <c r="E59" s="5" t="n">
        <v>55</v>
      </c>
      <c r="F59" s="16" t="n">
        <f aca="false">IFERROR(INDEX($B$5:$C$173, MATCH($E59, $B$5:$B$175, 0), 2), 0)*investment!$C$2</f>
        <v>0</v>
      </c>
      <c r="G59" s="5" t="n">
        <f aca="false">demand!C57</f>
        <v>0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-0</v>
      </c>
      <c r="K59" s="2" t="n">
        <f aca="false">-charge!C57</f>
        <v>-0</v>
      </c>
      <c r="L59" s="2" t="n">
        <f aca="false">discharge!C57</f>
        <v>0</v>
      </c>
      <c r="M59" s="2" t="n">
        <f aca="false">soc!C57/investment!$E$2 *100</f>
        <v>99.995000099999</v>
      </c>
      <c r="N59" s="4" t="n">
        <f aca="false">p_micro!C56</f>
        <v>0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11" t="n">
        <v>8</v>
      </c>
      <c r="E60" s="5" t="n">
        <v>56</v>
      </c>
      <c r="F60" s="16" t="n">
        <f aca="false">IFERROR(INDEX($B$5:$C$173, MATCH($E60, $B$5:$B$175, 0), 2), 0)*investment!$C$2</f>
        <v>0</v>
      </c>
      <c r="G60" s="5" t="n">
        <f aca="false">demand!C58</f>
        <v>0</v>
      </c>
      <c r="H60" s="2" t="n">
        <f aca="false">solgen!C58</f>
        <v>0</v>
      </c>
      <c r="I60" s="2" t="n">
        <f aca="false">import!C58</f>
        <v>0</v>
      </c>
      <c r="J60" s="2" t="n">
        <f aca="false">-export!C58</f>
        <v>-0</v>
      </c>
      <c r="K60" s="2" t="n">
        <f aca="false">-charge!C58</f>
        <v>-0</v>
      </c>
      <c r="L60" s="2" t="n">
        <f aca="false">discharge!C58</f>
        <v>0</v>
      </c>
      <c r="M60" s="2" t="n">
        <f aca="false">soc!C58/investment!$E$2 *100</f>
        <v>99.994000149998</v>
      </c>
      <c r="N60" s="4" t="n">
        <f aca="false">p_micro!C57</f>
        <v>0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11" t="n">
        <v>9</v>
      </c>
      <c r="E61" s="5" t="n">
        <v>57</v>
      </c>
      <c r="F61" s="16" t="n">
        <f aca="false">IFERROR(INDEX($B$5:$C$173, MATCH($E61, $B$5:$B$175, 0), 2), 0)*investment!$C$2</f>
        <v>0</v>
      </c>
      <c r="G61" s="5" t="n">
        <f aca="false">demand!C59</f>
        <v>0</v>
      </c>
      <c r="H61" s="2" t="n">
        <f aca="false">solgen!C59</f>
        <v>0</v>
      </c>
      <c r="I61" s="2" t="n">
        <f aca="false">import!C59</f>
        <v>0</v>
      </c>
      <c r="J61" s="2" t="n">
        <f aca="false">-export!C59</f>
        <v>-0</v>
      </c>
      <c r="K61" s="2" t="n">
        <f aca="false">-charge!C59</f>
        <v>-0</v>
      </c>
      <c r="L61" s="2" t="n">
        <f aca="false">discharge!C59</f>
        <v>0</v>
      </c>
      <c r="M61" s="2" t="n">
        <f aca="false">soc!C59/investment!$E$2 *100</f>
        <v>99.9930002099965</v>
      </c>
      <c r="N61" s="4" t="n">
        <f aca="false">p_micro!C58</f>
        <v>0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11" t="n">
        <v>10</v>
      </c>
      <c r="E62" s="5" t="n">
        <v>58</v>
      </c>
      <c r="F62" s="16" t="n">
        <f aca="false">IFERROR(INDEX($B$5:$C$173, MATCH($E62, $B$5:$B$175, 0), 2), 0)*investment!$C$2</f>
        <v>0</v>
      </c>
      <c r="G62" s="5" t="n">
        <f aca="false">demand!C60</f>
        <v>0</v>
      </c>
      <c r="H62" s="2" t="n">
        <f aca="false">solgen!C60</f>
        <v>0</v>
      </c>
      <c r="I62" s="2" t="n">
        <f aca="false">import!C60</f>
        <v>0</v>
      </c>
      <c r="J62" s="2" t="n">
        <f aca="false">-export!C60</f>
        <v>-0</v>
      </c>
      <c r="K62" s="2" t="n">
        <f aca="false">-charge!C60</f>
        <v>-0</v>
      </c>
      <c r="L62" s="2" t="n">
        <f aca="false">discharge!C60</f>
        <v>0</v>
      </c>
      <c r="M62" s="2" t="n">
        <f aca="false">soc!C60/investment!$E$2 *100</f>
        <v>100</v>
      </c>
      <c r="N62" s="4" t="n">
        <f aca="false">p_micro!C59</f>
        <v>0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11" t="n">
        <v>11</v>
      </c>
      <c r="E63" s="5" t="n">
        <v>59</v>
      </c>
      <c r="F63" s="16" t="n">
        <f aca="false">IFERROR(INDEX($B$5:$C$173, MATCH($E63, $B$5:$B$175, 0), 2), 0)*investment!$C$2</f>
        <v>0</v>
      </c>
      <c r="G63" s="5" t="n">
        <f aca="false">demand!C61</f>
        <v>0</v>
      </c>
      <c r="H63" s="2" t="n">
        <f aca="false">solgen!C61</f>
        <v>0</v>
      </c>
      <c r="I63" s="2" t="n">
        <f aca="false">import!C61</f>
        <v>0</v>
      </c>
      <c r="J63" s="2" t="n">
        <f aca="false">-export!C61</f>
        <v>-0</v>
      </c>
      <c r="K63" s="2" t="n">
        <f aca="false">-charge!C61</f>
        <v>-0</v>
      </c>
      <c r="L63" s="2" t="n">
        <f aca="false">discharge!C61</f>
        <v>0</v>
      </c>
      <c r="M63" s="2" t="n">
        <f aca="false">soc!C61/investment!$E$2 *100</f>
        <v>100</v>
      </c>
      <c r="N63" s="4" t="n">
        <f aca="false">p_micro!C60</f>
        <v>0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11" t="n">
        <v>12</v>
      </c>
      <c r="E64" s="5" t="n">
        <v>60</v>
      </c>
      <c r="F64" s="16" t="n">
        <f aca="false">IFERROR(INDEX($B$5:$C$173, MATCH($E64, $B$5:$B$175, 0), 2), 0)*investment!$C$2</f>
        <v>0</v>
      </c>
      <c r="G64" s="5" t="n">
        <f aca="false">demand!C62</f>
        <v>0</v>
      </c>
      <c r="H64" s="2" t="n">
        <f aca="false">solgen!C62</f>
        <v>0</v>
      </c>
      <c r="I64" s="2" t="n">
        <f aca="false">import!C62</f>
        <v>0</v>
      </c>
      <c r="J64" s="2" t="n">
        <f aca="false">-export!C62</f>
        <v>-0</v>
      </c>
      <c r="K64" s="2" t="n">
        <f aca="false">-charge!C62</f>
        <v>-0</v>
      </c>
      <c r="L64" s="2" t="n">
        <f aca="false">discharge!C62</f>
        <v>0</v>
      </c>
      <c r="M64" s="2" t="n">
        <f aca="false">soc!C62/investment!$E$2 *100</f>
        <v>99.999</v>
      </c>
      <c r="N64" s="4" t="n">
        <f aca="false">p_micro!C61</f>
        <v>0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11" t="n">
        <v>13</v>
      </c>
      <c r="E65" s="5" t="n">
        <v>61</v>
      </c>
      <c r="F65" s="16" t="n">
        <f aca="false">IFERROR(INDEX($B$5:$C$173, MATCH($E65, $B$5:$B$175, 0), 2), 0)*investment!$C$2</f>
        <v>0</v>
      </c>
      <c r="G65" s="5" t="n">
        <f aca="false">demand!C63</f>
        <v>0</v>
      </c>
      <c r="H65" s="2" t="n">
        <f aca="false">solgen!C63</f>
        <v>0</v>
      </c>
      <c r="I65" s="2" t="n">
        <f aca="false">import!C63</f>
        <v>0</v>
      </c>
      <c r="J65" s="2" t="n">
        <f aca="false">-export!C63</f>
        <v>-0</v>
      </c>
      <c r="K65" s="2" t="n">
        <f aca="false">-charge!C63</f>
        <v>-0</v>
      </c>
      <c r="L65" s="2" t="n">
        <f aca="false">discharge!C63</f>
        <v>0</v>
      </c>
      <c r="M65" s="2" t="n">
        <f aca="false">soc!C63/investment!$E$2 *100</f>
        <v>99.99800001</v>
      </c>
      <c r="N65" s="4" t="n">
        <f aca="false">p_micro!C62</f>
        <v>0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11" t="n">
        <v>14</v>
      </c>
      <c r="E66" s="5" t="n">
        <v>62</v>
      </c>
      <c r="F66" s="16" t="n">
        <f aca="false">IFERROR(INDEX($B$5:$C$173, MATCH($E66, $B$5:$B$175, 0), 2), 0)*investment!$C$2</f>
        <v>0</v>
      </c>
      <c r="G66" s="5" t="n">
        <f aca="false">demand!C64</f>
        <v>0</v>
      </c>
      <c r="H66" s="2" t="n">
        <f aca="false">solgen!C64</f>
        <v>0</v>
      </c>
      <c r="I66" s="2" t="n">
        <f aca="false">import!C64</f>
        <v>0</v>
      </c>
      <c r="J66" s="2" t="n">
        <f aca="false">-export!C64</f>
        <v>-0</v>
      </c>
      <c r="K66" s="2" t="n">
        <f aca="false">-charge!C64</f>
        <v>-0</v>
      </c>
      <c r="L66" s="2" t="n">
        <f aca="false">discharge!C64</f>
        <v>0</v>
      </c>
      <c r="M66" s="2" t="n">
        <f aca="false">soc!C64/investment!$E$2 *100</f>
        <v>99.9970000299999</v>
      </c>
      <c r="N66" s="4" t="n">
        <f aca="false">p_micro!C63</f>
        <v>0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11" t="n">
        <v>15</v>
      </c>
      <c r="E67" s="5" t="n">
        <v>63</v>
      </c>
      <c r="F67" s="16" t="n">
        <f aca="false">IFERROR(INDEX($B$5:$C$173, MATCH($E67, $B$5:$B$175, 0), 2), 0)*investment!$C$2</f>
        <v>0</v>
      </c>
      <c r="G67" s="5" t="n">
        <f aca="false">demand!C65</f>
        <v>0</v>
      </c>
      <c r="H67" s="2" t="n">
        <f aca="false">solgen!C65</f>
        <v>0</v>
      </c>
      <c r="I67" s="2" t="n">
        <f aca="false">import!C65</f>
        <v>0</v>
      </c>
      <c r="J67" s="2" t="n">
        <f aca="false">-export!C65</f>
        <v>-0</v>
      </c>
      <c r="K67" s="2" t="n">
        <f aca="false">-charge!C65</f>
        <v>-0</v>
      </c>
      <c r="L67" s="2" t="n">
        <f aca="false">discharge!C65</f>
        <v>0</v>
      </c>
      <c r="M67" s="2" t="n">
        <f aca="false">soc!C65/investment!$E$2 *100</f>
        <v>99.9960000599996</v>
      </c>
      <c r="N67" s="4" t="n">
        <f aca="false">p_micro!C64</f>
        <v>0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11" t="n">
        <v>16</v>
      </c>
      <c r="E68" s="5" t="n">
        <v>64</v>
      </c>
      <c r="F68" s="16" t="n">
        <f aca="false">IFERROR(INDEX($B$5:$C$173, MATCH($E68, $B$5:$B$175, 0), 2), 0)*investment!$C$2</f>
        <v>0</v>
      </c>
      <c r="G68" s="5" t="n">
        <f aca="false">demand!C66</f>
        <v>0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-0</v>
      </c>
      <c r="K68" s="2" t="n">
        <f aca="false">-charge!C66</f>
        <v>-0</v>
      </c>
      <c r="L68" s="2" t="n">
        <f aca="false">discharge!C66</f>
        <v>0</v>
      </c>
      <c r="M68" s="2" t="n">
        <f aca="false">soc!C66/investment!$E$2 *100</f>
        <v>99.995000099999</v>
      </c>
      <c r="N68" s="4" t="n">
        <f aca="false">p_micro!C65</f>
        <v>0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11" t="n">
        <v>17</v>
      </c>
      <c r="E69" s="5" t="n">
        <v>65</v>
      </c>
      <c r="F69" s="16" t="n">
        <f aca="false">IFERROR(INDEX($B$5:$C$173, MATCH($E69, $B$5:$B$175, 0), 2), 0)*investment!$C$2</f>
        <v>0</v>
      </c>
      <c r="G69" s="5" t="n">
        <f aca="false">demand!C67</f>
        <v>0</v>
      </c>
      <c r="H69" s="2" t="n">
        <f aca="false">solgen!C67</f>
        <v>0</v>
      </c>
      <c r="I69" s="2" t="n">
        <f aca="false">import!C67</f>
        <v>0</v>
      </c>
      <c r="J69" s="2" t="n">
        <f aca="false">-export!C67</f>
        <v>-0</v>
      </c>
      <c r="K69" s="2" t="n">
        <f aca="false">-charge!C67</f>
        <v>-0</v>
      </c>
      <c r="L69" s="2" t="n">
        <f aca="false">discharge!C67</f>
        <v>0</v>
      </c>
      <c r="M69" s="2" t="n">
        <f aca="false">soc!C67/investment!$E$2 *100</f>
        <v>99.994000149998</v>
      </c>
      <c r="N69" s="4" t="n">
        <f aca="false">p_micro!C66</f>
        <v>0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11" t="n">
        <v>18</v>
      </c>
      <c r="E70" s="5" t="n">
        <v>66</v>
      </c>
      <c r="F70" s="16" t="n">
        <f aca="false">IFERROR(INDEX($B$5:$C$173, MATCH($E70, $B$5:$B$175, 0), 2), 0)*investment!$C$2</f>
        <v>0</v>
      </c>
      <c r="G70" s="5" t="n">
        <f aca="false">demand!C68</f>
        <v>0</v>
      </c>
      <c r="H70" s="2" t="n">
        <f aca="false">solgen!C68</f>
        <v>0</v>
      </c>
      <c r="I70" s="2" t="n">
        <f aca="false">import!C68</f>
        <v>0</v>
      </c>
      <c r="J70" s="2" t="n">
        <f aca="false">-export!C68</f>
        <v>-0</v>
      </c>
      <c r="K70" s="2" t="n">
        <f aca="false">-charge!C68</f>
        <v>-0</v>
      </c>
      <c r="L70" s="2" t="n">
        <f aca="false">discharge!C68</f>
        <v>0</v>
      </c>
      <c r="M70" s="2" t="n">
        <f aca="false">soc!C68/investment!$E$2 *100</f>
        <v>99.9930002099965</v>
      </c>
      <c r="N70" s="4" t="n">
        <f aca="false">p_micro!C67</f>
        <v>0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11" t="n">
        <v>19</v>
      </c>
      <c r="E71" s="5" t="n">
        <v>67</v>
      </c>
      <c r="F71" s="16" t="n">
        <f aca="false">IFERROR(INDEX($B$5:$C$173, MATCH($E71, $B$5:$B$175, 0), 2), 0)*investment!$C$2</f>
        <v>0</v>
      </c>
      <c r="G71" s="5" t="n">
        <f aca="false">demand!C69</f>
        <v>0</v>
      </c>
      <c r="H71" s="2" t="n">
        <f aca="false">solgen!C69</f>
        <v>0</v>
      </c>
      <c r="I71" s="2" t="n">
        <f aca="false">import!C69</f>
        <v>0</v>
      </c>
      <c r="J71" s="2" t="n">
        <f aca="false">-export!C69</f>
        <v>-0</v>
      </c>
      <c r="K71" s="2" t="n">
        <f aca="false">-charge!C69</f>
        <v>-0</v>
      </c>
      <c r="L71" s="2" t="n">
        <f aca="false">discharge!C69</f>
        <v>0</v>
      </c>
      <c r="M71" s="2" t="n">
        <f aca="false">soc!C69/investment!$E$2 *100</f>
        <v>99.9920002906521</v>
      </c>
      <c r="N71" s="4" t="n">
        <f aca="false">p_micro!C68</f>
        <v>0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11" t="n">
        <v>20</v>
      </c>
      <c r="E72" s="5" t="n">
        <v>68</v>
      </c>
      <c r="F72" s="16" t="n">
        <f aca="false">IFERROR(INDEX($B$5:$C$173, MATCH($E72, $B$5:$B$175, 0), 2), 0)*investment!$C$2</f>
        <v>0</v>
      </c>
      <c r="G72" s="5" t="n">
        <f aca="false">demand!C70</f>
        <v>0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-0</v>
      </c>
      <c r="K72" s="2" t="n">
        <f aca="false">-charge!C70</f>
        <v>-0</v>
      </c>
      <c r="L72" s="2" t="n">
        <f aca="false">discharge!C70</f>
        <v>0</v>
      </c>
      <c r="M72" s="2" t="n">
        <f aca="false">soc!C70/investment!$E$2 *100</f>
        <v>99.9910003592811</v>
      </c>
      <c r="N72" s="4" t="n">
        <f aca="false">p_micro!C69</f>
        <v>0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11" t="n">
        <v>21</v>
      </c>
      <c r="E73" s="5" t="n">
        <v>69</v>
      </c>
      <c r="F73" s="16" t="n">
        <f aca="false">IFERROR(INDEX($B$5:$C$173, MATCH($E73, $B$5:$B$175, 0), 2), 0)*investment!$C$2</f>
        <v>0</v>
      </c>
      <c r="G73" s="5" t="n">
        <f aca="false">demand!C71</f>
        <v>0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-0</v>
      </c>
      <c r="K73" s="2" t="n">
        <f aca="false">-charge!C71</f>
        <v>-0</v>
      </c>
      <c r="L73" s="2" t="n">
        <f aca="false">discharge!C71</f>
        <v>0</v>
      </c>
      <c r="M73" s="2" t="n">
        <f aca="false">soc!C71/investment!$E$2 *100</f>
        <v>99.9900004492775</v>
      </c>
      <c r="N73" s="4" t="n">
        <f aca="false">p_micro!C70</f>
        <v>0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11" t="n">
        <v>22</v>
      </c>
      <c r="E74" s="5" t="n">
        <v>70</v>
      </c>
      <c r="F74" s="16" t="n">
        <f aca="false">IFERROR(INDEX($B$5:$C$173, MATCH($E74, $B$5:$B$175, 0), 2), 0)*investment!$C$2</f>
        <v>0</v>
      </c>
      <c r="G74" s="5" t="n">
        <f aca="false">demand!C72</f>
        <v>0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-0</v>
      </c>
      <c r="K74" s="2" t="n">
        <f aca="false">-charge!C72</f>
        <v>-0</v>
      </c>
      <c r="L74" s="2" t="n">
        <f aca="false">discharge!C72</f>
        <v>0</v>
      </c>
      <c r="M74" s="2" t="n">
        <f aca="false">soc!C72/investment!$E$2 *100</f>
        <v>99.989000549273</v>
      </c>
      <c r="N74" s="4" t="n">
        <f aca="false">p_micro!C71</f>
        <v>0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11" t="n">
        <v>23</v>
      </c>
      <c r="E75" s="5" t="n">
        <v>71</v>
      </c>
      <c r="F75" s="16" t="n">
        <f aca="false">IFERROR(INDEX($B$5:$C$173, MATCH($E75, $B$5:$B$175, 0), 2), 0)*investment!$C$2</f>
        <v>0</v>
      </c>
      <c r="G75" s="5" t="n">
        <f aca="false">demand!C73</f>
        <v>0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-0</v>
      </c>
      <c r="K75" s="2" t="n">
        <f aca="false">-charge!C73</f>
        <v>-0</v>
      </c>
      <c r="L75" s="2" t="n">
        <f aca="false">discharge!C73</f>
        <v>0</v>
      </c>
      <c r="M75" s="2" t="n">
        <f aca="false">soc!C73/investment!$E$2 *100</f>
        <v>99.9880006592675</v>
      </c>
      <c r="N75" s="4" t="n">
        <f aca="false">p_micro!C72</f>
        <v>0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11" t="n">
        <v>24</v>
      </c>
      <c r="E76" s="5" t="n">
        <v>72</v>
      </c>
      <c r="F76" s="16" t="n">
        <f aca="false">IFERROR(INDEX($B$5:$C$173, MATCH($E76, $B$5:$B$175, 0), 2), 0)*investment!$C$2</f>
        <v>0</v>
      </c>
      <c r="G76" s="5" t="n">
        <f aca="false">demand!C74</f>
        <v>0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-0</v>
      </c>
      <c r="K76" s="2" t="n">
        <f aca="false">-charge!C74</f>
        <v>-0</v>
      </c>
      <c r="L76" s="2" t="n">
        <f aca="false">discharge!C74</f>
        <v>0</v>
      </c>
      <c r="M76" s="2" t="n">
        <f aca="false">soc!C74/investment!$E$2 *100</f>
        <v>99.9870007792609</v>
      </c>
      <c r="N76" s="4" t="n">
        <f aca="false">p_micro!C73</f>
        <v>0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11" t="n">
        <v>1</v>
      </c>
      <c r="E77" s="5" t="n">
        <v>73</v>
      </c>
      <c r="F77" s="16" t="n">
        <f aca="false">IFERROR(INDEX($B$5:$C$173, MATCH($E77, $B$5:$B$175, 0), 2), 0)*investment!$C$2</f>
        <v>0</v>
      </c>
      <c r="G77" s="5" t="n">
        <f aca="false">demand!C75</f>
        <v>0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-0</v>
      </c>
      <c r="K77" s="2" t="n">
        <f aca="false">-charge!C75</f>
        <v>-0</v>
      </c>
      <c r="L77" s="2" t="n">
        <f aca="false">discharge!C75</f>
        <v>0</v>
      </c>
      <c r="M77" s="2" t="n">
        <f aca="false">soc!C75/investment!$E$2 *100</f>
        <v>99.9860009092531</v>
      </c>
      <c r="N77" s="4" t="n">
        <f aca="false">p_micro!C74</f>
        <v>0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11" t="n">
        <v>2</v>
      </c>
      <c r="E78" s="5" t="n">
        <v>74</v>
      </c>
      <c r="F78" s="16" t="n">
        <f aca="false">IFERROR(INDEX($B$5:$C$173, MATCH($E78, $B$5:$B$175, 0), 2), 0)*investment!$C$2</f>
        <v>0</v>
      </c>
      <c r="G78" s="5" t="n">
        <f aca="false">demand!C76</f>
        <v>0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-0</v>
      </c>
      <c r="K78" s="2" t="n">
        <f aca="false">-charge!C76</f>
        <v>-0</v>
      </c>
      <c r="L78" s="2" t="n">
        <f aca="false">discharge!C76</f>
        <v>0</v>
      </c>
      <c r="M78" s="2" t="n">
        <f aca="false">soc!C76/investment!$E$2 *100</f>
        <v>99.985001049244</v>
      </c>
      <c r="N78" s="4" t="n">
        <f aca="false">p_micro!C75</f>
        <v>0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11" t="n">
        <v>3</v>
      </c>
      <c r="E79" s="5" t="n">
        <v>75</v>
      </c>
      <c r="F79" s="16" t="n">
        <f aca="false">IFERROR(INDEX($B$5:$C$173, MATCH($E79, $B$5:$B$175, 0), 2), 0)*investment!$C$2</f>
        <v>0</v>
      </c>
      <c r="G79" s="5" t="n">
        <f aca="false">demand!C77</f>
        <v>0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-0</v>
      </c>
      <c r="K79" s="2" t="n">
        <f aca="false">-charge!C77</f>
        <v>-0</v>
      </c>
      <c r="L79" s="2" t="n">
        <f aca="false">discharge!C77</f>
        <v>0</v>
      </c>
      <c r="M79" s="2" t="n">
        <f aca="false">soc!C77/investment!$E$2 *100</f>
        <v>99.9840011992335</v>
      </c>
      <c r="N79" s="4" t="n">
        <f aca="false">p_micro!C76</f>
        <v>0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11" t="n">
        <v>4</v>
      </c>
      <c r="E80" s="5" t="n">
        <v>76</v>
      </c>
      <c r="F80" s="16" t="n">
        <f aca="false">IFERROR(INDEX($B$5:$C$173, MATCH($E80, $B$5:$B$175, 0), 2), 0)*investment!$C$2</f>
        <v>0</v>
      </c>
      <c r="G80" s="5" t="n">
        <f aca="false">demand!C78</f>
        <v>0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-0</v>
      </c>
      <c r="K80" s="2" t="n">
        <f aca="false">-charge!C78</f>
        <v>-0</v>
      </c>
      <c r="L80" s="2" t="n">
        <f aca="false">discharge!C78</f>
        <v>0</v>
      </c>
      <c r="M80" s="2" t="n">
        <f aca="false">soc!C78/investment!$E$2 *100</f>
        <v>99.9830013592215</v>
      </c>
      <c r="N80" s="4" t="n">
        <f aca="false">p_micro!C77</f>
        <v>0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11" t="n">
        <v>5</v>
      </c>
      <c r="E81" s="5" t="n">
        <v>77</v>
      </c>
      <c r="F81" s="16" t="n">
        <f aca="false">IFERROR(INDEX($B$5:$C$173, MATCH($E81, $B$5:$B$175, 0), 2), 0)*investment!$C$2</f>
        <v>0</v>
      </c>
      <c r="G81" s="5" t="n">
        <f aca="false">demand!C79</f>
        <v>0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-0</v>
      </c>
      <c r="K81" s="2" t="n">
        <f aca="false">-charge!C79</f>
        <v>-0</v>
      </c>
      <c r="L81" s="2" t="n">
        <f aca="false">discharge!C79</f>
        <v>0</v>
      </c>
      <c r="M81" s="2" t="n">
        <f aca="false">soc!C79/investment!$E$2 *100</f>
        <v>99.9820015292079</v>
      </c>
      <c r="N81" s="4" t="n">
        <f aca="false">p_micro!C78</f>
        <v>0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11" t="n">
        <v>6</v>
      </c>
      <c r="E82" s="5" t="n">
        <v>78</v>
      </c>
      <c r="F82" s="16" t="n">
        <f aca="false">IFERROR(INDEX($B$5:$C$173, MATCH($E82, $B$5:$B$175, 0), 2), 0)*investment!$C$2</f>
        <v>0</v>
      </c>
      <c r="G82" s="5" t="n">
        <f aca="false">demand!C80</f>
        <v>0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-0</v>
      </c>
      <c r="K82" s="2" t="n">
        <f aca="false">-charge!C80</f>
        <v>-0</v>
      </c>
      <c r="L82" s="2" t="n">
        <f aca="false">discharge!C80</f>
        <v>0</v>
      </c>
      <c r="M82" s="2" t="n">
        <f aca="false">soc!C80/investment!$E$2 *100</f>
        <v>99.9810017091926</v>
      </c>
      <c r="N82" s="4" t="n">
        <f aca="false">p_micro!C79</f>
        <v>0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11" t="n">
        <v>7</v>
      </c>
      <c r="E83" s="5" t="n">
        <v>79</v>
      </c>
      <c r="F83" s="16" t="n">
        <f aca="false">IFERROR(INDEX($B$5:$C$173, MATCH($E83, $B$5:$B$175, 0), 2), 0)*investment!$C$2</f>
        <v>0</v>
      </c>
      <c r="G83" s="5" t="n">
        <f aca="false">demand!C81</f>
        <v>0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-0</v>
      </c>
      <c r="K83" s="2" t="n">
        <f aca="false">-charge!C81</f>
        <v>-0</v>
      </c>
      <c r="L83" s="2" t="n">
        <f aca="false">discharge!C81</f>
        <v>0</v>
      </c>
      <c r="M83" s="2" t="n">
        <f aca="false">soc!C81/investment!$E$2 *100</f>
        <v>99.9800018991756</v>
      </c>
      <c r="N83" s="4" t="n">
        <f aca="false">p_micro!C80</f>
        <v>0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11" t="n">
        <v>8</v>
      </c>
      <c r="E84" s="5" t="n">
        <v>80</v>
      </c>
      <c r="F84" s="16" t="n">
        <f aca="false">IFERROR(INDEX($B$5:$C$173, MATCH($E84, $B$5:$B$175, 0), 2), 0)*investment!$C$2</f>
        <v>0</v>
      </c>
      <c r="G84" s="5" t="n">
        <f aca="false">demand!C82</f>
        <v>0</v>
      </c>
      <c r="H84" s="2" t="n">
        <f aca="false">solgen!C82</f>
        <v>0</v>
      </c>
      <c r="I84" s="2" t="n">
        <f aca="false">import!C82</f>
        <v>0</v>
      </c>
      <c r="J84" s="2" t="n">
        <f aca="false">-export!C82</f>
        <v>-0</v>
      </c>
      <c r="K84" s="2" t="n">
        <f aca="false">-charge!C82</f>
        <v>-0</v>
      </c>
      <c r="L84" s="2" t="n">
        <f aca="false">discharge!C82</f>
        <v>0</v>
      </c>
      <c r="M84" s="2" t="n">
        <f aca="false">soc!C82/investment!$E$2 *100</f>
        <v>99.9790020991566</v>
      </c>
      <c r="N84" s="4" t="n">
        <f aca="false">p_micro!C81</f>
        <v>0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11" t="n">
        <v>9</v>
      </c>
      <c r="E85" s="5" t="n">
        <v>81</v>
      </c>
      <c r="F85" s="16" t="n">
        <f aca="false">IFERROR(INDEX($B$5:$C$173, MATCH($E85, $B$5:$B$175, 0), 2), 0)*investment!$C$2</f>
        <v>0</v>
      </c>
      <c r="G85" s="5" t="n">
        <f aca="false">demand!C83</f>
        <v>0</v>
      </c>
      <c r="H85" s="2" t="n">
        <f aca="false">solgen!C83</f>
        <v>0</v>
      </c>
      <c r="I85" s="2" t="n">
        <f aca="false">import!C83</f>
        <v>0</v>
      </c>
      <c r="J85" s="2" t="n">
        <f aca="false">-export!C83</f>
        <v>-0</v>
      </c>
      <c r="K85" s="2" t="n">
        <f aca="false">-charge!C83</f>
        <v>-0</v>
      </c>
      <c r="L85" s="2" t="n">
        <f aca="false">discharge!C83</f>
        <v>0</v>
      </c>
      <c r="M85" s="2" t="n">
        <f aca="false">soc!C83/investment!$E$2 *100</f>
        <v>99.9780023091356</v>
      </c>
      <c r="N85" s="4" t="n">
        <f aca="false">p_micro!C82</f>
        <v>0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11" t="n">
        <v>10</v>
      </c>
      <c r="E86" s="5" t="n">
        <v>82</v>
      </c>
      <c r="F86" s="16" t="n">
        <f aca="false">IFERROR(INDEX($B$5:$C$173, MATCH($E86, $B$5:$B$175, 0), 2), 0)*investment!$C$2</f>
        <v>0</v>
      </c>
      <c r="G86" s="5" t="n">
        <f aca="false">demand!C84</f>
        <v>0</v>
      </c>
      <c r="H86" s="2" t="n">
        <f aca="false">solgen!C84</f>
        <v>0</v>
      </c>
      <c r="I86" s="2" t="n">
        <f aca="false">import!C84</f>
        <v>0</v>
      </c>
      <c r="J86" s="2" t="n">
        <f aca="false">-export!C84</f>
        <v>-0</v>
      </c>
      <c r="K86" s="2" t="n">
        <f aca="false">-charge!C84</f>
        <v>-0</v>
      </c>
      <c r="L86" s="2" t="n">
        <f aca="false">discharge!C84</f>
        <v>0</v>
      </c>
      <c r="M86" s="2" t="n">
        <f aca="false">soc!C84/investment!$E$2 *100</f>
        <v>99.9770025291125</v>
      </c>
      <c r="N86" s="4" t="n">
        <f aca="false">p_micro!C83</f>
        <v>0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11" t="n">
        <v>11</v>
      </c>
      <c r="E87" s="5" t="n">
        <v>83</v>
      </c>
      <c r="F87" s="16" t="n">
        <f aca="false">IFERROR(INDEX($B$5:$C$173, MATCH($E87, $B$5:$B$175, 0), 2), 0)*investment!$C$2</f>
        <v>0</v>
      </c>
      <c r="G87" s="5" t="n">
        <f aca="false">demand!C85</f>
        <v>0</v>
      </c>
      <c r="H87" s="2" t="n">
        <f aca="false">solgen!C85</f>
        <v>0</v>
      </c>
      <c r="I87" s="2" t="n">
        <f aca="false">import!C85</f>
        <v>0</v>
      </c>
      <c r="J87" s="2" t="n">
        <f aca="false">-export!C85</f>
        <v>-0</v>
      </c>
      <c r="K87" s="2" t="n">
        <f aca="false">-charge!C85</f>
        <v>-0</v>
      </c>
      <c r="L87" s="2" t="n">
        <f aca="false">discharge!C85</f>
        <v>0</v>
      </c>
      <c r="M87" s="2" t="n">
        <f aca="false">soc!C85/investment!$E$2 *100</f>
        <v>55.5561111166667</v>
      </c>
      <c r="N87" s="4" t="n">
        <f aca="false">p_micro!C84</f>
        <v>0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11" t="n">
        <v>12</v>
      </c>
      <c r="E88" s="5" t="n">
        <v>84</v>
      </c>
      <c r="F88" s="16" t="n">
        <f aca="false">IFERROR(INDEX($B$5:$C$173, MATCH($E88, $B$5:$B$175, 0), 2), 0)*investment!$C$2</f>
        <v>0</v>
      </c>
      <c r="G88" s="5" t="n">
        <f aca="false">demand!C86</f>
        <v>0</v>
      </c>
      <c r="H88" s="2" t="n">
        <f aca="false">solgen!C86</f>
        <v>0</v>
      </c>
      <c r="I88" s="2" t="n">
        <f aca="false">import!C86</f>
        <v>0</v>
      </c>
      <c r="J88" s="2" t="n">
        <f aca="false">-export!C86</f>
        <v>-0</v>
      </c>
      <c r="K88" s="2" t="n">
        <f aca="false">-charge!C86</f>
        <v>-0</v>
      </c>
      <c r="L88" s="2" t="n">
        <f aca="false">discharge!C86</f>
        <v>0</v>
      </c>
      <c r="M88" s="2" t="n">
        <f aca="false">soc!C86/investment!$E$2 *100</f>
        <v>2.13166719930617E-009</v>
      </c>
      <c r="N88" s="4" t="n">
        <f aca="false">p_micro!C85</f>
        <v>0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11" t="n">
        <v>13</v>
      </c>
      <c r="E89" s="5" t="n">
        <v>85</v>
      </c>
      <c r="F89" s="16" t="n">
        <f aca="false">IFERROR(INDEX($B$5:$C$173, MATCH($E89, $B$5:$B$175, 0), 2), 0)*investment!$C$2</f>
        <v>0</v>
      </c>
      <c r="G89" s="5" t="n">
        <f aca="false">demand!C87</f>
        <v>0</v>
      </c>
      <c r="H89" s="2" t="n">
        <f aca="false">solgen!C87</f>
        <v>0</v>
      </c>
      <c r="I89" s="2" t="n">
        <f aca="false">import!C87</f>
        <v>0</v>
      </c>
      <c r="J89" s="2" t="n">
        <f aca="false">-export!C87</f>
        <v>-0</v>
      </c>
      <c r="K89" s="2" t="n">
        <f aca="false">-charge!C87</f>
        <v>-0</v>
      </c>
      <c r="L89" s="2" t="n">
        <f aca="false">discharge!C87</f>
        <v>0</v>
      </c>
      <c r="M89" s="2" t="n">
        <f aca="false">soc!C87/investment!$E$2 *100</f>
        <v>0</v>
      </c>
      <c r="N89" s="4" t="n">
        <f aca="false">p_micro!C86</f>
        <v>0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11" t="n">
        <v>14</v>
      </c>
      <c r="E90" s="5" t="n">
        <v>86</v>
      </c>
      <c r="F90" s="16" t="n">
        <f aca="false">IFERROR(INDEX($B$5:$C$173, MATCH($E90, $B$5:$B$175, 0), 2), 0)*investment!$C$2</f>
        <v>0</v>
      </c>
      <c r="G90" s="5" t="n">
        <f aca="false">demand!C88</f>
        <v>0</v>
      </c>
      <c r="H90" s="2" t="n">
        <f aca="false">solgen!C88</f>
        <v>0</v>
      </c>
      <c r="I90" s="2" t="n">
        <f aca="false">import!C88</f>
        <v>0</v>
      </c>
      <c r="J90" s="2" t="n">
        <f aca="false">-export!C88</f>
        <v>-0</v>
      </c>
      <c r="K90" s="2" t="n">
        <f aca="false">-charge!C88</f>
        <v>-0</v>
      </c>
      <c r="L90" s="2" t="n">
        <f aca="false">discharge!C88</f>
        <v>0</v>
      </c>
      <c r="M90" s="2" t="n">
        <f aca="false">soc!C88/investment!$E$2 *100</f>
        <v>0</v>
      </c>
      <c r="N90" s="4" t="n">
        <f aca="false">p_micro!C87</f>
        <v>0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11" t="n">
        <v>15</v>
      </c>
      <c r="E91" s="5" t="n">
        <v>87</v>
      </c>
      <c r="F91" s="16" t="n">
        <f aca="false">IFERROR(INDEX($B$5:$C$173, MATCH($E91, $B$5:$B$175, 0), 2), 0)*investment!$C$2</f>
        <v>0</v>
      </c>
      <c r="G91" s="5" t="n">
        <f aca="false">demand!C89</f>
        <v>0</v>
      </c>
      <c r="H91" s="2" t="n">
        <f aca="false">solgen!C89</f>
        <v>0</v>
      </c>
      <c r="I91" s="2" t="n">
        <f aca="false">import!C89</f>
        <v>0</v>
      </c>
      <c r="J91" s="2" t="n">
        <f aca="false">-export!C89</f>
        <v>-0</v>
      </c>
      <c r="K91" s="2" t="n">
        <f aca="false">-charge!C89</f>
        <v>-0</v>
      </c>
      <c r="L91" s="2" t="n">
        <f aca="false">discharge!C89</f>
        <v>0</v>
      </c>
      <c r="M91" s="2" t="n">
        <f aca="false">soc!C89/investment!$E$2 *100</f>
        <v>0</v>
      </c>
      <c r="N91" s="4" t="n">
        <f aca="false">p_micro!C88</f>
        <v>0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11" t="n">
        <v>16</v>
      </c>
      <c r="E92" s="5" t="n">
        <v>88</v>
      </c>
      <c r="F92" s="16" t="n">
        <f aca="false">IFERROR(INDEX($B$5:$C$173, MATCH($E92, $B$5:$B$175, 0), 2), 0)*investment!$C$2</f>
        <v>0</v>
      </c>
      <c r="G92" s="5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-0</v>
      </c>
      <c r="K92" s="2" t="n">
        <f aca="false">-charge!C90</f>
        <v>-0</v>
      </c>
      <c r="L92" s="2" t="n">
        <f aca="false">discharge!C90</f>
        <v>0</v>
      </c>
      <c r="M92" s="2" t="n">
        <f aca="false">soc!C90/investment!$E$2 *100</f>
        <v>3.94441611999496E-017</v>
      </c>
      <c r="N92" s="4" t="n">
        <f aca="false">p_micro!C89</f>
        <v>0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11" t="n">
        <v>17</v>
      </c>
      <c r="E93" s="5" t="n">
        <v>89</v>
      </c>
      <c r="F93" s="16" t="n">
        <f aca="false">IFERROR(INDEX($B$5:$C$173, MATCH($E93, $B$5:$B$175, 0), 2), 0)*investment!$C$2</f>
        <v>0</v>
      </c>
      <c r="G93" s="5" t="n">
        <f aca="false">demand!C91</f>
        <v>0</v>
      </c>
      <c r="H93" s="2" t="n">
        <f aca="false">solgen!C91</f>
        <v>0</v>
      </c>
      <c r="I93" s="2" t="n">
        <f aca="false">import!C91</f>
        <v>0</v>
      </c>
      <c r="J93" s="2" t="n">
        <f aca="false">-export!C91</f>
        <v>-0</v>
      </c>
      <c r="K93" s="2" t="n">
        <f aca="false">-charge!C91</f>
        <v>-0</v>
      </c>
      <c r="L93" s="2" t="n">
        <f aca="false">discharge!C91</f>
        <v>0</v>
      </c>
      <c r="M93" s="2" t="n">
        <f aca="false">soc!C91/investment!$E$2 *100</f>
        <v>7.81580038872846E-009</v>
      </c>
      <c r="N93" s="4" t="n">
        <f aca="false">p_micro!C90</f>
        <v>0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11" t="n">
        <v>18</v>
      </c>
      <c r="E94" s="5" t="n">
        <v>90</v>
      </c>
      <c r="F94" s="16" t="n">
        <f aca="false">IFERROR(INDEX($B$5:$C$173, MATCH($E94, $B$5:$B$175, 0), 2), 0)*investment!$C$2</f>
        <v>0</v>
      </c>
      <c r="G94" s="5" t="n">
        <f aca="false">demand!C92</f>
        <v>0</v>
      </c>
      <c r="H94" s="2" t="n">
        <f aca="false">solgen!C92</f>
        <v>0</v>
      </c>
      <c r="I94" s="2" t="n">
        <f aca="false">import!C92</f>
        <v>0</v>
      </c>
      <c r="J94" s="2" t="n">
        <f aca="false">-export!C92</f>
        <v>-0</v>
      </c>
      <c r="K94" s="2" t="n">
        <f aca="false">-charge!C92</f>
        <v>-0</v>
      </c>
      <c r="L94" s="2" t="n">
        <f aca="false">discharge!C92</f>
        <v>0</v>
      </c>
      <c r="M94" s="2" t="n">
        <f aca="false">soc!C92/investment!$E$2 *100</f>
        <v>0</v>
      </c>
      <c r="N94" s="4" t="n">
        <f aca="false">p_micro!C91</f>
        <v>0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11" t="n">
        <v>19</v>
      </c>
      <c r="E95" s="5" t="n">
        <v>91</v>
      </c>
      <c r="F95" s="16" t="n">
        <f aca="false">IFERROR(INDEX($B$5:$C$173, MATCH($E95, $B$5:$B$175, 0), 2), 0)*investment!$C$2</f>
        <v>0</v>
      </c>
      <c r="G95" s="5" t="n">
        <f aca="false">demand!C93</f>
        <v>0</v>
      </c>
      <c r="H95" s="2" t="n">
        <f aca="false">solgen!C93</f>
        <v>0</v>
      </c>
      <c r="I95" s="2" t="n">
        <f aca="false">import!C93</f>
        <v>0</v>
      </c>
      <c r="J95" s="2" t="n">
        <f aca="false">-export!C93</f>
        <v>-0</v>
      </c>
      <c r="K95" s="2" t="n">
        <f aca="false">-charge!C93</f>
        <v>-0</v>
      </c>
      <c r="L95" s="2" t="n">
        <f aca="false">discharge!C93</f>
        <v>0</v>
      </c>
      <c r="M95" s="2" t="n">
        <f aca="false">soc!C93/investment!$E$2 *100</f>
        <v>0</v>
      </c>
      <c r="N95" s="4" t="n">
        <f aca="false">p_micro!C92</f>
        <v>0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11" t="n">
        <v>20</v>
      </c>
      <c r="E96" s="5" t="n">
        <v>92</v>
      </c>
      <c r="F96" s="16" t="n">
        <f aca="false">IFERROR(INDEX($B$5:$C$173, MATCH($E96, $B$5:$B$175, 0), 2), 0)*investment!$C$2</f>
        <v>0</v>
      </c>
      <c r="G96" s="5" t="n">
        <f aca="false">demand!C94</f>
        <v>0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-0</v>
      </c>
      <c r="K96" s="2" t="n">
        <f aca="false">-charge!C94</f>
        <v>-0</v>
      </c>
      <c r="L96" s="2" t="n">
        <f aca="false">discharge!C94</f>
        <v>0</v>
      </c>
      <c r="M96" s="2" t="n">
        <f aca="false">soc!C94/investment!$E$2 *100</f>
        <v>0</v>
      </c>
      <c r="N96" s="4" t="n">
        <f aca="false">p_micro!C93</f>
        <v>0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11" t="n">
        <v>21</v>
      </c>
      <c r="E97" s="5" t="n">
        <v>93</v>
      </c>
      <c r="F97" s="16" t="n">
        <f aca="false">IFERROR(INDEX($B$5:$C$173, MATCH($E97, $B$5:$B$175, 0), 2), 0)*investment!$C$2</f>
        <v>0</v>
      </c>
      <c r="G97" s="5" t="n">
        <f aca="false">demand!C95</f>
        <v>0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-0</v>
      </c>
      <c r="K97" s="2" t="n">
        <f aca="false">-charge!C95</f>
        <v>-0</v>
      </c>
      <c r="L97" s="2" t="n">
        <f aca="false">discharge!C95</f>
        <v>0</v>
      </c>
      <c r="M97" s="2" t="n">
        <f aca="false">soc!C95/investment!$E$2 *100</f>
        <v>0</v>
      </c>
      <c r="N97" s="4" t="n">
        <f aca="false">p_micro!C94</f>
        <v>0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11" t="n">
        <v>22</v>
      </c>
      <c r="E98" s="5" t="n">
        <v>94</v>
      </c>
      <c r="F98" s="16" t="n">
        <f aca="false">IFERROR(INDEX($B$5:$C$173, MATCH($E98, $B$5:$B$175, 0), 2), 0)*investment!$C$2</f>
        <v>0</v>
      </c>
      <c r="G98" s="5" t="n">
        <f aca="false">demand!C96</f>
        <v>0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-0</v>
      </c>
      <c r="K98" s="2" t="n">
        <f aca="false">-charge!C96</f>
        <v>-0</v>
      </c>
      <c r="L98" s="2" t="n">
        <f aca="false">discharge!C96</f>
        <v>0</v>
      </c>
      <c r="M98" s="2" t="n">
        <f aca="false">soc!C96/investment!$E$2 *100</f>
        <v>0</v>
      </c>
      <c r="N98" s="4" t="n">
        <f aca="false">p_micro!C95</f>
        <v>0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11" t="n">
        <v>23</v>
      </c>
      <c r="E99" s="5" t="n">
        <v>95</v>
      </c>
      <c r="F99" s="16" t="n">
        <f aca="false">IFERROR(INDEX($B$5:$C$173, MATCH($E99, $B$5:$B$175, 0), 2), 0)*investment!$C$2</f>
        <v>0</v>
      </c>
      <c r="G99" s="5" t="n">
        <f aca="false">demand!C97</f>
        <v>0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-0</v>
      </c>
      <c r="K99" s="2" t="n">
        <f aca="false">-charge!C97</f>
        <v>-0</v>
      </c>
      <c r="L99" s="2" t="n">
        <f aca="false">discharge!C97</f>
        <v>0</v>
      </c>
      <c r="M99" s="2" t="n">
        <f aca="false">soc!C97/investment!$E$2 *100</f>
        <v>0</v>
      </c>
      <c r="N99" s="4" t="n">
        <f aca="false">p_micro!C96</f>
        <v>0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11" t="n">
        <v>24</v>
      </c>
      <c r="E100" s="5" t="n">
        <v>96</v>
      </c>
      <c r="F100" s="16" t="n">
        <f aca="false">IFERROR(INDEX($B$5:$C$173, MATCH($E100, $B$5:$B$175, 0), 2), 0)*investment!$C$2</f>
        <v>0</v>
      </c>
      <c r="G100" s="5" t="n">
        <f aca="false">demand!C98</f>
        <v>0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-0</v>
      </c>
      <c r="K100" s="2" t="n">
        <f aca="false">-charge!C98</f>
        <v>-0</v>
      </c>
      <c r="L100" s="2" t="n">
        <f aca="false">discharge!C98</f>
        <v>0</v>
      </c>
      <c r="M100" s="2" t="n">
        <f aca="false">soc!C98/investment!$E$2 *100</f>
        <v>0</v>
      </c>
      <c r="N100" s="4" t="n">
        <f aca="false">p_micro!C97</f>
        <v>0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11" t="n">
        <v>1</v>
      </c>
      <c r="E101" s="5" t="n">
        <v>97</v>
      </c>
      <c r="F101" s="16" t="n">
        <f aca="false">IFERROR(INDEX($B$5:$C$173, MATCH($E101, $B$5:$B$175, 0), 2), 0)*investment!$C$2</f>
        <v>0</v>
      </c>
      <c r="G101" s="5" t="n">
        <f aca="false">demand!C99</f>
        <v>0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-0</v>
      </c>
      <c r="K101" s="2" t="n">
        <f aca="false">-charge!C99</f>
        <v>-0</v>
      </c>
      <c r="L101" s="2" t="n">
        <f aca="false">discharge!C99</f>
        <v>0</v>
      </c>
      <c r="M101" s="2" t="n">
        <f aca="false">soc!C99/investment!$E$2 *100</f>
        <v>0</v>
      </c>
      <c r="N101" s="4" t="n">
        <f aca="false">p_micro!C98</f>
        <v>0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11" t="n">
        <v>2</v>
      </c>
      <c r="E102" s="5" t="n">
        <v>98</v>
      </c>
      <c r="F102" s="16" t="n">
        <f aca="false">IFERROR(INDEX($B$5:$C$173, MATCH($E102, $B$5:$B$175, 0), 2), 0)*investment!$C$2</f>
        <v>0</v>
      </c>
      <c r="G102" s="5" t="n">
        <f aca="false">demand!C100</f>
        <v>0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-0</v>
      </c>
      <c r="K102" s="2" t="n">
        <f aca="false">-charge!C100</f>
        <v>-0</v>
      </c>
      <c r="L102" s="2" t="n">
        <f aca="false">discharge!C100</f>
        <v>0</v>
      </c>
      <c r="M102" s="2" t="n">
        <f aca="false">soc!C100/investment!$E$2 *100</f>
        <v>0</v>
      </c>
      <c r="N102" s="4" t="n">
        <f aca="false">p_micro!C99</f>
        <v>0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11" t="n">
        <v>3</v>
      </c>
      <c r="E103" s="5" t="n">
        <v>99</v>
      </c>
      <c r="F103" s="16" t="n">
        <f aca="false">IFERROR(INDEX($B$5:$C$173, MATCH($E103, $B$5:$B$175, 0), 2), 0)*investment!$C$2</f>
        <v>0</v>
      </c>
      <c r="G103" s="5" t="n">
        <f aca="false">demand!C101</f>
        <v>0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-0</v>
      </c>
      <c r="K103" s="2" t="n">
        <f aca="false">-charge!C101</f>
        <v>-0</v>
      </c>
      <c r="L103" s="2" t="n">
        <f aca="false">discharge!C101</f>
        <v>0</v>
      </c>
      <c r="M103" s="2" t="n">
        <f aca="false">soc!C101/investment!$E$2 *100</f>
        <v>0</v>
      </c>
      <c r="N103" s="4" t="n">
        <f aca="false">p_micro!C100</f>
        <v>0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11" t="n">
        <v>4</v>
      </c>
      <c r="E104" s="5" t="n">
        <v>100</v>
      </c>
      <c r="F104" s="16" t="n">
        <f aca="false">IFERROR(INDEX($B$5:$C$173, MATCH($E104, $B$5:$B$175, 0), 2), 0)*investment!$C$2</f>
        <v>0</v>
      </c>
      <c r="G104" s="5" t="n">
        <f aca="false">demand!C102</f>
        <v>0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-0</v>
      </c>
      <c r="K104" s="2" t="n">
        <f aca="false">-charge!C102</f>
        <v>-0</v>
      </c>
      <c r="L104" s="2" t="n">
        <f aca="false">discharge!C102</f>
        <v>0</v>
      </c>
      <c r="M104" s="2" t="n">
        <f aca="false">soc!C102/investment!$E$2 *100</f>
        <v>0</v>
      </c>
      <c r="N104" s="4" t="n">
        <f aca="false">p_micro!C101</f>
        <v>0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11" t="n">
        <v>5</v>
      </c>
      <c r="E105" s="5" t="n">
        <v>101</v>
      </c>
      <c r="F105" s="16" t="n">
        <f aca="false">IFERROR(INDEX($B$5:$C$173, MATCH($E105, $B$5:$B$175, 0), 2), 0)*investment!$C$2</f>
        <v>0</v>
      </c>
      <c r="G105" s="5" t="n">
        <f aca="false">demand!C103</f>
        <v>0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-0</v>
      </c>
      <c r="K105" s="2" t="n">
        <f aca="false">-charge!C103</f>
        <v>-0</v>
      </c>
      <c r="L105" s="2" t="n">
        <f aca="false">discharge!C103</f>
        <v>0</v>
      </c>
      <c r="M105" s="2" t="n">
        <f aca="false">soc!C103/investment!$E$2 *100</f>
        <v>9.94723317156699E-009</v>
      </c>
      <c r="N105" s="4" t="n">
        <f aca="false">p_micro!C102</f>
        <v>0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11" t="n">
        <v>6</v>
      </c>
      <c r="E106" s="5" t="n">
        <v>102</v>
      </c>
      <c r="F106" s="16" t="n">
        <f aca="false">IFERROR(INDEX($B$5:$C$173, MATCH($E106, $B$5:$B$175, 0), 2), 0)*investment!$C$2</f>
        <v>0</v>
      </c>
      <c r="G106" s="5" t="n">
        <f aca="false">demand!C104</f>
        <v>0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-0</v>
      </c>
      <c r="K106" s="2" t="n">
        <f aca="false">-charge!C104</f>
        <v>-0</v>
      </c>
      <c r="L106" s="2" t="n">
        <f aca="false">discharge!C104</f>
        <v>0</v>
      </c>
      <c r="M106" s="2" t="n">
        <f aca="false">soc!C104/investment!$E$2 *100</f>
        <v>0</v>
      </c>
      <c r="N106" s="4" t="n">
        <f aca="false">p_micro!C103</f>
        <v>0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11" t="n">
        <v>7</v>
      </c>
      <c r="E107" s="5" t="n">
        <v>103</v>
      </c>
      <c r="F107" s="16" t="n">
        <f aca="false">IFERROR(INDEX($B$5:$C$173, MATCH($E107, $B$5:$B$175, 0), 2), 0)*investment!$C$2</f>
        <v>0</v>
      </c>
      <c r="G107" s="5" t="n">
        <f aca="false">demand!C105</f>
        <v>0</v>
      </c>
      <c r="H107" s="2" t="n">
        <f aca="false">solgen!C105</f>
        <v>0</v>
      </c>
      <c r="I107" s="2" t="n">
        <f aca="false">import!C105</f>
        <v>0</v>
      </c>
      <c r="J107" s="2" t="n">
        <f aca="false">-export!C105</f>
        <v>-0</v>
      </c>
      <c r="K107" s="2" t="n">
        <f aca="false">-charge!C105</f>
        <v>-0</v>
      </c>
      <c r="L107" s="2" t="n">
        <f aca="false">discharge!C105</f>
        <v>0</v>
      </c>
      <c r="M107" s="2" t="n">
        <f aca="false">soc!C105/investment!$E$2 *100</f>
        <v>0</v>
      </c>
      <c r="N107" s="4" t="n">
        <f aca="false">p_micro!C104</f>
        <v>0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11" t="n">
        <v>8</v>
      </c>
      <c r="E108" s="5" t="n">
        <v>104</v>
      </c>
      <c r="F108" s="16" t="n">
        <f aca="false">IFERROR(INDEX($B$5:$C$173, MATCH($E108, $B$5:$B$175, 0), 2), 0)*investment!$C$2</f>
        <v>0</v>
      </c>
      <c r="G108" s="5" t="n">
        <f aca="false">demand!C106</f>
        <v>0</v>
      </c>
      <c r="H108" s="2" t="n">
        <f aca="false">solgen!C106</f>
        <v>0</v>
      </c>
      <c r="I108" s="2" t="n">
        <f aca="false">import!C106</f>
        <v>0</v>
      </c>
      <c r="J108" s="2" t="n">
        <f aca="false">-export!C106</f>
        <v>-0</v>
      </c>
      <c r="K108" s="2" t="n">
        <f aca="false">-charge!C106</f>
        <v>-0</v>
      </c>
      <c r="L108" s="2" t="n">
        <f aca="false">discharge!C106</f>
        <v>0</v>
      </c>
      <c r="M108" s="2" t="n">
        <f aca="false">soc!C106/investment!$E$2 *100</f>
        <v>0</v>
      </c>
      <c r="N108" s="4" t="n">
        <f aca="false">p_micro!C105</f>
        <v>0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11" t="n">
        <v>9</v>
      </c>
      <c r="E109" s="5" t="n">
        <v>105</v>
      </c>
      <c r="F109" s="16" t="n">
        <f aca="false">IFERROR(INDEX($B$5:$C$173, MATCH($E109, $B$5:$B$175, 0), 2), 0)*investment!$C$2</f>
        <v>0</v>
      </c>
      <c r="G109" s="5" t="n">
        <f aca="false">demand!C107</f>
        <v>0</v>
      </c>
      <c r="H109" s="2" t="n">
        <f aca="false">solgen!C107</f>
        <v>0</v>
      </c>
      <c r="I109" s="2" t="n">
        <f aca="false">import!C107</f>
        <v>0</v>
      </c>
      <c r="J109" s="2" t="n">
        <f aca="false">-export!C107</f>
        <v>-0</v>
      </c>
      <c r="K109" s="2" t="n">
        <f aca="false">-charge!C107</f>
        <v>-0</v>
      </c>
      <c r="L109" s="2" t="n">
        <f aca="false">discharge!C107</f>
        <v>0</v>
      </c>
      <c r="M109" s="2" t="n">
        <f aca="false">soc!C107/investment!$E$2 *100</f>
        <v>0</v>
      </c>
      <c r="N109" s="4" t="n">
        <f aca="false">p_micro!C106</f>
        <v>0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11" t="n">
        <v>10</v>
      </c>
      <c r="E110" s="5" t="n">
        <v>106</v>
      </c>
      <c r="F110" s="16" t="n">
        <f aca="false">IFERROR(INDEX($B$5:$C$173, MATCH($E110, $B$5:$B$175, 0), 2), 0)*investment!$C$2</f>
        <v>0</v>
      </c>
      <c r="G110" s="5" t="n">
        <f aca="false">demand!C108</f>
        <v>0</v>
      </c>
      <c r="H110" s="2" t="n">
        <f aca="false">solgen!C108</f>
        <v>0</v>
      </c>
      <c r="I110" s="2" t="n">
        <f aca="false">import!C108</f>
        <v>0</v>
      </c>
      <c r="J110" s="2" t="n">
        <f aca="false">-export!C108</f>
        <v>-0</v>
      </c>
      <c r="K110" s="2" t="n">
        <f aca="false">-charge!C108</f>
        <v>-0</v>
      </c>
      <c r="L110" s="2" t="n">
        <f aca="false">discharge!C108</f>
        <v>0</v>
      </c>
      <c r="M110" s="2" t="n">
        <f aca="false">soc!C108/investment!$E$2 *100</f>
        <v>0</v>
      </c>
      <c r="N110" s="4" t="n">
        <f aca="false">p_micro!C107</f>
        <v>0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11" t="n">
        <v>11</v>
      </c>
      <c r="E111" s="5" t="n">
        <v>107</v>
      </c>
      <c r="F111" s="16" t="n">
        <f aca="false">IFERROR(INDEX($B$5:$C$173, MATCH($E111, $B$5:$B$175, 0), 2), 0)*investment!$C$2</f>
        <v>0</v>
      </c>
      <c r="G111" s="5" t="n">
        <f aca="false">demand!C109</f>
        <v>0</v>
      </c>
      <c r="H111" s="2" t="n">
        <f aca="false">solgen!C109</f>
        <v>0</v>
      </c>
      <c r="I111" s="2" t="n">
        <f aca="false">import!C109</f>
        <v>0</v>
      </c>
      <c r="J111" s="2" t="n">
        <f aca="false">-export!C109</f>
        <v>-0</v>
      </c>
      <c r="K111" s="2" t="n">
        <f aca="false">-charge!C109</f>
        <v>-0</v>
      </c>
      <c r="L111" s="2" t="n">
        <f aca="false">discharge!C109</f>
        <v>0</v>
      </c>
      <c r="M111" s="2" t="n">
        <f aca="false">soc!C109/investment!$E$2 *100</f>
        <v>0</v>
      </c>
      <c r="N111" s="4" t="n">
        <f aca="false">p_micro!C108</f>
        <v>0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11" t="n">
        <v>12</v>
      </c>
      <c r="E112" s="5" t="n">
        <v>108</v>
      </c>
      <c r="F112" s="16" t="n">
        <f aca="false">IFERROR(INDEX($B$5:$C$173, MATCH($E112, $B$5:$B$175, 0), 2), 0)*investment!$C$2</f>
        <v>0</v>
      </c>
      <c r="G112" s="5" t="n">
        <f aca="false">demand!C110</f>
        <v>0</v>
      </c>
      <c r="H112" s="2" t="n">
        <f aca="false">solgen!C110</f>
        <v>0</v>
      </c>
      <c r="I112" s="2" t="n">
        <f aca="false">import!C110</f>
        <v>0</v>
      </c>
      <c r="J112" s="2" t="n">
        <f aca="false">-export!C110</f>
        <v>-0</v>
      </c>
      <c r="K112" s="2" t="n">
        <f aca="false">-charge!C110</f>
        <v>-0</v>
      </c>
      <c r="L112" s="2" t="n">
        <f aca="false">discharge!C110</f>
        <v>0</v>
      </c>
      <c r="M112" s="2" t="n">
        <f aca="false">soc!C110/investment!$E$2 *100</f>
        <v>0</v>
      </c>
      <c r="N112" s="4" t="n">
        <f aca="false">p_micro!C109</f>
        <v>0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11" t="n">
        <v>13</v>
      </c>
      <c r="E113" s="5" t="n">
        <v>109</v>
      </c>
      <c r="F113" s="16" t="n">
        <f aca="false">IFERROR(INDEX($B$5:$C$173, MATCH($E113, $B$5:$B$175, 0), 2), 0)*investment!$C$2</f>
        <v>0</v>
      </c>
      <c r="G113" s="5" t="n">
        <f aca="false">demand!C111</f>
        <v>0</v>
      </c>
      <c r="H113" s="2" t="n">
        <f aca="false">solgen!C111</f>
        <v>0</v>
      </c>
      <c r="I113" s="2" t="n">
        <f aca="false">import!C111</f>
        <v>0</v>
      </c>
      <c r="J113" s="2" t="n">
        <f aca="false">-export!C111</f>
        <v>-0</v>
      </c>
      <c r="K113" s="2" t="n">
        <f aca="false">-charge!C111</f>
        <v>-0</v>
      </c>
      <c r="L113" s="2" t="n">
        <f aca="false">discharge!C111</f>
        <v>0</v>
      </c>
      <c r="M113" s="2" t="n">
        <f aca="false">soc!C111/investment!$E$2 *100</f>
        <v>0</v>
      </c>
      <c r="N113" s="4" t="n">
        <f aca="false">p_micro!C110</f>
        <v>0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11" t="n">
        <v>14</v>
      </c>
      <c r="E114" s="5" t="n">
        <v>110</v>
      </c>
      <c r="F114" s="16" t="n">
        <f aca="false">IFERROR(INDEX($B$5:$C$173, MATCH($E114, $B$5:$B$175, 0), 2), 0)*investment!$C$2</f>
        <v>0</v>
      </c>
      <c r="G114" s="5" t="n">
        <f aca="false">demand!C112</f>
        <v>0</v>
      </c>
      <c r="H114" s="2" t="n">
        <f aca="false">solgen!C112</f>
        <v>0</v>
      </c>
      <c r="I114" s="2" t="n">
        <f aca="false">import!C112</f>
        <v>0</v>
      </c>
      <c r="J114" s="2" t="n">
        <f aca="false">-export!C112</f>
        <v>-0</v>
      </c>
      <c r="K114" s="2" t="n">
        <f aca="false">-charge!C112</f>
        <v>-0</v>
      </c>
      <c r="L114" s="2" t="n">
        <f aca="false">discharge!C112</f>
        <v>0</v>
      </c>
      <c r="M114" s="2" t="n">
        <f aca="false">soc!C112/investment!$E$2 *100</f>
        <v>0</v>
      </c>
      <c r="N114" s="4" t="n">
        <f aca="false">p_micro!C111</f>
        <v>0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11" t="n">
        <v>15</v>
      </c>
      <c r="E115" s="5" t="n">
        <v>111</v>
      </c>
      <c r="F115" s="16" t="n">
        <f aca="false">IFERROR(INDEX($B$5:$C$173, MATCH($E115, $B$5:$B$175, 0), 2), 0)*investment!$C$2</f>
        <v>0</v>
      </c>
      <c r="G115" s="5" t="n">
        <f aca="false">demand!C113</f>
        <v>0</v>
      </c>
      <c r="H115" s="2" t="n">
        <f aca="false">solgen!C113</f>
        <v>0</v>
      </c>
      <c r="I115" s="2" t="n">
        <f aca="false">import!C113</f>
        <v>0</v>
      </c>
      <c r="J115" s="2" t="n">
        <f aca="false">-export!C113</f>
        <v>-0</v>
      </c>
      <c r="K115" s="2" t="n">
        <f aca="false">-charge!C113</f>
        <v>-0</v>
      </c>
      <c r="L115" s="2" t="n">
        <f aca="false">discharge!C113</f>
        <v>0</v>
      </c>
      <c r="M115" s="2" t="n">
        <f aca="false">soc!C113/investment!$E$2 *100</f>
        <v>0</v>
      </c>
      <c r="N115" s="4" t="n">
        <f aca="false">p_micro!C112</f>
        <v>0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11" t="n">
        <v>16</v>
      </c>
      <c r="E116" s="5" t="n">
        <v>112</v>
      </c>
      <c r="F116" s="16" t="n">
        <f aca="false">IFERROR(INDEX($B$5:$C$173, MATCH($E116, $B$5:$B$175, 0), 2), 0)*investment!$C$2</f>
        <v>0</v>
      </c>
      <c r="G116" s="5" t="n">
        <f aca="false">demand!C114</f>
        <v>0</v>
      </c>
      <c r="H116" s="2" t="n">
        <f aca="false">solgen!C114</f>
        <v>0</v>
      </c>
      <c r="I116" s="2" t="n">
        <f aca="false">import!C114</f>
        <v>0</v>
      </c>
      <c r="J116" s="2" t="n">
        <f aca="false">-export!C114</f>
        <v>-0</v>
      </c>
      <c r="K116" s="2" t="n">
        <f aca="false">-charge!C114</f>
        <v>-0</v>
      </c>
      <c r="L116" s="2" t="n">
        <f aca="false">discharge!C114</f>
        <v>0</v>
      </c>
      <c r="M116" s="2" t="n">
        <f aca="false">soc!C114/investment!$E$2 *100</f>
        <v>0</v>
      </c>
      <c r="N116" s="4" t="n">
        <f aca="false">p_micro!C113</f>
        <v>0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11" t="n">
        <v>17</v>
      </c>
      <c r="E117" s="5" t="n">
        <v>113</v>
      </c>
      <c r="F117" s="16" t="n">
        <f aca="false">IFERROR(INDEX($B$5:$C$173, MATCH($E117, $B$5:$B$175, 0), 2), 0)*investment!$C$2</f>
        <v>0</v>
      </c>
      <c r="G117" s="5" t="n">
        <f aca="false">demand!C115</f>
        <v>0</v>
      </c>
      <c r="H117" s="2" t="n">
        <f aca="false">solgen!C115</f>
        <v>0</v>
      </c>
      <c r="I117" s="2" t="n">
        <f aca="false">import!C115</f>
        <v>0</v>
      </c>
      <c r="J117" s="2" t="n">
        <f aca="false">-export!C115</f>
        <v>-0</v>
      </c>
      <c r="K117" s="2" t="n">
        <f aca="false">-charge!C115</f>
        <v>-0</v>
      </c>
      <c r="L117" s="2" t="n">
        <f aca="false">discharge!C115</f>
        <v>0</v>
      </c>
      <c r="M117" s="2" t="n">
        <f aca="false">soc!C115/investment!$E$2 *100</f>
        <v>0</v>
      </c>
      <c r="N117" s="4" t="n">
        <f aca="false">p_micro!C114</f>
        <v>0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11" t="n">
        <v>18</v>
      </c>
      <c r="E118" s="5" t="n">
        <v>114</v>
      </c>
      <c r="F118" s="16" t="n">
        <f aca="false">IFERROR(INDEX($B$5:$C$173, MATCH($E118, $B$5:$B$175, 0), 2), 0)*investment!$C$2</f>
        <v>0</v>
      </c>
      <c r="G118" s="5" t="n">
        <f aca="false">demand!C116</f>
        <v>0</v>
      </c>
      <c r="H118" s="2" t="n">
        <f aca="false">solgen!C116</f>
        <v>0</v>
      </c>
      <c r="I118" s="2" t="n">
        <f aca="false">import!C116</f>
        <v>0</v>
      </c>
      <c r="J118" s="2" t="n">
        <f aca="false">-export!C116</f>
        <v>-0</v>
      </c>
      <c r="K118" s="2" t="n">
        <f aca="false">-charge!C116</f>
        <v>-0</v>
      </c>
      <c r="L118" s="2" t="n">
        <f aca="false">discharge!C116</f>
        <v>0</v>
      </c>
      <c r="M118" s="2" t="n">
        <f aca="false">soc!C116/investment!$E$2 *100</f>
        <v>0</v>
      </c>
      <c r="N118" s="4" t="n">
        <f aca="false">p_micro!C115</f>
        <v>0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11" t="n">
        <v>19</v>
      </c>
      <c r="E119" s="5" t="n">
        <v>115</v>
      </c>
      <c r="F119" s="16" t="n">
        <f aca="false">IFERROR(INDEX($B$5:$C$173, MATCH($E119, $B$5:$B$175, 0), 2), 0)*investment!$C$2</f>
        <v>0</v>
      </c>
      <c r="G119" s="5" t="n">
        <f aca="false">demand!C117</f>
        <v>0</v>
      </c>
      <c r="H119" s="2" t="n">
        <f aca="false">solgen!C117</f>
        <v>0</v>
      </c>
      <c r="I119" s="2" t="n">
        <f aca="false">import!C117</f>
        <v>0</v>
      </c>
      <c r="J119" s="2" t="n">
        <f aca="false">-export!C117</f>
        <v>-0</v>
      </c>
      <c r="K119" s="2" t="n">
        <f aca="false">-charge!C117</f>
        <v>-0</v>
      </c>
      <c r="L119" s="2" t="n">
        <f aca="false">discharge!C117</f>
        <v>0</v>
      </c>
      <c r="M119" s="2" t="n">
        <f aca="false">soc!C117/investment!$E$2 *100</f>
        <v>0</v>
      </c>
      <c r="N119" s="4" t="n">
        <f aca="false">p_micro!C116</f>
        <v>0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11" t="n">
        <v>20</v>
      </c>
      <c r="E120" s="5" t="n">
        <v>116</v>
      </c>
      <c r="F120" s="16" t="n">
        <f aca="false">IFERROR(INDEX($B$5:$C$173, MATCH($E120, $B$5:$B$175, 0), 2), 0)*investment!$C$2</f>
        <v>0</v>
      </c>
      <c r="G120" s="5" t="n">
        <f aca="false">demand!C118</f>
        <v>0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-0</v>
      </c>
      <c r="K120" s="2" t="n">
        <f aca="false">-charge!C118</f>
        <v>-0</v>
      </c>
      <c r="L120" s="2" t="n">
        <f aca="false">discharge!C118</f>
        <v>0</v>
      </c>
      <c r="M120" s="2" t="n">
        <f aca="false">soc!C118/investment!$E$2 *100</f>
        <v>2.13166719926765E-009</v>
      </c>
      <c r="N120" s="4" t="n">
        <f aca="false">p_micro!C117</f>
        <v>0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11" t="n">
        <v>21</v>
      </c>
      <c r="E121" s="5" t="n">
        <v>117</v>
      </c>
      <c r="F121" s="16" t="n">
        <f aca="false">IFERROR(INDEX($B$5:$C$173, MATCH($E121, $B$5:$B$175, 0), 2), 0)*investment!$C$2</f>
        <v>0</v>
      </c>
      <c r="G121" s="5" t="n">
        <f aca="false">demand!C119</f>
        <v>0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-0</v>
      </c>
      <c r="K121" s="2" t="n">
        <f aca="false">-charge!C119</f>
        <v>-0</v>
      </c>
      <c r="L121" s="2" t="n">
        <f aca="false">discharge!C119</f>
        <v>0</v>
      </c>
      <c r="M121" s="2" t="n">
        <f aca="false">soc!C119/investment!$E$2 *100</f>
        <v>0</v>
      </c>
      <c r="N121" s="4" t="n">
        <f aca="false">p_micro!C118</f>
        <v>0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11" t="n">
        <v>22</v>
      </c>
      <c r="E122" s="5" t="n">
        <v>118</v>
      </c>
      <c r="F122" s="16" t="n">
        <f aca="false">IFERROR(INDEX($B$5:$C$173, MATCH($E122, $B$5:$B$175, 0), 2), 0)*investment!$C$2</f>
        <v>0</v>
      </c>
      <c r="G122" s="5" t="n">
        <f aca="false">demand!C120</f>
        <v>0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-0</v>
      </c>
      <c r="K122" s="2" t="n">
        <f aca="false">-charge!C120</f>
        <v>-0</v>
      </c>
      <c r="L122" s="2" t="n">
        <f aca="false">discharge!C120</f>
        <v>0</v>
      </c>
      <c r="M122" s="2" t="n">
        <f aca="false">soc!C120/investment!$E$2 *100</f>
        <v>0</v>
      </c>
      <c r="N122" s="4" t="n">
        <f aca="false">p_micro!C119</f>
        <v>0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11" t="n">
        <v>23</v>
      </c>
      <c r="E123" s="5" t="n">
        <v>119</v>
      </c>
      <c r="F123" s="16" t="n">
        <f aca="false">IFERROR(INDEX($B$5:$C$173, MATCH($E123, $B$5:$B$175, 0), 2), 0)*investment!$C$2</f>
        <v>0</v>
      </c>
      <c r="G123" s="5" t="n">
        <f aca="false">demand!C121</f>
        <v>0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-0</v>
      </c>
      <c r="K123" s="2" t="n">
        <f aca="false">-charge!C121</f>
        <v>-0</v>
      </c>
      <c r="L123" s="2" t="n">
        <f aca="false">discharge!C121</f>
        <v>0</v>
      </c>
      <c r="M123" s="2" t="n">
        <f aca="false">soc!C121/investment!$E$2 *100</f>
        <v>0</v>
      </c>
      <c r="N123" s="4" t="n">
        <f aca="false">p_micro!C120</f>
        <v>0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11" t="n">
        <v>24</v>
      </c>
      <c r="E124" s="5" t="n">
        <v>120</v>
      </c>
      <c r="F124" s="16" t="n">
        <f aca="false">IFERROR(INDEX($B$5:$C$173, MATCH($E124, $B$5:$B$175, 0), 2), 0)*investment!$C$2</f>
        <v>0</v>
      </c>
      <c r="G124" s="5" t="n">
        <f aca="false">demand!C122</f>
        <v>0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-0</v>
      </c>
      <c r="K124" s="2" t="n">
        <f aca="false">-charge!C122</f>
        <v>-0</v>
      </c>
      <c r="L124" s="2" t="n">
        <f aca="false">discharge!C122</f>
        <v>0</v>
      </c>
      <c r="M124" s="2" t="n">
        <f aca="false">soc!C122/investment!$E$2 *100</f>
        <v>0</v>
      </c>
      <c r="N124" s="4" t="n">
        <f aca="false">p_micro!C121</f>
        <v>0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11" t="n">
        <v>1</v>
      </c>
      <c r="E125" s="5" t="n">
        <v>121</v>
      </c>
      <c r="F125" s="16" t="n">
        <f aca="false">IFERROR(INDEX($B$5:$C$173, MATCH($E125, $B$5:$B$175, 0), 2), 0)*investment!$C$2</f>
        <v>0</v>
      </c>
      <c r="G125" s="5" t="n">
        <f aca="false">demand!C123</f>
        <v>0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-0</v>
      </c>
      <c r="K125" s="2" t="n">
        <f aca="false">-charge!C123</f>
        <v>-0</v>
      </c>
      <c r="L125" s="2" t="n">
        <f aca="false">discharge!C123</f>
        <v>0</v>
      </c>
      <c r="M125" s="2" t="n">
        <f aca="false">soc!C123/investment!$E$2 *100</f>
        <v>0</v>
      </c>
      <c r="N125" s="4" t="n">
        <f aca="false">p_micro!C122</f>
        <v>0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11" t="n">
        <v>2</v>
      </c>
      <c r="E126" s="5" t="n">
        <v>122</v>
      </c>
      <c r="F126" s="16" t="n">
        <f aca="false">IFERROR(INDEX($B$5:$C$173, MATCH($E126, $B$5:$B$175, 0), 2), 0)*investment!$C$2</f>
        <v>0</v>
      </c>
      <c r="G126" s="5" t="n">
        <f aca="false">demand!C124</f>
        <v>0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-0</v>
      </c>
      <c r="K126" s="2" t="n">
        <f aca="false">-charge!C124</f>
        <v>-0</v>
      </c>
      <c r="L126" s="2" t="n">
        <f aca="false">discharge!C124</f>
        <v>0</v>
      </c>
      <c r="M126" s="2" t="n">
        <f aca="false">soc!C124/investment!$E$2 *100</f>
        <v>0</v>
      </c>
      <c r="N126" s="4" t="n">
        <f aca="false">p_micro!C123</f>
        <v>0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11" t="n">
        <v>3</v>
      </c>
      <c r="E127" s="5" t="n">
        <v>123</v>
      </c>
      <c r="F127" s="16" t="n">
        <f aca="false">IFERROR(INDEX($B$5:$C$173, MATCH($E127, $B$5:$B$175, 0), 2), 0)*investment!$C$2</f>
        <v>0</v>
      </c>
      <c r="G127" s="5" t="n">
        <f aca="false">demand!C125</f>
        <v>0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-0</v>
      </c>
      <c r="K127" s="2" t="n">
        <f aca="false">-charge!C125</f>
        <v>-0</v>
      </c>
      <c r="L127" s="2" t="n">
        <f aca="false">discharge!C125</f>
        <v>0</v>
      </c>
      <c r="M127" s="2" t="n">
        <f aca="false">soc!C125/investment!$E$2 *100</f>
        <v>4.02990416802285</v>
      </c>
      <c r="N127" s="4" t="n">
        <f aca="false">p_micro!C124</f>
        <v>0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11" t="n">
        <v>4</v>
      </c>
      <c r="E128" s="5" t="n">
        <v>124</v>
      </c>
      <c r="F128" s="16" t="n">
        <f aca="false">IFERROR(INDEX($B$5:$C$173, MATCH($E128, $B$5:$B$175, 0), 2), 0)*investment!$C$2</f>
        <v>0</v>
      </c>
      <c r="G128" s="5" t="n">
        <f aca="false">demand!C126</f>
        <v>0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-0</v>
      </c>
      <c r="K128" s="2" t="n">
        <f aca="false">-charge!C126</f>
        <v>-0</v>
      </c>
      <c r="L128" s="2" t="n">
        <f aca="false">discharge!C126</f>
        <v>0</v>
      </c>
      <c r="M128" s="2" t="n">
        <f aca="false">soc!C126/investment!$E$2 *100</f>
        <v>0</v>
      </c>
      <c r="N128" s="4" t="n">
        <f aca="false">p_micro!C125</f>
        <v>0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11" t="n">
        <v>5</v>
      </c>
      <c r="E129" s="5" t="n">
        <v>125</v>
      </c>
      <c r="F129" s="16" t="n">
        <f aca="false">IFERROR(INDEX($B$5:$C$173, MATCH($E129, $B$5:$B$175, 0), 2), 0)*investment!$C$2</f>
        <v>0</v>
      </c>
      <c r="G129" s="5" t="n">
        <f aca="false">demand!C127</f>
        <v>0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-0</v>
      </c>
      <c r="K129" s="2" t="n">
        <f aca="false">-charge!C127</f>
        <v>-0</v>
      </c>
      <c r="L129" s="2" t="n">
        <f aca="false">discharge!C127</f>
        <v>0</v>
      </c>
      <c r="M129" s="2" t="n">
        <f aca="false">soc!C127/investment!$E$2 *100</f>
        <v>3.94441612000053E-017</v>
      </c>
      <c r="N129" s="4" t="n">
        <f aca="false">p_micro!C126</f>
        <v>0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11" t="n">
        <v>6</v>
      </c>
      <c r="E130" s="5" t="n">
        <v>126</v>
      </c>
      <c r="F130" s="16" t="n">
        <f aca="false">IFERROR(INDEX($B$5:$C$173, MATCH($E130, $B$5:$B$175, 0), 2), 0)*investment!$C$2</f>
        <v>0</v>
      </c>
      <c r="G130" s="5" t="n">
        <f aca="false">demand!C128</f>
        <v>0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-0</v>
      </c>
      <c r="K130" s="2" t="n">
        <f aca="false">-charge!C128</f>
        <v>-0</v>
      </c>
      <c r="L130" s="2" t="n">
        <f aca="false">discharge!C128</f>
        <v>0</v>
      </c>
      <c r="M130" s="2" t="n">
        <f aca="false">soc!C128/investment!$E$2 *100</f>
        <v>0</v>
      </c>
      <c r="N130" s="4" t="n">
        <f aca="false">p_micro!C127</f>
        <v>0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11" t="n">
        <v>7</v>
      </c>
      <c r="E131" s="5" t="n">
        <v>127</v>
      </c>
      <c r="F131" s="16" t="n">
        <f aca="false">IFERROR(INDEX($B$5:$C$173, MATCH($E131, $B$5:$B$175, 0), 2), 0)*investment!$C$2</f>
        <v>0</v>
      </c>
      <c r="G131" s="5" t="n">
        <f aca="false">demand!C129</f>
        <v>0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-0</v>
      </c>
      <c r="K131" s="2" t="n">
        <f aca="false">-charge!C129</f>
        <v>-0</v>
      </c>
      <c r="L131" s="2" t="n">
        <f aca="false">discharge!C129</f>
        <v>0</v>
      </c>
      <c r="M131" s="2" t="n">
        <f aca="false">soc!C129/investment!$E$2 *100</f>
        <v>4.21319313700604</v>
      </c>
      <c r="N131" s="4" t="n">
        <f aca="false">p_micro!C128</f>
        <v>0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11" t="n">
        <v>8</v>
      </c>
      <c r="E132" s="5" t="n">
        <v>128</v>
      </c>
      <c r="F132" s="16" t="n">
        <f aca="false">IFERROR(INDEX($B$5:$C$173, MATCH($E132, $B$5:$B$175, 0), 2), 0)*investment!$C$2</f>
        <v>0</v>
      </c>
      <c r="G132" s="5" t="n">
        <f aca="false">demand!C130</f>
        <v>0</v>
      </c>
      <c r="H132" s="2" t="n">
        <f aca="false">solgen!C130</f>
        <v>0</v>
      </c>
      <c r="I132" s="2" t="n">
        <f aca="false">import!C130</f>
        <v>0</v>
      </c>
      <c r="J132" s="2" t="n">
        <f aca="false">-export!C130</f>
        <v>-0</v>
      </c>
      <c r="K132" s="2" t="n">
        <f aca="false">-charge!C130</f>
        <v>-0</v>
      </c>
      <c r="L132" s="2" t="n">
        <f aca="false">discharge!C130</f>
        <v>0</v>
      </c>
      <c r="M132" s="2" t="n">
        <f aca="false">soc!C130/investment!$E$2 *100</f>
        <v>4.21315100507468</v>
      </c>
      <c r="N132" s="4" t="n">
        <f aca="false">p_micro!C129</f>
        <v>0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11" t="n">
        <v>9</v>
      </c>
      <c r="E133" s="5" t="n">
        <v>129</v>
      </c>
      <c r="F133" s="16" t="n">
        <f aca="false">IFERROR(INDEX($B$5:$C$173, MATCH($E133, $B$5:$B$175, 0), 2), 0)*investment!$C$2</f>
        <v>0</v>
      </c>
      <c r="G133" s="5" t="n">
        <f aca="false">demand!C131</f>
        <v>0</v>
      </c>
      <c r="H133" s="2" t="n">
        <f aca="false">solgen!C131</f>
        <v>0</v>
      </c>
      <c r="I133" s="2" t="n">
        <f aca="false">import!C131</f>
        <v>0</v>
      </c>
      <c r="J133" s="2" t="n">
        <f aca="false">-export!C131</f>
        <v>-0</v>
      </c>
      <c r="K133" s="2" t="n">
        <f aca="false">-charge!C131</f>
        <v>-0</v>
      </c>
      <c r="L133" s="2" t="n">
        <f aca="false">discharge!C131</f>
        <v>0</v>
      </c>
      <c r="M133" s="2" t="n">
        <f aca="false">soc!C131/investment!$E$2 *100</f>
        <v>4.21310887356462</v>
      </c>
      <c r="N133" s="4" t="n">
        <f aca="false">p_micro!C130</f>
        <v>0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11" t="n">
        <v>10</v>
      </c>
      <c r="E134" s="5" t="n">
        <v>130</v>
      </c>
      <c r="F134" s="16" t="n">
        <f aca="false">IFERROR(INDEX($B$5:$C$173, MATCH($E134, $B$5:$B$175, 0), 2), 0)*investment!$C$2</f>
        <v>0</v>
      </c>
      <c r="G134" s="5" t="n">
        <f aca="false">demand!C132</f>
        <v>0</v>
      </c>
      <c r="H134" s="2" t="n">
        <f aca="false">solgen!C132</f>
        <v>0</v>
      </c>
      <c r="I134" s="2" t="n">
        <f aca="false">import!C132</f>
        <v>0</v>
      </c>
      <c r="J134" s="2" t="n">
        <f aca="false">-export!C132</f>
        <v>-0</v>
      </c>
      <c r="K134" s="2" t="n">
        <f aca="false">-charge!C132</f>
        <v>-0</v>
      </c>
      <c r="L134" s="2" t="n">
        <f aca="false">discharge!C132</f>
        <v>0</v>
      </c>
      <c r="M134" s="2" t="n">
        <f aca="false">soc!C132/investment!$E$2 *100</f>
        <v>5.6107455826202</v>
      </c>
      <c r="N134" s="4" t="n">
        <f aca="false">p_micro!C131</f>
        <v>0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11" t="n">
        <v>11</v>
      </c>
      <c r="E135" s="5" t="n">
        <v>131</v>
      </c>
      <c r="F135" s="16" t="n">
        <f aca="false">IFERROR(INDEX($B$5:$C$173, MATCH($E135, $B$5:$B$175, 0), 2), 0)*investment!$C$2</f>
        <v>0</v>
      </c>
      <c r="G135" s="5" t="n">
        <f aca="false">demand!C133</f>
        <v>0</v>
      </c>
      <c r="H135" s="2" t="n">
        <f aca="false">solgen!C133</f>
        <v>0</v>
      </c>
      <c r="I135" s="2" t="n">
        <f aca="false">import!C133</f>
        <v>0</v>
      </c>
      <c r="J135" s="2" t="n">
        <f aca="false">-export!C133</f>
        <v>-0</v>
      </c>
      <c r="K135" s="2" t="n">
        <f aca="false">-charge!C133</f>
        <v>-0</v>
      </c>
      <c r="L135" s="2" t="n">
        <f aca="false">discharge!C133</f>
        <v>0</v>
      </c>
      <c r="M135" s="2" t="n">
        <f aca="false">soc!C133/investment!$E$2 *100</f>
        <v>20.8694537494968</v>
      </c>
      <c r="N135" s="4" t="n">
        <f aca="false">p_micro!C132</f>
        <v>0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11" t="n">
        <v>12</v>
      </c>
      <c r="E136" s="5" t="n">
        <v>132</v>
      </c>
      <c r="F136" s="16" t="n">
        <f aca="false">IFERROR(INDEX($B$5:$C$173, MATCH($E136, $B$5:$B$175, 0), 2), 0)*investment!$C$2</f>
        <v>0</v>
      </c>
      <c r="G136" s="5" t="n">
        <f aca="false">demand!C134</f>
        <v>0</v>
      </c>
      <c r="H136" s="2" t="n">
        <f aca="false">solgen!C134</f>
        <v>0</v>
      </c>
      <c r="I136" s="2" t="n">
        <f aca="false">import!C134</f>
        <v>0</v>
      </c>
      <c r="J136" s="2" t="n">
        <f aca="false">-export!C134</f>
        <v>-0</v>
      </c>
      <c r="K136" s="2" t="n">
        <f aca="false">-charge!C134</f>
        <v>-0</v>
      </c>
      <c r="L136" s="2" t="n">
        <f aca="false">discharge!C134</f>
        <v>0</v>
      </c>
      <c r="M136" s="2" t="n">
        <f aca="false">soc!C134/investment!$E$2 *100</f>
        <v>20.8692450549593</v>
      </c>
      <c r="N136" s="4" t="n">
        <f aca="false">p_micro!C133</f>
        <v>0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11" t="n">
        <v>13</v>
      </c>
      <c r="E137" s="5" t="n">
        <v>133</v>
      </c>
      <c r="F137" s="16" t="n">
        <f aca="false">IFERROR(INDEX($B$5:$C$173, MATCH($E137, $B$5:$B$175, 0), 2), 0)*investment!$C$2</f>
        <v>0</v>
      </c>
      <c r="G137" s="5" t="n">
        <f aca="false">demand!C135</f>
        <v>0</v>
      </c>
      <c r="H137" s="2" t="n">
        <f aca="false">solgen!C135</f>
        <v>0</v>
      </c>
      <c r="I137" s="2" t="n">
        <f aca="false">import!C135</f>
        <v>0</v>
      </c>
      <c r="J137" s="2" t="n">
        <f aca="false">-export!C135</f>
        <v>-0</v>
      </c>
      <c r="K137" s="2" t="n">
        <f aca="false">-charge!C135</f>
        <v>-0</v>
      </c>
      <c r="L137" s="2" t="n">
        <f aca="false">discharge!C135</f>
        <v>0</v>
      </c>
      <c r="M137" s="2" t="n">
        <f aca="false">soc!C135/investment!$E$2 *100</f>
        <v>20.8690363625088</v>
      </c>
      <c r="N137" s="4" t="n">
        <f aca="false">p_micro!C134</f>
        <v>0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11" t="n">
        <v>14</v>
      </c>
      <c r="E138" s="5" t="n">
        <v>134</v>
      </c>
      <c r="F138" s="16" t="n">
        <f aca="false">IFERROR(INDEX($B$5:$C$173, MATCH($E138, $B$5:$B$175, 0), 2), 0)*investment!$C$2</f>
        <v>0</v>
      </c>
      <c r="G138" s="5" t="n">
        <f aca="false">demand!C136</f>
        <v>0</v>
      </c>
      <c r="H138" s="2" t="n">
        <f aca="false">solgen!C136</f>
        <v>0</v>
      </c>
      <c r="I138" s="2" t="n">
        <f aca="false">import!C136</f>
        <v>0</v>
      </c>
      <c r="J138" s="2" t="n">
        <f aca="false">-export!C136</f>
        <v>-0</v>
      </c>
      <c r="K138" s="2" t="n">
        <f aca="false">-charge!C136</f>
        <v>-0</v>
      </c>
      <c r="L138" s="2" t="n">
        <f aca="false">discharge!C136</f>
        <v>0</v>
      </c>
      <c r="M138" s="2" t="n">
        <f aca="false">soc!C136/investment!$E$2 *100</f>
        <v>20.8688276721451</v>
      </c>
      <c r="N138" s="4" t="n">
        <f aca="false">p_micro!C135</f>
        <v>0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11" t="n">
        <v>15</v>
      </c>
      <c r="E139" s="5" t="n">
        <v>135</v>
      </c>
      <c r="F139" s="16" t="n">
        <f aca="false">IFERROR(INDEX($B$5:$C$173, MATCH($E139, $B$5:$B$175, 0), 2), 0)*investment!$C$2</f>
        <v>0</v>
      </c>
      <c r="G139" s="5" t="n">
        <f aca="false">demand!C137</f>
        <v>0</v>
      </c>
      <c r="H139" s="2" t="n">
        <f aca="false">solgen!C137</f>
        <v>0</v>
      </c>
      <c r="I139" s="2" t="n">
        <f aca="false">import!C137</f>
        <v>0</v>
      </c>
      <c r="J139" s="2" t="n">
        <f aca="false">-export!C137</f>
        <v>-0</v>
      </c>
      <c r="K139" s="2" t="n">
        <f aca="false">-charge!C137</f>
        <v>-0</v>
      </c>
      <c r="L139" s="2" t="n">
        <f aca="false">discharge!C137</f>
        <v>0</v>
      </c>
      <c r="M139" s="2" t="n">
        <f aca="false">soc!C137/investment!$E$2 *100</f>
        <v>20.8686189838684</v>
      </c>
      <c r="N139" s="4" t="n">
        <f aca="false">p_micro!C136</f>
        <v>0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11" t="n">
        <v>16</v>
      </c>
      <c r="E140" s="5" t="n">
        <v>136</v>
      </c>
      <c r="F140" s="16" t="n">
        <f aca="false">IFERROR(INDEX($B$5:$C$173, MATCH($E140, $B$5:$B$175, 0), 2), 0)*investment!$C$2</f>
        <v>0</v>
      </c>
      <c r="G140" s="5" t="n">
        <f aca="false">demand!C138</f>
        <v>0</v>
      </c>
      <c r="H140" s="2" t="n">
        <f aca="false">solgen!C138</f>
        <v>0</v>
      </c>
      <c r="I140" s="2" t="n">
        <f aca="false">import!C138</f>
        <v>0</v>
      </c>
      <c r="J140" s="2" t="n">
        <f aca="false">-export!C138</f>
        <v>-0</v>
      </c>
      <c r="K140" s="2" t="n">
        <f aca="false">-charge!C138</f>
        <v>-0</v>
      </c>
      <c r="L140" s="2" t="n">
        <f aca="false">discharge!C138</f>
        <v>0</v>
      </c>
      <c r="M140" s="2" t="n">
        <f aca="false">soc!C138/investment!$E$2 *100</f>
        <v>22.9334470322121</v>
      </c>
      <c r="N140" s="4" t="n">
        <f aca="false">p_micro!C137</f>
        <v>0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11" t="n">
        <v>17</v>
      </c>
      <c r="E141" s="5" t="n">
        <v>137</v>
      </c>
      <c r="F141" s="16" t="n">
        <f aca="false">IFERROR(INDEX($B$5:$C$173, MATCH($E141, $B$5:$B$175, 0), 2), 0)*investment!$C$2</f>
        <v>0</v>
      </c>
      <c r="G141" s="5" t="n">
        <f aca="false">demand!C139</f>
        <v>0</v>
      </c>
      <c r="H141" s="2" t="n">
        <f aca="false">solgen!C139</f>
        <v>0</v>
      </c>
      <c r="I141" s="2" t="n">
        <f aca="false">import!C139</f>
        <v>0</v>
      </c>
      <c r="J141" s="2" t="n">
        <f aca="false">-export!C139</f>
        <v>-0</v>
      </c>
      <c r="K141" s="2" t="n">
        <f aca="false">-charge!C139</f>
        <v>-0</v>
      </c>
      <c r="L141" s="2" t="n">
        <f aca="false">discharge!C139</f>
        <v>0</v>
      </c>
      <c r="M141" s="2" t="n">
        <f aca="false">soc!C139/investment!$E$2 *100</f>
        <v>22.9332176977418</v>
      </c>
      <c r="N141" s="4" t="n">
        <f aca="false">p_micro!C138</f>
        <v>0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11" t="n">
        <v>18</v>
      </c>
      <c r="E142" s="5" t="n">
        <v>138</v>
      </c>
      <c r="F142" s="16" t="n">
        <f aca="false">IFERROR(INDEX($B$5:$C$173, MATCH($E142, $B$5:$B$175, 0), 2), 0)*investment!$C$2</f>
        <v>0</v>
      </c>
      <c r="G142" s="5" t="n">
        <f aca="false">demand!C140</f>
        <v>0</v>
      </c>
      <c r="H142" s="2" t="n">
        <f aca="false">solgen!C140</f>
        <v>0</v>
      </c>
      <c r="I142" s="2" t="n">
        <f aca="false">import!C140</f>
        <v>0</v>
      </c>
      <c r="J142" s="2" t="n">
        <f aca="false">-export!C140</f>
        <v>-0</v>
      </c>
      <c r="K142" s="2" t="n">
        <f aca="false">-charge!C140</f>
        <v>-0</v>
      </c>
      <c r="L142" s="2" t="n">
        <f aca="false">discharge!C140</f>
        <v>0</v>
      </c>
      <c r="M142" s="2" t="n">
        <f aca="false">soc!C140/investment!$E$2 *100</f>
        <v>27.2689691801304</v>
      </c>
      <c r="N142" s="4" t="n">
        <f aca="false">p_micro!C139</f>
        <v>0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11" t="n">
        <v>19</v>
      </c>
      <c r="E143" s="5" t="n">
        <v>139</v>
      </c>
      <c r="F143" s="16" t="n">
        <f aca="false">IFERROR(INDEX($B$5:$C$173, MATCH($E143, $B$5:$B$175, 0), 2), 0)*investment!$C$2</f>
        <v>0</v>
      </c>
      <c r="G143" s="5" t="n">
        <f aca="false">demand!C141</f>
        <v>0</v>
      </c>
      <c r="H143" s="2" t="n">
        <f aca="false">solgen!C141</f>
        <v>0</v>
      </c>
      <c r="I143" s="2" t="n">
        <f aca="false">import!C141</f>
        <v>0</v>
      </c>
      <c r="J143" s="2" t="n">
        <f aca="false">-export!C141</f>
        <v>-0</v>
      </c>
      <c r="K143" s="2" t="n">
        <f aca="false">-charge!C141</f>
        <v>-0</v>
      </c>
      <c r="L143" s="2" t="n">
        <f aca="false">discharge!C141</f>
        <v>0</v>
      </c>
      <c r="M143" s="2" t="n">
        <f aca="false">soc!C141/investment!$E$2 *100</f>
        <v>59.9186183814507</v>
      </c>
      <c r="N143" s="4" t="n">
        <f aca="false">p_micro!C140</f>
        <v>0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11" t="n">
        <v>20</v>
      </c>
      <c r="E144" s="5" t="n">
        <v>140</v>
      </c>
      <c r="F144" s="16" t="n">
        <f aca="false">IFERROR(INDEX($B$5:$C$173, MATCH($E144, $B$5:$B$175, 0), 2), 0)*investment!$C$2</f>
        <v>0</v>
      </c>
      <c r="G144" s="5" t="n">
        <f aca="false">demand!C142</f>
        <v>0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-0</v>
      </c>
      <c r="K144" s="2" t="n">
        <f aca="false">-charge!C142</f>
        <v>-0</v>
      </c>
      <c r="L144" s="2" t="n">
        <f aca="false">discharge!C142</f>
        <v>0</v>
      </c>
      <c r="M144" s="2" t="n">
        <f aca="false">soc!C142/investment!$E$2 *100</f>
        <v>62.2254149963706</v>
      </c>
      <c r="N144" s="4" t="n">
        <f aca="false">p_micro!C141</f>
        <v>0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11" t="n">
        <v>21</v>
      </c>
      <c r="E145" s="5" t="n">
        <v>141</v>
      </c>
      <c r="F145" s="16" t="n">
        <f aca="false">IFERROR(INDEX($B$5:$C$173, MATCH($E145, $B$5:$B$175, 0), 2), 0)*investment!$C$2</f>
        <v>0</v>
      </c>
      <c r="G145" s="5" t="n">
        <f aca="false">demand!C143</f>
        <v>0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-0</v>
      </c>
      <c r="K145" s="2" t="n">
        <f aca="false">-charge!C143</f>
        <v>-0</v>
      </c>
      <c r="L145" s="2" t="n">
        <f aca="false">discharge!C143</f>
        <v>0</v>
      </c>
      <c r="M145" s="2" t="n">
        <f aca="false">soc!C143/investment!$E$2 *100</f>
        <v>96.8925430034128</v>
      </c>
      <c r="N145" s="4" t="n">
        <f aca="false">p_micro!C142</f>
        <v>0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11" t="n">
        <v>22</v>
      </c>
      <c r="E146" s="5" t="n">
        <v>142</v>
      </c>
      <c r="F146" s="16" t="n">
        <f aca="false">IFERROR(INDEX($B$5:$C$173, MATCH($E146, $B$5:$B$175, 0), 2), 0)*investment!$C$2</f>
        <v>0</v>
      </c>
      <c r="G146" s="5" t="n">
        <f aca="false">demand!C144</f>
        <v>0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-0</v>
      </c>
      <c r="K146" s="2" t="n">
        <f aca="false">-charge!C144</f>
        <v>-0</v>
      </c>
      <c r="L146" s="2" t="n">
        <f aca="false">discharge!C144</f>
        <v>0</v>
      </c>
      <c r="M146" s="2" t="n">
        <f aca="false">soc!C144/investment!$E$2 *100</f>
        <v>96.8915740779828</v>
      </c>
      <c r="N146" s="4" t="n">
        <f aca="false">p_micro!C143</f>
        <v>0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11" t="n">
        <v>23</v>
      </c>
      <c r="E147" s="5" t="n">
        <v>143</v>
      </c>
      <c r="F147" s="16" t="n">
        <f aca="false">IFERROR(INDEX($B$5:$C$173, MATCH($E147, $B$5:$B$175, 0), 2), 0)*investment!$C$2</f>
        <v>0</v>
      </c>
      <c r="G147" s="5" t="n">
        <f aca="false">demand!C145</f>
        <v>0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-0</v>
      </c>
      <c r="K147" s="2" t="n">
        <f aca="false">-charge!C145</f>
        <v>-0</v>
      </c>
      <c r="L147" s="2" t="n">
        <f aca="false">discharge!C145</f>
        <v>0</v>
      </c>
      <c r="M147" s="2" t="n">
        <f aca="false">soc!C145/investment!$E$2 *100</f>
        <v>96.890605162242</v>
      </c>
      <c r="N147" s="4" t="n">
        <f aca="false">p_micro!C144</f>
        <v>0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11" t="n">
        <v>24</v>
      </c>
      <c r="E148" s="5" t="n">
        <v>144</v>
      </c>
      <c r="F148" s="16" t="n">
        <f aca="false">IFERROR(INDEX($B$5:$C$173, MATCH($E148, $B$5:$B$175, 0), 2), 0)*investment!$C$2</f>
        <v>0</v>
      </c>
      <c r="G148" s="5" t="n">
        <f aca="false">demand!C146</f>
        <v>0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-0</v>
      </c>
      <c r="K148" s="2" t="n">
        <f aca="false">-charge!C146</f>
        <v>-0</v>
      </c>
      <c r="L148" s="2" t="n">
        <f aca="false">discharge!C146</f>
        <v>0</v>
      </c>
      <c r="M148" s="2" t="n">
        <f aca="false">soc!C146/investment!$E$2 *100</f>
        <v>96.8896362561904</v>
      </c>
      <c r="N148" s="4" t="n">
        <f aca="false">p_micro!C145</f>
        <v>0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11" t="n">
        <v>1</v>
      </c>
      <c r="E149" s="5" t="n">
        <v>145</v>
      </c>
      <c r="F149" s="16" t="n">
        <f aca="false">IFERROR(INDEX($B$5:$C$173, MATCH($E149, $B$5:$B$175, 0), 2), 0)*investment!$C$2</f>
        <v>0</v>
      </c>
      <c r="G149" s="5" t="n">
        <f aca="false">demand!C147</f>
        <v>0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-0</v>
      </c>
      <c r="K149" s="2" t="n">
        <f aca="false">-charge!C147</f>
        <v>-0</v>
      </c>
      <c r="L149" s="2" t="n">
        <f aca="false">discharge!C147</f>
        <v>0</v>
      </c>
      <c r="M149" s="2" t="n">
        <f aca="false">soc!C147/investment!$E$2 *100</f>
        <v>96.8886673598278</v>
      </c>
      <c r="N149" s="4" t="n">
        <f aca="false">p_micro!C146</f>
        <v>0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11" t="n">
        <v>2</v>
      </c>
      <c r="E150" s="5" t="n">
        <v>146</v>
      </c>
      <c r="F150" s="16" t="n">
        <f aca="false">IFERROR(INDEX($B$5:$C$173, MATCH($E150, $B$5:$B$175, 0), 2), 0)*investment!$C$2</f>
        <v>0</v>
      </c>
      <c r="G150" s="5" t="n">
        <f aca="false">demand!C148</f>
        <v>0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-0</v>
      </c>
      <c r="K150" s="2" t="n">
        <f aca="false">-charge!C148</f>
        <v>-0</v>
      </c>
      <c r="L150" s="2" t="n">
        <f aca="false">discharge!C148</f>
        <v>0</v>
      </c>
      <c r="M150" s="2" t="n">
        <f aca="false">soc!C148/investment!$E$2 *100</f>
        <v>96.8876984731542</v>
      </c>
      <c r="N150" s="4" t="n">
        <f aca="false">p_micro!C147</f>
        <v>0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11" t="n">
        <v>3</v>
      </c>
      <c r="E151" s="5" t="n">
        <v>147</v>
      </c>
      <c r="F151" s="16" t="n">
        <f aca="false">IFERROR(INDEX($B$5:$C$173, MATCH($E151, $B$5:$B$175, 0), 2), 0)*investment!$C$2</f>
        <v>0</v>
      </c>
      <c r="G151" s="5" t="n">
        <f aca="false">demand!C149</f>
        <v>0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-0</v>
      </c>
      <c r="K151" s="2" t="n">
        <f aca="false">-charge!C149</f>
        <v>-0</v>
      </c>
      <c r="L151" s="2" t="n">
        <f aca="false">discharge!C149</f>
        <v>0</v>
      </c>
      <c r="M151" s="2" t="n">
        <f aca="false">soc!C149/investment!$E$2 *100</f>
        <v>96.8867295961694</v>
      </c>
      <c r="N151" s="4" t="n">
        <f aca="false">p_micro!C148</f>
        <v>0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11" t="n">
        <v>4</v>
      </c>
      <c r="E152" s="5" t="n">
        <v>148</v>
      </c>
      <c r="F152" s="16" t="n">
        <f aca="false">IFERROR(INDEX($B$5:$C$173, MATCH($E152, $B$5:$B$175, 0), 2), 0)*investment!$C$2</f>
        <v>0</v>
      </c>
      <c r="G152" s="5" t="n">
        <f aca="false">demand!C150</f>
        <v>0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-0</v>
      </c>
      <c r="K152" s="2" t="n">
        <f aca="false">-charge!C150</f>
        <v>-0</v>
      </c>
      <c r="L152" s="2" t="n">
        <f aca="false">discharge!C150</f>
        <v>0</v>
      </c>
      <c r="M152" s="2" t="n">
        <f aca="false">soc!C150/investment!$E$2 *100</f>
        <v>96.8857607331902</v>
      </c>
      <c r="N152" s="4" t="n">
        <f aca="false">p_micro!C149</f>
        <v>0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11" t="n">
        <v>5</v>
      </c>
      <c r="E153" s="5" t="n">
        <v>149</v>
      </c>
      <c r="F153" s="16" t="n">
        <f aca="false">IFERROR(INDEX($B$5:$C$173, MATCH($E153, $B$5:$B$175, 0), 2), 0)*investment!$C$2</f>
        <v>0</v>
      </c>
      <c r="G153" s="5" t="n">
        <f aca="false">demand!C151</f>
        <v>0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-0</v>
      </c>
      <c r="K153" s="2" t="n">
        <f aca="false">-charge!C151</f>
        <v>-0</v>
      </c>
      <c r="L153" s="2" t="n">
        <f aca="false">discharge!C151</f>
        <v>0</v>
      </c>
      <c r="M153" s="2" t="n">
        <f aca="false">soc!C151/investment!$E$2 *100</f>
        <v>96.8847918799001</v>
      </c>
      <c r="N153" s="4" t="n">
        <f aca="false">p_micro!C150</f>
        <v>0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11" t="n">
        <v>6</v>
      </c>
      <c r="E154" s="5" t="n">
        <v>150</v>
      </c>
      <c r="F154" s="16" t="n">
        <f aca="false">IFERROR(INDEX($B$5:$C$173, MATCH($E154, $B$5:$B$175, 0), 2), 0)*investment!$C$2</f>
        <v>0</v>
      </c>
      <c r="G154" s="5" t="n">
        <f aca="false">demand!C152</f>
        <v>0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-0</v>
      </c>
      <c r="K154" s="2" t="n">
        <f aca="false">-charge!C152</f>
        <v>-0</v>
      </c>
      <c r="L154" s="2" t="n">
        <f aca="false">discharge!C152</f>
        <v>0</v>
      </c>
      <c r="M154" s="2" t="n">
        <f aca="false">soc!C152/investment!$E$2 *100</f>
        <v>96.8838230247863</v>
      </c>
      <c r="N154" s="4" t="n">
        <f aca="false">p_micro!C151</f>
        <v>0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11" t="n">
        <v>7</v>
      </c>
      <c r="E155" s="5" t="n">
        <v>151</v>
      </c>
      <c r="F155" s="16" t="n">
        <f aca="false">IFERROR(INDEX($B$5:$C$173, MATCH($E155, $B$5:$B$175, 0), 2), 0)*investment!$C$2</f>
        <v>0</v>
      </c>
      <c r="G155" s="5" t="n">
        <f aca="false">demand!C153</f>
        <v>0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-0</v>
      </c>
      <c r="K155" s="2" t="n">
        <f aca="false">-charge!C153</f>
        <v>-0</v>
      </c>
      <c r="L155" s="2" t="n">
        <f aca="false">discharge!C153</f>
        <v>0</v>
      </c>
      <c r="M155" s="2" t="n">
        <f aca="false">soc!C153/investment!$E$2 *100</f>
        <v>96.8828541865561</v>
      </c>
      <c r="N155" s="4" t="n">
        <f aca="false">p_micro!C152</f>
        <v>0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11" t="n">
        <v>8</v>
      </c>
      <c r="E156" s="5" t="n">
        <v>152</v>
      </c>
      <c r="F156" s="16" t="n">
        <f aca="false">IFERROR(INDEX($B$5:$C$173, MATCH($E156, $B$5:$B$175, 0), 2), 0)*investment!$C$2</f>
        <v>0</v>
      </c>
      <c r="G156" s="5" t="n">
        <f aca="false">demand!C154</f>
        <v>0</v>
      </c>
      <c r="H156" s="2" t="n">
        <f aca="false">solgen!C154</f>
        <v>0</v>
      </c>
      <c r="I156" s="2" t="n">
        <f aca="false">import!C154</f>
        <v>0</v>
      </c>
      <c r="J156" s="2" t="n">
        <f aca="false">-export!C154</f>
        <v>-0</v>
      </c>
      <c r="K156" s="2" t="n">
        <f aca="false">-charge!C154</f>
        <v>-0</v>
      </c>
      <c r="L156" s="2" t="n">
        <f aca="false">discharge!C154</f>
        <v>0</v>
      </c>
      <c r="M156" s="2" t="n">
        <f aca="false">soc!C154/investment!$E$2 *100</f>
        <v>96.8818853580143</v>
      </c>
      <c r="N156" s="4" t="n">
        <f aca="false">p_micro!C153</f>
        <v>0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11" t="n">
        <v>9</v>
      </c>
      <c r="E157" s="5" t="n">
        <v>153</v>
      </c>
      <c r="F157" s="16" t="n">
        <f aca="false">IFERROR(INDEX($B$5:$C$173, MATCH($E157, $B$5:$B$175, 0), 2), 0)*investment!$C$2</f>
        <v>0</v>
      </c>
      <c r="G157" s="5" t="n">
        <f aca="false">demand!C155</f>
        <v>0</v>
      </c>
      <c r="H157" s="2" t="n">
        <f aca="false">solgen!C155</f>
        <v>0</v>
      </c>
      <c r="I157" s="2" t="n">
        <f aca="false">import!C155</f>
        <v>0</v>
      </c>
      <c r="J157" s="2" t="n">
        <f aca="false">-export!C155</f>
        <v>-0</v>
      </c>
      <c r="K157" s="2" t="n">
        <f aca="false">-charge!C155</f>
        <v>-0</v>
      </c>
      <c r="L157" s="2" t="n">
        <f aca="false">discharge!C155</f>
        <v>0</v>
      </c>
      <c r="M157" s="2" t="n">
        <f aca="false">soc!C155/investment!$E$2 *100</f>
        <v>96.8809165391607</v>
      </c>
      <c r="N157" s="4" t="n">
        <f aca="false">p_micro!C154</f>
        <v>0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11" t="n">
        <v>10</v>
      </c>
      <c r="E158" s="5" t="n">
        <v>154</v>
      </c>
      <c r="F158" s="16" t="n">
        <f aca="false">IFERROR(INDEX($B$5:$C$173, MATCH($E158, $B$5:$B$175, 0), 2), 0)*investment!$C$2</f>
        <v>0</v>
      </c>
      <c r="G158" s="5" t="n">
        <f aca="false">demand!C156</f>
        <v>0</v>
      </c>
      <c r="H158" s="2" t="n">
        <f aca="false">solgen!C156</f>
        <v>0</v>
      </c>
      <c r="I158" s="2" t="n">
        <f aca="false">import!C156</f>
        <v>0</v>
      </c>
      <c r="J158" s="2" t="n">
        <f aca="false">-export!C156</f>
        <v>-0</v>
      </c>
      <c r="K158" s="2" t="n">
        <f aca="false">-charge!C156</f>
        <v>-0</v>
      </c>
      <c r="L158" s="2" t="n">
        <f aca="false">discharge!C156</f>
        <v>0</v>
      </c>
      <c r="M158" s="2" t="n">
        <f aca="false">soc!C156/investment!$E$2 *100</f>
        <v>96.8799477299953</v>
      </c>
      <c r="N158" s="4" t="n">
        <f aca="false">p_micro!C155</f>
        <v>0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11" t="n">
        <v>11</v>
      </c>
      <c r="E159" s="5" t="n">
        <v>155</v>
      </c>
      <c r="F159" s="16" t="n">
        <f aca="false">IFERROR(INDEX($B$5:$C$173, MATCH($E159, $B$5:$B$175, 0), 2), 0)*investment!$C$2</f>
        <v>0</v>
      </c>
      <c r="G159" s="5" t="n">
        <f aca="false">demand!C157</f>
        <v>0</v>
      </c>
      <c r="H159" s="2" t="n">
        <f aca="false">solgen!C157</f>
        <v>0</v>
      </c>
      <c r="I159" s="2" t="n">
        <f aca="false">import!C157</f>
        <v>0</v>
      </c>
      <c r="J159" s="2" t="n">
        <f aca="false">-export!C157</f>
        <v>-0</v>
      </c>
      <c r="K159" s="2" t="n">
        <f aca="false">-charge!C157</f>
        <v>-0</v>
      </c>
      <c r="L159" s="2" t="n">
        <f aca="false">discharge!C157</f>
        <v>0</v>
      </c>
      <c r="M159" s="2" t="n">
        <f aca="false">soc!C157/investment!$E$2 *100</f>
        <v>98.6139026785355</v>
      </c>
      <c r="N159" s="4" t="n">
        <f aca="false">p_micro!C156</f>
        <v>0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11" t="n">
        <v>12</v>
      </c>
      <c r="E160" s="5" t="n">
        <v>156</v>
      </c>
      <c r="F160" s="16" t="n">
        <f aca="false">IFERROR(INDEX($B$5:$C$173, MATCH($E160, $B$5:$B$175, 0), 2), 0)*investment!$C$2</f>
        <v>0</v>
      </c>
      <c r="G160" s="5" t="n">
        <f aca="false">demand!C158</f>
        <v>0</v>
      </c>
      <c r="H160" s="2" t="n">
        <f aca="false">solgen!C158</f>
        <v>0</v>
      </c>
      <c r="I160" s="2" t="n">
        <f aca="false">import!C158</f>
        <v>0</v>
      </c>
      <c r="J160" s="2" t="n">
        <f aca="false">-export!C158</f>
        <v>-0</v>
      </c>
      <c r="K160" s="2" t="n">
        <f aca="false">-charge!C158</f>
        <v>-0</v>
      </c>
      <c r="L160" s="2" t="n">
        <f aca="false">discharge!C158</f>
        <v>0</v>
      </c>
      <c r="M160" s="2" t="n">
        <f aca="false">soc!C158/investment!$E$2 *100</f>
        <v>100</v>
      </c>
      <c r="N160" s="4" t="n">
        <f aca="false">p_micro!C157</f>
        <v>0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11" t="n">
        <v>13</v>
      </c>
      <c r="E161" s="5" t="n">
        <v>157</v>
      </c>
      <c r="F161" s="16" t="n">
        <f aca="false">IFERROR(INDEX($B$5:$C$173, MATCH($E161, $B$5:$B$175, 0), 2), 0)*investment!$C$2</f>
        <v>0</v>
      </c>
      <c r="G161" s="5" t="n">
        <f aca="false">demand!C159</f>
        <v>0</v>
      </c>
      <c r="H161" s="2" t="n">
        <f aca="false">solgen!C159</f>
        <v>0</v>
      </c>
      <c r="I161" s="2" t="n">
        <f aca="false">import!C159</f>
        <v>0</v>
      </c>
      <c r="J161" s="2" t="n">
        <f aca="false">-export!C159</f>
        <v>-0</v>
      </c>
      <c r="K161" s="2" t="n">
        <f aca="false">-charge!C159</f>
        <v>-0</v>
      </c>
      <c r="L161" s="2" t="n">
        <f aca="false">discharge!C159</f>
        <v>0</v>
      </c>
      <c r="M161" s="2" t="n">
        <f aca="false">soc!C159/investment!$E$2 *100</f>
        <v>99.999</v>
      </c>
      <c r="N161" s="4" t="n">
        <f aca="false">p_micro!C158</f>
        <v>0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11" t="n">
        <v>14</v>
      </c>
      <c r="E162" s="5" t="n">
        <v>158</v>
      </c>
      <c r="F162" s="16" t="n">
        <f aca="false">IFERROR(INDEX($B$5:$C$173, MATCH($E162, $B$5:$B$175, 0), 2), 0)*investment!$C$2</f>
        <v>0</v>
      </c>
      <c r="G162" s="5" t="n">
        <f aca="false">demand!C160</f>
        <v>0</v>
      </c>
      <c r="H162" s="2" t="n">
        <f aca="false">solgen!C160</f>
        <v>0</v>
      </c>
      <c r="I162" s="2" t="n">
        <f aca="false">import!C160</f>
        <v>0</v>
      </c>
      <c r="J162" s="2" t="n">
        <f aca="false">-export!C160</f>
        <v>-0</v>
      </c>
      <c r="K162" s="2" t="n">
        <f aca="false">-charge!C160</f>
        <v>-0</v>
      </c>
      <c r="L162" s="2" t="n">
        <f aca="false">discharge!C160</f>
        <v>0</v>
      </c>
      <c r="M162" s="2" t="n">
        <f aca="false">soc!C160/investment!$E$2 *100</f>
        <v>99.99800001</v>
      </c>
      <c r="N162" s="4" t="n">
        <f aca="false">p_micro!C159</f>
        <v>0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11" t="n">
        <v>15</v>
      </c>
      <c r="E163" s="5" t="n">
        <v>159</v>
      </c>
      <c r="F163" s="16" t="n">
        <f aca="false">IFERROR(INDEX($B$5:$C$173, MATCH($E163, $B$5:$B$175, 0), 2), 0)*investment!$C$2</f>
        <v>0</v>
      </c>
      <c r="G163" s="5" t="n">
        <f aca="false">demand!C161</f>
        <v>0</v>
      </c>
      <c r="H163" s="2" t="n">
        <f aca="false">solgen!C161</f>
        <v>0</v>
      </c>
      <c r="I163" s="2" t="n">
        <f aca="false">import!C161</f>
        <v>0</v>
      </c>
      <c r="J163" s="2" t="n">
        <f aca="false">-export!C161</f>
        <v>-0</v>
      </c>
      <c r="K163" s="2" t="n">
        <f aca="false">-charge!C161</f>
        <v>-0</v>
      </c>
      <c r="L163" s="2" t="n">
        <f aca="false">discharge!C161</f>
        <v>0</v>
      </c>
      <c r="M163" s="2" t="n">
        <f aca="false">soc!C161/investment!$E$2 *100</f>
        <v>100</v>
      </c>
      <c r="N163" s="4" t="n">
        <f aca="false">p_micro!C160</f>
        <v>0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11" t="n">
        <v>16</v>
      </c>
      <c r="E164" s="5" t="n">
        <v>160</v>
      </c>
      <c r="F164" s="16" t="n">
        <f aca="false">IFERROR(INDEX($B$5:$C$173, MATCH($E164, $B$5:$B$175, 0), 2), 0)*investment!$C$2</f>
        <v>0</v>
      </c>
      <c r="G164" s="5" t="n">
        <f aca="false">demand!C162</f>
        <v>0</v>
      </c>
      <c r="H164" s="2" t="n">
        <f aca="false">solgen!C162</f>
        <v>0</v>
      </c>
      <c r="I164" s="2" t="n">
        <f aca="false">import!C162</f>
        <v>0</v>
      </c>
      <c r="J164" s="2" t="n">
        <f aca="false">-export!C162</f>
        <v>-0</v>
      </c>
      <c r="K164" s="2" t="n">
        <f aca="false">-charge!C162</f>
        <v>-0</v>
      </c>
      <c r="L164" s="2" t="n">
        <f aca="false">discharge!C162</f>
        <v>0</v>
      </c>
      <c r="M164" s="2" t="n">
        <f aca="false">soc!C162/investment!$E$2 *100</f>
        <v>99.999</v>
      </c>
      <c r="N164" s="4" t="n">
        <f aca="false">p_micro!C161</f>
        <v>0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11" t="n">
        <v>17</v>
      </c>
      <c r="E165" s="5" t="n">
        <v>161</v>
      </c>
      <c r="F165" s="16" t="n">
        <f aca="false">IFERROR(INDEX($B$5:$C$173, MATCH($E165, $B$5:$B$175, 0), 2), 0)*investment!$C$2</f>
        <v>0</v>
      </c>
      <c r="G165" s="5" t="n">
        <f aca="false">demand!C163</f>
        <v>0</v>
      </c>
      <c r="H165" s="2" t="n">
        <f aca="false">solgen!C163</f>
        <v>0</v>
      </c>
      <c r="I165" s="2" t="n">
        <f aca="false">import!C163</f>
        <v>0</v>
      </c>
      <c r="J165" s="2" t="n">
        <f aca="false">-export!C163</f>
        <v>-0</v>
      </c>
      <c r="K165" s="2" t="n">
        <f aca="false">-charge!C163</f>
        <v>-0</v>
      </c>
      <c r="L165" s="2" t="n">
        <f aca="false">discharge!C163</f>
        <v>0</v>
      </c>
      <c r="M165" s="2" t="n">
        <f aca="false">soc!C163/investment!$E$2 *100</f>
        <v>100</v>
      </c>
      <c r="N165" s="4" t="n">
        <f aca="false">p_micro!C162</f>
        <v>0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11" t="n">
        <v>18</v>
      </c>
      <c r="E166" s="5" t="n">
        <v>162</v>
      </c>
      <c r="F166" s="16" t="n">
        <f aca="false">IFERROR(INDEX($B$5:$C$173, MATCH($E166, $B$5:$B$175, 0), 2), 0)*investment!$C$2</f>
        <v>0</v>
      </c>
      <c r="G166" s="5" t="n">
        <f aca="false">demand!C164</f>
        <v>0</v>
      </c>
      <c r="H166" s="2" t="n">
        <f aca="false">solgen!C164</f>
        <v>0</v>
      </c>
      <c r="I166" s="2" t="n">
        <f aca="false">import!C164</f>
        <v>0</v>
      </c>
      <c r="J166" s="2" t="n">
        <f aca="false">-export!C164</f>
        <v>-0</v>
      </c>
      <c r="K166" s="2" t="n">
        <f aca="false">-charge!C164</f>
        <v>-0</v>
      </c>
      <c r="L166" s="2" t="n">
        <f aca="false">discharge!C164</f>
        <v>0</v>
      </c>
      <c r="M166" s="2" t="n">
        <f aca="false">soc!C164/investment!$E$2 *100</f>
        <v>99.999</v>
      </c>
      <c r="N166" s="4" t="n">
        <f aca="false">p_micro!C163</f>
        <v>0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11" t="n">
        <v>19</v>
      </c>
      <c r="E167" s="5" t="n">
        <v>163</v>
      </c>
      <c r="F167" s="16" t="n">
        <f aca="false">IFERROR(INDEX($B$5:$C$173, MATCH($E167, $B$5:$B$175, 0), 2), 0)*investment!$C$2</f>
        <v>0</v>
      </c>
      <c r="G167" s="5" t="n">
        <f aca="false">demand!C165</f>
        <v>0</v>
      </c>
      <c r="H167" s="2" t="n">
        <f aca="false">solgen!C165</f>
        <v>0</v>
      </c>
      <c r="I167" s="2" t="n">
        <f aca="false">import!C165</f>
        <v>0</v>
      </c>
      <c r="J167" s="2" t="n">
        <f aca="false">-export!C165</f>
        <v>-0</v>
      </c>
      <c r="K167" s="2" t="n">
        <f aca="false">-charge!C165</f>
        <v>-0</v>
      </c>
      <c r="L167" s="2" t="n">
        <f aca="false">discharge!C165</f>
        <v>0</v>
      </c>
      <c r="M167" s="2" t="n">
        <f aca="false">soc!C165/investment!$E$2 *100</f>
        <v>99.99800001</v>
      </c>
      <c r="N167" s="4" t="n">
        <f aca="false">p_micro!C164</f>
        <v>0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11" t="n">
        <v>20</v>
      </c>
      <c r="E168" s="5" t="n">
        <v>164</v>
      </c>
      <c r="F168" s="16" t="n">
        <f aca="false">IFERROR(INDEX($B$5:$C$173, MATCH($E168, $B$5:$B$175, 0), 2), 0)*investment!$C$2</f>
        <v>0</v>
      </c>
      <c r="G168" s="5" t="n">
        <f aca="false">demand!C166</f>
        <v>0</v>
      </c>
      <c r="H168" s="2" t="n">
        <f aca="false">solgen!C166</f>
        <v>0</v>
      </c>
      <c r="I168" s="2" t="n">
        <f aca="false">import!C166</f>
        <v>0</v>
      </c>
      <c r="J168" s="2" t="n">
        <f aca="false">-export!C166</f>
        <v>-0</v>
      </c>
      <c r="K168" s="2" t="n">
        <f aca="false">-charge!C166</f>
        <v>-0</v>
      </c>
      <c r="L168" s="2" t="n">
        <f aca="false">discharge!C166</f>
        <v>0</v>
      </c>
      <c r="M168" s="2" t="n">
        <f aca="false">soc!C166/investment!$E$2 *100</f>
        <v>99.9970000299999</v>
      </c>
      <c r="N168" s="4" t="n">
        <f aca="false">p_micro!C165</f>
        <v>0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11" t="n">
        <v>21</v>
      </c>
      <c r="E169" s="5" t="n">
        <v>165</v>
      </c>
      <c r="F169" s="16" t="n">
        <f aca="false">IFERROR(INDEX($B$5:$C$173, MATCH($E169, $B$5:$B$175, 0), 2), 0)*investment!$C$2</f>
        <v>0</v>
      </c>
      <c r="G169" s="5" t="n">
        <f aca="false">demand!C167</f>
        <v>0</v>
      </c>
      <c r="H169" s="2" t="n">
        <f aca="false">solgen!C167</f>
        <v>0</v>
      </c>
      <c r="I169" s="2" t="n">
        <f aca="false">import!C167</f>
        <v>0</v>
      </c>
      <c r="J169" s="2" t="n">
        <f aca="false">-export!C167</f>
        <v>-0</v>
      </c>
      <c r="K169" s="2" t="n">
        <f aca="false">-charge!C167</f>
        <v>-0</v>
      </c>
      <c r="L169" s="2" t="n">
        <f aca="false">discharge!C167</f>
        <v>0</v>
      </c>
      <c r="M169" s="2" t="n">
        <f aca="false">soc!C167/investment!$E$2 *100</f>
        <v>99.9960000933884</v>
      </c>
      <c r="N169" s="4" t="n">
        <f aca="false">p_micro!C166</f>
        <v>0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11" t="n">
        <v>22</v>
      </c>
      <c r="E170" s="5" t="n">
        <v>166</v>
      </c>
      <c r="F170" s="16" t="n">
        <f aca="false">IFERROR(INDEX($B$5:$C$173, MATCH($E170, $B$5:$B$175, 0), 2), 0)*investment!$C$2</f>
        <v>0</v>
      </c>
      <c r="G170" s="5" t="n">
        <f aca="false">demand!C168</f>
        <v>0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-0</v>
      </c>
      <c r="K170" s="2" t="n">
        <f aca="false">-charge!C168</f>
        <v>-0</v>
      </c>
      <c r="L170" s="2" t="n">
        <f aca="false">discharge!C168</f>
        <v>0</v>
      </c>
      <c r="M170" s="2" t="n">
        <f aca="false">soc!C168/investment!$E$2 *100</f>
        <v>99.9950000992885</v>
      </c>
      <c r="N170" s="4" t="n">
        <f aca="false">p_micro!C167</f>
        <v>0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11" t="n">
        <v>23</v>
      </c>
      <c r="E171" s="5" t="n">
        <v>167</v>
      </c>
      <c r="F171" s="16" t="n">
        <f aca="false">IFERROR(INDEX($B$5:$C$173, MATCH($E171, $B$5:$B$175, 0), 2), 0)*investment!$C$2</f>
        <v>0</v>
      </c>
      <c r="G171" s="5" t="n">
        <f aca="false">demand!C169</f>
        <v>0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-0</v>
      </c>
      <c r="K171" s="2" t="n">
        <f aca="false">-charge!C169</f>
        <v>-0</v>
      </c>
      <c r="L171" s="2" t="n">
        <f aca="false">discharge!C169</f>
        <v>0</v>
      </c>
      <c r="M171" s="2" t="n">
        <f aca="false">soc!C169/investment!$E$2 *100</f>
        <v>99.9940001492875</v>
      </c>
      <c r="N171" s="4" t="n">
        <f aca="false">p_micro!C168</f>
        <v>0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11" t="n">
        <v>24</v>
      </c>
      <c r="E172" s="5" t="n">
        <v>168</v>
      </c>
      <c r="F172" s="16" t="n">
        <f aca="false">IFERROR(INDEX($B$5:$C$173, MATCH($E172, $B$5:$B$175, 0), 2), 0)*investment!$C$2</f>
        <v>0</v>
      </c>
      <c r="G172" s="5" t="n">
        <f aca="false">demand!C170</f>
        <v>0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-0</v>
      </c>
      <c r="K172" s="2" t="n">
        <f aca="false">-charge!C170</f>
        <v>-0</v>
      </c>
      <c r="L172" s="2" t="n">
        <f aca="false">discharge!C170</f>
        <v>0</v>
      </c>
      <c r="M172" s="2" t="n">
        <f aca="false">soc!C170/investment!$E$2 *100</f>
        <v>99.993000209286</v>
      </c>
      <c r="N172" s="4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0" sqref="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4" min="4" style="5" width="8.85"/>
    <col collapsed="false" customWidth="true" hidden="false" outlineLevel="0" max="5" min="5" style="6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7" t="s">
        <v>3</v>
      </c>
      <c r="C2" s="8" t="n">
        <v>2</v>
      </c>
      <c r="D2" s="9" t="s">
        <v>17</v>
      </c>
    </row>
    <row r="4" customFormat="false" ht="13.8" hidden="false" customHeight="false" outlineLevel="0" collapsed="false">
      <c r="B4" s="10" t="s">
        <v>5</v>
      </c>
      <c r="C4" s="11"/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4" t="s">
        <v>15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5" t="n">
        <v>1</v>
      </c>
      <c r="E5" s="16" t="n">
        <f aca="false">IFERROR(INDEX($B$5:$C$173, MATCH($D5, $B$5:$B$175, 0), 2), 0)*investment!$C$3</f>
        <v>0</v>
      </c>
      <c r="F5" s="17" t="n">
        <f aca="false">demand!D3</f>
        <v>0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-0</v>
      </c>
      <c r="J5" s="2" t="n">
        <f aca="false">-charge!D3</f>
        <v>-0</v>
      </c>
      <c r="K5" s="2" t="n">
        <f aca="false">discharge!D3</f>
        <v>0</v>
      </c>
      <c r="L5" s="2" t="n">
        <f aca="false">soc!D3/investment!$E$3 *100</f>
        <v>66.7990786762391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5" t="n">
        <v>2</v>
      </c>
      <c r="E6" s="16" t="n">
        <f aca="false">IFERROR(INDEX($B$5:$C$173, MATCH($D6, $B$5:$B$175, 0), 2), 0)*investment!$C$3</f>
        <v>0</v>
      </c>
      <c r="F6" s="17" t="n">
        <f aca="false">demand!D4</f>
        <v>0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-0</v>
      </c>
      <c r="J6" s="2" t="n">
        <f aca="false">-charge!D4</f>
        <v>-0</v>
      </c>
      <c r="K6" s="2" t="n">
        <f aca="false">discharge!D4</f>
        <v>0</v>
      </c>
      <c r="L6" s="2" t="n">
        <f aca="false">soc!D4/investment!$E$3 *100</f>
        <v>64.2889031062639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5" t="n">
        <v>3</v>
      </c>
      <c r="E7" s="16" t="n">
        <f aca="false">IFERROR(INDEX($B$5:$C$173, MATCH($D7, $B$5:$B$175, 0), 2), 0)*investment!$C$3</f>
        <v>0</v>
      </c>
      <c r="F7" s="17" t="n">
        <f aca="false">demand!D5</f>
        <v>0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-0</v>
      </c>
      <c r="J7" s="2" t="n">
        <f aca="false">-charge!D5</f>
        <v>-0</v>
      </c>
      <c r="K7" s="2" t="n">
        <f aca="false">discharge!D5</f>
        <v>0</v>
      </c>
      <c r="L7" s="2" t="n">
        <f aca="false">soc!D5/investment!$E$3 *100</f>
        <v>61.2091454945796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5" t="n">
        <v>4</v>
      </c>
      <c r="E8" s="16" t="n">
        <f aca="false">IFERROR(INDEX($B$5:$C$173, MATCH($D8, $B$5:$B$175, 0), 2), 0)*investment!$C$3</f>
        <v>0</v>
      </c>
      <c r="F8" s="17" t="n">
        <f aca="false">demand!D6</f>
        <v>0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-0</v>
      </c>
      <c r="J8" s="2" t="n">
        <f aca="false">-charge!D6</f>
        <v>-0</v>
      </c>
      <c r="K8" s="2" t="n">
        <f aca="false">discharge!D6</f>
        <v>0</v>
      </c>
      <c r="L8" s="2" t="n">
        <f aca="false">soc!D6/investment!$E$3 *100</f>
        <v>57.1913603596608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5" t="n">
        <v>5</v>
      </c>
      <c r="E9" s="16" t="n">
        <f aca="false">IFERROR(INDEX($B$5:$C$173, MATCH($D9, $B$5:$B$175, 0), 2), 0)*investment!$C$3</f>
        <v>0</v>
      </c>
      <c r="F9" s="17" t="n">
        <f aca="false">demand!D7</f>
        <v>0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-0</v>
      </c>
      <c r="J9" s="2" t="n">
        <f aca="false">-charge!D7</f>
        <v>-0</v>
      </c>
      <c r="K9" s="2" t="n">
        <f aca="false">discharge!D7</f>
        <v>0</v>
      </c>
      <c r="L9" s="2" t="n">
        <f aca="false">soc!D7/investment!$E$3 *100</f>
        <v>55.5803326145028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5" t="n">
        <v>6</v>
      </c>
      <c r="E10" s="16" t="n">
        <f aca="false">IFERROR(INDEX($B$5:$C$173, MATCH($D10, $B$5:$B$175, 0), 2), 0)*investment!$C$3</f>
        <v>0</v>
      </c>
      <c r="F10" s="17" t="n">
        <f aca="false">demand!D8</f>
        <v>0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-0</v>
      </c>
      <c r="J10" s="2" t="n">
        <f aca="false">-charge!D8</f>
        <v>-0</v>
      </c>
      <c r="K10" s="2" t="n">
        <f aca="false">discharge!D8</f>
        <v>0</v>
      </c>
      <c r="L10" s="2" t="n">
        <f aca="false">soc!D8/investment!$E$3 *100</f>
        <v>51.3000569188756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5" t="n">
        <v>7</v>
      </c>
      <c r="E11" s="16" t="n">
        <f aca="false">IFERROR(INDEX($B$5:$C$173, MATCH($D11, $B$5:$B$175, 0), 2), 0)*investment!$C$3</f>
        <v>0</v>
      </c>
      <c r="F11" s="17" t="n">
        <f aca="false">demand!D9</f>
        <v>0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-0</v>
      </c>
      <c r="J11" s="2" t="n">
        <f aca="false">-charge!D9</f>
        <v>-0</v>
      </c>
      <c r="K11" s="2" t="n">
        <f aca="false">discharge!D9</f>
        <v>0</v>
      </c>
      <c r="L11" s="2" t="n">
        <f aca="false">soc!D9/investment!$E$3 *100</f>
        <v>49.9146115141922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5" t="n">
        <v>8</v>
      </c>
      <c r="E12" s="16" t="n">
        <f aca="false">IFERROR(INDEX($B$5:$C$173, MATCH($D12, $B$5:$B$175, 0), 2), 0)*investment!$C$3</f>
        <v>0</v>
      </c>
      <c r="F12" s="17" t="n">
        <f aca="false">demand!D10</f>
        <v>0</v>
      </c>
      <c r="G12" s="2" t="n">
        <f aca="false">solgen!D10</f>
        <v>0</v>
      </c>
      <c r="H12" s="2" t="n">
        <f aca="false">import!D10</f>
        <v>0</v>
      </c>
      <c r="I12" s="2" t="n">
        <f aca="false">-export!D10</f>
        <v>-0</v>
      </c>
      <c r="J12" s="2" t="n">
        <f aca="false">-charge!D10</f>
        <v>-0</v>
      </c>
      <c r="K12" s="2" t="n">
        <f aca="false">discharge!D10</f>
        <v>0</v>
      </c>
      <c r="L12" s="2" t="n">
        <f aca="false">soc!D10/investment!$E$3 *100</f>
        <v>47.2458817077288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5" t="n">
        <v>9</v>
      </c>
      <c r="E13" s="16" t="n">
        <f aca="false">IFERROR(INDEX($B$5:$C$173, MATCH($D13, $B$5:$B$175, 0), 2), 0)*investment!$C$3</f>
        <v>0</v>
      </c>
      <c r="F13" s="17" t="n">
        <f aca="false">demand!D11</f>
        <v>0</v>
      </c>
      <c r="G13" s="2" t="n">
        <f aca="false">solgen!D11</f>
        <v>0</v>
      </c>
      <c r="H13" s="2" t="n">
        <f aca="false">import!D11</f>
        <v>0</v>
      </c>
      <c r="I13" s="2" t="n">
        <f aca="false">-export!D11</f>
        <v>-0</v>
      </c>
      <c r="J13" s="2" t="n">
        <f aca="false">-charge!D11</f>
        <v>-0</v>
      </c>
      <c r="K13" s="2" t="n">
        <f aca="false">discharge!D11</f>
        <v>0</v>
      </c>
      <c r="L13" s="2" t="n">
        <f aca="false">soc!D11/investment!$E$3 *100</f>
        <v>47.2454092459119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5" t="n">
        <v>10</v>
      </c>
      <c r="E14" s="16" t="n">
        <f aca="false">IFERROR(INDEX($B$5:$C$173, MATCH($D14, $B$5:$B$175, 0), 2), 0)*investment!$C$3</f>
        <v>0</v>
      </c>
      <c r="F14" s="17" t="n">
        <f aca="false">demand!D12</f>
        <v>0</v>
      </c>
      <c r="G14" s="2" t="n">
        <f aca="false">solgen!D12</f>
        <v>0</v>
      </c>
      <c r="H14" s="2" t="n">
        <f aca="false">import!D12</f>
        <v>0</v>
      </c>
      <c r="I14" s="2" t="n">
        <f aca="false">-export!D12</f>
        <v>-0</v>
      </c>
      <c r="J14" s="2" t="n">
        <f aca="false">-charge!D12</f>
        <v>-0</v>
      </c>
      <c r="K14" s="2" t="n">
        <f aca="false">discharge!D12</f>
        <v>0</v>
      </c>
      <c r="L14" s="2" t="n">
        <f aca="false">soc!D12/investment!$E$3 *100</f>
        <v>46.4910511206643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5" t="n">
        <v>11</v>
      </c>
      <c r="E15" s="16" t="n">
        <f aca="false">IFERROR(INDEX($B$5:$C$173, MATCH($D15, $B$5:$B$175, 0), 2), 0)*investment!$C$3</f>
        <v>0</v>
      </c>
      <c r="F15" s="17" t="n">
        <f aca="false">demand!D13</f>
        <v>0</v>
      </c>
      <c r="G15" s="2" t="n">
        <f aca="false">solgen!D13</f>
        <v>0</v>
      </c>
      <c r="H15" s="2" t="n">
        <f aca="false">import!D13</f>
        <v>0</v>
      </c>
      <c r="I15" s="2" t="n">
        <f aca="false">-export!D13</f>
        <v>-0</v>
      </c>
      <c r="J15" s="2" t="n">
        <f aca="false">-charge!D13</f>
        <v>-0</v>
      </c>
      <c r="K15" s="2" t="n">
        <f aca="false">discharge!D13</f>
        <v>0</v>
      </c>
      <c r="L15" s="2" t="n">
        <f aca="false">soc!D13/investment!$E$3 *100</f>
        <v>43.7323736110663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5" t="n">
        <v>12</v>
      </c>
      <c r="E16" s="16" t="n">
        <f aca="false">IFERROR(INDEX($B$5:$C$173, MATCH($D16, $B$5:$B$175, 0), 2), 0)*investment!$C$3</f>
        <v>0</v>
      </c>
      <c r="F16" s="17" t="n">
        <f aca="false">demand!D14</f>
        <v>0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-0</v>
      </c>
      <c r="J16" s="2" t="n">
        <f aca="false">-charge!D14</f>
        <v>-0</v>
      </c>
      <c r="K16" s="2" t="n">
        <f aca="false">discharge!D14</f>
        <v>0</v>
      </c>
      <c r="L16" s="2" t="n">
        <f aca="false">soc!D14/investment!$E$3 *100</f>
        <v>43.7319362847803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5" t="n">
        <v>13</v>
      </c>
      <c r="E17" s="16" t="n">
        <f aca="false">IFERROR(INDEX($B$5:$C$173, MATCH($D17, $B$5:$B$175, 0), 2), 0)*investment!$C$3</f>
        <v>0</v>
      </c>
      <c r="F17" s="17" t="n">
        <f aca="false">demand!D15</f>
        <v>0</v>
      </c>
      <c r="G17" s="2" t="n">
        <f aca="false">solgen!D15</f>
        <v>0</v>
      </c>
      <c r="H17" s="2" t="n">
        <f aca="false">import!D15</f>
        <v>0</v>
      </c>
      <c r="I17" s="2" t="n">
        <f aca="false">-export!D15</f>
        <v>-0</v>
      </c>
      <c r="J17" s="2" t="n">
        <f aca="false">-charge!D15</f>
        <v>-0</v>
      </c>
      <c r="K17" s="2" t="n">
        <f aca="false">discharge!D15</f>
        <v>0</v>
      </c>
      <c r="L17" s="2" t="n">
        <f aca="false">soc!D15/investment!$E$3 *100</f>
        <v>42.0797548256641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5" t="n">
        <v>14</v>
      </c>
      <c r="E18" s="16" t="n">
        <f aca="false">IFERROR(INDEX($B$5:$C$173, MATCH($D18, $B$5:$B$175, 0), 2), 0)*investment!$C$3</f>
        <v>0</v>
      </c>
      <c r="F18" s="17" t="n">
        <f aca="false">demand!D16</f>
        <v>0</v>
      </c>
      <c r="G18" s="2" t="n">
        <f aca="false">solgen!D16</f>
        <v>0</v>
      </c>
      <c r="H18" s="2" t="n">
        <f aca="false">import!D16</f>
        <v>0</v>
      </c>
      <c r="I18" s="2" t="n">
        <f aca="false">-export!D16</f>
        <v>-0</v>
      </c>
      <c r="J18" s="2" t="n">
        <f aca="false">-charge!D16</f>
        <v>-0</v>
      </c>
      <c r="K18" s="2" t="n">
        <f aca="false">discharge!D16</f>
        <v>0</v>
      </c>
      <c r="L18" s="2" t="n">
        <f aca="false">soc!D16/investment!$E$3 *100</f>
        <v>38.0029057224029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5" t="n">
        <v>15</v>
      </c>
      <c r="E19" s="16" t="n">
        <f aca="false">IFERROR(INDEX($B$5:$C$173, MATCH($D19, $B$5:$B$175, 0), 2), 0)*investment!$C$3</f>
        <v>0</v>
      </c>
      <c r="F19" s="17" t="n">
        <f aca="false">demand!D17</f>
        <v>0</v>
      </c>
      <c r="G19" s="2" t="n">
        <f aca="false">solgen!D17</f>
        <v>0</v>
      </c>
      <c r="H19" s="2" t="n">
        <f aca="false">import!D17</f>
        <v>0</v>
      </c>
      <c r="I19" s="2" t="n">
        <f aca="false">-export!D17</f>
        <v>-0</v>
      </c>
      <c r="J19" s="2" t="n">
        <f aca="false">-charge!D17</f>
        <v>-0</v>
      </c>
      <c r="K19" s="2" t="n">
        <f aca="false">discharge!D17</f>
        <v>0</v>
      </c>
      <c r="L19" s="2" t="n">
        <f aca="false">soc!D17/investment!$E$3 *100</f>
        <v>37.3036918058628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5" t="n">
        <v>16</v>
      </c>
      <c r="E20" s="16" t="n">
        <f aca="false">IFERROR(INDEX($B$5:$C$173, MATCH($D20, $B$5:$B$175, 0), 2), 0)*investment!$C$3</f>
        <v>0</v>
      </c>
      <c r="F20" s="17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-0</v>
      </c>
      <c r="J20" s="2" t="n">
        <f aca="false">-charge!D18</f>
        <v>-0</v>
      </c>
      <c r="K20" s="2" t="n">
        <f aca="false">discharge!D18</f>
        <v>0</v>
      </c>
      <c r="L20" s="2" t="n">
        <f aca="false">soc!D18/investment!$E$3 *100</f>
        <v>32.2718340011133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5" t="n">
        <v>17</v>
      </c>
      <c r="E21" s="16" t="n">
        <f aca="false">IFERROR(INDEX($B$5:$C$173, MATCH($D21, $B$5:$B$175, 0), 2), 0)*investment!$C$3</f>
        <v>0</v>
      </c>
      <c r="F21" s="17" t="n">
        <f aca="false">demand!D19</f>
        <v>0</v>
      </c>
      <c r="G21" s="2" t="n">
        <f aca="false">solgen!D19</f>
        <v>0</v>
      </c>
      <c r="H21" s="2" t="n">
        <f aca="false">import!D19</f>
        <v>0</v>
      </c>
      <c r="I21" s="2" t="n">
        <f aca="false">-export!D19</f>
        <v>-0</v>
      </c>
      <c r="J21" s="2" t="n">
        <f aca="false">-charge!D19</f>
        <v>-0</v>
      </c>
      <c r="K21" s="2" t="n">
        <f aca="false">discharge!D19</f>
        <v>0</v>
      </c>
      <c r="L21" s="2" t="n">
        <f aca="false">soc!D19/investment!$E$3 *100</f>
        <v>31.2434011419661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5" t="n">
        <v>18</v>
      </c>
      <c r="E22" s="16" t="n">
        <f aca="false">IFERROR(INDEX($B$5:$C$173, MATCH($D22, $B$5:$B$175, 0), 2), 0)*investment!$C$3</f>
        <v>0</v>
      </c>
      <c r="F22" s="17" t="n">
        <f aca="false">demand!D20</f>
        <v>0</v>
      </c>
      <c r="G22" s="2" t="n">
        <f aca="false">solgen!D20</f>
        <v>0</v>
      </c>
      <c r="H22" s="2" t="n">
        <f aca="false">import!D20</f>
        <v>0</v>
      </c>
      <c r="I22" s="2" t="n">
        <f aca="false">-export!D20</f>
        <v>-0</v>
      </c>
      <c r="J22" s="2" t="n">
        <f aca="false">-charge!D20</f>
        <v>-0</v>
      </c>
      <c r="K22" s="2" t="n">
        <f aca="false">discharge!D20</f>
        <v>0</v>
      </c>
      <c r="L22" s="2" t="n">
        <f aca="false">soc!D20/investment!$E$3 *100</f>
        <v>27.1920602036514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5" t="n">
        <v>19</v>
      </c>
      <c r="E23" s="16" t="n">
        <f aca="false">IFERROR(INDEX($B$5:$C$173, MATCH($D23, $B$5:$B$175, 0), 2), 0)*investment!$C$3</f>
        <v>0</v>
      </c>
      <c r="F23" s="17" t="n">
        <f aca="false">demand!D21</f>
        <v>0</v>
      </c>
      <c r="G23" s="2" t="n">
        <f aca="false">solgen!D21</f>
        <v>0</v>
      </c>
      <c r="H23" s="2" t="n">
        <f aca="false">import!D21</f>
        <v>0</v>
      </c>
      <c r="I23" s="2" t="n">
        <f aca="false">-export!D21</f>
        <v>-0</v>
      </c>
      <c r="J23" s="2" t="n">
        <f aca="false">-charge!D21</f>
        <v>-0</v>
      </c>
      <c r="K23" s="2" t="n">
        <f aca="false">discharge!D21</f>
        <v>0</v>
      </c>
      <c r="L23" s="2" t="n">
        <f aca="false">soc!D21/investment!$E$3 *100</f>
        <v>23.6161836242411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5" t="n">
        <v>20</v>
      </c>
      <c r="E24" s="16" t="n">
        <f aca="false">IFERROR(INDEX($B$5:$C$173, MATCH($D24, $B$5:$B$175, 0), 2), 0)*investment!$C$3</f>
        <v>0</v>
      </c>
      <c r="F24" s="17" t="n">
        <f aca="false">demand!D22</f>
        <v>0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-0</v>
      </c>
      <c r="J24" s="2" t="n">
        <f aca="false">-charge!D22</f>
        <v>-0</v>
      </c>
      <c r="K24" s="2" t="n">
        <f aca="false">discharge!D22</f>
        <v>0</v>
      </c>
      <c r="L24" s="2" t="n">
        <f aca="false">soc!D22/investment!$E$3 *100</f>
        <v>20.2499851346448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5" t="n">
        <v>21</v>
      </c>
      <c r="E25" s="16" t="n">
        <f aca="false">IFERROR(INDEX($B$5:$C$173, MATCH($D25, $B$5:$B$175, 0), 2), 0)*investment!$C$3</f>
        <v>0</v>
      </c>
      <c r="F25" s="17" t="n">
        <f aca="false">demand!D23</f>
        <v>0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-0</v>
      </c>
      <c r="J25" s="2" t="n">
        <f aca="false">-charge!D23</f>
        <v>-0</v>
      </c>
      <c r="K25" s="2" t="n">
        <f aca="false">discharge!D23</f>
        <v>0</v>
      </c>
      <c r="L25" s="2" t="n">
        <f aca="false">soc!D23/investment!$E$3 *100</f>
        <v>16.8668835767259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5" t="n">
        <v>22</v>
      </c>
      <c r="E26" s="16" t="n">
        <f aca="false">IFERROR(INDEX($B$5:$C$173, MATCH($D26, $B$5:$B$175, 0), 2), 0)*investment!$C$3</f>
        <v>0</v>
      </c>
      <c r="F26" s="17" t="n">
        <f aca="false">demand!D24</f>
        <v>0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-0</v>
      </c>
      <c r="J26" s="2" t="n">
        <f aca="false">-charge!D24</f>
        <v>-0</v>
      </c>
      <c r="K26" s="2" t="n">
        <f aca="false">discharge!D24</f>
        <v>0</v>
      </c>
      <c r="L26" s="2" t="n">
        <f aca="false">soc!D24/investment!$E$3 *100</f>
        <v>13.501176074924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5" t="n">
        <v>23</v>
      </c>
      <c r="E27" s="16" t="n">
        <f aca="false">IFERROR(INDEX($B$5:$C$173, MATCH($D27, $B$5:$B$175, 0), 2), 0)*investment!$C$3</f>
        <v>0</v>
      </c>
      <c r="F27" s="17" t="n">
        <f aca="false">demand!D25</f>
        <v>0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-0</v>
      </c>
      <c r="J27" s="2" t="n">
        <f aca="false">-charge!D25</f>
        <v>-0</v>
      </c>
      <c r="K27" s="2" t="n">
        <f aca="false">discharge!D25</f>
        <v>0</v>
      </c>
      <c r="L27" s="2" t="n">
        <f aca="false">soc!D25/investment!$E$3 *100</f>
        <v>10.1528677493505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5" t="n">
        <v>24</v>
      </c>
      <c r="E28" s="16" t="n">
        <f aca="false">IFERROR(INDEX($B$5:$C$173, MATCH($D28, $B$5:$B$175, 0), 2), 0)*investment!$C$3</f>
        <v>0</v>
      </c>
      <c r="F28" s="17" t="n">
        <f aca="false">demand!D26</f>
        <v>0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-0</v>
      </c>
      <c r="J28" s="2" t="n">
        <f aca="false">-charge!D26</f>
        <v>-0</v>
      </c>
      <c r="K28" s="2" t="n">
        <f aca="false">discharge!D26</f>
        <v>0</v>
      </c>
      <c r="L28" s="2" t="n">
        <f aca="false">soc!D26/investment!$E$3 *100</f>
        <v>6.8473688158266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5" t="n">
        <v>25</v>
      </c>
      <c r="E29" s="16" t="n">
        <f aca="false">IFERROR(INDEX($B$5:$C$173, MATCH($D29, $B$5:$B$175, 0), 2), 0)*investment!$C$3</f>
        <v>0</v>
      </c>
      <c r="F29" s="17" t="n">
        <f aca="false">demand!D27</f>
        <v>0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-0</v>
      </c>
      <c r="J29" s="2" t="n">
        <f aca="false">-charge!D27</f>
        <v>-0</v>
      </c>
      <c r="K29" s="2" t="n">
        <f aca="false">discharge!D27</f>
        <v>0</v>
      </c>
      <c r="L29" s="2" t="n">
        <f aca="false">soc!D27/investment!$E$3 *100</f>
        <v>6.84730034176345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5" t="n">
        <v>26</v>
      </c>
      <c r="E30" s="16" t="n">
        <f aca="false">IFERROR(INDEX($B$5:$C$173, MATCH($D30, $B$5:$B$175, 0), 2), 0)*investment!$C$3</f>
        <v>0</v>
      </c>
      <c r="F30" s="17" t="n">
        <f aca="false">demand!D28</f>
        <v>0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-0</v>
      </c>
      <c r="J30" s="2" t="n">
        <f aca="false">-charge!D28</f>
        <v>-0</v>
      </c>
      <c r="K30" s="2" t="n">
        <f aca="false">discharge!D28</f>
        <v>0</v>
      </c>
      <c r="L30" s="2" t="n">
        <f aca="false">soc!D28/investment!$E$3 *100</f>
        <v>6.84723186876003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5" t="n">
        <v>27</v>
      </c>
      <c r="E31" s="16" t="n">
        <f aca="false">IFERROR(INDEX($B$5:$C$173, MATCH($D31, $B$5:$B$175, 0), 2), 0)*investment!$C$3</f>
        <v>0</v>
      </c>
      <c r="F31" s="17" t="n">
        <f aca="false">demand!D29</f>
        <v>0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-0</v>
      </c>
      <c r="J31" s="2" t="n">
        <f aca="false">-charge!D29</f>
        <v>-0</v>
      </c>
      <c r="K31" s="2" t="n">
        <f aca="false">discharge!D29</f>
        <v>0</v>
      </c>
      <c r="L31" s="2" t="n">
        <f aca="false">soc!D29/investment!$E$3 *100</f>
        <v>6.84716339644134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5" t="n">
        <v>28</v>
      </c>
      <c r="E32" s="16" t="n">
        <f aca="false">IFERROR(INDEX($B$5:$C$173, MATCH($D32, $B$5:$B$175, 0), 2), 0)*investment!$C$3</f>
        <v>0</v>
      </c>
      <c r="F32" s="17" t="n">
        <f aca="false">demand!D30</f>
        <v>0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-0</v>
      </c>
      <c r="J32" s="2" t="n">
        <f aca="false">-charge!D30</f>
        <v>-0</v>
      </c>
      <c r="K32" s="2" t="n">
        <f aca="false">discharge!D30</f>
        <v>0</v>
      </c>
      <c r="L32" s="2" t="n">
        <f aca="false">soc!D30/investment!$E$3 *100</f>
        <v>6.84709492480737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5" t="n">
        <v>29</v>
      </c>
      <c r="E33" s="16" t="n">
        <f aca="false">IFERROR(INDEX($B$5:$C$173, MATCH($D33, $B$5:$B$175, 0), 2), 0)*investment!$C$3</f>
        <v>0</v>
      </c>
      <c r="F33" s="17" t="n">
        <f aca="false">demand!D31</f>
        <v>0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-0</v>
      </c>
      <c r="J33" s="2" t="n">
        <f aca="false">-charge!D31</f>
        <v>-0</v>
      </c>
      <c r="K33" s="2" t="n">
        <f aca="false">discharge!D31</f>
        <v>0</v>
      </c>
      <c r="L33" s="2" t="n">
        <f aca="false">soc!D31/investment!$E$3 *100</f>
        <v>3.24377230275395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5" t="n">
        <v>30</v>
      </c>
      <c r="E34" s="16" t="n">
        <f aca="false">IFERROR(INDEX($B$5:$C$173, MATCH($D34, $B$5:$B$175, 0), 2), 0)*investment!$C$3</f>
        <v>0</v>
      </c>
      <c r="F34" s="17" t="n">
        <f aca="false">demand!D32</f>
        <v>0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-0</v>
      </c>
      <c r="J34" s="2" t="n">
        <f aca="false">-charge!D32</f>
        <v>-0</v>
      </c>
      <c r="K34" s="2" t="n">
        <f aca="false">discharge!D32</f>
        <v>0</v>
      </c>
      <c r="L34" s="2" t="n">
        <f aca="false">soc!D32/investment!$E$3 *100</f>
        <v>0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5" t="n">
        <v>31</v>
      </c>
      <c r="E35" s="16" t="n">
        <f aca="false">IFERROR(INDEX($B$5:$C$173, MATCH($D35, $B$5:$B$175, 0), 2), 0)*investment!$C$3</f>
        <v>0</v>
      </c>
      <c r="F35" s="17" t="n">
        <f aca="false">demand!D33</f>
        <v>0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-0</v>
      </c>
      <c r="J35" s="2" t="n">
        <f aca="false">-charge!D33</f>
        <v>-0</v>
      </c>
      <c r="K35" s="2" t="n">
        <f aca="false">discharge!D33</f>
        <v>0</v>
      </c>
      <c r="L35" s="2" t="n">
        <f aca="false">soc!D33/investment!$E$3 *100</f>
        <v>0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5" t="n">
        <v>32</v>
      </c>
      <c r="E36" s="16" t="n">
        <f aca="false">IFERROR(INDEX($B$5:$C$173, MATCH($D36, $B$5:$B$175, 0), 2), 0)*investment!$C$3</f>
        <v>0</v>
      </c>
      <c r="F36" s="17" t="n">
        <f aca="false">demand!D34</f>
        <v>0</v>
      </c>
      <c r="G36" s="2" t="n">
        <f aca="false">solgen!D34</f>
        <v>0</v>
      </c>
      <c r="H36" s="2" t="n">
        <f aca="false">import!D34</f>
        <v>0</v>
      </c>
      <c r="I36" s="2" t="n">
        <f aca="false">-export!D34</f>
        <v>-0</v>
      </c>
      <c r="J36" s="2" t="n">
        <f aca="false">-charge!D34</f>
        <v>-0</v>
      </c>
      <c r="K36" s="2" t="n">
        <f aca="false">discharge!D34</f>
        <v>0</v>
      </c>
      <c r="L36" s="2" t="n">
        <f aca="false">soc!D34/investment!$E$3 *100</f>
        <v>0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5" t="n">
        <v>33</v>
      </c>
      <c r="E37" s="16" t="n">
        <f aca="false">IFERROR(INDEX($B$5:$C$173, MATCH($D37, $B$5:$B$175, 0), 2), 0)*investment!$C$3</f>
        <v>0</v>
      </c>
      <c r="F37" s="17" t="n">
        <f aca="false">demand!D35</f>
        <v>0</v>
      </c>
      <c r="G37" s="2" t="n">
        <f aca="false">solgen!D35</f>
        <v>0</v>
      </c>
      <c r="H37" s="2" t="n">
        <f aca="false">import!D35</f>
        <v>0</v>
      </c>
      <c r="I37" s="2" t="n">
        <f aca="false">-export!D35</f>
        <v>-0</v>
      </c>
      <c r="J37" s="2" t="n">
        <f aca="false">-charge!D35</f>
        <v>-0</v>
      </c>
      <c r="K37" s="2" t="n">
        <f aca="false">discharge!D35</f>
        <v>0</v>
      </c>
      <c r="L37" s="2" t="n">
        <f aca="false">soc!D35/investment!$E$3 *100</f>
        <v>0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5" t="n">
        <v>34</v>
      </c>
      <c r="E38" s="16" t="n">
        <f aca="false">IFERROR(INDEX($B$5:$C$173, MATCH($D38, $B$5:$B$175, 0), 2), 0)*investment!$C$3</f>
        <v>0</v>
      </c>
      <c r="F38" s="17" t="n">
        <f aca="false">demand!D36</f>
        <v>0</v>
      </c>
      <c r="G38" s="2" t="n">
        <f aca="false">solgen!D36</f>
        <v>0</v>
      </c>
      <c r="H38" s="2" t="n">
        <f aca="false">import!D36</f>
        <v>0</v>
      </c>
      <c r="I38" s="2" t="n">
        <f aca="false">-export!D36</f>
        <v>-0</v>
      </c>
      <c r="J38" s="2" t="n">
        <f aca="false">-charge!D36</f>
        <v>-0</v>
      </c>
      <c r="K38" s="2" t="n">
        <f aca="false">discharge!D36</f>
        <v>0</v>
      </c>
      <c r="L38" s="2" t="n">
        <f aca="false">soc!D36/investment!$E$3 *100</f>
        <v>4.68374447869517E-019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5" t="n">
        <v>35</v>
      </c>
      <c r="E39" s="16" t="n">
        <f aca="false">IFERROR(INDEX($B$5:$C$173, MATCH($D39, $B$5:$B$175, 0), 2), 0)*investment!$C$3</f>
        <v>0</v>
      </c>
      <c r="F39" s="17" t="n">
        <f aca="false">demand!D37</f>
        <v>0</v>
      </c>
      <c r="G39" s="2" t="n">
        <f aca="false">solgen!D37</f>
        <v>0</v>
      </c>
      <c r="H39" s="2" t="n">
        <f aca="false">import!D37</f>
        <v>0</v>
      </c>
      <c r="I39" s="2" t="n">
        <f aca="false">-export!D37</f>
        <v>-0</v>
      </c>
      <c r="J39" s="2" t="n">
        <f aca="false">-charge!D37</f>
        <v>-0</v>
      </c>
      <c r="K39" s="2" t="n">
        <f aca="false">discharge!D37</f>
        <v>0</v>
      </c>
      <c r="L39" s="2" t="n">
        <f aca="false">soc!D37/investment!$E$3 *100</f>
        <v>1.31632477056682E-017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5" t="n">
        <v>36</v>
      </c>
      <c r="E40" s="16" t="n">
        <f aca="false">IFERROR(INDEX($B$5:$C$173, MATCH($D40, $B$5:$B$175, 0), 2), 0)*investment!$C$3</f>
        <v>0</v>
      </c>
      <c r="F40" s="17" t="n">
        <f aca="false">demand!D38</f>
        <v>0</v>
      </c>
      <c r="G40" s="2" t="n">
        <f aca="false">solgen!D38</f>
        <v>0</v>
      </c>
      <c r="H40" s="2" t="n">
        <f aca="false">import!D38</f>
        <v>0</v>
      </c>
      <c r="I40" s="2" t="n">
        <f aca="false">-export!D38</f>
        <v>-0</v>
      </c>
      <c r="J40" s="2" t="n">
        <f aca="false">-charge!D38</f>
        <v>-0</v>
      </c>
      <c r="K40" s="2" t="n">
        <f aca="false">discharge!D38</f>
        <v>0</v>
      </c>
      <c r="L40" s="2" t="n">
        <f aca="false">soc!D38/investment!$E$3 *100</f>
        <v>0.491247318071875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5" t="n">
        <v>37</v>
      </c>
      <c r="E41" s="16" t="n">
        <f aca="false">IFERROR(INDEX($B$5:$C$173, MATCH($D41, $B$5:$B$175, 0), 2), 0)*investment!$C$3</f>
        <v>0</v>
      </c>
      <c r="F41" s="17" t="n">
        <f aca="false">demand!D39</f>
        <v>0</v>
      </c>
      <c r="G41" s="2" t="n">
        <f aca="false">solgen!D39</f>
        <v>0</v>
      </c>
      <c r="H41" s="2" t="n">
        <f aca="false">import!D39</f>
        <v>0</v>
      </c>
      <c r="I41" s="2" t="n">
        <f aca="false">-export!D39</f>
        <v>-0</v>
      </c>
      <c r="J41" s="2" t="n">
        <f aca="false">-charge!D39</f>
        <v>-0</v>
      </c>
      <c r="K41" s="2" t="n">
        <f aca="false">discharge!D39</f>
        <v>0</v>
      </c>
      <c r="L41" s="2" t="n">
        <f aca="false">soc!D39/investment!$E$3 *100</f>
        <v>0.491242405598695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5" t="n">
        <v>38</v>
      </c>
      <c r="E42" s="16" t="n">
        <f aca="false">IFERROR(INDEX($B$5:$C$173, MATCH($D42, $B$5:$B$175, 0), 2), 0)*investment!$C$3</f>
        <v>0</v>
      </c>
      <c r="F42" s="17" t="n">
        <f aca="false">demand!D40</f>
        <v>0</v>
      </c>
      <c r="G42" s="2" t="n">
        <f aca="false">solgen!D40</f>
        <v>0</v>
      </c>
      <c r="H42" s="2" t="n">
        <f aca="false">import!D40</f>
        <v>0</v>
      </c>
      <c r="I42" s="2" t="n">
        <f aca="false">-export!D40</f>
        <v>-0</v>
      </c>
      <c r="J42" s="2" t="n">
        <f aca="false">-charge!D40</f>
        <v>-0</v>
      </c>
      <c r="K42" s="2" t="n">
        <f aca="false">discharge!D40</f>
        <v>0</v>
      </c>
      <c r="L42" s="2" t="n">
        <f aca="false">soc!D40/investment!$E$3 *100</f>
        <v>2.91092285596427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5" t="n">
        <v>39</v>
      </c>
      <c r="E43" s="16" t="n">
        <f aca="false">IFERROR(INDEX($B$5:$C$173, MATCH($D43, $B$5:$B$175, 0), 2), 0)*investment!$C$3</f>
        <v>0</v>
      </c>
      <c r="F43" s="17" t="n">
        <f aca="false">demand!D41</f>
        <v>0</v>
      </c>
      <c r="G43" s="2" t="n">
        <f aca="false">solgen!D41</f>
        <v>0</v>
      </c>
      <c r="H43" s="2" t="n">
        <f aca="false">import!D41</f>
        <v>0</v>
      </c>
      <c r="I43" s="2" t="n">
        <f aca="false">-export!D41</f>
        <v>-0</v>
      </c>
      <c r="J43" s="2" t="n">
        <f aca="false">-charge!D41</f>
        <v>-0</v>
      </c>
      <c r="K43" s="2" t="n">
        <f aca="false">discharge!D41</f>
        <v>0</v>
      </c>
      <c r="L43" s="2" t="n">
        <f aca="false">soc!D41/investment!$E$3 *100</f>
        <v>2.91089374673571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5" t="n">
        <v>40</v>
      </c>
      <c r="E44" s="16" t="n">
        <f aca="false">IFERROR(INDEX($B$5:$C$173, MATCH($D44, $B$5:$B$175, 0), 2), 0)*investment!$C$3</f>
        <v>0</v>
      </c>
      <c r="F44" s="17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-0</v>
      </c>
      <c r="J44" s="2" t="n">
        <f aca="false">-charge!D42</f>
        <v>-0</v>
      </c>
      <c r="K44" s="2" t="n">
        <f aca="false">discharge!D42</f>
        <v>0</v>
      </c>
      <c r="L44" s="2" t="n">
        <f aca="false">soc!D42/investment!$E$3 *100</f>
        <v>7.28507611037766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5" t="n">
        <v>41</v>
      </c>
      <c r="E45" s="16" t="n">
        <f aca="false">IFERROR(INDEX($B$5:$C$173, MATCH($D45, $B$5:$B$175, 0), 2), 0)*investment!$C$3</f>
        <v>0</v>
      </c>
      <c r="F45" s="17" t="n">
        <f aca="false">demand!D43</f>
        <v>0</v>
      </c>
      <c r="G45" s="2" t="n">
        <f aca="false">solgen!D43</f>
        <v>0</v>
      </c>
      <c r="H45" s="2" t="n">
        <f aca="false">import!D43</f>
        <v>0</v>
      </c>
      <c r="I45" s="2" t="n">
        <f aca="false">-export!D43</f>
        <v>-0</v>
      </c>
      <c r="J45" s="2" t="n">
        <f aca="false">-charge!D43</f>
        <v>-0</v>
      </c>
      <c r="K45" s="2" t="n">
        <f aca="false">discharge!D43</f>
        <v>0</v>
      </c>
      <c r="L45" s="2" t="n">
        <f aca="false">soc!D43/investment!$E$3 *100</f>
        <v>10.5039289052089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5" t="n">
        <v>42</v>
      </c>
      <c r="E46" s="16" t="n">
        <f aca="false">IFERROR(INDEX($B$5:$C$173, MATCH($D46, $B$5:$B$175, 0), 2), 0)*investment!$C$3</f>
        <v>0</v>
      </c>
      <c r="F46" s="17" t="n">
        <f aca="false">demand!D44</f>
        <v>0</v>
      </c>
      <c r="G46" s="2" t="n">
        <f aca="false">solgen!D44</f>
        <v>0</v>
      </c>
      <c r="H46" s="2" t="n">
        <f aca="false">import!D44</f>
        <v>0</v>
      </c>
      <c r="I46" s="2" t="n">
        <f aca="false">-export!D44</f>
        <v>-0</v>
      </c>
      <c r="J46" s="2" t="n">
        <f aca="false">-charge!D44</f>
        <v>-0</v>
      </c>
      <c r="K46" s="2" t="n">
        <f aca="false">discharge!D44</f>
        <v>0</v>
      </c>
      <c r="L46" s="2" t="n">
        <f aca="false">soc!D44/investment!$E$3 *100</f>
        <v>15.1999899881933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5" t="n">
        <v>43</v>
      </c>
      <c r="E47" s="16" t="n">
        <f aca="false">IFERROR(INDEX($B$5:$C$173, MATCH($D47, $B$5:$B$175, 0), 2), 0)*investment!$C$3</f>
        <v>0</v>
      </c>
      <c r="F47" s="17" t="n">
        <f aca="false">demand!D45</f>
        <v>0</v>
      </c>
      <c r="G47" s="2" t="n">
        <f aca="false">solgen!D45</f>
        <v>0</v>
      </c>
      <c r="H47" s="2" t="n">
        <f aca="false">import!D45</f>
        <v>0</v>
      </c>
      <c r="I47" s="2" t="n">
        <f aca="false">-export!D45</f>
        <v>-0</v>
      </c>
      <c r="J47" s="2" t="n">
        <f aca="false">-charge!D45</f>
        <v>-0</v>
      </c>
      <c r="K47" s="2" t="n">
        <f aca="false">discharge!D45</f>
        <v>0</v>
      </c>
      <c r="L47" s="2" t="n">
        <f aca="false">soc!D45/investment!$E$3 *100</f>
        <v>19.2634565172794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5" t="n">
        <v>44</v>
      </c>
      <c r="E48" s="16" t="n">
        <f aca="false">IFERROR(INDEX($B$5:$C$173, MATCH($D48, $B$5:$B$175, 0), 2), 0)*investment!$C$3</f>
        <v>0</v>
      </c>
      <c r="F48" s="17" t="n">
        <f aca="false">demand!D46</f>
        <v>0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-0</v>
      </c>
      <c r="J48" s="2" t="n">
        <f aca="false">-charge!D46</f>
        <v>-0</v>
      </c>
      <c r="K48" s="2" t="n">
        <f aca="false">discharge!D46</f>
        <v>0</v>
      </c>
      <c r="L48" s="2" t="n">
        <f aca="false">soc!D46/investment!$E$3 *100</f>
        <v>25.1977788448594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5" t="n">
        <v>45</v>
      </c>
      <c r="E49" s="16" t="n">
        <f aca="false">IFERROR(INDEX($B$5:$C$173, MATCH($D49, $B$5:$B$175, 0), 2), 0)*investment!$C$3</f>
        <v>0</v>
      </c>
      <c r="F49" s="17" t="n">
        <f aca="false">demand!D47</f>
        <v>0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-0</v>
      </c>
      <c r="J49" s="2" t="n">
        <f aca="false">-charge!D47</f>
        <v>-0</v>
      </c>
      <c r="K49" s="2" t="n">
        <f aca="false">discharge!D47</f>
        <v>0</v>
      </c>
      <c r="L49" s="2" t="n">
        <f aca="false">soc!D47/investment!$E$3 *100</f>
        <v>28.3845646358561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5" t="n">
        <v>46</v>
      </c>
      <c r="E50" s="16" t="n">
        <f aca="false">IFERROR(INDEX($B$5:$C$173, MATCH($D50, $B$5:$B$175, 0), 2), 0)*investment!$C$3</f>
        <v>0</v>
      </c>
      <c r="F50" s="17" t="n">
        <f aca="false">demand!D48</f>
        <v>0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-0</v>
      </c>
      <c r="J50" s="2" t="n">
        <f aca="false">-charge!D48</f>
        <v>-0</v>
      </c>
      <c r="K50" s="2" t="n">
        <f aca="false">discharge!D48</f>
        <v>0</v>
      </c>
      <c r="L50" s="2" t="n">
        <f aca="false">soc!D48/investment!$E$3 *100</f>
        <v>34.8328814726949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5" t="n">
        <v>47</v>
      </c>
      <c r="E51" s="16" t="n">
        <f aca="false">IFERROR(INDEX($B$5:$C$173, MATCH($D51, $B$5:$B$175, 0), 2), 0)*investment!$C$3</f>
        <v>0</v>
      </c>
      <c r="F51" s="17" t="n">
        <f aca="false">demand!D49</f>
        <v>0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-0</v>
      </c>
      <c r="J51" s="2" t="n">
        <f aca="false">-charge!D49</f>
        <v>-0</v>
      </c>
      <c r="K51" s="2" t="n">
        <f aca="false">discharge!D49</f>
        <v>0</v>
      </c>
      <c r="L51" s="2" t="n">
        <f aca="false">soc!D49/investment!$E$3 *100</f>
        <v>38.3017213932127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5" t="n">
        <v>48</v>
      </c>
      <c r="E52" s="16" t="n">
        <f aca="false">IFERROR(INDEX($B$5:$C$173, MATCH($D52, $B$5:$B$175, 0), 2), 0)*investment!$C$3</f>
        <v>0</v>
      </c>
      <c r="F52" s="17" t="n">
        <f aca="false">demand!D50</f>
        <v>0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-0</v>
      </c>
      <c r="J52" s="2" t="n">
        <f aca="false">-charge!D50</f>
        <v>-0</v>
      </c>
      <c r="K52" s="2" t="n">
        <f aca="false">discharge!D50</f>
        <v>0</v>
      </c>
      <c r="L52" s="2" t="n">
        <f aca="false">soc!D50/investment!$E$3 *100</f>
        <v>44.811701002954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5" t="n">
        <v>49</v>
      </c>
      <c r="E53" s="16" t="n">
        <f aca="false">IFERROR(INDEX($B$5:$C$173, MATCH($D53, $B$5:$B$175, 0), 2), 0)*investment!$C$3</f>
        <v>0</v>
      </c>
      <c r="F53" s="17" t="n">
        <f aca="false">demand!D51</f>
        <v>0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-0</v>
      </c>
      <c r="J53" s="2" t="n">
        <f aca="false">-charge!D51</f>
        <v>-0</v>
      </c>
      <c r="K53" s="2" t="n">
        <f aca="false">discharge!D51</f>
        <v>0</v>
      </c>
      <c r="L53" s="2" t="n">
        <f aca="false">soc!D51/investment!$E$3 *100</f>
        <v>48.2392549814903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5" t="n">
        <v>50</v>
      </c>
      <c r="E54" s="16" t="n">
        <f aca="false">IFERROR(INDEX($B$5:$C$173, MATCH($D54, $B$5:$B$175, 0), 2), 0)*investment!$C$3</f>
        <v>0</v>
      </c>
      <c r="F54" s="17" t="n">
        <f aca="false">demand!D52</f>
        <v>0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-0</v>
      </c>
      <c r="J54" s="2" t="n">
        <f aca="false">-charge!D52</f>
        <v>-0</v>
      </c>
      <c r="K54" s="2" t="n">
        <f aca="false">discharge!D52</f>
        <v>0</v>
      </c>
      <c r="L54" s="2" t="n">
        <f aca="false">soc!D52/investment!$E$3 *100</f>
        <v>54.7397764858228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5" t="n">
        <v>51</v>
      </c>
      <c r="E55" s="16" t="n">
        <f aca="false">IFERROR(INDEX($B$5:$C$173, MATCH($D55, $B$5:$B$175, 0), 2), 0)*investment!$C$3</f>
        <v>0</v>
      </c>
      <c r="F55" s="17" t="n">
        <f aca="false">demand!D53</f>
        <v>0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-0</v>
      </c>
      <c r="J55" s="2" t="n">
        <f aca="false">-charge!D53</f>
        <v>-0</v>
      </c>
      <c r="K55" s="2" t="n">
        <f aca="false">discharge!D53</f>
        <v>0</v>
      </c>
      <c r="L55" s="2" t="n">
        <f aca="false">soc!D53/investment!$E$3 *100</f>
        <v>59.5387799147939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5" t="n">
        <v>52</v>
      </c>
      <c r="E56" s="16" t="n">
        <f aca="false">IFERROR(INDEX($B$5:$C$173, MATCH($D56, $B$5:$B$175, 0), 2), 0)*investment!$C$3</f>
        <v>0</v>
      </c>
      <c r="F56" s="17" t="n">
        <f aca="false">demand!D54</f>
        <v>0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-0</v>
      </c>
      <c r="J56" s="2" t="n">
        <f aca="false">-charge!D54</f>
        <v>-0</v>
      </c>
      <c r="K56" s="2" t="n">
        <f aca="false">discharge!D54</f>
        <v>0</v>
      </c>
      <c r="L56" s="2" t="n">
        <f aca="false">soc!D54/investment!$E$3 *100</f>
        <v>64.7143549601866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5" t="n">
        <v>53</v>
      </c>
      <c r="E57" s="16" t="n">
        <f aca="false">IFERROR(INDEX($B$5:$C$173, MATCH($D57, $B$5:$B$175, 0), 2), 0)*investment!$C$3</f>
        <v>0</v>
      </c>
      <c r="F57" s="17" t="n">
        <f aca="false">demand!D55</f>
        <v>0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-0</v>
      </c>
      <c r="J57" s="2" t="n">
        <f aca="false">-charge!D55</f>
        <v>-0</v>
      </c>
      <c r="K57" s="2" t="n">
        <f aca="false">discharge!D55</f>
        <v>0</v>
      </c>
      <c r="L57" s="2" t="n">
        <f aca="false">soc!D55/investment!$E$3 *100</f>
        <v>69.6841747605504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5" t="n">
        <v>54</v>
      </c>
      <c r="E58" s="16" t="n">
        <f aca="false">IFERROR(INDEX($B$5:$C$173, MATCH($D58, $B$5:$B$175, 0), 2), 0)*investment!$C$3</f>
        <v>0</v>
      </c>
      <c r="F58" s="17" t="n">
        <f aca="false">demand!D56</f>
        <v>0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-0</v>
      </c>
      <c r="J58" s="2" t="n">
        <f aca="false">-charge!D56</f>
        <v>-0</v>
      </c>
      <c r="K58" s="2" t="n">
        <f aca="false">discharge!D56</f>
        <v>0</v>
      </c>
      <c r="L58" s="2" t="n">
        <f aca="false">soc!D56/investment!$E$3 *100</f>
        <v>74.4869685361988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5" t="n">
        <v>55</v>
      </c>
      <c r="E59" s="16" t="n">
        <f aca="false">IFERROR(INDEX($B$5:$C$173, MATCH($D59, $B$5:$B$175, 0), 2), 0)*investment!$C$3</f>
        <v>0</v>
      </c>
      <c r="F59" s="17" t="n">
        <f aca="false">demand!D57</f>
        <v>0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-0</v>
      </c>
      <c r="J59" s="2" t="n">
        <f aca="false">-charge!D57</f>
        <v>-0</v>
      </c>
      <c r="K59" s="2" t="n">
        <f aca="false">discharge!D57</f>
        <v>0</v>
      </c>
      <c r="L59" s="2" t="n">
        <f aca="false">soc!D57/investment!$E$3 *100</f>
        <v>78.9340802521359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5" t="n">
        <v>56</v>
      </c>
      <c r="E60" s="16" t="n">
        <f aca="false">IFERROR(INDEX($B$5:$C$173, MATCH($D60, $B$5:$B$175, 0), 2), 0)*investment!$C$3</f>
        <v>0</v>
      </c>
      <c r="F60" s="17" t="n">
        <f aca="false">demand!D58</f>
        <v>0</v>
      </c>
      <c r="G60" s="2" t="n">
        <f aca="false">solgen!D58</f>
        <v>0</v>
      </c>
      <c r="H60" s="2" t="n">
        <f aca="false">import!D58</f>
        <v>0</v>
      </c>
      <c r="I60" s="2" t="n">
        <f aca="false">-export!D58</f>
        <v>-0</v>
      </c>
      <c r="J60" s="2" t="n">
        <f aca="false">-charge!D58</f>
        <v>-0</v>
      </c>
      <c r="K60" s="2" t="n">
        <f aca="false">discharge!D58</f>
        <v>0</v>
      </c>
      <c r="L60" s="2" t="n">
        <f aca="false">soc!D58/investment!$E$3 *100</f>
        <v>83.1430019306407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5" t="n">
        <v>57</v>
      </c>
      <c r="E61" s="16" t="n">
        <f aca="false">IFERROR(INDEX($B$5:$C$173, MATCH($D61, $B$5:$B$175, 0), 2), 0)*investment!$C$3</f>
        <v>0</v>
      </c>
      <c r="F61" s="17" t="n">
        <f aca="false">demand!D59</f>
        <v>0</v>
      </c>
      <c r="G61" s="2" t="n">
        <f aca="false">solgen!D59</f>
        <v>0</v>
      </c>
      <c r="H61" s="2" t="n">
        <f aca="false">import!D59</f>
        <v>0</v>
      </c>
      <c r="I61" s="2" t="n">
        <f aca="false">-export!D59</f>
        <v>-0</v>
      </c>
      <c r="J61" s="2" t="n">
        <f aca="false">-charge!D59</f>
        <v>-0</v>
      </c>
      <c r="K61" s="2" t="n">
        <f aca="false">discharge!D59</f>
        <v>0</v>
      </c>
      <c r="L61" s="2" t="n">
        <f aca="false">soc!D59/investment!$E$3 *100</f>
        <v>87.1918160273688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5" t="n">
        <v>58</v>
      </c>
      <c r="E62" s="16" t="n">
        <f aca="false">IFERROR(INDEX($B$5:$C$173, MATCH($D62, $B$5:$B$175, 0), 2), 0)*investment!$C$3</f>
        <v>0</v>
      </c>
      <c r="F62" s="17" t="n">
        <f aca="false">demand!D60</f>
        <v>0</v>
      </c>
      <c r="G62" s="2" t="n">
        <f aca="false">solgen!D60</f>
        <v>0</v>
      </c>
      <c r="H62" s="2" t="n">
        <f aca="false">import!D60</f>
        <v>0</v>
      </c>
      <c r="I62" s="2" t="n">
        <f aca="false">-export!D60</f>
        <v>-0</v>
      </c>
      <c r="J62" s="2" t="n">
        <f aca="false">-charge!D60</f>
        <v>-0</v>
      </c>
      <c r="K62" s="2" t="n">
        <f aca="false">discharge!D60</f>
        <v>0</v>
      </c>
      <c r="L62" s="2" t="n">
        <f aca="false">soc!D60/investment!$E$3 *100</f>
        <v>90.5149225216819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5" t="n">
        <v>59</v>
      </c>
      <c r="E63" s="16" t="n">
        <f aca="false">IFERROR(INDEX($B$5:$C$173, MATCH($D63, $B$5:$B$175, 0), 2), 0)*investment!$C$3</f>
        <v>0</v>
      </c>
      <c r="F63" s="17" t="n">
        <f aca="false">demand!D61</f>
        <v>0</v>
      </c>
      <c r="G63" s="2" t="n">
        <f aca="false">solgen!D61</f>
        <v>0</v>
      </c>
      <c r="H63" s="2" t="n">
        <f aca="false">import!D61</f>
        <v>0</v>
      </c>
      <c r="I63" s="2" t="n">
        <f aca="false">-export!D61</f>
        <v>-0</v>
      </c>
      <c r="J63" s="2" t="n">
        <f aca="false">-charge!D61</f>
        <v>-0</v>
      </c>
      <c r="K63" s="2" t="n">
        <f aca="false">discharge!D61</f>
        <v>0</v>
      </c>
      <c r="L63" s="2" t="n">
        <f aca="false">soc!D61/investment!$E$3 *100</f>
        <v>93.2083770842277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5" t="n">
        <v>60</v>
      </c>
      <c r="E64" s="16" t="n">
        <f aca="false">IFERROR(INDEX($B$5:$C$173, MATCH($D64, $B$5:$B$175, 0), 2), 0)*investment!$C$3</f>
        <v>0</v>
      </c>
      <c r="F64" s="17" t="n">
        <f aca="false">demand!D62</f>
        <v>0</v>
      </c>
      <c r="G64" s="2" t="n">
        <f aca="false">solgen!D62</f>
        <v>0</v>
      </c>
      <c r="H64" s="2" t="n">
        <f aca="false">import!D62</f>
        <v>0</v>
      </c>
      <c r="I64" s="2" t="n">
        <f aca="false">-export!D62</f>
        <v>-0</v>
      </c>
      <c r="J64" s="2" t="n">
        <f aca="false">-charge!D62</f>
        <v>-0</v>
      </c>
      <c r="K64" s="2" t="n">
        <f aca="false">discharge!D62</f>
        <v>0</v>
      </c>
      <c r="L64" s="2" t="n">
        <f aca="false">soc!D62/investment!$E$3 *100</f>
        <v>97.1589603204551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5" t="n">
        <v>61</v>
      </c>
      <c r="E65" s="16" t="n">
        <f aca="false">IFERROR(INDEX($B$5:$C$173, MATCH($D65, $B$5:$B$175, 0), 2), 0)*investment!$C$3</f>
        <v>0</v>
      </c>
      <c r="F65" s="17" t="n">
        <f aca="false">demand!D63</f>
        <v>0</v>
      </c>
      <c r="G65" s="2" t="n">
        <f aca="false">solgen!D63</f>
        <v>0</v>
      </c>
      <c r="H65" s="2" t="n">
        <f aca="false">import!D63</f>
        <v>0</v>
      </c>
      <c r="I65" s="2" t="n">
        <f aca="false">-export!D63</f>
        <v>-0</v>
      </c>
      <c r="J65" s="2" t="n">
        <f aca="false">-charge!D63</f>
        <v>-0</v>
      </c>
      <c r="K65" s="2" t="n">
        <f aca="false">discharge!D63</f>
        <v>0</v>
      </c>
      <c r="L65" s="2" t="n">
        <f aca="false">soc!D63/investment!$E$3 *100</f>
        <v>97.1579887308519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5" t="n">
        <v>62</v>
      </c>
      <c r="E66" s="16" t="n">
        <f aca="false">IFERROR(INDEX($B$5:$C$173, MATCH($D66, $B$5:$B$175, 0), 2), 0)*investment!$C$3</f>
        <v>0</v>
      </c>
      <c r="F66" s="17" t="n">
        <f aca="false">demand!D64</f>
        <v>0</v>
      </c>
      <c r="G66" s="2" t="n">
        <f aca="false">solgen!D64</f>
        <v>0</v>
      </c>
      <c r="H66" s="2" t="n">
        <f aca="false">import!D64</f>
        <v>0</v>
      </c>
      <c r="I66" s="2" t="n">
        <f aca="false">-export!D64</f>
        <v>-0</v>
      </c>
      <c r="J66" s="2" t="n">
        <f aca="false">-charge!D64</f>
        <v>-0</v>
      </c>
      <c r="K66" s="2" t="n">
        <f aca="false">discharge!D64</f>
        <v>0</v>
      </c>
      <c r="L66" s="2" t="n">
        <f aca="false">soc!D64/investment!$E$3 *100</f>
        <v>99.3409558544293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5" t="n">
        <v>63</v>
      </c>
      <c r="E67" s="16" t="n">
        <f aca="false">IFERROR(INDEX($B$5:$C$173, MATCH($D67, $B$5:$B$175, 0), 2), 0)*investment!$C$3</f>
        <v>0</v>
      </c>
      <c r="F67" s="17" t="n">
        <f aca="false">demand!D65</f>
        <v>0</v>
      </c>
      <c r="G67" s="2" t="n">
        <f aca="false">solgen!D65</f>
        <v>0</v>
      </c>
      <c r="H67" s="2" t="n">
        <f aca="false">import!D65</f>
        <v>0</v>
      </c>
      <c r="I67" s="2" t="n">
        <f aca="false">-export!D65</f>
        <v>-0</v>
      </c>
      <c r="J67" s="2" t="n">
        <f aca="false">-charge!D65</f>
        <v>-0</v>
      </c>
      <c r="K67" s="2" t="n">
        <f aca="false">discharge!D65</f>
        <v>0</v>
      </c>
      <c r="L67" s="2" t="n">
        <f aca="false">soc!D65/investment!$E$3 *100</f>
        <v>100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5" t="n">
        <v>64</v>
      </c>
      <c r="E68" s="16" t="n">
        <f aca="false">IFERROR(INDEX($B$5:$C$173, MATCH($D68, $B$5:$B$175, 0), 2), 0)*investment!$C$3</f>
        <v>0</v>
      </c>
      <c r="F68" s="17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-0</v>
      </c>
      <c r="J68" s="2" t="n">
        <f aca="false">-charge!D66</f>
        <v>-0</v>
      </c>
      <c r="K68" s="2" t="n">
        <f aca="false">discharge!D66</f>
        <v>0</v>
      </c>
      <c r="L68" s="2" t="n">
        <f aca="false">soc!D66/investment!$E$3 *100</f>
        <v>99.999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5" t="n">
        <v>65</v>
      </c>
      <c r="E69" s="16" t="n">
        <f aca="false">IFERROR(INDEX($B$5:$C$173, MATCH($D69, $B$5:$B$175, 0), 2), 0)*investment!$C$3</f>
        <v>0</v>
      </c>
      <c r="F69" s="17" t="n">
        <f aca="false">demand!D67</f>
        <v>0</v>
      </c>
      <c r="G69" s="2" t="n">
        <f aca="false">solgen!D67</f>
        <v>0</v>
      </c>
      <c r="H69" s="2" t="n">
        <f aca="false">import!D67</f>
        <v>0</v>
      </c>
      <c r="I69" s="2" t="n">
        <f aca="false">-export!D67</f>
        <v>-0</v>
      </c>
      <c r="J69" s="2" t="n">
        <f aca="false">-charge!D67</f>
        <v>-0</v>
      </c>
      <c r="K69" s="2" t="n">
        <f aca="false">discharge!D67</f>
        <v>0</v>
      </c>
      <c r="L69" s="2" t="n">
        <f aca="false">soc!D67/investment!$E$3 *100</f>
        <v>99.99800001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5" t="n">
        <v>66</v>
      </c>
      <c r="E70" s="16" t="n">
        <f aca="false">IFERROR(INDEX($B$5:$C$173, MATCH($D70, $B$5:$B$175, 0), 2), 0)*investment!$C$3</f>
        <v>0</v>
      </c>
      <c r="F70" s="17" t="n">
        <f aca="false">demand!D68</f>
        <v>0</v>
      </c>
      <c r="G70" s="2" t="n">
        <f aca="false">solgen!D68</f>
        <v>0</v>
      </c>
      <c r="H70" s="2" t="n">
        <f aca="false">import!D68</f>
        <v>0</v>
      </c>
      <c r="I70" s="2" t="n">
        <f aca="false">-export!D68</f>
        <v>-0</v>
      </c>
      <c r="J70" s="2" t="n">
        <f aca="false">-charge!D68</f>
        <v>-0</v>
      </c>
      <c r="K70" s="2" t="n">
        <f aca="false">discharge!D68</f>
        <v>0</v>
      </c>
      <c r="L70" s="2" t="n">
        <f aca="false">soc!D68/investment!$E$3 *100</f>
        <v>99.9970000299999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5" t="n">
        <v>67</v>
      </c>
      <c r="E71" s="16" t="n">
        <f aca="false">IFERROR(INDEX($B$5:$C$173, MATCH($D71, $B$5:$B$175, 0), 2), 0)*investment!$C$3</f>
        <v>0</v>
      </c>
      <c r="F71" s="17" t="n">
        <f aca="false">demand!D69</f>
        <v>0</v>
      </c>
      <c r="G71" s="2" t="n">
        <f aca="false">solgen!D69</f>
        <v>0</v>
      </c>
      <c r="H71" s="2" t="n">
        <f aca="false">import!D69</f>
        <v>0</v>
      </c>
      <c r="I71" s="2" t="n">
        <f aca="false">-export!D69</f>
        <v>-0</v>
      </c>
      <c r="J71" s="2" t="n">
        <f aca="false">-charge!D69</f>
        <v>-0</v>
      </c>
      <c r="K71" s="2" t="n">
        <f aca="false">discharge!D69</f>
        <v>0</v>
      </c>
      <c r="L71" s="2" t="n">
        <f aca="false">soc!D69/investment!$E$3 *100</f>
        <v>99.9960000632989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5" t="n">
        <v>68</v>
      </c>
      <c r="E72" s="16" t="n">
        <f aca="false">IFERROR(INDEX($B$5:$C$173, MATCH($D72, $B$5:$B$175, 0), 2), 0)*investment!$C$3</f>
        <v>0</v>
      </c>
      <c r="F72" s="17" t="n">
        <f aca="false">demand!D70</f>
        <v>0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-0</v>
      </c>
      <c r="J72" s="2" t="n">
        <f aca="false">-charge!D70</f>
        <v>-0</v>
      </c>
      <c r="K72" s="2" t="n">
        <f aca="false">discharge!D70</f>
        <v>0</v>
      </c>
      <c r="L72" s="2" t="n">
        <f aca="false">soc!D70/investment!$E$3 *100</f>
        <v>99.995000099924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5" t="n">
        <v>69</v>
      </c>
      <c r="E73" s="16" t="n">
        <f aca="false">IFERROR(INDEX($B$5:$C$173, MATCH($D73, $B$5:$B$175, 0), 2), 0)*investment!$C$3</f>
        <v>0</v>
      </c>
      <c r="F73" s="17" t="n">
        <f aca="false">demand!D71</f>
        <v>0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-0</v>
      </c>
      <c r="J73" s="2" t="n">
        <f aca="false">-charge!D71</f>
        <v>-0</v>
      </c>
      <c r="K73" s="2" t="n">
        <f aca="false">discharge!D71</f>
        <v>0</v>
      </c>
      <c r="L73" s="2" t="n">
        <f aca="false">soc!D71/investment!$E$3 *100</f>
        <v>99.994000149923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5" t="n">
        <v>70</v>
      </c>
      <c r="E74" s="16" t="n">
        <f aca="false">IFERROR(INDEX($B$5:$C$173, MATCH($D74, $B$5:$B$175, 0), 2), 0)*investment!$C$3</f>
        <v>0</v>
      </c>
      <c r="F74" s="17" t="n">
        <f aca="false">demand!D72</f>
        <v>0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-0</v>
      </c>
      <c r="J74" s="2" t="n">
        <f aca="false">-charge!D72</f>
        <v>-0</v>
      </c>
      <c r="K74" s="2" t="n">
        <f aca="false">discharge!D72</f>
        <v>0</v>
      </c>
      <c r="L74" s="2" t="n">
        <f aca="false">soc!D72/investment!$E$3 *100</f>
        <v>99.9930002099215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5" t="n">
        <v>71</v>
      </c>
      <c r="E75" s="16" t="n">
        <f aca="false">IFERROR(INDEX($B$5:$C$173, MATCH($D75, $B$5:$B$175, 0), 2), 0)*investment!$C$3</f>
        <v>0</v>
      </c>
      <c r="F75" s="17" t="n">
        <f aca="false">demand!D73</f>
        <v>0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-0</v>
      </c>
      <c r="J75" s="2" t="n">
        <f aca="false">-charge!D73</f>
        <v>-0</v>
      </c>
      <c r="K75" s="2" t="n">
        <f aca="false">discharge!D73</f>
        <v>0</v>
      </c>
      <c r="L75" s="2" t="n">
        <f aca="false">soc!D73/investment!$E$3 *100</f>
        <v>99.9920002799194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5" t="n">
        <v>72</v>
      </c>
      <c r="E76" s="16" t="n">
        <f aca="false">IFERROR(INDEX($B$5:$C$173, MATCH($D76, $B$5:$B$175, 0), 2), 0)*investment!$C$3</f>
        <v>0</v>
      </c>
      <c r="F76" s="17" t="n">
        <f aca="false">demand!D74</f>
        <v>0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-0</v>
      </c>
      <c r="J76" s="2" t="n">
        <f aca="false">-charge!D74</f>
        <v>-0</v>
      </c>
      <c r="K76" s="2" t="n">
        <f aca="false">discharge!D74</f>
        <v>0</v>
      </c>
      <c r="L76" s="2" t="n">
        <f aca="false">soc!D74/investment!$E$3 *100</f>
        <v>99.9910003599166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5" t="n">
        <v>73</v>
      </c>
      <c r="E77" s="16" t="n">
        <f aca="false">IFERROR(INDEX($B$5:$C$173, MATCH($D77, $B$5:$B$175, 0), 2), 0)*investment!$C$3</f>
        <v>0</v>
      </c>
      <c r="F77" s="17" t="n">
        <f aca="false">demand!D75</f>
        <v>0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-0</v>
      </c>
      <c r="J77" s="2" t="n">
        <f aca="false">-charge!D75</f>
        <v>-0</v>
      </c>
      <c r="K77" s="2" t="n">
        <f aca="false">discharge!D75</f>
        <v>0</v>
      </c>
      <c r="L77" s="2" t="n">
        <f aca="false">soc!D75/investment!$E$3 *100</f>
        <v>99.990000449913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5" t="n">
        <v>74</v>
      </c>
      <c r="E78" s="16" t="n">
        <f aca="false">IFERROR(INDEX($B$5:$C$173, MATCH($D78, $B$5:$B$175, 0), 2), 0)*investment!$C$3</f>
        <v>0</v>
      </c>
      <c r="F78" s="17" t="n">
        <f aca="false">demand!D76</f>
        <v>0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-0</v>
      </c>
      <c r="J78" s="2" t="n">
        <f aca="false">-charge!D76</f>
        <v>-0</v>
      </c>
      <c r="K78" s="2" t="n">
        <f aca="false">discharge!D76</f>
        <v>0</v>
      </c>
      <c r="L78" s="2" t="n">
        <f aca="false">soc!D76/investment!$E$3 *100</f>
        <v>99.9890005499085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5" t="n">
        <v>75</v>
      </c>
      <c r="E79" s="16" t="n">
        <f aca="false">IFERROR(INDEX($B$5:$C$173, MATCH($D79, $B$5:$B$175, 0), 2), 0)*investment!$C$3</f>
        <v>0</v>
      </c>
      <c r="F79" s="17" t="n">
        <f aca="false">demand!D77</f>
        <v>0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-0</v>
      </c>
      <c r="J79" s="2" t="n">
        <f aca="false">-charge!D77</f>
        <v>-0</v>
      </c>
      <c r="K79" s="2" t="n">
        <f aca="false">discharge!D77</f>
        <v>0</v>
      </c>
      <c r="L79" s="2" t="n">
        <f aca="false">soc!D77/investment!$E$3 *100</f>
        <v>99.988000659903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5" t="n">
        <v>76</v>
      </c>
      <c r="E80" s="16" t="n">
        <f aca="false">IFERROR(INDEX($B$5:$C$173, MATCH($D80, $B$5:$B$175, 0), 2), 0)*investment!$C$3</f>
        <v>0</v>
      </c>
      <c r="F80" s="17" t="n">
        <f aca="false">demand!D78</f>
        <v>0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-0</v>
      </c>
      <c r="J80" s="2" t="n">
        <f aca="false">-charge!D78</f>
        <v>-0</v>
      </c>
      <c r="K80" s="2" t="n">
        <f aca="false">discharge!D78</f>
        <v>0</v>
      </c>
      <c r="L80" s="2" t="n">
        <f aca="false">soc!D78/investment!$E$3 *100</f>
        <v>99.9870007798964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5" t="n">
        <v>77</v>
      </c>
      <c r="E81" s="16" t="n">
        <f aca="false">IFERROR(INDEX($B$5:$C$173, MATCH($D81, $B$5:$B$175, 0), 2), 0)*investment!$C$3</f>
        <v>0</v>
      </c>
      <c r="F81" s="17" t="n">
        <f aca="false">demand!D79</f>
        <v>0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-0</v>
      </c>
      <c r="J81" s="2" t="n">
        <f aca="false">-charge!D79</f>
        <v>-0</v>
      </c>
      <c r="K81" s="2" t="n">
        <f aca="false">discharge!D79</f>
        <v>0</v>
      </c>
      <c r="L81" s="2" t="n">
        <f aca="false">soc!D79/investment!$E$3 *100</f>
        <v>99.9860009098886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5" t="n">
        <v>78</v>
      </c>
      <c r="E82" s="16" t="n">
        <f aca="false">IFERROR(INDEX($B$5:$C$173, MATCH($D82, $B$5:$B$175, 0), 2), 0)*investment!$C$3</f>
        <v>0</v>
      </c>
      <c r="F82" s="17" t="n">
        <f aca="false">demand!D80</f>
        <v>0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-0</v>
      </c>
      <c r="J82" s="2" t="n">
        <f aca="false">-charge!D80</f>
        <v>-0</v>
      </c>
      <c r="K82" s="2" t="n">
        <f aca="false">discharge!D80</f>
        <v>0</v>
      </c>
      <c r="L82" s="2" t="n">
        <f aca="false">soc!D80/investment!$E$3 *100</f>
        <v>99.9850010498796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5" t="n">
        <v>79</v>
      </c>
      <c r="E83" s="16" t="n">
        <f aca="false">IFERROR(INDEX($B$5:$C$173, MATCH($D83, $B$5:$B$175, 0), 2), 0)*investment!$C$3</f>
        <v>0</v>
      </c>
      <c r="F83" s="17" t="n">
        <f aca="false">demand!D81</f>
        <v>0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-0</v>
      </c>
      <c r="J83" s="2" t="n">
        <f aca="false">-charge!D81</f>
        <v>-0</v>
      </c>
      <c r="K83" s="2" t="n">
        <f aca="false">discharge!D81</f>
        <v>0</v>
      </c>
      <c r="L83" s="2" t="n">
        <f aca="false">soc!D81/investment!$E$3 *100</f>
        <v>99.9840011998691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5" t="n">
        <v>80</v>
      </c>
      <c r="E84" s="16" t="n">
        <f aca="false">IFERROR(INDEX($B$5:$C$173, MATCH($D84, $B$5:$B$175, 0), 2), 0)*investment!$C$3</f>
        <v>0</v>
      </c>
      <c r="F84" s="17" t="n">
        <f aca="false">demand!D82</f>
        <v>0</v>
      </c>
      <c r="G84" s="2" t="n">
        <f aca="false">solgen!D82</f>
        <v>0</v>
      </c>
      <c r="H84" s="2" t="n">
        <f aca="false">import!D82</f>
        <v>0</v>
      </c>
      <c r="I84" s="2" t="n">
        <f aca="false">-export!D82</f>
        <v>-0</v>
      </c>
      <c r="J84" s="2" t="n">
        <f aca="false">-charge!D82</f>
        <v>-0</v>
      </c>
      <c r="K84" s="2" t="n">
        <f aca="false">discharge!D82</f>
        <v>0</v>
      </c>
      <c r="L84" s="2" t="n">
        <f aca="false">soc!D82/investment!$E$3 *100</f>
        <v>99.9830013598571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5" t="n">
        <v>81</v>
      </c>
      <c r="E85" s="16" t="n">
        <f aca="false">IFERROR(INDEX($B$5:$C$173, MATCH($D85, $B$5:$B$175, 0), 2), 0)*investment!$C$3</f>
        <v>0</v>
      </c>
      <c r="F85" s="17" t="n">
        <f aca="false">demand!D83</f>
        <v>0</v>
      </c>
      <c r="G85" s="2" t="n">
        <f aca="false">solgen!D83</f>
        <v>0</v>
      </c>
      <c r="H85" s="2" t="n">
        <f aca="false">import!D83</f>
        <v>0</v>
      </c>
      <c r="I85" s="2" t="n">
        <f aca="false">-export!D83</f>
        <v>-0</v>
      </c>
      <c r="J85" s="2" t="n">
        <f aca="false">-charge!D83</f>
        <v>-0</v>
      </c>
      <c r="K85" s="2" t="n">
        <f aca="false">discharge!D83</f>
        <v>0</v>
      </c>
      <c r="L85" s="2" t="n">
        <f aca="false">soc!D83/investment!$E$3 *100</f>
        <v>99.9820015298435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5" t="n">
        <v>82</v>
      </c>
      <c r="E86" s="16" t="n">
        <f aca="false">IFERROR(INDEX($B$5:$C$173, MATCH($D86, $B$5:$B$175, 0), 2), 0)*investment!$C$3</f>
        <v>0</v>
      </c>
      <c r="F86" s="17" t="n">
        <f aca="false">demand!D84</f>
        <v>0</v>
      </c>
      <c r="G86" s="2" t="n">
        <f aca="false">solgen!D84</f>
        <v>0</v>
      </c>
      <c r="H86" s="2" t="n">
        <f aca="false">import!D84</f>
        <v>0</v>
      </c>
      <c r="I86" s="2" t="n">
        <f aca="false">-export!D84</f>
        <v>-0</v>
      </c>
      <c r="J86" s="2" t="n">
        <f aca="false">-charge!D84</f>
        <v>-0</v>
      </c>
      <c r="K86" s="2" t="n">
        <f aca="false">discharge!D84</f>
        <v>0</v>
      </c>
      <c r="L86" s="2" t="n">
        <f aca="false">soc!D84/investment!$E$3 *100</f>
        <v>99.9810017076535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5" t="n">
        <v>83</v>
      </c>
      <c r="E87" s="16" t="n">
        <f aca="false">IFERROR(INDEX($B$5:$C$173, MATCH($D87, $B$5:$B$175, 0), 2), 0)*investment!$C$3</f>
        <v>0</v>
      </c>
      <c r="F87" s="17" t="n">
        <f aca="false">demand!D85</f>
        <v>0</v>
      </c>
      <c r="G87" s="2" t="n">
        <f aca="false">solgen!D85</f>
        <v>0</v>
      </c>
      <c r="H87" s="2" t="n">
        <f aca="false">import!D85</f>
        <v>0</v>
      </c>
      <c r="I87" s="2" t="n">
        <f aca="false">-export!D85</f>
        <v>-0</v>
      </c>
      <c r="J87" s="2" t="n">
        <f aca="false">-charge!D85</f>
        <v>-0</v>
      </c>
      <c r="K87" s="2" t="n">
        <f aca="false">discharge!D85</f>
        <v>0</v>
      </c>
      <c r="L87" s="2" t="n">
        <f aca="false">soc!D85/investment!$E$3 *100</f>
        <v>91.4172099238257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5" t="n">
        <v>84</v>
      </c>
      <c r="E88" s="16" t="n">
        <f aca="false">IFERROR(INDEX($B$5:$C$173, MATCH($D88, $B$5:$B$175, 0), 2), 0)*investment!$C$3</f>
        <v>0</v>
      </c>
      <c r="F88" s="17" t="n">
        <f aca="false">demand!D86</f>
        <v>0</v>
      </c>
      <c r="G88" s="2" t="n">
        <f aca="false">solgen!D86</f>
        <v>0</v>
      </c>
      <c r="H88" s="2" t="n">
        <f aca="false">import!D86</f>
        <v>0</v>
      </c>
      <c r="I88" s="2" t="n">
        <f aca="false">-export!D86</f>
        <v>-0</v>
      </c>
      <c r="J88" s="2" t="n">
        <f aca="false">-charge!D86</f>
        <v>-0</v>
      </c>
      <c r="K88" s="2" t="n">
        <f aca="false">discharge!D86</f>
        <v>0</v>
      </c>
      <c r="L88" s="2" t="n">
        <f aca="false">soc!D86/investment!$E$3 *100</f>
        <v>91.4162957495518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0)*investment!$C$3</f>
        <v>0</v>
      </c>
      <c r="F89" s="17" t="n">
        <f aca="false">demand!D87</f>
        <v>0</v>
      </c>
      <c r="G89" s="2" t="n">
        <f aca="false">solgen!D87</f>
        <v>0</v>
      </c>
      <c r="H89" s="2" t="n">
        <f aca="false">import!D87</f>
        <v>0</v>
      </c>
      <c r="I89" s="2" t="n">
        <f aca="false">-export!D87</f>
        <v>-0</v>
      </c>
      <c r="J89" s="2" t="n">
        <f aca="false">-charge!D87</f>
        <v>-0</v>
      </c>
      <c r="K89" s="2" t="n">
        <f aca="false">discharge!D87</f>
        <v>0</v>
      </c>
      <c r="L89" s="2" t="n">
        <f aca="false">soc!D87/investment!$E$3 *100</f>
        <v>91.4153815865943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0)*investment!$C$3</f>
        <v>0</v>
      </c>
      <c r="F90" s="17" t="n">
        <f aca="false">demand!D88</f>
        <v>0</v>
      </c>
      <c r="G90" s="2" t="n">
        <f aca="false">solgen!D88</f>
        <v>0</v>
      </c>
      <c r="H90" s="2" t="n">
        <f aca="false">import!D88</f>
        <v>0</v>
      </c>
      <c r="I90" s="2" t="n">
        <f aca="false">-export!D88</f>
        <v>-0</v>
      </c>
      <c r="J90" s="2" t="n">
        <f aca="false">-charge!D88</f>
        <v>-0</v>
      </c>
      <c r="K90" s="2" t="n">
        <f aca="false">discharge!D88</f>
        <v>0</v>
      </c>
      <c r="L90" s="2" t="n">
        <f aca="false">soc!D88/investment!$E$3 *100</f>
        <v>91.4144674327784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0)*investment!$C$3</f>
        <v>0</v>
      </c>
      <c r="F91" s="17" t="n">
        <f aca="false">demand!D89</f>
        <v>0</v>
      </c>
      <c r="G91" s="2" t="n">
        <f aca="false">solgen!D89</f>
        <v>0</v>
      </c>
      <c r="H91" s="2" t="n">
        <f aca="false">import!D89</f>
        <v>0</v>
      </c>
      <c r="I91" s="2" t="n">
        <f aca="false">-export!D89</f>
        <v>-0</v>
      </c>
      <c r="J91" s="2" t="n">
        <f aca="false">-charge!D89</f>
        <v>-0</v>
      </c>
      <c r="K91" s="2" t="n">
        <f aca="false">discharge!D89</f>
        <v>0</v>
      </c>
      <c r="L91" s="2" t="n">
        <f aca="false">soc!D89/investment!$E$3 *100</f>
        <v>91.4135532881041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0)*investment!$C$3</f>
        <v>0</v>
      </c>
      <c r="F92" s="17" t="n">
        <f aca="false">demand!D90</f>
        <v>0</v>
      </c>
      <c r="G92" s="2" t="n">
        <f aca="false">solgen!D90</f>
        <v>0</v>
      </c>
      <c r="H92" s="2" t="n">
        <f aca="false">import!D90</f>
        <v>0</v>
      </c>
      <c r="I92" s="2" t="n">
        <f aca="false">-export!D90</f>
        <v>-0</v>
      </c>
      <c r="J92" s="2" t="n">
        <f aca="false">-charge!D90</f>
        <v>-0</v>
      </c>
      <c r="K92" s="2" t="n">
        <f aca="false">discharge!D90</f>
        <v>0</v>
      </c>
      <c r="L92" s="2" t="n">
        <f aca="false">soc!D90/investment!$E$3 *100</f>
        <v>91.4126391525712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0)*investment!$C$3</f>
        <v>0</v>
      </c>
      <c r="F93" s="17" t="n">
        <f aca="false">demand!D91</f>
        <v>0</v>
      </c>
      <c r="G93" s="2" t="n">
        <f aca="false">solgen!D91</f>
        <v>0</v>
      </c>
      <c r="H93" s="2" t="n">
        <f aca="false">import!D91</f>
        <v>0</v>
      </c>
      <c r="I93" s="2" t="n">
        <f aca="false">-export!D91</f>
        <v>-0</v>
      </c>
      <c r="J93" s="2" t="n">
        <f aca="false">-charge!D91</f>
        <v>-0</v>
      </c>
      <c r="K93" s="2" t="n">
        <f aca="false">discharge!D91</f>
        <v>0</v>
      </c>
      <c r="L93" s="2" t="n">
        <f aca="false">soc!D91/investment!$E$3 *100</f>
        <v>91.4117250261797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0)*investment!$C$3</f>
        <v>0</v>
      </c>
      <c r="F94" s="17" t="n">
        <f aca="false">demand!D92</f>
        <v>0</v>
      </c>
      <c r="G94" s="2" t="n">
        <f aca="false">solgen!D92</f>
        <v>0</v>
      </c>
      <c r="H94" s="2" t="n">
        <f aca="false">import!D92</f>
        <v>0</v>
      </c>
      <c r="I94" s="2" t="n">
        <f aca="false">-export!D92</f>
        <v>-0</v>
      </c>
      <c r="J94" s="2" t="n">
        <f aca="false">-charge!D92</f>
        <v>-0</v>
      </c>
      <c r="K94" s="2" t="n">
        <f aca="false">discharge!D92</f>
        <v>0</v>
      </c>
      <c r="L94" s="2" t="n">
        <f aca="false">soc!D92/investment!$E$3 *100</f>
        <v>91.4108109089294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0)*investment!$C$3</f>
        <v>0</v>
      </c>
      <c r="F95" s="17" t="n">
        <f aca="false">demand!D93</f>
        <v>0</v>
      </c>
      <c r="G95" s="2" t="n">
        <f aca="false">solgen!D93</f>
        <v>0</v>
      </c>
      <c r="H95" s="2" t="n">
        <f aca="false">import!D93</f>
        <v>0</v>
      </c>
      <c r="I95" s="2" t="n">
        <f aca="false">-export!D93</f>
        <v>-0</v>
      </c>
      <c r="J95" s="2" t="n">
        <f aca="false">-charge!D93</f>
        <v>-0</v>
      </c>
      <c r="K95" s="2" t="n">
        <f aca="false">discharge!D93</f>
        <v>0</v>
      </c>
      <c r="L95" s="2" t="n">
        <f aca="false">soc!D93/investment!$E$3 *100</f>
        <v>91.4098968008203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0)*investment!$C$3</f>
        <v>0</v>
      </c>
      <c r="F96" s="17" t="n">
        <f aca="false">demand!D94</f>
        <v>0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-0</v>
      </c>
      <c r="J96" s="2" t="n">
        <f aca="false">-charge!D94</f>
        <v>-0</v>
      </c>
      <c r="K96" s="2" t="n">
        <f aca="false">discharge!D94</f>
        <v>0</v>
      </c>
      <c r="L96" s="2" t="n">
        <f aca="false">soc!D94/investment!$E$3 *100</f>
        <v>91.4089827018523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0)*investment!$C$3</f>
        <v>0</v>
      </c>
      <c r="F97" s="17" t="n">
        <f aca="false">demand!D95</f>
        <v>0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-0</v>
      </c>
      <c r="J97" s="2" t="n">
        <f aca="false">-charge!D95</f>
        <v>-0</v>
      </c>
      <c r="K97" s="2" t="n">
        <f aca="false">discharge!D95</f>
        <v>0</v>
      </c>
      <c r="L97" s="2" t="n">
        <f aca="false">soc!D95/investment!$E$3 *100</f>
        <v>91.4080686106754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0)*investment!$C$3</f>
        <v>0</v>
      </c>
      <c r="F98" s="17" t="n">
        <f aca="false">demand!D96</f>
        <v>0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-0</v>
      </c>
      <c r="J98" s="2" t="n">
        <f aca="false">-charge!D96</f>
        <v>-0</v>
      </c>
      <c r="K98" s="2" t="n">
        <f aca="false">discharge!D96</f>
        <v>0</v>
      </c>
      <c r="L98" s="2" t="n">
        <f aca="false">soc!D96/investment!$E$3 *100</f>
        <v>87.2108911294593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0)*investment!$C$3</f>
        <v>0</v>
      </c>
      <c r="F99" s="17" t="n">
        <f aca="false">demand!D97</f>
        <v>0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-0</v>
      </c>
      <c r="J99" s="2" t="n">
        <f aca="false">-charge!D97</f>
        <v>-0</v>
      </c>
      <c r="K99" s="2" t="n">
        <f aca="false">discharge!D97</f>
        <v>0</v>
      </c>
      <c r="L99" s="2" t="n">
        <f aca="false">soc!D97/investment!$E$3 *100</f>
        <v>84.9598860943976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0)*investment!$C$3</f>
        <v>0</v>
      </c>
      <c r="F100" s="17" t="n">
        <f aca="false">demand!D98</f>
        <v>0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-0</v>
      </c>
      <c r="J100" s="2" t="n">
        <f aca="false">-charge!D98</f>
        <v>-0</v>
      </c>
      <c r="K100" s="2" t="n">
        <f aca="false">discharge!D98</f>
        <v>0</v>
      </c>
      <c r="L100" s="2" t="n">
        <f aca="false">soc!D98/investment!$E$3 *100</f>
        <v>82.821105701838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0)*investment!$C$3</f>
        <v>0</v>
      </c>
      <c r="F101" s="17" t="n">
        <f aca="false">demand!D99</f>
        <v>0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-0</v>
      </c>
      <c r="J101" s="2" t="n">
        <f aca="false">-charge!D99</f>
        <v>-0</v>
      </c>
      <c r="K101" s="2" t="n">
        <f aca="false">discharge!D99</f>
        <v>0</v>
      </c>
      <c r="L101" s="2" t="n">
        <f aca="false">soc!D99/investment!$E$3 *100</f>
        <v>79.1470801646863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0)*investment!$C$3</f>
        <v>0</v>
      </c>
      <c r="F102" s="17" t="n">
        <f aca="false">demand!D100</f>
        <v>0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-0</v>
      </c>
      <c r="J102" s="2" t="n">
        <f aca="false">-charge!D100</f>
        <v>-0</v>
      </c>
      <c r="K102" s="2" t="n">
        <f aca="false">discharge!D100</f>
        <v>0</v>
      </c>
      <c r="L102" s="2" t="n">
        <f aca="false">soc!D100/investment!$E$3 *100</f>
        <v>77.6457744346916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0)*investment!$C$3</f>
        <v>0</v>
      </c>
      <c r="F103" s="17" t="n">
        <f aca="false">demand!D101</f>
        <v>0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-0</v>
      </c>
      <c r="J103" s="2" t="n">
        <f aca="false">-charge!D101</f>
        <v>-0</v>
      </c>
      <c r="K103" s="2" t="n">
        <f aca="false">discharge!D101</f>
        <v>0</v>
      </c>
      <c r="L103" s="2" t="n">
        <f aca="false">soc!D101/investment!$E$3 *100</f>
        <v>73.721980702384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0)*investment!$C$3</f>
        <v>0</v>
      </c>
      <c r="F104" s="17" t="n">
        <f aca="false">demand!D102</f>
        <v>0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-0</v>
      </c>
      <c r="J104" s="2" t="n">
        <f aca="false">-charge!D102</f>
        <v>-0</v>
      </c>
      <c r="K104" s="2" t="n">
        <f aca="false">discharge!D102</f>
        <v>0</v>
      </c>
      <c r="L104" s="2" t="n">
        <f aca="false">soc!D102/investment!$E$3 *100</f>
        <v>72.2208711039705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0)*investment!$C$3</f>
        <v>0</v>
      </c>
      <c r="F105" s="17" t="n">
        <f aca="false">demand!D103</f>
        <v>0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-0</v>
      </c>
      <c r="J105" s="2" t="n">
        <f aca="false">-charge!D103</f>
        <v>-0</v>
      </c>
      <c r="K105" s="2" t="n">
        <f aca="false">discharge!D103</f>
        <v>0</v>
      </c>
      <c r="L105" s="2" t="n">
        <f aca="false">soc!D103/investment!$E$3 *100</f>
        <v>68.4422860487615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0)*investment!$C$3</f>
        <v>0</v>
      </c>
      <c r="F106" s="17" t="n">
        <f aca="false">demand!D104</f>
        <v>0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-0</v>
      </c>
      <c r="J106" s="2" t="n">
        <f aca="false">-charge!D104</f>
        <v>-0</v>
      </c>
      <c r="K106" s="2" t="n">
        <f aca="false">discharge!D104</f>
        <v>0</v>
      </c>
      <c r="L106" s="2" t="n">
        <f aca="false">soc!D104/investment!$E$3 *100</f>
        <v>65.2905672104406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0)*investment!$C$3</f>
        <v>0</v>
      </c>
      <c r="F107" s="17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-0</v>
      </c>
      <c r="J107" s="2" t="n">
        <f aca="false">-charge!D105</f>
        <v>-0</v>
      </c>
      <c r="K107" s="2" t="n">
        <f aca="false">discharge!D105</f>
        <v>0</v>
      </c>
      <c r="L107" s="2" t="n">
        <f aca="false">soc!D105/investment!$E$3 *100</f>
        <v>64.1802641203429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0)*investment!$C$3</f>
        <v>0</v>
      </c>
      <c r="F108" s="17" t="n">
        <f aca="false">demand!D106</f>
        <v>0</v>
      </c>
      <c r="G108" s="2" t="n">
        <f aca="false">solgen!D106</f>
        <v>0</v>
      </c>
      <c r="H108" s="2" t="n">
        <f aca="false">import!D106</f>
        <v>0</v>
      </c>
      <c r="I108" s="2" t="n">
        <f aca="false">-export!D106</f>
        <v>-0</v>
      </c>
      <c r="J108" s="2" t="n">
        <f aca="false">-charge!D106</f>
        <v>-0</v>
      </c>
      <c r="K108" s="2" t="n">
        <f aca="false">discharge!D106</f>
        <v>0</v>
      </c>
      <c r="L108" s="2" t="n">
        <f aca="false">soc!D106/investment!$E$3 *100</f>
        <v>60.3805843230779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0)*investment!$C$3</f>
        <v>0</v>
      </c>
      <c r="F109" s="17" t="n">
        <f aca="false">demand!D107</f>
        <v>0</v>
      </c>
      <c r="G109" s="2" t="n">
        <f aca="false">solgen!D107</f>
        <v>0</v>
      </c>
      <c r="H109" s="2" t="n">
        <f aca="false">import!D107</f>
        <v>0</v>
      </c>
      <c r="I109" s="2" t="n">
        <f aca="false">-export!D107</f>
        <v>-0</v>
      </c>
      <c r="J109" s="2" t="n">
        <f aca="false">-charge!D107</f>
        <v>-0</v>
      </c>
      <c r="K109" s="2" t="n">
        <f aca="false">discharge!D107</f>
        <v>0</v>
      </c>
      <c r="L109" s="2" t="n">
        <f aca="false">soc!D107/investment!$E$3 *100</f>
        <v>56.7863707884788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0)*investment!$C$3</f>
        <v>0</v>
      </c>
      <c r="F110" s="17" t="n">
        <f aca="false">demand!D108</f>
        <v>0</v>
      </c>
      <c r="G110" s="2" t="n">
        <f aca="false">solgen!D108</f>
        <v>0</v>
      </c>
      <c r="H110" s="2" t="n">
        <f aca="false">import!D108</f>
        <v>0</v>
      </c>
      <c r="I110" s="2" t="n">
        <f aca="false">-export!D108</f>
        <v>-0</v>
      </c>
      <c r="J110" s="2" t="n">
        <f aca="false">-charge!D108</f>
        <v>-0</v>
      </c>
      <c r="K110" s="2" t="n">
        <f aca="false">discharge!D108</f>
        <v>0</v>
      </c>
      <c r="L110" s="2" t="n">
        <f aca="false">soc!D108/investment!$E$3 *100</f>
        <v>53.5193518286458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0)*investment!$C$3</f>
        <v>0</v>
      </c>
      <c r="F111" s="17" t="n">
        <f aca="false">demand!D109</f>
        <v>0</v>
      </c>
      <c r="G111" s="2" t="n">
        <f aca="false">solgen!D109</f>
        <v>0</v>
      </c>
      <c r="H111" s="2" t="n">
        <f aca="false">import!D109</f>
        <v>0</v>
      </c>
      <c r="I111" s="2" t="n">
        <f aca="false">-export!D109</f>
        <v>-0</v>
      </c>
      <c r="J111" s="2" t="n">
        <f aca="false">-charge!D109</f>
        <v>-0</v>
      </c>
      <c r="K111" s="2" t="n">
        <f aca="false">discharge!D109</f>
        <v>0</v>
      </c>
      <c r="L111" s="2" t="n">
        <f aca="false">soc!D109/investment!$E$3 *100</f>
        <v>49.9675582614338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0)*investment!$C$3</f>
        <v>0</v>
      </c>
      <c r="F112" s="17" t="n">
        <f aca="false">demand!D110</f>
        <v>0</v>
      </c>
      <c r="G112" s="2" t="n">
        <f aca="false">solgen!D110</f>
        <v>0</v>
      </c>
      <c r="H112" s="2" t="n">
        <f aca="false">import!D110</f>
        <v>0</v>
      </c>
      <c r="I112" s="2" t="n">
        <f aca="false">-export!D110</f>
        <v>-0</v>
      </c>
      <c r="J112" s="2" t="n">
        <f aca="false">-charge!D110</f>
        <v>-0</v>
      </c>
      <c r="K112" s="2" t="n">
        <f aca="false">discharge!D110</f>
        <v>0</v>
      </c>
      <c r="L112" s="2" t="n">
        <f aca="false">soc!D110/investment!$E$3 *100</f>
        <v>46.7016768881763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0)*investment!$C$3</f>
        <v>0</v>
      </c>
      <c r="F113" s="17" t="n">
        <f aca="false">demand!D111</f>
        <v>0</v>
      </c>
      <c r="G113" s="2" t="n">
        <f aca="false">solgen!D111</f>
        <v>0</v>
      </c>
      <c r="H113" s="2" t="n">
        <f aca="false">import!D111</f>
        <v>0</v>
      </c>
      <c r="I113" s="2" t="n">
        <f aca="false">-export!D111</f>
        <v>-0</v>
      </c>
      <c r="J113" s="2" t="n">
        <f aca="false">-charge!D111</f>
        <v>-0</v>
      </c>
      <c r="K113" s="2" t="n">
        <f aca="false">discharge!D111</f>
        <v>0</v>
      </c>
      <c r="L113" s="2" t="n">
        <f aca="false">soc!D111/investment!$E$3 *100</f>
        <v>43.1266576700839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0)*investment!$C$3</f>
        <v>0</v>
      </c>
      <c r="F114" s="17" t="n">
        <f aca="false">demand!D112</f>
        <v>0</v>
      </c>
      <c r="G114" s="2" t="n">
        <f aca="false">solgen!D112</f>
        <v>0</v>
      </c>
      <c r="H114" s="2" t="n">
        <f aca="false">import!D112</f>
        <v>0</v>
      </c>
      <c r="I114" s="2" t="n">
        <f aca="false">-export!D112</f>
        <v>-0</v>
      </c>
      <c r="J114" s="2" t="n">
        <f aca="false">-charge!D112</f>
        <v>-0</v>
      </c>
      <c r="K114" s="2" t="n">
        <f aca="false">discharge!D112</f>
        <v>0</v>
      </c>
      <c r="L114" s="2" t="n">
        <f aca="false">soc!D112/investment!$E$3 *100</f>
        <v>39.7179063678229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0)*investment!$C$3</f>
        <v>0</v>
      </c>
      <c r="F115" s="17" t="n">
        <f aca="false">demand!D113</f>
        <v>0</v>
      </c>
      <c r="G115" s="2" t="n">
        <f aca="false">solgen!D113</f>
        <v>0</v>
      </c>
      <c r="H115" s="2" t="n">
        <f aca="false">import!D113</f>
        <v>0</v>
      </c>
      <c r="I115" s="2" t="n">
        <f aca="false">-export!D113</f>
        <v>-0</v>
      </c>
      <c r="J115" s="2" t="n">
        <f aca="false">-charge!D113</f>
        <v>-0</v>
      </c>
      <c r="K115" s="2" t="n">
        <f aca="false">discharge!D113</f>
        <v>0</v>
      </c>
      <c r="L115" s="2" t="n">
        <f aca="false">soc!D113/investment!$E$3 *100</f>
        <v>36.0921362084093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0)*investment!$C$3</f>
        <v>0</v>
      </c>
      <c r="F116" s="17" t="n">
        <f aca="false">demand!D114</f>
        <v>0</v>
      </c>
      <c r="G116" s="2" t="n">
        <f aca="false">solgen!D114</f>
        <v>0</v>
      </c>
      <c r="H116" s="2" t="n">
        <f aca="false">import!D114</f>
        <v>0</v>
      </c>
      <c r="I116" s="2" t="n">
        <f aca="false">-export!D114</f>
        <v>-0</v>
      </c>
      <c r="J116" s="2" t="n">
        <f aca="false">-charge!D114</f>
        <v>-0</v>
      </c>
      <c r="K116" s="2" t="n">
        <f aca="false">discharge!D114</f>
        <v>0</v>
      </c>
      <c r="L116" s="2" t="n">
        <f aca="false">soc!D114/investment!$E$3 *100</f>
        <v>32.1343167547635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0)*investment!$C$3</f>
        <v>0</v>
      </c>
      <c r="F117" s="17" t="n">
        <f aca="false">demand!D115</f>
        <v>0</v>
      </c>
      <c r="G117" s="2" t="n">
        <f aca="false">solgen!D115</f>
        <v>0</v>
      </c>
      <c r="H117" s="2" t="n">
        <f aca="false">import!D115</f>
        <v>0</v>
      </c>
      <c r="I117" s="2" t="n">
        <f aca="false">-export!D115</f>
        <v>-0</v>
      </c>
      <c r="J117" s="2" t="n">
        <f aca="false">-charge!D115</f>
        <v>-0</v>
      </c>
      <c r="K117" s="2" t="n">
        <f aca="false">discharge!D115</f>
        <v>0</v>
      </c>
      <c r="L117" s="2" t="n">
        <f aca="false">soc!D115/investment!$E$3 *100</f>
        <v>29.5187306785368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0)*investment!$C$3</f>
        <v>0</v>
      </c>
      <c r="F118" s="17" t="n">
        <f aca="false">demand!D116</f>
        <v>0</v>
      </c>
      <c r="G118" s="2" t="n">
        <f aca="false">solgen!D116</f>
        <v>0</v>
      </c>
      <c r="H118" s="2" t="n">
        <f aca="false">import!D116</f>
        <v>0</v>
      </c>
      <c r="I118" s="2" t="n">
        <f aca="false">-export!D116</f>
        <v>-0</v>
      </c>
      <c r="J118" s="2" t="n">
        <f aca="false">-charge!D116</f>
        <v>-0</v>
      </c>
      <c r="K118" s="2" t="n">
        <f aca="false">discharge!D116</f>
        <v>0</v>
      </c>
      <c r="L118" s="2" t="n">
        <f aca="false">soc!D116/investment!$E$3 *100</f>
        <v>26.0296511632396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0)*investment!$C$3</f>
        <v>0</v>
      </c>
      <c r="F119" s="17" t="n">
        <f aca="false">demand!D117</f>
        <v>0</v>
      </c>
      <c r="G119" s="2" t="n">
        <f aca="false">solgen!D117</f>
        <v>0</v>
      </c>
      <c r="H119" s="2" t="n">
        <f aca="false">import!D117</f>
        <v>0</v>
      </c>
      <c r="I119" s="2" t="n">
        <f aca="false">-export!D117</f>
        <v>-0</v>
      </c>
      <c r="J119" s="2" t="n">
        <f aca="false">-charge!D117</f>
        <v>-0</v>
      </c>
      <c r="K119" s="2" t="n">
        <f aca="false">discharge!D117</f>
        <v>0</v>
      </c>
      <c r="L119" s="2" t="n">
        <f aca="false">soc!D117/investment!$E$3 *100</f>
        <v>22.2991946032333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0)*investment!$C$3</f>
        <v>0</v>
      </c>
      <c r="F120" s="17" t="n">
        <f aca="false">demand!D118</f>
        <v>0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-0</v>
      </c>
      <c r="J120" s="2" t="n">
        <f aca="false">-charge!D118</f>
        <v>-0</v>
      </c>
      <c r="K120" s="2" t="n">
        <f aca="false">discharge!D118</f>
        <v>0</v>
      </c>
      <c r="L120" s="2" t="n">
        <f aca="false">soc!D118/investment!$E$3 *100</f>
        <v>17.1817348522778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0)*investment!$C$3</f>
        <v>0</v>
      </c>
      <c r="F121" s="17" t="n">
        <f aca="false">demand!D119</f>
        <v>0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-0</v>
      </c>
      <c r="J121" s="2" t="n">
        <f aca="false">-charge!D119</f>
        <v>-0</v>
      </c>
      <c r="K121" s="2" t="n">
        <f aca="false">discharge!D119</f>
        <v>0</v>
      </c>
      <c r="L121" s="2" t="n">
        <f aca="false">soc!D119/investment!$E$3 *100</f>
        <v>13.5953670962218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0)*investment!$C$3</f>
        <v>0</v>
      </c>
      <c r="F122" s="17" t="n">
        <f aca="false">demand!D120</f>
        <v>0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-0</v>
      </c>
      <c r="J122" s="2" t="n">
        <f aca="false">-charge!D120</f>
        <v>-0</v>
      </c>
      <c r="K122" s="2" t="n">
        <f aca="false">discharge!D120</f>
        <v>0</v>
      </c>
      <c r="L122" s="2" t="n">
        <f aca="false">soc!D120/investment!$E$3 *100</f>
        <v>13.5952311425508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0)*investment!$C$3</f>
        <v>0</v>
      </c>
      <c r="F123" s="17" t="n">
        <f aca="false">demand!D121</f>
        <v>0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-0</v>
      </c>
      <c r="J123" s="2" t="n">
        <f aca="false">-charge!D121</f>
        <v>-0</v>
      </c>
      <c r="K123" s="2" t="n">
        <f aca="false">discharge!D121</f>
        <v>0</v>
      </c>
      <c r="L123" s="2" t="n">
        <f aca="false">soc!D121/investment!$E$3 *100</f>
        <v>10.7049503079755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0)*investment!$C$3</f>
        <v>0</v>
      </c>
      <c r="F124" s="17" t="n">
        <f aca="false">demand!D122</f>
        <v>0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-0</v>
      </c>
      <c r="J124" s="2" t="n">
        <f aca="false">-charge!D122</f>
        <v>-0</v>
      </c>
      <c r="K124" s="2" t="n">
        <f aca="false">discharge!D122</f>
        <v>0</v>
      </c>
      <c r="L124" s="2" t="n">
        <f aca="false">soc!D122/investment!$E$3 *100</f>
        <v>6.40669912055981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0)*investment!$C$3</f>
        <v>0</v>
      </c>
      <c r="F125" s="17" t="n">
        <f aca="false">demand!D123</f>
        <v>0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-0</v>
      </c>
      <c r="J125" s="2" t="n">
        <f aca="false">-charge!D123</f>
        <v>-0</v>
      </c>
      <c r="K125" s="2" t="n">
        <f aca="false">discharge!D123</f>
        <v>0</v>
      </c>
      <c r="L125" s="2" t="n">
        <f aca="false">soc!D123/investment!$E$3 *100</f>
        <v>3.73078357875864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0)*investment!$C$3</f>
        <v>0</v>
      </c>
      <c r="F126" s="17" t="n">
        <f aca="false">demand!D124</f>
        <v>0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-0</v>
      </c>
      <c r="J126" s="2" t="n">
        <f aca="false">-charge!D124</f>
        <v>-0</v>
      </c>
      <c r="K126" s="2" t="n">
        <f aca="false">discharge!D124</f>
        <v>0</v>
      </c>
      <c r="L126" s="2" t="n">
        <f aca="false">soc!D124/investment!$E$3 *100</f>
        <v>2.08168502960544E-018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0)*investment!$C$3</f>
        <v>0</v>
      </c>
      <c r="F127" s="17" t="n">
        <f aca="false">demand!D125</f>
        <v>0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-0</v>
      </c>
      <c r="J127" s="2" t="n">
        <f aca="false">-charge!D125</f>
        <v>-0</v>
      </c>
      <c r="K127" s="2" t="n">
        <f aca="false">discharge!D125</f>
        <v>0</v>
      </c>
      <c r="L127" s="2" t="n">
        <f aca="false">soc!D125/investment!$E$3 *100</f>
        <v>0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0)*investment!$C$3</f>
        <v>0</v>
      </c>
      <c r="F128" s="17" t="n">
        <f aca="false">demand!D126</f>
        <v>0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-0</v>
      </c>
      <c r="J128" s="2" t="n">
        <f aca="false">-charge!D126</f>
        <v>-0</v>
      </c>
      <c r="K128" s="2" t="n">
        <f aca="false">discharge!D126</f>
        <v>0</v>
      </c>
      <c r="L128" s="2" t="n">
        <f aca="false">soc!D126/investment!$E$3 *100</f>
        <v>0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0)*investment!$C$3</f>
        <v>0</v>
      </c>
      <c r="F129" s="17" t="n">
        <f aca="false">demand!D127</f>
        <v>0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-0</v>
      </c>
      <c r="J129" s="2" t="n">
        <f aca="false">-charge!D127</f>
        <v>-0</v>
      </c>
      <c r="K129" s="2" t="n">
        <f aca="false">discharge!D127</f>
        <v>0</v>
      </c>
      <c r="L129" s="2" t="n">
        <f aca="false">soc!D127/investment!$E$3 *100</f>
        <v>0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0)*investment!$C$3</f>
        <v>0</v>
      </c>
      <c r="F130" s="17" t="n">
        <f aca="false">demand!D128</f>
        <v>0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-0</v>
      </c>
      <c r="J130" s="2" t="n">
        <f aca="false">-charge!D128</f>
        <v>-0</v>
      </c>
      <c r="K130" s="2" t="n">
        <f aca="false">discharge!D128</f>
        <v>0</v>
      </c>
      <c r="L130" s="2" t="n">
        <f aca="false">soc!D128/investment!$E$3 *100</f>
        <v>9.11248241156908E-011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0)*investment!$C$3</f>
        <v>0</v>
      </c>
      <c r="F131" s="17" t="n">
        <f aca="false">demand!D129</f>
        <v>0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-0</v>
      </c>
      <c r="J131" s="2" t="n">
        <f aca="false">-charge!D129</f>
        <v>-0</v>
      </c>
      <c r="K131" s="2" t="n">
        <f aca="false">discharge!D129</f>
        <v>0</v>
      </c>
      <c r="L131" s="2" t="n">
        <f aca="false">soc!D129/investment!$E$3 *100</f>
        <v>0.505098943179133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0)*investment!$C$3</f>
        <v>0</v>
      </c>
      <c r="F132" s="17" t="n">
        <f aca="false">demand!D130</f>
        <v>0</v>
      </c>
      <c r="G132" s="2" t="n">
        <f aca="false">solgen!D130</f>
        <v>0</v>
      </c>
      <c r="H132" s="2" t="n">
        <f aca="false">import!D130</f>
        <v>0</v>
      </c>
      <c r="I132" s="2" t="n">
        <f aca="false">-export!D130</f>
        <v>-0</v>
      </c>
      <c r="J132" s="2" t="n">
        <f aca="false">-charge!D130</f>
        <v>-0</v>
      </c>
      <c r="K132" s="2" t="n">
        <f aca="false">discharge!D130</f>
        <v>0</v>
      </c>
      <c r="L132" s="2" t="n">
        <f aca="false">soc!D130/investment!$E$3 *100</f>
        <v>0.505093892189702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0)*investment!$C$3</f>
        <v>0</v>
      </c>
      <c r="F133" s="17" t="n">
        <f aca="false">demand!D131</f>
        <v>0</v>
      </c>
      <c r="G133" s="2" t="n">
        <f aca="false">solgen!D131</f>
        <v>0</v>
      </c>
      <c r="H133" s="2" t="n">
        <f aca="false">import!D131</f>
        <v>0</v>
      </c>
      <c r="I133" s="2" t="n">
        <f aca="false">-export!D131</f>
        <v>-0</v>
      </c>
      <c r="J133" s="2" t="n">
        <f aca="false">-charge!D131</f>
        <v>-0</v>
      </c>
      <c r="K133" s="2" t="n">
        <f aca="false">discharge!D131</f>
        <v>0</v>
      </c>
      <c r="L133" s="2" t="n">
        <f aca="false">soc!D131/investment!$E$3 *100</f>
        <v>2.32447974009504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0)*investment!$C$3</f>
        <v>0</v>
      </c>
      <c r="F134" s="17" t="n">
        <f aca="false">demand!D132</f>
        <v>0</v>
      </c>
      <c r="G134" s="2" t="n">
        <f aca="false">solgen!D132</f>
        <v>0</v>
      </c>
      <c r="H134" s="2" t="n">
        <f aca="false">import!D132</f>
        <v>0</v>
      </c>
      <c r="I134" s="2" t="n">
        <f aca="false">-export!D132</f>
        <v>-0</v>
      </c>
      <c r="J134" s="2" t="n">
        <f aca="false">-charge!D132</f>
        <v>-0</v>
      </c>
      <c r="K134" s="2" t="n">
        <f aca="false">discharge!D132</f>
        <v>0</v>
      </c>
      <c r="L134" s="2" t="n">
        <f aca="false">soc!D132/investment!$E$3 *100</f>
        <v>3.58538934426122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0)*investment!$C$3</f>
        <v>0</v>
      </c>
      <c r="F135" s="17" t="n">
        <f aca="false">demand!D133</f>
        <v>0</v>
      </c>
      <c r="G135" s="2" t="n">
        <f aca="false">solgen!D133</f>
        <v>0</v>
      </c>
      <c r="H135" s="2" t="n">
        <f aca="false">import!D133</f>
        <v>0</v>
      </c>
      <c r="I135" s="2" t="n">
        <f aca="false">-export!D133</f>
        <v>-0</v>
      </c>
      <c r="J135" s="2" t="n">
        <f aca="false">-charge!D133</f>
        <v>-0</v>
      </c>
      <c r="K135" s="2" t="n">
        <f aca="false">discharge!D133</f>
        <v>0</v>
      </c>
      <c r="L135" s="2" t="n">
        <f aca="false">soc!D133/investment!$E$3 *100</f>
        <v>7.10087133068166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0)*investment!$C$3</f>
        <v>0</v>
      </c>
      <c r="F136" s="17" t="n">
        <f aca="false">demand!D134</f>
        <v>0</v>
      </c>
      <c r="G136" s="2" t="n">
        <f aca="false">solgen!D134</f>
        <v>0</v>
      </c>
      <c r="H136" s="2" t="n">
        <f aca="false">import!D134</f>
        <v>0</v>
      </c>
      <c r="I136" s="2" t="n">
        <f aca="false">-export!D134</f>
        <v>-0</v>
      </c>
      <c r="J136" s="2" t="n">
        <f aca="false">-charge!D134</f>
        <v>-0</v>
      </c>
      <c r="K136" s="2" t="n">
        <f aca="false">discharge!D134</f>
        <v>0</v>
      </c>
      <c r="L136" s="2" t="n">
        <f aca="false">soc!D134/investment!$E$3 *100</f>
        <v>9.54756046230035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0)*investment!$C$3</f>
        <v>0</v>
      </c>
      <c r="F137" s="17" t="n">
        <f aca="false">demand!D135</f>
        <v>0</v>
      </c>
      <c r="G137" s="2" t="n">
        <f aca="false">solgen!D135</f>
        <v>0</v>
      </c>
      <c r="H137" s="2" t="n">
        <f aca="false">import!D135</f>
        <v>0</v>
      </c>
      <c r="I137" s="2" t="n">
        <f aca="false">-export!D135</f>
        <v>-0</v>
      </c>
      <c r="J137" s="2" t="n">
        <f aca="false">-charge!D135</f>
        <v>-0</v>
      </c>
      <c r="K137" s="2" t="n">
        <f aca="false">discharge!D135</f>
        <v>0</v>
      </c>
      <c r="L137" s="2" t="n">
        <f aca="false">soc!D135/investment!$E$3 *100</f>
        <v>13.0309647422009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0)*investment!$C$3</f>
        <v>0</v>
      </c>
      <c r="F138" s="17" t="n">
        <f aca="false">demand!D136</f>
        <v>0</v>
      </c>
      <c r="G138" s="2" t="n">
        <f aca="false">solgen!D136</f>
        <v>0</v>
      </c>
      <c r="H138" s="2" t="n">
        <f aca="false">import!D136</f>
        <v>0</v>
      </c>
      <c r="I138" s="2" t="n">
        <f aca="false">-export!D136</f>
        <v>-0</v>
      </c>
      <c r="J138" s="2" t="n">
        <f aca="false">-charge!D136</f>
        <v>-0</v>
      </c>
      <c r="K138" s="2" t="n">
        <f aca="false">discharge!D136</f>
        <v>0</v>
      </c>
      <c r="L138" s="2" t="n">
        <f aca="false">soc!D136/investment!$E$3 *100</f>
        <v>17.659216228586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0)*investment!$C$3</f>
        <v>0</v>
      </c>
      <c r="F139" s="17" t="n">
        <f aca="false">demand!D137</f>
        <v>0</v>
      </c>
      <c r="G139" s="2" t="n">
        <f aca="false">solgen!D137</f>
        <v>0</v>
      </c>
      <c r="H139" s="2" t="n">
        <f aca="false">import!D137</f>
        <v>0</v>
      </c>
      <c r="I139" s="2" t="n">
        <f aca="false">-export!D137</f>
        <v>-0</v>
      </c>
      <c r="J139" s="2" t="n">
        <f aca="false">-charge!D137</f>
        <v>-0</v>
      </c>
      <c r="K139" s="2" t="n">
        <f aca="false">discharge!D137</f>
        <v>0</v>
      </c>
      <c r="L139" s="2" t="n">
        <f aca="false">soc!D137/investment!$E$3 *100</f>
        <v>20.8557714757571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0)*investment!$C$3</f>
        <v>0</v>
      </c>
      <c r="F140" s="17" t="n">
        <f aca="false">demand!D138</f>
        <v>0</v>
      </c>
      <c r="G140" s="2" t="n">
        <f aca="false">solgen!D138</f>
        <v>0</v>
      </c>
      <c r="H140" s="2" t="n">
        <f aca="false">import!D138</f>
        <v>0</v>
      </c>
      <c r="I140" s="2" t="n">
        <f aca="false">-export!D138</f>
        <v>-0</v>
      </c>
      <c r="J140" s="2" t="n">
        <f aca="false">-charge!D138</f>
        <v>-0</v>
      </c>
      <c r="K140" s="2" t="n">
        <f aca="false">discharge!D138</f>
        <v>0</v>
      </c>
      <c r="L140" s="2" t="n">
        <f aca="false">soc!D138/investment!$E$3 *100</f>
        <v>20.8555629180423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0)*investment!$C$3</f>
        <v>0</v>
      </c>
      <c r="F141" s="17" t="n">
        <f aca="false">demand!D139</f>
        <v>0</v>
      </c>
      <c r="G141" s="2" t="n">
        <f aca="false">solgen!D139</f>
        <v>0</v>
      </c>
      <c r="H141" s="2" t="n">
        <f aca="false">import!D139</f>
        <v>0</v>
      </c>
      <c r="I141" s="2" t="n">
        <f aca="false">-export!D139</f>
        <v>-0</v>
      </c>
      <c r="J141" s="2" t="n">
        <f aca="false">-charge!D139</f>
        <v>-0</v>
      </c>
      <c r="K141" s="2" t="n">
        <f aca="false">discharge!D139</f>
        <v>0</v>
      </c>
      <c r="L141" s="2" t="n">
        <f aca="false">soc!D139/investment!$E$3 *100</f>
        <v>20.8553543628688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0)*investment!$C$3</f>
        <v>0</v>
      </c>
      <c r="F142" s="17" t="n">
        <f aca="false">demand!D140</f>
        <v>0</v>
      </c>
      <c r="G142" s="2" t="n">
        <f aca="false">solgen!D140</f>
        <v>0</v>
      </c>
      <c r="H142" s="2" t="n">
        <f aca="false">import!D140</f>
        <v>0</v>
      </c>
      <c r="I142" s="2" t="n">
        <f aca="false">-export!D140</f>
        <v>-0</v>
      </c>
      <c r="J142" s="2" t="n">
        <f aca="false">-charge!D140</f>
        <v>-0</v>
      </c>
      <c r="K142" s="2" t="n">
        <f aca="false">discharge!D140</f>
        <v>0</v>
      </c>
      <c r="L142" s="2" t="n">
        <f aca="false">soc!D140/investment!$E$3 *100</f>
        <v>24.6238995211641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0)*investment!$C$3</f>
        <v>0</v>
      </c>
      <c r="F143" s="17" t="n">
        <f aca="false">demand!D141</f>
        <v>0</v>
      </c>
      <c r="G143" s="2" t="n">
        <f aca="false">solgen!D141</f>
        <v>0</v>
      </c>
      <c r="H143" s="2" t="n">
        <f aca="false">import!D141</f>
        <v>0</v>
      </c>
      <c r="I143" s="2" t="n">
        <f aca="false">-export!D141</f>
        <v>-0</v>
      </c>
      <c r="J143" s="2" t="n">
        <f aca="false">-charge!D141</f>
        <v>-0</v>
      </c>
      <c r="K143" s="2" t="n">
        <f aca="false">discharge!D141</f>
        <v>0</v>
      </c>
      <c r="L143" s="2" t="n">
        <f aca="false">soc!D141/investment!$E$3 *100</f>
        <v>24.6236532826246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0)*investment!$C$3</f>
        <v>0</v>
      </c>
      <c r="F144" s="17" t="n">
        <f aca="false">demand!D142</f>
        <v>0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-0</v>
      </c>
      <c r="J144" s="2" t="n">
        <f aca="false">-charge!D142</f>
        <v>-0</v>
      </c>
      <c r="K144" s="2" t="n">
        <f aca="false">discharge!D142</f>
        <v>0</v>
      </c>
      <c r="L144" s="2" t="n">
        <f aca="false">soc!D142/investment!$E$3 *100</f>
        <v>24.6234070460917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0)*investment!$C$3</f>
        <v>0</v>
      </c>
      <c r="F145" s="17" t="n">
        <f aca="false">demand!D143</f>
        <v>0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-0</v>
      </c>
      <c r="J145" s="2" t="n">
        <f aca="false">-charge!D143</f>
        <v>-0</v>
      </c>
      <c r="K145" s="2" t="n">
        <f aca="false">discharge!D143</f>
        <v>0</v>
      </c>
      <c r="L145" s="2" t="n">
        <f aca="false">soc!D143/investment!$E$3 *100</f>
        <v>24.6231608130844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0)*investment!$C$3</f>
        <v>0</v>
      </c>
      <c r="F146" s="17" t="n">
        <f aca="false">demand!D144</f>
        <v>0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-0</v>
      </c>
      <c r="J146" s="2" t="n">
        <f aca="false">-charge!D144</f>
        <v>-0</v>
      </c>
      <c r="K146" s="2" t="n">
        <f aca="false">discharge!D144</f>
        <v>0</v>
      </c>
      <c r="L146" s="2" t="n">
        <f aca="false">soc!D144/investment!$E$3 *100</f>
        <v>29.0615497067348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0)*investment!$C$3</f>
        <v>0</v>
      </c>
      <c r="F147" s="17" t="n">
        <f aca="false">demand!D145</f>
        <v>0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-0</v>
      </c>
      <c r="J147" s="2" t="n">
        <f aca="false">-charge!D145</f>
        <v>-0</v>
      </c>
      <c r="K147" s="2" t="n">
        <f aca="false">discharge!D145</f>
        <v>0</v>
      </c>
      <c r="L147" s="2" t="n">
        <f aca="false">soc!D145/investment!$E$3 *100</f>
        <v>29.0612590936679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0)*investment!$C$3</f>
        <v>0</v>
      </c>
      <c r="F148" s="17" t="n">
        <f aca="false">demand!D146</f>
        <v>0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-0</v>
      </c>
      <c r="J148" s="2" t="n">
        <f aca="false">-charge!D146</f>
        <v>-0</v>
      </c>
      <c r="K148" s="2" t="n">
        <f aca="false">discharge!D146</f>
        <v>0</v>
      </c>
      <c r="L148" s="2" t="n">
        <f aca="false">soc!D146/investment!$E$3 *100</f>
        <v>33.6338901462125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0)*investment!$C$3</f>
        <v>0</v>
      </c>
      <c r="F149" s="17" t="n">
        <f aca="false">demand!D147</f>
        <v>0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-0</v>
      </c>
      <c r="J149" s="2" t="n">
        <f aca="false">-charge!D147</f>
        <v>-0</v>
      </c>
      <c r="K149" s="2" t="n">
        <f aca="false">discharge!D147</f>
        <v>0</v>
      </c>
      <c r="L149" s="2" t="n">
        <f aca="false">soc!D147/investment!$E$3 *100</f>
        <v>41.0094599302744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0)*investment!$C$3</f>
        <v>0</v>
      </c>
      <c r="F150" s="17" t="n">
        <f aca="false">demand!D148</f>
        <v>0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-0</v>
      </c>
      <c r="J150" s="2" t="n">
        <f aca="false">-charge!D148</f>
        <v>-0</v>
      </c>
      <c r="K150" s="2" t="n">
        <f aca="false">discharge!D148</f>
        <v>0</v>
      </c>
      <c r="L150" s="2" t="n">
        <f aca="false">soc!D148/investment!$E$3 *100</f>
        <v>45.8772359310249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0)*investment!$C$3</f>
        <v>0</v>
      </c>
      <c r="F151" s="17" t="n">
        <f aca="false">demand!D149</f>
        <v>0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-0</v>
      </c>
      <c r="J151" s="2" t="n">
        <f aca="false">-charge!D149</f>
        <v>-0</v>
      </c>
      <c r="K151" s="2" t="n">
        <f aca="false">discharge!D149</f>
        <v>0</v>
      </c>
      <c r="L151" s="2" t="n">
        <f aca="false">soc!D149/investment!$E$3 *100</f>
        <v>52.6763219640352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0)*investment!$C$3</f>
        <v>0</v>
      </c>
      <c r="F152" s="17" t="n">
        <f aca="false">demand!D150</f>
        <v>0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-0</v>
      </c>
      <c r="J152" s="2" t="n">
        <f aca="false">-charge!D150</f>
        <v>-0</v>
      </c>
      <c r="K152" s="2" t="n">
        <f aca="false">discharge!D150</f>
        <v>0</v>
      </c>
      <c r="L152" s="2" t="n">
        <f aca="false">soc!D150/investment!$E$3 *100</f>
        <v>57.2283208550976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0)*investment!$C$3</f>
        <v>0</v>
      </c>
      <c r="F153" s="17" t="n">
        <f aca="false">demand!D151</f>
        <v>0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-0</v>
      </c>
      <c r="J153" s="2" t="n">
        <f aca="false">-charge!D151</f>
        <v>-0</v>
      </c>
      <c r="K153" s="2" t="n">
        <f aca="false">discharge!D151</f>
        <v>0</v>
      </c>
      <c r="L153" s="2" t="n">
        <f aca="false">soc!D151/investment!$E$3 *100</f>
        <v>64.8660612478175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0)*investment!$C$3</f>
        <v>0</v>
      </c>
      <c r="F154" s="17" t="n">
        <f aca="false">demand!D152</f>
        <v>0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-0</v>
      </c>
      <c r="J154" s="2" t="n">
        <f aca="false">-charge!D152</f>
        <v>-0</v>
      </c>
      <c r="K154" s="2" t="n">
        <f aca="false">discharge!D152</f>
        <v>0</v>
      </c>
      <c r="L154" s="2" t="n">
        <f aca="false">soc!D152/investment!$E$3 *100</f>
        <v>68.2884858881979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0)*investment!$C$3</f>
        <v>0</v>
      </c>
      <c r="F155" s="17" t="n">
        <f aca="false">demand!D153</f>
        <v>0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-0</v>
      </c>
      <c r="J155" s="2" t="n">
        <f aca="false">-charge!D153</f>
        <v>-0</v>
      </c>
      <c r="K155" s="2" t="n">
        <f aca="false">discharge!D153</f>
        <v>0</v>
      </c>
      <c r="L155" s="2" t="n">
        <f aca="false">soc!D153/investment!$E$3 *100</f>
        <v>74.6028473195227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0)*investment!$C$3</f>
        <v>0</v>
      </c>
      <c r="F156" s="17" t="n">
        <f aca="false">demand!D154</f>
        <v>0</v>
      </c>
      <c r="G156" s="2" t="n">
        <f aca="false">solgen!D154</f>
        <v>0</v>
      </c>
      <c r="H156" s="2" t="n">
        <f aca="false">import!D154</f>
        <v>0</v>
      </c>
      <c r="I156" s="2" t="n">
        <f aca="false">-export!D154</f>
        <v>-0</v>
      </c>
      <c r="J156" s="2" t="n">
        <f aca="false">-charge!D154</f>
        <v>-0</v>
      </c>
      <c r="K156" s="2" t="n">
        <f aca="false">discharge!D154</f>
        <v>0</v>
      </c>
      <c r="L156" s="2" t="n">
        <f aca="false">soc!D154/investment!$E$3 *100</f>
        <v>78.5853697790539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0)*investment!$C$3</f>
        <v>0</v>
      </c>
      <c r="F157" s="17" t="n">
        <f aca="false">demand!D155</f>
        <v>0</v>
      </c>
      <c r="G157" s="2" t="n">
        <f aca="false">solgen!D155</f>
        <v>0</v>
      </c>
      <c r="H157" s="2" t="n">
        <f aca="false">import!D155</f>
        <v>0</v>
      </c>
      <c r="I157" s="2" t="n">
        <f aca="false">-export!D155</f>
        <v>-0</v>
      </c>
      <c r="J157" s="2" t="n">
        <f aca="false">-charge!D155</f>
        <v>-0</v>
      </c>
      <c r="K157" s="2" t="n">
        <f aca="false">discharge!D155</f>
        <v>0</v>
      </c>
      <c r="L157" s="2" t="n">
        <f aca="false">soc!D155/investment!$E$3 *100</f>
        <v>83.1063862943244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0)*investment!$C$3</f>
        <v>0</v>
      </c>
      <c r="F158" s="17" t="n">
        <f aca="false">demand!D156</f>
        <v>0</v>
      </c>
      <c r="G158" s="2" t="n">
        <f aca="false">solgen!D156</f>
        <v>0</v>
      </c>
      <c r="H158" s="2" t="n">
        <f aca="false">import!D156</f>
        <v>0</v>
      </c>
      <c r="I158" s="2" t="n">
        <f aca="false">-export!D156</f>
        <v>-0</v>
      </c>
      <c r="J158" s="2" t="n">
        <f aca="false">-charge!D156</f>
        <v>-0</v>
      </c>
      <c r="K158" s="2" t="n">
        <f aca="false">discharge!D156</f>
        <v>0</v>
      </c>
      <c r="L158" s="2" t="n">
        <f aca="false">soc!D156/investment!$E$3 *100</f>
        <v>87.5531675919791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0)*investment!$C$3</f>
        <v>0</v>
      </c>
      <c r="F159" s="17" t="n">
        <f aca="false">demand!D157</f>
        <v>0</v>
      </c>
      <c r="G159" s="2" t="n">
        <f aca="false">solgen!D157</f>
        <v>0</v>
      </c>
      <c r="H159" s="2" t="n">
        <f aca="false">import!D157</f>
        <v>0</v>
      </c>
      <c r="I159" s="2" t="n">
        <f aca="false">-export!D157</f>
        <v>-0</v>
      </c>
      <c r="J159" s="2" t="n">
        <f aca="false">-charge!D157</f>
        <v>-0</v>
      </c>
      <c r="K159" s="2" t="n">
        <f aca="false">discharge!D157</f>
        <v>0</v>
      </c>
      <c r="L159" s="2" t="n">
        <f aca="false">soc!D157/investment!$E$3 *100</f>
        <v>92.8905622039944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0)*investment!$C$3</f>
        <v>0</v>
      </c>
      <c r="F160" s="17" t="n">
        <f aca="false">demand!D158</f>
        <v>0</v>
      </c>
      <c r="G160" s="2" t="n">
        <f aca="false">solgen!D158</f>
        <v>0</v>
      </c>
      <c r="H160" s="2" t="n">
        <f aca="false">import!D158</f>
        <v>0</v>
      </c>
      <c r="I160" s="2" t="n">
        <f aca="false">-export!D158</f>
        <v>-0</v>
      </c>
      <c r="J160" s="2" t="n">
        <f aca="false">-charge!D158</f>
        <v>-0</v>
      </c>
      <c r="K160" s="2" t="n">
        <f aca="false">discharge!D158</f>
        <v>0</v>
      </c>
      <c r="L160" s="2" t="n">
        <f aca="false">soc!D158/investment!$E$3 *100</f>
        <v>93.7540439463189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0)*investment!$C$3</f>
        <v>0</v>
      </c>
      <c r="F161" s="17" t="n">
        <f aca="false">demand!D159</f>
        <v>0</v>
      </c>
      <c r="G161" s="2" t="n">
        <f aca="false">solgen!D159</f>
        <v>0</v>
      </c>
      <c r="H161" s="2" t="n">
        <f aca="false">import!D159</f>
        <v>0</v>
      </c>
      <c r="I161" s="2" t="n">
        <f aca="false">-export!D159</f>
        <v>-0</v>
      </c>
      <c r="J161" s="2" t="n">
        <f aca="false">-charge!D159</f>
        <v>-0</v>
      </c>
      <c r="K161" s="2" t="n">
        <f aca="false">discharge!D159</f>
        <v>0</v>
      </c>
      <c r="L161" s="2" t="n">
        <f aca="false">soc!D159/investment!$E$3 *100</f>
        <v>96.643173275556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0)*investment!$C$3</f>
        <v>0</v>
      </c>
      <c r="F162" s="17" t="n">
        <f aca="false">demand!D160</f>
        <v>0</v>
      </c>
      <c r="G162" s="2" t="n">
        <f aca="false">solgen!D160</f>
        <v>0</v>
      </c>
      <c r="H162" s="2" t="n">
        <f aca="false">import!D160</f>
        <v>0</v>
      </c>
      <c r="I162" s="2" t="n">
        <f aca="false">-export!D160</f>
        <v>-0</v>
      </c>
      <c r="J162" s="2" t="n">
        <f aca="false">-charge!D160</f>
        <v>-0</v>
      </c>
      <c r="K162" s="2" t="n">
        <f aca="false">discharge!D160</f>
        <v>0</v>
      </c>
      <c r="L162" s="2" t="n">
        <f aca="false">soc!D160/investment!$E$3 *100</f>
        <v>96.6422068438233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0)*investment!$C$3</f>
        <v>0</v>
      </c>
      <c r="F163" s="17" t="n">
        <f aca="false">demand!D161</f>
        <v>0</v>
      </c>
      <c r="G163" s="2" t="n">
        <f aca="false">solgen!D161</f>
        <v>0</v>
      </c>
      <c r="H163" s="2" t="n">
        <f aca="false">import!D161</f>
        <v>0</v>
      </c>
      <c r="I163" s="2" t="n">
        <f aca="false">-export!D161</f>
        <v>-0</v>
      </c>
      <c r="J163" s="2" t="n">
        <f aca="false">-charge!D161</f>
        <v>-0</v>
      </c>
      <c r="K163" s="2" t="n">
        <f aca="false">discharge!D161</f>
        <v>0</v>
      </c>
      <c r="L163" s="2" t="n">
        <f aca="false">soc!D161/investment!$E$3 *100</f>
        <v>99.096936514418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0)*investment!$C$3</f>
        <v>0</v>
      </c>
      <c r="F164" s="17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-0</v>
      </c>
      <c r="J164" s="2" t="n">
        <f aca="false">-charge!D162</f>
        <v>-0</v>
      </c>
      <c r="K164" s="2" t="n">
        <f aca="false">discharge!D162</f>
        <v>0</v>
      </c>
      <c r="L164" s="2" t="n">
        <f aca="false">soc!D162/investment!$E$3 *100</f>
        <v>99.0959455493062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0)*investment!$C$3</f>
        <v>0</v>
      </c>
      <c r="F165" s="17" t="n">
        <f aca="false">demand!D163</f>
        <v>0</v>
      </c>
      <c r="G165" s="2" t="n">
        <f aca="false">solgen!D163</f>
        <v>0</v>
      </c>
      <c r="H165" s="2" t="n">
        <f aca="false">import!D163</f>
        <v>0</v>
      </c>
      <c r="I165" s="2" t="n">
        <f aca="false">-export!D163</f>
        <v>-0</v>
      </c>
      <c r="J165" s="2" t="n">
        <f aca="false">-charge!D163</f>
        <v>-0</v>
      </c>
      <c r="K165" s="2" t="n">
        <f aca="false">discharge!D163</f>
        <v>0</v>
      </c>
      <c r="L165" s="2" t="n">
        <f aca="false">soc!D163/investment!$E$3 *100</f>
        <v>100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0)*investment!$C$3</f>
        <v>0</v>
      </c>
      <c r="F166" s="17" t="n">
        <f aca="false">demand!D164</f>
        <v>0</v>
      </c>
      <c r="G166" s="2" t="n">
        <f aca="false">solgen!D164</f>
        <v>0</v>
      </c>
      <c r="H166" s="2" t="n">
        <f aca="false">import!D164</f>
        <v>0</v>
      </c>
      <c r="I166" s="2" t="n">
        <f aca="false">-export!D164</f>
        <v>-0</v>
      </c>
      <c r="J166" s="2" t="n">
        <f aca="false">-charge!D164</f>
        <v>-0</v>
      </c>
      <c r="K166" s="2" t="n">
        <f aca="false">discharge!D164</f>
        <v>0</v>
      </c>
      <c r="L166" s="2" t="n">
        <f aca="false">soc!D164/investment!$E$3 *100</f>
        <v>99.999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0)*investment!$C$3</f>
        <v>0</v>
      </c>
      <c r="F167" s="17" t="n">
        <f aca="false">demand!D165</f>
        <v>0</v>
      </c>
      <c r="G167" s="2" t="n">
        <f aca="false">solgen!D165</f>
        <v>0</v>
      </c>
      <c r="H167" s="2" t="n">
        <f aca="false">import!D165</f>
        <v>0</v>
      </c>
      <c r="I167" s="2" t="n">
        <f aca="false">-export!D165</f>
        <v>-0</v>
      </c>
      <c r="J167" s="2" t="n">
        <f aca="false">-charge!D165</f>
        <v>-0</v>
      </c>
      <c r="K167" s="2" t="n">
        <f aca="false">discharge!D165</f>
        <v>0</v>
      </c>
      <c r="L167" s="2" t="n">
        <f aca="false">soc!D165/investment!$E$3 *100</f>
        <v>100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0)*investment!$C$3</f>
        <v>0</v>
      </c>
      <c r="F168" s="17" t="n">
        <f aca="false">demand!D166</f>
        <v>0</v>
      </c>
      <c r="G168" s="2" t="n">
        <f aca="false">solgen!D166</f>
        <v>0</v>
      </c>
      <c r="H168" s="2" t="n">
        <f aca="false">import!D166</f>
        <v>0</v>
      </c>
      <c r="I168" s="2" t="n">
        <f aca="false">-export!D166</f>
        <v>-0</v>
      </c>
      <c r="J168" s="2" t="n">
        <f aca="false">-charge!D166</f>
        <v>-0</v>
      </c>
      <c r="K168" s="2" t="n">
        <f aca="false">discharge!D166</f>
        <v>0</v>
      </c>
      <c r="L168" s="2" t="n">
        <f aca="false">soc!D166/investment!$E$3 *100</f>
        <v>99.999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0)*investment!$C$3</f>
        <v>0</v>
      </c>
      <c r="F169" s="17" t="n">
        <f aca="false">demand!D167</f>
        <v>0</v>
      </c>
      <c r="G169" s="2" t="n">
        <f aca="false">solgen!D167</f>
        <v>0</v>
      </c>
      <c r="H169" s="2" t="n">
        <f aca="false">import!D167</f>
        <v>0</v>
      </c>
      <c r="I169" s="2" t="n">
        <f aca="false">-export!D167</f>
        <v>-0</v>
      </c>
      <c r="J169" s="2" t="n">
        <f aca="false">-charge!D167</f>
        <v>-0</v>
      </c>
      <c r="K169" s="2" t="n">
        <f aca="false">discharge!D167</f>
        <v>0</v>
      </c>
      <c r="L169" s="2" t="n">
        <f aca="false">soc!D167/investment!$E$3 *100</f>
        <v>99.9980000117248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0)*investment!$C$3</f>
        <v>0</v>
      </c>
      <c r="F170" s="17" t="n">
        <f aca="false">demand!D168</f>
        <v>0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-0</v>
      </c>
      <c r="J170" s="2" t="n">
        <f aca="false">-charge!D168</f>
        <v>-0</v>
      </c>
      <c r="K170" s="2" t="n">
        <f aca="false">discharge!D168</f>
        <v>0</v>
      </c>
      <c r="L170" s="2" t="n">
        <f aca="false">soc!D168/investment!$E$3 *100</f>
        <v>99.9970000282751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0)*investment!$C$3</f>
        <v>0</v>
      </c>
      <c r="F171" s="17" t="n">
        <f aca="false">demand!D169</f>
        <v>0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-0</v>
      </c>
      <c r="J171" s="2" t="n">
        <f aca="false">-charge!D169</f>
        <v>-0</v>
      </c>
      <c r="K171" s="2" t="n">
        <f aca="false">discharge!D169</f>
        <v>0</v>
      </c>
      <c r="L171" s="2" t="n">
        <f aca="false">soc!D169/investment!$E$3 *100</f>
        <v>99.9960000615745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0)*investment!$C$3</f>
        <v>0</v>
      </c>
      <c r="F172" s="17" t="n">
        <f aca="false">demand!D170</f>
        <v>0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-0</v>
      </c>
      <c r="J172" s="2" t="n">
        <f aca="false">-charge!D170</f>
        <v>-0</v>
      </c>
      <c r="K172" s="2" t="n">
        <f aca="false">discharge!D170</f>
        <v>0</v>
      </c>
      <c r="L172" s="2" t="n">
        <f aca="false">soc!D170/investment!$E$3 *100</f>
        <v>99.995000099924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5" width="8.85"/>
    <col collapsed="false" customWidth="true" hidden="false" outlineLevel="0" max="4" min="4" style="5" width="8.85"/>
    <col collapsed="false" customWidth="true" hidden="false" outlineLevel="0" max="5" min="5" style="6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7" t="s">
        <v>3</v>
      </c>
      <c r="C2" s="8" t="n">
        <v>3</v>
      </c>
      <c r="D2" s="9" t="s">
        <v>18</v>
      </c>
    </row>
    <row r="4" customFormat="false" ht="13.8" hidden="false" customHeight="false" outlineLevel="0" collapsed="false">
      <c r="B4" s="10" t="s">
        <v>5</v>
      </c>
      <c r="C4" s="11"/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4" t="s">
        <v>15</v>
      </c>
    </row>
    <row r="5" customFormat="false" ht="13.8" hidden="false" customHeight="false" outlineLevel="0" collapsed="false">
      <c r="B5" s="10" t="n">
        <f aca="false">_xlfn.NUMBERVALUE(solar!B2)</f>
        <v>8</v>
      </c>
      <c r="C5" s="11" t="n">
        <f aca="false">solar!C2</f>
        <v>0</v>
      </c>
      <c r="D5" s="5" t="n">
        <v>1</v>
      </c>
      <c r="E5" s="16" t="n">
        <f aca="false">IFERROR(INDEX($B$5:$C$173, MATCH($D5, $B$5:$B$175, 0), 2), 0)*investment!$C$4</f>
        <v>0</v>
      </c>
      <c r="F5" s="17" t="n">
        <f aca="false">demand!E3</f>
        <v>0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-0</v>
      </c>
      <c r="J5" s="2" t="n">
        <f aca="false">-charge!E3</f>
        <v>-0</v>
      </c>
      <c r="K5" s="2" t="n">
        <f aca="false">discharge!E3</f>
        <v>0</v>
      </c>
      <c r="L5" s="2" t="n">
        <f aca="false">soc!E3/investment!$E$4 *100</f>
        <v>69.5803002094991</v>
      </c>
    </row>
    <row r="6" customFormat="false" ht="13.8" hidden="false" customHeight="false" outlineLevel="0" collapsed="false">
      <c r="B6" s="10" t="n">
        <f aca="false">_xlfn.NUMBERVALUE(solar!B3)</f>
        <v>9</v>
      </c>
      <c r="C6" s="11" t="n">
        <f aca="false">solar!C3</f>
        <v>0</v>
      </c>
      <c r="D6" s="5" t="n">
        <v>2</v>
      </c>
      <c r="E6" s="16" t="n">
        <f aca="false">IFERROR(INDEX($B$5:$C$173, MATCH($D6, $B$5:$B$175, 0), 2), 0)*investment!$C$4</f>
        <v>0</v>
      </c>
      <c r="F6" s="17" t="n">
        <f aca="false">demand!E4</f>
        <v>0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-0</v>
      </c>
      <c r="J6" s="2" t="n">
        <f aca="false">-charge!E4</f>
        <v>-0</v>
      </c>
      <c r="K6" s="2" t="n">
        <f aca="false">discharge!E4</f>
        <v>0</v>
      </c>
      <c r="L6" s="2" t="n">
        <f aca="false">soc!E4/investment!$E$4 *100</f>
        <v>69.1570417187632</v>
      </c>
    </row>
    <row r="7" customFormat="false" ht="13.8" hidden="false" customHeight="false" outlineLevel="0" collapsed="false">
      <c r="B7" s="10" t="n">
        <f aca="false">_xlfn.NUMBERVALUE(solar!B4)</f>
        <v>10</v>
      </c>
      <c r="C7" s="11" t="n">
        <f aca="false">solar!C4</f>
        <v>0</v>
      </c>
      <c r="D7" s="5" t="n">
        <v>3</v>
      </c>
      <c r="E7" s="16" t="n">
        <f aca="false">IFERROR(INDEX($B$5:$C$173, MATCH($D7, $B$5:$B$175, 0), 2), 0)*investment!$C$4</f>
        <v>0</v>
      </c>
      <c r="F7" s="17" t="n">
        <f aca="false">demand!E5</f>
        <v>0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-0</v>
      </c>
      <c r="J7" s="2" t="n">
        <f aca="false">-charge!E5</f>
        <v>-0</v>
      </c>
      <c r="K7" s="2" t="n">
        <f aca="false">discharge!E5</f>
        <v>0</v>
      </c>
      <c r="L7" s="2" t="n">
        <f aca="false">soc!E5/investment!$E$4 *100</f>
        <v>67.9620114808527</v>
      </c>
    </row>
    <row r="8" customFormat="false" ht="13.8" hidden="false" customHeight="false" outlineLevel="0" collapsed="false">
      <c r="B8" s="10" t="n">
        <f aca="false">_xlfn.NUMBERVALUE(solar!B5)</f>
        <v>11</v>
      </c>
      <c r="C8" s="11" t="n">
        <f aca="false">solar!C5</f>
        <v>0</v>
      </c>
      <c r="D8" s="5" t="n">
        <v>4</v>
      </c>
      <c r="E8" s="16" t="n">
        <f aca="false">IFERROR(INDEX($B$5:$C$173, MATCH($D8, $B$5:$B$175, 0), 2), 0)*investment!$C$4</f>
        <v>0</v>
      </c>
      <c r="F8" s="17" t="n">
        <f aca="false">demand!E6</f>
        <v>0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-0</v>
      </c>
      <c r="J8" s="2" t="n">
        <f aca="false">-charge!E6</f>
        <v>-0</v>
      </c>
      <c r="K8" s="2" t="n">
        <f aca="false">discharge!E6</f>
        <v>0</v>
      </c>
      <c r="L8" s="2" t="n">
        <f aca="false">soc!E6/investment!$E$4 *100</f>
        <v>67.2235927728072</v>
      </c>
    </row>
    <row r="9" customFormat="false" ht="13.8" hidden="false" customHeight="false" outlineLevel="0" collapsed="false">
      <c r="B9" s="10" t="n">
        <f aca="false">_xlfn.NUMBERVALUE(solar!B6)</f>
        <v>12</v>
      </c>
      <c r="C9" s="11" t="n">
        <f aca="false">solar!C6</f>
        <v>0</v>
      </c>
      <c r="D9" s="5" t="n">
        <v>5</v>
      </c>
      <c r="E9" s="16" t="n">
        <f aca="false">IFERROR(INDEX($B$5:$C$173, MATCH($D9, $B$5:$B$175, 0), 2), 0)*investment!$C$4</f>
        <v>0</v>
      </c>
      <c r="F9" s="17" t="n">
        <f aca="false">demand!E7</f>
        <v>0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-0</v>
      </c>
      <c r="J9" s="2" t="n">
        <f aca="false">-charge!E7</f>
        <v>-0</v>
      </c>
      <c r="K9" s="2" t="n">
        <f aca="false">discharge!E7</f>
        <v>0</v>
      </c>
      <c r="L9" s="2" t="n">
        <f aca="false">soc!E7/investment!$E$4 *100</f>
        <v>66.4191283455529</v>
      </c>
    </row>
    <row r="10" customFormat="false" ht="13.8" hidden="false" customHeight="false" outlineLevel="0" collapsed="false">
      <c r="B10" s="10" t="n">
        <f aca="false">_xlfn.NUMBERVALUE(solar!B7)</f>
        <v>13</v>
      </c>
      <c r="C10" s="11" t="n">
        <f aca="false">solar!C7</f>
        <v>0</v>
      </c>
      <c r="D10" s="5" t="n">
        <v>6</v>
      </c>
      <c r="E10" s="16" t="n">
        <f aca="false">IFERROR(INDEX($B$5:$C$173, MATCH($D10, $B$5:$B$175, 0), 2), 0)*investment!$C$4</f>
        <v>0</v>
      </c>
      <c r="F10" s="17" t="n">
        <f aca="false">demand!E8</f>
        <v>0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-0</v>
      </c>
      <c r="J10" s="2" t="n">
        <f aca="false">-charge!E8</f>
        <v>-0</v>
      </c>
      <c r="K10" s="2" t="n">
        <f aca="false">discharge!E8</f>
        <v>0</v>
      </c>
      <c r="L10" s="2" t="n">
        <f aca="false">soc!E8/investment!$E$4 *100</f>
        <v>65.8460835902145</v>
      </c>
    </row>
    <row r="11" customFormat="false" ht="13.8" hidden="false" customHeight="false" outlineLevel="0" collapsed="false">
      <c r="B11" s="10" t="n">
        <f aca="false">_xlfn.NUMBERVALUE(solar!B8)</f>
        <v>14</v>
      </c>
      <c r="C11" s="11" t="n">
        <f aca="false">solar!C8</f>
        <v>0</v>
      </c>
      <c r="D11" s="5" t="n">
        <v>7</v>
      </c>
      <c r="E11" s="16" t="n">
        <f aca="false">IFERROR(INDEX($B$5:$C$173, MATCH($D11, $B$5:$B$175, 0), 2), 0)*investment!$C$4</f>
        <v>0</v>
      </c>
      <c r="F11" s="17" t="n">
        <f aca="false">demand!E9</f>
        <v>0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-0</v>
      </c>
      <c r="J11" s="2" t="n">
        <f aca="false">-charge!E9</f>
        <v>-0</v>
      </c>
      <c r="K11" s="2" t="n">
        <f aca="false">discharge!E9</f>
        <v>0</v>
      </c>
      <c r="L11" s="2" t="n">
        <f aca="false">soc!E9/investment!$E$4 *100</f>
        <v>65.102981626779</v>
      </c>
    </row>
    <row r="12" customFormat="false" ht="13.8" hidden="false" customHeight="false" outlineLevel="0" collapsed="false">
      <c r="B12" s="10" t="n">
        <f aca="false">_xlfn.NUMBERVALUE(solar!B9)</f>
        <v>15</v>
      </c>
      <c r="C12" s="11" t="n">
        <f aca="false">solar!C9</f>
        <v>0</v>
      </c>
      <c r="D12" s="5" t="n">
        <v>8</v>
      </c>
      <c r="E12" s="16" t="n">
        <f aca="false">IFERROR(INDEX($B$5:$C$173, MATCH($D12, $B$5:$B$175, 0), 2), 0)*investment!$C$4</f>
        <v>0</v>
      </c>
      <c r="F12" s="17" t="n">
        <f aca="false">demand!E10</f>
        <v>0</v>
      </c>
      <c r="G12" s="2" t="n">
        <f aca="false">solgen!E10</f>
        <v>0</v>
      </c>
      <c r="H12" s="2" t="n">
        <f aca="false">import!E10</f>
        <v>0</v>
      </c>
      <c r="I12" s="2" t="n">
        <f aca="false">-export!E10</f>
        <v>-0</v>
      </c>
      <c r="J12" s="2" t="n">
        <f aca="false">-charge!E10</f>
        <v>-0</v>
      </c>
      <c r="K12" s="2" t="n">
        <f aca="false">discharge!E10</f>
        <v>0</v>
      </c>
      <c r="L12" s="2" t="n">
        <f aca="false">soc!E10/investment!$E$4 *100</f>
        <v>64.354613765749</v>
      </c>
    </row>
    <row r="13" customFormat="false" ht="13.8" hidden="false" customHeight="false" outlineLevel="0" collapsed="false">
      <c r="B13" s="10" t="n">
        <f aca="false">_xlfn.NUMBERVALUE(solar!B10)</f>
        <v>16</v>
      </c>
      <c r="C13" s="11" t="n">
        <f aca="false">solar!C10</f>
        <v>0</v>
      </c>
      <c r="D13" s="5" t="n">
        <v>9</v>
      </c>
      <c r="E13" s="16" t="n">
        <f aca="false">IFERROR(INDEX($B$5:$C$173, MATCH($D13, $B$5:$B$175, 0), 2), 0)*investment!$C$4</f>
        <v>0</v>
      </c>
      <c r="F13" s="17" t="n">
        <f aca="false">demand!E11</f>
        <v>0</v>
      </c>
      <c r="G13" s="2" t="n">
        <f aca="false">solgen!E11</f>
        <v>0</v>
      </c>
      <c r="H13" s="2" t="n">
        <f aca="false">import!E11</f>
        <v>0</v>
      </c>
      <c r="I13" s="2" t="n">
        <f aca="false">-export!E11</f>
        <v>-0</v>
      </c>
      <c r="J13" s="2" t="n">
        <f aca="false">-charge!E11</f>
        <v>-0</v>
      </c>
      <c r="K13" s="2" t="n">
        <f aca="false">discharge!E11</f>
        <v>0</v>
      </c>
      <c r="L13" s="2" t="n">
        <f aca="false">soc!E11/investment!$E$4 *100</f>
        <v>63.0876893346153</v>
      </c>
    </row>
    <row r="14" customFormat="false" ht="13.8" hidden="false" customHeight="false" outlineLevel="0" collapsed="false">
      <c r="B14" s="10" t="n">
        <f aca="false">_xlfn.NUMBERVALUE(solar!B11)</f>
        <v>17</v>
      </c>
      <c r="C14" s="11" t="n">
        <f aca="false">solar!C11</f>
        <v>0</v>
      </c>
      <c r="D14" s="5" t="n">
        <v>10</v>
      </c>
      <c r="E14" s="16" t="n">
        <f aca="false">IFERROR(INDEX($B$5:$C$173, MATCH($D14, $B$5:$B$175, 0), 2), 0)*investment!$C$4</f>
        <v>0</v>
      </c>
      <c r="F14" s="17" t="n">
        <f aca="false">demand!E12</f>
        <v>0</v>
      </c>
      <c r="G14" s="2" t="n">
        <f aca="false">solgen!E12</f>
        <v>0</v>
      </c>
      <c r="H14" s="2" t="n">
        <f aca="false">import!E12</f>
        <v>0</v>
      </c>
      <c r="I14" s="2" t="n">
        <f aca="false">-export!E12</f>
        <v>-0</v>
      </c>
      <c r="J14" s="2" t="n">
        <f aca="false">-charge!E12</f>
        <v>-0</v>
      </c>
      <c r="K14" s="2" t="n">
        <f aca="false">discharge!E12</f>
        <v>0</v>
      </c>
      <c r="L14" s="2" t="n">
        <f aca="false">soc!E12/investment!$E$4 *100</f>
        <v>61.9945498390878</v>
      </c>
    </row>
    <row r="15" customFormat="false" ht="13.8" hidden="false" customHeight="false" outlineLevel="0" collapsed="false">
      <c r="B15" s="10" t="n">
        <f aca="false">_xlfn.NUMBERVALUE(solar!B12)</f>
        <v>18</v>
      </c>
      <c r="C15" s="11" t="n">
        <f aca="false">solar!C12</f>
        <v>0</v>
      </c>
      <c r="D15" s="5" t="n">
        <v>11</v>
      </c>
      <c r="E15" s="16" t="n">
        <f aca="false">IFERROR(INDEX($B$5:$C$173, MATCH($D15, $B$5:$B$175, 0), 2), 0)*investment!$C$4</f>
        <v>0</v>
      </c>
      <c r="F15" s="17" t="n">
        <f aca="false">demand!E13</f>
        <v>0</v>
      </c>
      <c r="G15" s="2" t="n">
        <f aca="false">solgen!E13</f>
        <v>0</v>
      </c>
      <c r="H15" s="2" t="n">
        <f aca="false">import!E13</f>
        <v>0</v>
      </c>
      <c r="I15" s="2" t="n">
        <f aca="false">-export!E13</f>
        <v>-0</v>
      </c>
      <c r="J15" s="2" t="n">
        <f aca="false">-charge!E13</f>
        <v>-0</v>
      </c>
      <c r="K15" s="2" t="n">
        <f aca="false">discharge!E13</f>
        <v>0</v>
      </c>
      <c r="L15" s="2" t="n">
        <f aca="false">soc!E13/investment!$E$4 *100</f>
        <v>61.3989657120827</v>
      </c>
    </row>
    <row r="16" customFormat="false" ht="13.8" hidden="false" customHeight="false" outlineLevel="0" collapsed="false">
      <c r="B16" s="10" t="n">
        <f aca="false">_xlfn.NUMBERVALUE(solar!B13)</f>
        <v>19</v>
      </c>
      <c r="C16" s="11" t="n">
        <f aca="false">solar!C13</f>
        <v>0</v>
      </c>
      <c r="D16" s="5" t="n">
        <v>12</v>
      </c>
      <c r="E16" s="16" t="n">
        <f aca="false">IFERROR(INDEX($B$5:$C$173, MATCH($D16, $B$5:$B$175, 0), 2), 0)*investment!$C$4</f>
        <v>0</v>
      </c>
      <c r="F16" s="17" t="n">
        <f aca="false">demand!E14</f>
        <v>0</v>
      </c>
      <c r="G16" s="2" t="n">
        <f aca="false">solgen!E14</f>
        <v>0</v>
      </c>
      <c r="H16" s="2" t="n">
        <f aca="false">import!E14</f>
        <v>0</v>
      </c>
      <c r="I16" s="2" t="n">
        <f aca="false">-export!E14</f>
        <v>-0</v>
      </c>
      <c r="J16" s="2" t="n">
        <f aca="false">-charge!E14</f>
        <v>-0</v>
      </c>
      <c r="K16" s="2" t="n">
        <f aca="false">discharge!E14</f>
        <v>0</v>
      </c>
      <c r="L16" s="2" t="n">
        <f aca="false">soc!E14/investment!$E$4 *100</f>
        <v>59.5531249586499</v>
      </c>
    </row>
    <row r="17" customFormat="false" ht="13.8" hidden="false" customHeight="false" outlineLevel="0" collapsed="false">
      <c r="B17" s="10" t="n">
        <f aca="false">_xlfn.NUMBERVALUE(solar!B14)</f>
        <v>32</v>
      </c>
      <c r="C17" s="11" t="n">
        <f aca="false">solar!C14</f>
        <v>0</v>
      </c>
      <c r="D17" s="5" t="n">
        <v>13</v>
      </c>
      <c r="E17" s="16" t="n">
        <f aca="false">IFERROR(INDEX($B$5:$C$173, MATCH($D17, $B$5:$B$175, 0), 2), 0)*investment!$C$4</f>
        <v>0</v>
      </c>
      <c r="F17" s="17" t="n">
        <f aca="false">demand!E15</f>
        <v>0</v>
      </c>
      <c r="G17" s="2" t="n">
        <f aca="false">solgen!E15</f>
        <v>0</v>
      </c>
      <c r="H17" s="2" t="n">
        <f aca="false">import!E15</f>
        <v>0</v>
      </c>
      <c r="I17" s="2" t="n">
        <f aca="false">-export!E15</f>
        <v>-0</v>
      </c>
      <c r="J17" s="2" t="n">
        <f aca="false">-charge!E15</f>
        <v>-0</v>
      </c>
      <c r="K17" s="2" t="n">
        <f aca="false">discharge!E15</f>
        <v>0</v>
      </c>
      <c r="L17" s="2" t="n">
        <f aca="false">soc!E15/investment!$E$4 *100</f>
        <v>58.4286730447691</v>
      </c>
    </row>
    <row r="18" customFormat="false" ht="13.8" hidden="false" customHeight="false" outlineLevel="0" collapsed="false">
      <c r="B18" s="10" t="n">
        <f aca="false">_xlfn.NUMBERVALUE(solar!B15)</f>
        <v>33</v>
      </c>
      <c r="C18" s="11" t="n">
        <f aca="false">solar!C15</f>
        <v>0</v>
      </c>
      <c r="D18" s="5" t="n">
        <v>14</v>
      </c>
      <c r="E18" s="16" t="n">
        <f aca="false">IFERROR(INDEX($B$5:$C$173, MATCH($D18, $B$5:$B$175, 0), 2), 0)*investment!$C$4</f>
        <v>0</v>
      </c>
      <c r="F18" s="17" t="n">
        <f aca="false">demand!E16</f>
        <v>0</v>
      </c>
      <c r="G18" s="2" t="n">
        <f aca="false">solgen!E16</f>
        <v>0</v>
      </c>
      <c r="H18" s="2" t="n">
        <f aca="false">import!E16</f>
        <v>0</v>
      </c>
      <c r="I18" s="2" t="n">
        <f aca="false">-export!E16</f>
        <v>-0</v>
      </c>
      <c r="J18" s="2" t="n">
        <f aca="false">-charge!E16</f>
        <v>-0</v>
      </c>
      <c r="K18" s="2" t="n">
        <f aca="false">discharge!E16</f>
        <v>0</v>
      </c>
      <c r="L18" s="2" t="n">
        <f aca="false">soc!E16/investment!$E$4 *100</f>
        <v>56.8784899267413</v>
      </c>
    </row>
    <row r="19" customFormat="false" ht="13.8" hidden="false" customHeight="false" outlineLevel="0" collapsed="false">
      <c r="B19" s="10" t="n">
        <f aca="false">_xlfn.NUMBERVALUE(solar!B16)</f>
        <v>34</v>
      </c>
      <c r="C19" s="11" t="n">
        <f aca="false">solar!C16</f>
        <v>0</v>
      </c>
      <c r="D19" s="5" t="n">
        <v>15</v>
      </c>
      <c r="E19" s="16" t="n">
        <f aca="false">IFERROR(INDEX($B$5:$C$173, MATCH($D19, $B$5:$B$175, 0), 2), 0)*investment!$C$4</f>
        <v>0</v>
      </c>
      <c r="F19" s="17" t="n">
        <f aca="false">demand!E17</f>
        <v>0</v>
      </c>
      <c r="G19" s="2" t="n">
        <f aca="false">solgen!E17</f>
        <v>0</v>
      </c>
      <c r="H19" s="2" t="n">
        <f aca="false">import!E17</f>
        <v>0</v>
      </c>
      <c r="I19" s="2" t="n">
        <f aca="false">-export!E17</f>
        <v>-0</v>
      </c>
      <c r="J19" s="2" t="n">
        <f aca="false">-charge!E17</f>
        <v>-0</v>
      </c>
      <c r="K19" s="2" t="n">
        <f aca="false">discharge!E17</f>
        <v>0</v>
      </c>
      <c r="L19" s="2" t="n">
        <f aca="false">soc!E17/investment!$E$4 *100</f>
        <v>56.0083989469661</v>
      </c>
    </row>
    <row r="20" customFormat="false" ht="13.8" hidden="false" customHeight="false" outlineLevel="0" collapsed="false">
      <c r="B20" s="10" t="n">
        <f aca="false">_xlfn.NUMBERVALUE(solar!B17)</f>
        <v>35</v>
      </c>
      <c r="C20" s="11" t="n">
        <f aca="false">solar!C17</f>
        <v>0</v>
      </c>
      <c r="D20" s="5" t="n">
        <v>16</v>
      </c>
      <c r="E20" s="16" t="n">
        <f aca="false">IFERROR(INDEX($B$5:$C$173, MATCH($D20, $B$5:$B$175, 0), 2), 0)*investment!$C$4</f>
        <v>0</v>
      </c>
      <c r="F20" s="17" t="n">
        <f aca="false">demand!E18</f>
        <v>0</v>
      </c>
      <c r="G20" s="2" t="n">
        <f aca="false">solgen!E18</f>
        <v>0</v>
      </c>
      <c r="H20" s="2" t="n">
        <f aca="false">import!E18</f>
        <v>0</v>
      </c>
      <c r="I20" s="2" t="n">
        <f aca="false">-export!E18</f>
        <v>-0</v>
      </c>
      <c r="J20" s="2" t="n">
        <f aca="false">-charge!E18</f>
        <v>-0</v>
      </c>
      <c r="K20" s="2" t="n">
        <f aca="false">discharge!E18</f>
        <v>0</v>
      </c>
      <c r="L20" s="2" t="n">
        <f aca="false">soc!E18/investment!$E$4 *100</f>
        <v>54.5630721955457</v>
      </c>
    </row>
    <row r="21" customFormat="false" ht="13.8" hidden="false" customHeight="false" outlineLevel="0" collapsed="false">
      <c r="B21" s="10" t="n">
        <f aca="false">_xlfn.NUMBERVALUE(solar!B18)</f>
        <v>36</v>
      </c>
      <c r="C21" s="11" t="n">
        <f aca="false">solar!C18</f>
        <v>0</v>
      </c>
      <c r="D21" s="5" t="n">
        <v>17</v>
      </c>
      <c r="E21" s="16" t="n">
        <f aca="false">IFERROR(INDEX($B$5:$C$173, MATCH($D21, $B$5:$B$175, 0), 2), 0)*investment!$C$4</f>
        <v>0</v>
      </c>
      <c r="F21" s="17" t="n">
        <f aca="false">demand!E19</f>
        <v>0</v>
      </c>
      <c r="G21" s="2" t="n">
        <f aca="false">solgen!E19</f>
        <v>0</v>
      </c>
      <c r="H21" s="2" t="n">
        <f aca="false">import!E19</f>
        <v>0</v>
      </c>
      <c r="I21" s="2" t="n">
        <f aca="false">-export!E19</f>
        <v>-0</v>
      </c>
      <c r="J21" s="2" t="n">
        <f aca="false">-charge!E19</f>
        <v>-0</v>
      </c>
      <c r="K21" s="2" t="n">
        <f aca="false">discharge!E19</f>
        <v>0</v>
      </c>
      <c r="L21" s="2" t="n">
        <f aca="false">soc!E19/investment!$E$4 *100</f>
        <v>53.7528361579863</v>
      </c>
    </row>
    <row r="22" customFormat="false" ht="13.8" hidden="false" customHeight="false" outlineLevel="0" collapsed="false">
      <c r="B22" s="10" t="n">
        <f aca="false">_xlfn.NUMBERVALUE(solar!B19)</f>
        <v>37</v>
      </c>
      <c r="C22" s="11" t="n">
        <f aca="false">solar!C19</f>
        <v>0</v>
      </c>
      <c r="D22" s="5" t="n">
        <v>18</v>
      </c>
      <c r="E22" s="16" t="n">
        <f aca="false">IFERROR(INDEX($B$5:$C$173, MATCH($D22, $B$5:$B$175, 0), 2), 0)*investment!$C$4</f>
        <v>0</v>
      </c>
      <c r="F22" s="17" t="n">
        <f aca="false">demand!E20</f>
        <v>0</v>
      </c>
      <c r="G22" s="2" t="n">
        <f aca="false">solgen!E20</f>
        <v>0</v>
      </c>
      <c r="H22" s="2" t="n">
        <f aca="false">import!E20</f>
        <v>0</v>
      </c>
      <c r="I22" s="2" t="n">
        <f aca="false">-export!E20</f>
        <v>-0</v>
      </c>
      <c r="J22" s="2" t="n">
        <f aca="false">-charge!E20</f>
        <v>-0</v>
      </c>
      <c r="K22" s="2" t="n">
        <f aca="false">discharge!E20</f>
        <v>0</v>
      </c>
      <c r="L22" s="2" t="n">
        <f aca="false">soc!E20/investment!$E$4 *100</f>
        <v>52.566076560627</v>
      </c>
    </row>
    <row r="23" customFormat="false" ht="13.8" hidden="false" customHeight="false" outlineLevel="0" collapsed="false">
      <c r="B23" s="10" t="n">
        <f aca="false">_xlfn.NUMBERVALUE(solar!B20)</f>
        <v>38</v>
      </c>
      <c r="C23" s="11" t="n">
        <f aca="false">solar!C20</f>
        <v>0</v>
      </c>
      <c r="D23" s="5" t="n">
        <v>19</v>
      </c>
      <c r="E23" s="16" t="n">
        <f aca="false">IFERROR(INDEX($B$5:$C$173, MATCH($D23, $B$5:$B$175, 0), 2), 0)*investment!$C$4</f>
        <v>0</v>
      </c>
      <c r="F23" s="17" t="n">
        <f aca="false">demand!E21</f>
        <v>0</v>
      </c>
      <c r="G23" s="2" t="n">
        <f aca="false">solgen!E21</f>
        <v>0</v>
      </c>
      <c r="H23" s="2" t="n">
        <f aca="false">import!E21</f>
        <v>0</v>
      </c>
      <c r="I23" s="2" t="n">
        <f aca="false">-export!E21</f>
        <v>-0</v>
      </c>
      <c r="J23" s="2" t="n">
        <f aca="false">-charge!E21</f>
        <v>-0</v>
      </c>
      <c r="K23" s="2" t="n">
        <f aca="false">discharge!E21</f>
        <v>0</v>
      </c>
      <c r="L23" s="2" t="n">
        <f aca="false">soc!E21/investment!$E$4 *100</f>
        <v>51.9088987495069</v>
      </c>
    </row>
    <row r="24" customFormat="false" ht="13.8" hidden="false" customHeight="false" outlineLevel="0" collapsed="false">
      <c r="B24" s="10" t="n">
        <f aca="false">_xlfn.NUMBERVALUE(solar!B21)</f>
        <v>39</v>
      </c>
      <c r="C24" s="11" t="n">
        <f aca="false">solar!C21</f>
        <v>0</v>
      </c>
      <c r="D24" s="5" t="n">
        <v>20</v>
      </c>
      <c r="E24" s="16" t="n">
        <f aca="false">IFERROR(INDEX($B$5:$C$173, MATCH($D24, $B$5:$B$175, 0), 2), 0)*investment!$C$4</f>
        <v>0</v>
      </c>
      <c r="F24" s="17" t="n">
        <f aca="false">demand!E22</f>
        <v>0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-0</v>
      </c>
      <c r="J24" s="2" t="n">
        <f aca="false">-charge!E22</f>
        <v>-0</v>
      </c>
      <c r="K24" s="2" t="n">
        <f aca="false">discharge!E22</f>
        <v>0</v>
      </c>
      <c r="L24" s="2" t="n">
        <f aca="false">soc!E22/investment!$E$4 *100</f>
        <v>50.5878286195874</v>
      </c>
    </row>
    <row r="25" customFormat="false" ht="13.8" hidden="false" customHeight="false" outlineLevel="0" collapsed="false">
      <c r="B25" s="10" t="n">
        <f aca="false">_xlfn.NUMBERVALUE(solar!B22)</f>
        <v>40</v>
      </c>
      <c r="C25" s="11" t="n">
        <f aca="false">solar!C22</f>
        <v>0</v>
      </c>
      <c r="D25" s="5" t="n">
        <v>21</v>
      </c>
      <c r="E25" s="16" t="n">
        <f aca="false">IFERROR(INDEX($B$5:$C$173, MATCH($D25, $B$5:$B$175, 0), 2), 0)*investment!$C$4</f>
        <v>0</v>
      </c>
      <c r="F25" s="17" t="n">
        <f aca="false">demand!E23</f>
        <v>0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-0</v>
      </c>
      <c r="J25" s="2" t="n">
        <f aca="false">-charge!E23</f>
        <v>-0</v>
      </c>
      <c r="K25" s="2" t="n">
        <f aca="false">discharge!E23</f>
        <v>0</v>
      </c>
      <c r="L25" s="2" t="n">
        <f aca="false">soc!E23/investment!$E$4 *100</f>
        <v>49.6289732017242</v>
      </c>
    </row>
    <row r="26" customFormat="false" ht="13.8" hidden="false" customHeight="false" outlineLevel="0" collapsed="false">
      <c r="B26" s="10" t="n">
        <f aca="false">_xlfn.NUMBERVALUE(solar!B23)</f>
        <v>41</v>
      </c>
      <c r="C26" s="11" t="n">
        <f aca="false">solar!C23</f>
        <v>0</v>
      </c>
      <c r="D26" s="5" t="n">
        <v>22</v>
      </c>
      <c r="E26" s="16" t="n">
        <f aca="false">IFERROR(INDEX($B$5:$C$173, MATCH($D26, $B$5:$B$175, 0), 2), 0)*investment!$C$4</f>
        <v>0</v>
      </c>
      <c r="F26" s="17" t="n">
        <f aca="false">demand!E24</f>
        <v>0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-0</v>
      </c>
      <c r="J26" s="2" t="n">
        <f aca="false">-charge!E24</f>
        <v>-0</v>
      </c>
      <c r="K26" s="2" t="n">
        <f aca="false">discharge!E24</f>
        <v>0</v>
      </c>
      <c r="L26" s="2" t="n">
        <f aca="false">soc!E24/investment!$E$4 *100</f>
        <v>48.0966954988646</v>
      </c>
    </row>
    <row r="27" customFormat="false" ht="13.8" hidden="false" customHeight="false" outlineLevel="0" collapsed="false">
      <c r="B27" s="10" t="n">
        <f aca="false">_xlfn.NUMBERVALUE(solar!B24)</f>
        <v>42</v>
      </c>
      <c r="C27" s="11" t="n">
        <f aca="false">solar!C24</f>
        <v>0</v>
      </c>
      <c r="D27" s="5" t="n">
        <v>23</v>
      </c>
      <c r="E27" s="16" t="n">
        <f aca="false">IFERROR(INDEX($B$5:$C$173, MATCH($D27, $B$5:$B$175, 0), 2), 0)*investment!$C$4</f>
        <v>0</v>
      </c>
      <c r="F27" s="17" t="n">
        <f aca="false">demand!E25</f>
        <v>0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-0</v>
      </c>
      <c r="J27" s="2" t="n">
        <f aca="false">-charge!E25</f>
        <v>-0</v>
      </c>
      <c r="K27" s="2" t="n">
        <f aca="false">discharge!E25</f>
        <v>0</v>
      </c>
      <c r="L27" s="2" t="n">
        <f aca="false">soc!E25/investment!$E$4 *100</f>
        <v>47.5151426064501</v>
      </c>
    </row>
    <row r="28" customFormat="false" ht="13.8" hidden="false" customHeight="false" outlineLevel="0" collapsed="false">
      <c r="B28" s="10" t="n">
        <f aca="false">_xlfn.NUMBERVALUE(solar!B25)</f>
        <v>43</v>
      </c>
      <c r="C28" s="11" t="n">
        <f aca="false">solar!C25</f>
        <v>0</v>
      </c>
      <c r="D28" s="5" t="n">
        <v>24</v>
      </c>
      <c r="E28" s="16" t="n">
        <f aca="false">IFERROR(INDEX($B$5:$C$173, MATCH($D28, $B$5:$B$175, 0), 2), 0)*investment!$C$4</f>
        <v>0</v>
      </c>
      <c r="F28" s="17" t="n">
        <f aca="false">demand!E26</f>
        <v>0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-0</v>
      </c>
      <c r="J28" s="2" t="n">
        <f aca="false">-charge!E26</f>
        <v>-0</v>
      </c>
      <c r="K28" s="2" t="n">
        <f aca="false">discharge!E26</f>
        <v>0</v>
      </c>
      <c r="L28" s="2" t="n">
        <f aca="false">soc!E26/investment!$E$4 *100</f>
        <v>45.6426642368821</v>
      </c>
    </row>
    <row r="29" customFormat="false" ht="13.8" hidden="false" customHeight="false" outlineLevel="0" collapsed="false">
      <c r="B29" s="10" t="n">
        <f aca="false">_xlfn.NUMBERVALUE(solar!B26)</f>
        <v>56</v>
      </c>
      <c r="C29" s="11" t="n">
        <f aca="false">solar!C26</f>
        <v>0</v>
      </c>
      <c r="D29" s="5" t="n">
        <v>25</v>
      </c>
      <c r="E29" s="16" t="n">
        <f aca="false">IFERROR(INDEX($B$5:$C$173, MATCH($D29, $B$5:$B$175, 0), 2), 0)*investment!$C$4</f>
        <v>0</v>
      </c>
      <c r="F29" s="17" t="n">
        <f aca="false">demand!E27</f>
        <v>0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-0</v>
      </c>
      <c r="J29" s="2" t="n">
        <f aca="false">-charge!E27</f>
        <v>-0</v>
      </c>
      <c r="K29" s="2" t="n">
        <f aca="false">discharge!E27</f>
        <v>0</v>
      </c>
      <c r="L29" s="2" t="n">
        <f aca="false">soc!E27/investment!$E$4 *100</f>
        <v>44.5718529496591</v>
      </c>
    </row>
    <row r="30" customFormat="false" ht="13.8" hidden="false" customHeight="false" outlineLevel="0" collapsed="false">
      <c r="B30" s="10" t="n">
        <f aca="false">_xlfn.NUMBERVALUE(solar!B27)</f>
        <v>57</v>
      </c>
      <c r="C30" s="11" t="n">
        <f aca="false">solar!C27</f>
        <v>0</v>
      </c>
      <c r="D30" s="5" t="n">
        <v>26</v>
      </c>
      <c r="E30" s="16" t="n">
        <f aca="false">IFERROR(INDEX($B$5:$C$173, MATCH($D30, $B$5:$B$175, 0), 2), 0)*investment!$C$4</f>
        <v>0</v>
      </c>
      <c r="F30" s="17" t="n">
        <f aca="false">demand!E28</f>
        <v>0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-0</v>
      </c>
      <c r="J30" s="2" t="n">
        <f aca="false">-charge!E28</f>
        <v>-0</v>
      </c>
      <c r="K30" s="2" t="n">
        <f aca="false">discharge!E28</f>
        <v>0</v>
      </c>
      <c r="L30" s="2" t="n">
        <f aca="false">soc!E28/investment!$E$4 *100</f>
        <v>42.3186608421963</v>
      </c>
    </row>
    <row r="31" customFormat="false" ht="13.8" hidden="false" customHeight="false" outlineLevel="0" collapsed="false">
      <c r="B31" s="10" t="n">
        <f aca="false">_xlfn.NUMBERVALUE(solar!B28)</f>
        <v>58</v>
      </c>
      <c r="C31" s="11" t="n">
        <f aca="false">solar!C28</f>
        <v>0</v>
      </c>
      <c r="D31" s="5" t="n">
        <v>27</v>
      </c>
      <c r="E31" s="16" t="n">
        <f aca="false">IFERROR(INDEX($B$5:$C$173, MATCH($D31, $B$5:$B$175, 0), 2), 0)*investment!$C$4</f>
        <v>0</v>
      </c>
      <c r="F31" s="17" t="n">
        <f aca="false">demand!E29</f>
        <v>0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-0</v>
      </c>
      <c r="J31" s="2" t="n">
        <f aca="false">-charge!E29</f>
        <v>-0</v>
      </c>
      <c r="K31" s="2" t="n">
        <f aca="false">discharge!E29</f>
        <v>0</v>
      </c>
      <c r="L31" s="2" t="n">
        <f aca="false">soc!E29/investment!$E$4 *100</f>
        <v>41.2086802407901</v>
      </c>
    </row>
    <row r="32" customFormat="false" ht="13.8" hidden="false" customHeight="false" outlineLevel="0" collapsed="false">
      <c r="B32" s="10" t="n">
        <f aca="false">_xlfn.NUMBERVALUE(solar!B29)</f>
        <v>59</v>
      </c>
      <c r="C32" s="11" t="n">
        <f aca="false">solar!C29</f>
        <v>0</v>
      </c>
      <c r="D32" s="5" t="n">
        <v>28</v>
      </c>
      <c r="E32" s="16" t="n">
        <f aca="false">IFERROR(INDEX($B$5:$C$173, MATCH($D32, $B$5:$B$175, 0), 2), 0)*investment!$C$4</f>
        <v>0</v>
      </c>
      <c r="F32" s="17" t="n">
        <f aca="false">demand!E30</f>
        <v>0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-0</v>
      </c>
      <c r="J32" s="2" t="n">
        <f aca="false">-charge!E30</f>
        <v>-0</v>
      </c>
      <c r="K32" s="2" t="n">
        <f aca="false">discharge!E30</f>
        <v>0</v>
      </c>
      <c r="L32" s="2" t="n">
        <f aca="false">soc!E30/investment!$E$4 *100</f>
        <v>39.4838086128939</v>
      </c>
    </row>
    <row r="33" customFormat="false" ht="13.8" hidden="false" customHeight="false" outlineLevel="0" collapsed="false">
      <c r="B33" s="10" t="n">
        <f aca="false">_xlfn.NUMBERVALUE(solar!B30)</f>
        <v>60</v>
      </c>
      <c r="C33" s="11" t="n">
        <f aca="false">solar!C30</f>
        <v>0</v>
      </c>
      <c r="D33" s="5" t="n">
        <v>29</v>
      </c>
      <c r="E33" s="16" t="n">
        <f aca="false">IFERROR(INDEX($B$5:$C$173, MATCH($D33, $B$5:$B$175, 0), 2), 0)*investment!$C$4</f>
        <v>0</v>
      </c>
      <c r="F33" s="17" t="n">
        <f aca="false">demand!E31</f>
        <v>0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-0</v>
      </c>
      <c r="J33" s="2" t="n">
        <f aca="false">-charge!E31</f>
        <v>-0</v>
      </c>
      <c r="K33" s="2" t="n">
        <f aca="false">discharge!E31</f>
        <v>0</v>
      </c>
      <c r="L33" s="2" t="n">
        <f aca="false">soc!E31/investment!$E$4 *100</f>
        <v>38.838293273697</v>
      </c>
    </row>
    <row r="34" customFormat="false" ht="13.8" hidden="false" customHeight="false" outlineLevel="0" collapsed="false">
      <c r="B34" s="10" t="n">
        <f aca="false">_xlfn.NUMBERVALUE(solar!B31)</f>
        <v>61</v>
      </c>
      <c r="C34" s="11" t="n">
        <f aca="false">solar!C31</f>
        <v>0</v>
      </c>
      <c r="D34" s="5" t="n">
        <v>30</v>
      </c>
      <c r="E34" s="16" t="n">
        <f aca="false">IFERROR(INDEX($B$5:$C$173, MATCH($D34, $B$5:$B$175, 0), 2), 0)*investment!$C$4</f>
        <v>0</v>
      </c>
      <c r="F34" s="17" t="n">
        <f aca="false">demand!E32</f>
        <v>0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-0</v>
      </c>
      <c r="J34" s="2" t="n">
        <f aca="false">-charge!E32</f>
        <v>-0</v>
      </c>
      <c r="K34" s="2" t="n">
        <f aca="false">discharge!E32</f>
        <v>0</v>
      </c>
      <c r="L34" s="2" t="n">
        <f aca="false">soc!E32/investment!$E$4 *100</f>
        <v>38.6534183571932</v>
      </c>
    </row>
    <row r="35" customFormat="false" ht="13.8" hidden="false" customHeight="false" outlineLevel="0" collapsed="false">
      <c r="B35" s="10" t="n">
        <f aca="false">_xlfn.NUMBERVALUE(solar!B32)</f>
        <v>62</v>
      </c>
      <c r="C35" s="11" t="n">
        <f aca="false">solar!C32</f>
        <v>0</v>
      </c>
      <c r="D35" s="5" t="n">
        <v>31</v>
      </c>
      <c r="E35" s="16" t="n">
        <f aca="false">IFERROR(INDEX($B$5:$C$173, MATCH($D35, $B$5:$B$175, 0), 2), 0)*investment!$C$4</f>
        <v>0</v>
      </c>
      <c r="F35" s="17" t="n">
        <f aca="false">demand!E33</f>
        <v>0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-0</v>
      </c>
      <c r="J35" s="2" t="n">
        <f aca="false">-charge!E33</f>
        <v>-0</v>
      </c>
      <c r="K35" s="2" t="n">
        <f aca="false">discharge!E33</f>
        <v>0</v>
      </c>
      <c r="L35" s="2" t="n">
        <f aca="false">soc!E33/investment!$E$4 *100</f>
        <v>39.2333074339592</v>
      </c>
    </row>
    <row r="36" customFormat="false" ht="13.8" hidden="false" customHeight="false" outlineLevel="0" collapsed="false">
      <c r="B36" s="10" t="n">
        <f aca="false">_xlfn.NUMBERVALUE(solar!B33)</f>
        <v>63</v>
      </c>
      <c r="C36" s="11" t="n">
        <f aca="false">solar!C33</f>
        <v>0</v>
      </c>
      <c r="D36" s="5" t="n">
        <v>32</v>
      </c>
      <c r="E36" s="16" t="n">
        <f aca="false">IFERROR(INDEX($B$5:$C$173, MATCH($D36, $B$5:$B$175, 0), 2), 0)*investment!$C$4</f>
        <v>0</v>
      </c>
      <c r="F36" s="17" t="n">
        <f aca="false">demand!E34</f>
        <v>0</v>
      </c>
      <c r="G36" s="2" t="n">
        <f aca="false">solgen!E34</f>
        <v>0</v>
      </c>
      <c r="H36" s="2" t="n">
        <f aca="false">import!E34</f>
        <v>0</v>
      </c>
      <c r="I36" s="2" t="n">
        <f aca="false">-export!E34</f>
        <v>-0</v>
      </c>
      <c r="J36" s="2" t="n">
        <f aca="false">-charge!E34</f>
        <v>-0</v>
      </c>
      <c r="K36" s="2" t="n">
        <f aca="false">discharge!E34</f>
        <v>0</v>
      </c>
      <c r="L36" s="2" t="n">
        <f aca="false">soc!E34/investment!$E$4 *100</f>
        <v>39.2329151008848</v>
      </c>
    </row>
    <row r="37" customFormat="false" ht="13.8" hidden="false" customHeight="false" outlineLevel="0" collapsed="false">
      <c r="B37" s="10" t="n">
        <f aca="false">_xlfn.NUMBERVALUE(solar!B34)</f>
        <v>64</v>
      </c>
      <c r="C37" s="11" t="n">
        <f aca="false">solar!C34</f>
        <v>0</v>
      </c>
      <c r="D37" s="5" t="n">
        <v>33</v>
      </c>
      <c r="E37" s="16" t="n">
        <f aca="false">IFERROR(INDEX($B$5:$C$173, MATCH($D37, $B$5:$B$175, 0), 2), 0)*investment!$C$4</f>
        <v>0</v>
      </c>
      <c r="F37" s="17" t="n">
        <f aca="false">demand!E35</f>
        <v>0</v>
      </c>
      <c r="G37" s="2" t="n">
        <f aca="false">solgen!E35</f>
        <v>0</v>
      </c>
      <c r="H37" s="2" t="n">
        <f aca="false">import!E35</f>
        <v>0</v>
      </c>
      <c r="I37" s="2" t="n">
        <f aca="false">-export!E35</f>
        <v>-0</v>
      </c>
      <c r="J37" s="2" t="n">
        <f aca="false">-charge!E35</f>
        <v>-0</v>
      </c>
      <c r="K37" s="2" t="n">
        <f aca="false">discharge!E35</f>
        <v>0</v>
      </c>
      <c r="L37" s="2" t="n">
        <f aca="false">soc!E35/investment!$E$4 *100</f>
        <v>39.2325227717338</v>
      </c>
    </row>
    <row r="38" customFormat="false" ht="13.8" hidden="false" customHeight="false" outlineLevel="0" collapsed="false">
      <c r="B38" s="10" t="n">
        <f aca="false">_xlfn.NUMBERVALUE(solar!B35)</f>
        <v>65</v>
      </c>
      <c r="C38" s="11" t="n">
        <f aca="false">solar!C35</f>
        <v>0</v>
      </c>
      <c r="D38" s="5" t="n">
        <v>34</v>
      </c>
      <c r="E38" s="16" t="n">
        <f aca="false">IFERROR(INDEX($B$5:$C$173, MATCH($D38, $B$5:$B$175, 0), 2), 0)*investment!$C$4</f>
        <v>0</v>
      </c>
      <c r="F38" s="17" t="n">
        <f aca="false">demand!E36</f>
        <v>0</v>
      </c>
      <c r="G38" s="2" t="n">
        <f aca="false">solgen!E36</f>
        <v>0</v>
      </c>
      <c r="H38" s="2" t="n">
        <f aca="false">import!E36</f>
        <v>0</v>
      </c>
      <c r="I38" s="2" t="n">
        <f aca="false">-export!E36</f>
        <v>-0</v>
      </c>
      <c r="J38" s="2" t="n">
        <f aca="false">-charge!E36</f>
        <v>-0</v>
      </c>
      <c r="K38" s="2" t="n">
        <f aca="false">discharge!E36</f>
        <v>0</v>
      </c>
      <c r="L38" s="2" t="n">
        <f aca="false">soc!E36/investment!$E$4 *100</f>
        <v>39.2321304465061</v>
      </c>
    </row>
    <row r="39" customFormat="false" ht="13.8" hidden="false" customHeight="false" outlineLevel="0" collapsed="false">
      <c r="B39" s="10" t="n">
        <f aca="false">_xlfn.NUMBERVALUE(solar!B36)</f>
        <v>66</v>
      </c>
      <c r="C39" s="11" t="n">
        <f aca="false">solar!C36</f>
        <v>0</v>
      </c>
      <c r="D39" s="5" t="n">
        <v>35</v>
      </c>
      <c r="E39" s="16" t="n">
        <f aca="false">IFERROR(INDEX($B$5:$C$173, MATCH($D39, $B$5:$B$175, 0), 2), 0)*investment!$C$4</f>
        <v>0</v>
      </c>
      <c r="F39" s="17" t="n">
        <f aca="false">demand!E37</f>
        <v>0</v>
      </c>
      <c r="G39" s="2" t="n">
        <f aca="false">solgen!E37</f>
        <v>0</v>
      </c>
      <c r="H39" s="2" t="n">
        <f aca="false">import!E37</f>
        <v>0</v>
      </c>
      <c r="I39" s="2" t="n">
        <f aca="false">-export!E37</f>
        <v>-0</v>
      </c>
      <c r="J39" s="2" t="n">
        <f aca="false">-charge!E37</f>
        <v>-0</v>
      </c>
      <c r="K39" s="2" t="n">
        <f aca="false">discharge!E37</f>
        <v>0</v>
      </c>
      <c r="L39" s="2" t="n">
        <f aca="false">soc!E37/investment!$E$4 *100</f>
        <v>39.2317381252016</v>
      </c>
    </row>
    <row r="40" customFormat="false" ht="13.8" hidden="false" customHeight="false" outlineLevel="0" collapsed="false">
      <c r="B40" s="10" t="n">
        <f aca="false">_xlfn.NUMBERVALUE(solar!B37)</f>
        <v>67</v>
      </c>
      <c r="C40" s="11" t="n">
        <f aca="false">solar!C37</f>
        <v>0</v>
      </c>
      <c r="D40" s="5" t="n">
        <v>36</v>
      </c>
      <c r="E40" s="16" t="n">
        <f aca="false">IFERROR(INDEX($B$5:$C$173, MATCH($D40, $B$5:$B$175, 0), 2), 0)*investment!$C$4</f>
        <v>0</v>
      </c>
      <c r="F40" s="17" t="n">
        <f aca="false">demand!E38</f>
        <v>0</v>
      </c>
      <c r="G40" s="2" t="n">
        <f aca="false">solgen!E38</f>
        <v>0</v>
      </c>
      <c r="H40" s="2" t="n">
        <f aca="false">import!E38</f>
        <v>0</v>
      </c>
      <c r="I40" s="2" t="n">
        <f aca="false">-export!E38</f>
        <v>-0</v>
      </c>
      <c r="J40" s="2" t="n">
        <f aca="false">-charge!E38</f>
        <v>-0</v>
      </c>
      <c r="K40" s="2" t="n">
        <f aca="false">discharge!E38</f>
        <v>0</v>
      </c>
      <c r="L40" s="2" t="n">
        <f aca="false">soc!E38/investment!$E$4 *100</f>
        <v>39.2313458078204</v>
      </c>
    </row>
    <row r="41" customFormat="false" ht="13.8" hidden="false" customHeight="false" outlineLevel="0" collapsed="false">
      <c r="B41" s="10" t="n">
        <f aca="false">_xlfn.NUMBERVALUE(solar!B38)</f>
        <v>80</v>
      </c>
      <c r="C41" s="11" t="n">
        <f aca="false">solar!C38</f>
        <v>0</v>
      </c>
      <c r="D41" s="5" t="n">
        <v>37</v>
      </c>
      <c r="E41" s="16" t="n">
        <f aca="false">IFERROR(INDEX($B$5:$C$173, MATCH($D41, $B$5:$B$175, 0), 2), 0)*investment!$C$4</f>
        <v>0</v>
      </c>
      <c r="F41" s="17" t="n">
        <f aca="false">demand!E39</f>
        <v>0</v>
      </c>
      <c r="G41" s="2" t="n">
        <f aca="false">solgen!E39</f>
        <v>0</v>
      </c>
      <c r="H41" s="2" t="n">
        <f aca="false">import!E39</f>
        <v>0</v>
      </c>
      <c r="I41" s="2" t="n">
        <f aca="false">-export!E39</f>
        <v>-0</v>
      </c>
      <c r="J41" s="2" t="n">
        <f aca="false">-charge!E39</f>
        <v>-0</v>
      </c>
      <c r="K41" s="2" t="n">
        <f aca="false">discharge!E39</f>
        <v>0</v>
      </c>
      <c r="L41" s="2" t="n">
        <f aca="false">soc!E39/investment!$E$4 *100</f>
        <v>39.2309534943623</v>
      </c>
    </row>
    <row r="42" customFormat="false" ht="13.8" hidden="false" customHeight="false" outlineLevel="0" collapsed="false">
      <c r="B42" s="10" t="n">
        <f aca="false">_xlfn.NUMBERVALUE(solar!B39)</f>
        <v>81</v>
      </c>
      <c r="C42" s="11" t="n">
        <f aca="false">solar!C39</f>
        <v>0</v>
      </c>
      <c r="D42" s="5" t="n">
        <v>38</v>
      </c>
      <c r="E42" s="16" t="n">
        <f aca="false">IFERROR(INDEX($B$5:$C$173, MATCH($D42, $B$5:$B$175, 0), 2), 0)*investment!$C$4</f>
        <v>0</v>
      </c>
      <c r="F42" s="17" t="n">
        <f aca="false">demand!E40</f>
        <v>0</v>
      </c>
      <c r="G42" s="2" t="n">
        <f aca="false">solgen!E40</f>
        <v>0</v>
      </c>
      <c r="H42" s="2" t="n">
        <f aca="false">import!E40</f>
        <v>0</v>
      </c>
      <c r="I42" s="2" t="n">
        <f aca="false">-export!E40</f>
        <v>-0</v>
      </c>
      <c r="J42" s="2" t="n">
        <f aca="false">-charge!E40</f>
        <v>-0</v>
      </c>
      <c r="K42" s="2" t="n">
        <f aca="false">discharge!E40</f>
        <v>0</v>
      </c>
      <c r="L42" s="2" t="n">
        <f aca="false">soc!E40/investment!$E$4 *100</f>
        <v>39.2305611848274</v>
      </c>
    </row>
    <row r="43" customFormat="false" ht="13.8" hidden="false" customHeight="false" outlineLevel="0" collapsed="false">
      <c r="B43" s="10" t="n">
        <f aca="false">_xlfn.NUMBERVALUE(solar!B40)</f>
        <v>82</v>
      </c>
      <c r="C43" s="11" t="n">
        <f aca="false">solar!C40</f>
        <v>0</v>
      </c>
      <c r="D43" s="5" t="n">
        <v>39</v>
      </c>
      <c r="E43" s="16" t="n">
        <f aca="false">IFERROR(INDEX($B$5:$C$173, MATCH($D43, $B$5:$B$175, 0), 2), 0)*investment!$C$4</f>
        <v>0</v>
      </c>
      <c r="F43" s="17" t="n">
        <f aca="false">demand!E41</f>
        <v>0</v>
      </c>
      <c r="G43" s="2" t="n">
        <f aca="false">solgen!E41</f>
        <v>0</v>
      </c>
      <c r="H43" s="2" t="n">
        <f aca="false">import!E41</f>
        <v>0</v>
      </c>
      <c r="I43" s="2" t="n">
        <f aca="false">-export!E41</f>
        <v>-0</v>
      </c>
      <c r="J43" s="2" t="n">
        <f aca="false">-charge!E41</f>
        <v>-0</v>
      </c>
      <c r="K43" s="2" t="n">
        <f aca="false">discharge!E41</f>
        <v>0</v>
      </c>
      <c r="L43" s="2" t="n">
        <f aca="false">soc!E41/investment!$E$4 *100</f>
        <v>39.2301688792155</v>
      </c>
    </row>
    <row r="44" customFormat="false" ht="13.8" hidden="false" customHeight="false" outlineLevel="0" collapsed="false">
      <c r="B44" s="10" t="n">
        <f aca="false">_xlfn.NUMBERVALUE(solar!B41)</f>
        <v>83</v>
      </c>
      <c r="C44" s="11" t="n">
        <f aca="false">solar!C41</f>
        <v>0</v>
      </c>
      <c r="D44" s="5" t="n">
        <v>40</v>
      </c>
      <c r="E44" s="16" t="n">
        <f aca="false">IFERROR(INDEX($B$5:$C$173, MATCH($D44, $B$5:$B$175, 0), 2), 0)*investment!$C$4</f>
        <v>0</v>
      </c>
      <c r="F44" s="17" t="n">
        <f aca="false">demand!E42</f>
        <v>0</v>
      </c>
      <c r="G44" s="2" t="n">
        <f aca="false">solgen!E42</f>
        <v>0</v>
      </c>
      <c r="H44" s="2" t="n">
        <f aca="false">import!E42</f>
        <v>0</v>
      </c>
      <c r="I44" s="2" t="n">
        <f aca="false">-export!E42</f>
        <v>-0</v>
      </c>
      <c r="J44" s="2" t="n">
        <f aca="false">-charge!E42</f>
        <v>-0</v>
      </c>
      <c r="K44" s="2" t="n">
        <f aca="false">discharge!E42</f>
        <v>0</v>
      </c>
      <c r="L44" s="2" t="n">
        <f aca="false">soc!E42/investment!$E$4 *100</f>
        <v>39.2297765775267</v>
      </c>
    </row>
    <row r="45" customFormat="false" ht="13.8" hidden="false" customHeight="false" outlineLevel="0" collapsed="false">
      <c r="B45" s="10" t="n">
        <f aca="false">_xlfn.NUMBERVALUE(solar!B42)</f>
        <v>84</v>
      </c>
      <c r="C45" s="11" t="n">
        <f aca="false">solar!C42</f>
        <v>0</v>
      </c>
      <c r="D45" s="5" t="n">
        <v>41</v>
      </c>
      <c r="E45" s="16" t="n">
        <f aca="false">IFERROR(INDEX($B$5:$C$173, MATCH($D45, $B$5:$B$175, 0), 2), 0)*investment!$C$4</f>
        <v>0</v>
      </c>
      <c r="F45" s="17" t="n">
        <f aca="false">demand!E43</f>
        <v>0</v>
      </c>
      <c r="G45" s="2" t="n">
        <f aca="false">solgen!E43</f>
        <v>0</v>
      </c>
      <c r="H45" s="2" t="n">
        <f aca="false">import!E43</f>
        <v>0</v>
      </c>
      <c r="I45" s="2" t="n">
        <f aca="false">-export!E43</f>
        <v>-0</v>
      </c>
      <c r="J45" s="2" t="n">
        <f aca="false">-charge!E43</f>
        <v>-0</v>
      </c>
      <c r="K45" s="2" t="n">
        <f aca="false">discharge!E43</f>
        <v>0</v>
      </c>
      <c r="L45" s="2" t="n">
        <f aca="false">soc!E43/investment!$E$4 *100</f>
        <v>39.2293842798673</v>
      </c>
    </row>
    <row r="46" customFormat="false" ht="13.8" hidden="false" customHeight="false" outlineLevel="0" collapsed="false">
      <c r="B46" s="10" t="n">
        <f aca="false">_xlfn.NUMBERVALUE(solar!B43)</f>
        <v>85</v>
      </c>
      <c r="C46" s="11" t="n">
        <f aca="false">solar!C43</f>
        <v>0</v>
      </c>
      <c r="D46" s="5" t="n">
        <v>42</v>
      </c>
      <c r="E46" s="16" t="n">
        <f aca="false">IFERROR(INDEX($B$5:$C$173, MATCH($D46, $B$5:$B$175, 0), 2), 0)*investment!$C$4</f>
        <v>0</v>
      </c>
      <c r="F46" s="17" t="n">
        <f aca="false">demand!E44</f>
        <v>0</v>
      </c>
      <c r="G46" s="2" t="n">
        <f aca="false">solgen!E44</f>
        <v>0</v>
      </c>
      <c r="H46" s="2" t="n">
        <f aca="false">import!E44</f>
        <v>0</v>
      </c>
      <c r="I46" s="2" t="n">
        <f aca="false">-export!E44</f>
        <v>-0</v>
      </c>
      <c r="J46" s="2" t="n">
        <f aca="false">-charge!E44</f>
        <v>-0</v>
      </c>
      <c r="K46" s="2" t="n">
        <f aca="false">discharge!E44</f>
        <v>0</v>
      </c>
      <c r="L46" s="2" t="n">
        <f aca="false">soc!E44/investment!$E$4 *100</f>
        <v>39.2289919861019</v>
      </c>
    </row>
    <row r="47" customFormat="false" ht="13.8" hidden="false" customHeight="false" outlineLevel="0" collapsed="false">
      <c r="B47" s="10" t="n">
        <f aca="false">_xlfn.NUMBERVALUE(solar!B44)</f>
        <v>86</v>
      </c>
      <c r="C47" s="11" t="n">
        <f aca="false">solar!C44</f>
        <v>0</v>
      </c>
      <c r="D47" s="5" t="n">
        <v>43</v>
      </c>
      <c r="E47" s="16" t="n">
        <f aca="false">IFERROR(INDEX($B$5:$C$173, MATCH($D47, $B$5:$B$175, 0), 2), 0)*investment!$C$4</f>
        <v>0</v>
      </c>
      <c r="F47" s="17" t="n">
        <f aca="false">demand!E45</f>
        <v>0</v>
      </c>
      <c r="G47" s="2" t="n">
        <f aca="false">solgen!E45</f>
        <v>0</v>
      </c>
      <c r="H47" s="2" t="n">
        <f aca="false">import!E45</f>
        <v>0</v>
      </c>
      <c r="I47" s="2" t="n">
        <f aca="false">-export!E45</f>
        <v>-0</v>
      </c>
      <c r="J47" s="2" t="n">
        <f aca="false">-charge!E45</f>
        <v>-0</v>
      </c>
      <c r="K47" s="2" t="n">
        <f aca="false">discharge!E45</f>
        <v>0</v>
      </c>
      <c r="L47" s="2" t="n">
        <f aca="false">soc!E45/investment!$E$4 *100</f>
        <v>39.2285996960225</v>
      </c>
    </row>
    <row r="48" customFormat="false" ht="13.8" hidden="false" customHeight="false" outlineLevel="0" collapsed="false">
      <c r="B48" s="10" t="n">
        <f aca="false">_xlfn.NUMBERVALUE(solar!B45)</f>
        <v>87</v>
      </c>
      <c r="C48" s="11" t="n">
        <f aca="false">solar!C45</f>
        <v>0</v>
      </c>
      <c r="D48" s="5" t="n">
        <v>44</v>
      </c>
      <c r="E48" s="16" t="n">
        <f aca="false">IFERROR(INDEX($B$5:$C$173, MATCH($D48, $B$5:$B$175, 0), 2), 0)*investment!$C$4</f>
        <v>0</v>
      </c>
      <c r="F48" s="17" t="n">
        <f aca="false">demand!E46</f>
        <v>0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-0</v>
      </c>
      <c r="J48" s="2" t="n">
        <f aca="false">-charge!E46</f>
        <v>-0</v>
      </c>
      <c r="K48" s="2" t="n">
        <f aca="false">discharge!E46</f>
        <v>0</v>
      </c>
      <c r="L48" s="2" t="n">
        <f aca="false">soc!E46/investment!$E$4 *100</f>
        <v>39.2282074100255</v>
      </c>
    </row>
    <row r="49" customFormat="false" ht="13.8" hidden="false" customHeight="false" outlineLevel="0" collapsed="false">
      <c r="B49" s="10" t="n">
        <f aca="false">_xlfn.NUMBERVALUE(solar!B46)</f>
        <v>88</v>
      </c>
      <c r="C49" s="11" t="n">
        <f aca="false">solar!C46</f>
        <v>0</v>
      </c>
      <c r="D49" s="5" t="n">
        <v>45</v>
      </c>
      <c r="E49" s="16" t="n">
        <f aca="false">IFERROR(INDEX($B$5:$C$173, MATCH($D49, $B$5:$B$175, 0), 2), 0)*investment!$C$4</f>
        <v>0</v>
      </c>
      <c r="F49" s="17" t="n">
        <f aca="false">demand!E47</f>
        <v>0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-0</v>
      </c>
      <c r="J49" s="2" t="n">
        <f aca="false">-charge!E47</f>
        <v>-0</v>
      </c>
      <c r="K49" s="2" t="n">
        <f aca="false">discharge!E47</f>
        <v>0</v>
      </c>
      <c r="L49" s="2" t="n">
        <f aca="false">soc!E47/investment!$E$4 *100</f>
        <v>39.2278151279514</v>
      </c>
    </row>
    <row r="50" customFormat="false" ht="13.8" hidden="false" customHeight="false" outlineLevel="0" collapsed="false">
      <c r="B50" s="10" t="n">
        <f aca="false">_xlfn.NUMBERVALUE(solar!B47)</f>
        <v>89</v>
      </c>
      <c r="C50" s="11" t="n">
        <f aca="false">solar!C47</f>
        <v>0</v>
      </c>
      <c r="D50" s="5" t="n">
        <v>46</v>
      </c>
      <c r="E50" s="16" t="n">
        <f aca="false">IFERROR(INDEX($B$5:$C$173, MATCH($D50, $B$5:$B$175, 0), 2), 0)*investment!$C$4</f>
        <v>0</v>
      </c>
      <c r="F50" s="17" t="n">
        <f aca="false">demand!E48</f>
        <v>0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-0</v>
      </c>
      <c r="J50" s="2" t="n">
        <f aca="false">-charge!E48</f>
        <v>-0</v>
      </c>
      <c r="K50" s="2" t="n">
        <f aca="false">discharge!E48</f>
        <v>0</v>
      </c>
      <c r="L50" s="2" t="n">
        <f aca="false">soc!E48/investment!$E$4 *100</f>
        <v>39.2274228498001</v>
      </c>
    </row>
    <row r="51" customFormat="false" ht="13.8" hidden="false" customHeight="false" outlineLevel="0" collapsed="false">
      <c r="B51" s="10" t="n">
        <f aca="false">_xlfn.NUMBERVALUE(solar!B48)</f>
        <v>90</v>
      </c>
      <c r="C51" s="11" t="n">
        <f aca="false">solar!C48</f>
        <v>0</v>
      </c>
      <c r="D51" s="5" t="n">
        <v>47</v>
      </c>
      <c r="E51" s="16" t="n">
        <f aca="false">IFERROR(INDEX($B$5:$C$173, MATCH($D51, $B$5:$B$175, 0), 2), 0)*investment!$C$4</f>
        <v>0</v>
      </c>
      <c r="F51" s="17" t="n">
        <f aca="false">demand!E49</f>
        <v>0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-0</v>
      </c>
      <c r="J51" s="2" t="n">
        <f aca="false">-charge!E49</f>
        <v>-0</v>
      </c>
      <c r="K51" s="2" t="n">
        <f aca="false">discharge!E49</f>
        <v>0</v>
      </c>
      <c r="L51" s="2" t="n">
        <f aca="false">soc!E49/investment!$E$4 *100</f>
        <v>39.2270305755716</v>
      </c>
    </row>
    <row r="52" customFormat="false" ht="13.8" hidden="false" customHeight="false" outlineLevel="0" collapsed="false">
      <c r="B52" s="10" t="n">
        <f aca="false">_xlfn.NUMBERVALUE(solar!B49)</f>
        <v>91</v>
      </c>
      <c r="C52" s="11" t="n">
        <f aca="false">solar!C49</f>
        <v>0</v>
      </c>
      <c r="D52" s="5" t="n">
        <v>48</v>
      </c>
      <c r="E52" s="16" t="n">
        <f aca="false">IFERROR(INDEX($B$5:$C$173, MATCH($D52, $B$5:$B$175, 0), 2), 0)*investment!$C$4</f>
        <v>0</v>
      </c>
      <c r="F52" s="17" t="n">
        <f aca="false">demand!E50</f>
        <v>0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-0</v>
      </c>
      <c r="J52" s="2" t="n">
        <f aca="false">-charge!E50</f>
        <v>-0</v>
      </c>
      <c r="K52" s="2" t="n">
        <f aca="false">discharge!E50</f>
        <v>0</v>
      </c>
      <c r="L52" s="2" t="n">
        <f aca="false">soc!E50/investment!$E$4 *100</f>
        <v>39.2266383052659</v>
      </c>
    </row>
    <row r="53" customFormat="false" ht="13.8" hidden="false" customHeight="false" outlineLevel="0" collapsed="false">
      <c r="B53" s="10" t="n">
        <f aca="false">_xlfn.NUMBERVALUE(solar!B50)</f>
        <v>104</v>
      </c>
      <c r="C53" s="11" t="n">
        <f aca="false">solar!C50</f>
        <v>0</v>
      </c>
      <c r="D53" s="5" t="n">
        <v>49</v>
      </c>
      <c r="E53" s="16" t="n">
        <f aca="false">IFERROR(INDEX($B$5:$C$173, MATCH($D53, $B$5:$B$175, 0), 2), 0)*investment!$C$4</f>
        <v>0</v>
      </c>
      <c r="F53" s="17" t="n">
        <f aca="false">demand!E51</f>
        <v>0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-0</v>
      </c>
      <c r="J53" s="2" t="n">
        <f aca="false">-charge!E51</f>
        <v>-0</v>
      </c>
      <c r="K53" s="2" t="n">
        <f aca="false">discharge!E51</f>
        <v>0</v>
      </c>
      <c r="L53" s="2" t="n">
        <f aca="false">soc!E51/investment!$E$4 *100</f>
        <v>39.2262460388828</v>
      </c>
    </row>
    <row r="54" customFormat="false" ht="13.8" hidden="false" customHeight="false" outlineLevel="0" collapsed="false">
      <c r="B54" s="10" t="n">
        <f aca="false">_xlfn.NUMBERVALUE(solar!B51)</f>
        <v>105</v>
      </c>
      <c r="C54" s="11" t="n">
        <f aca="false">solar!C51</f>
        <v>0</v>
      </c>
      <c r="D54" s="5" t="n">
        <v>50</v>
      </c>
      <c r="E54" s="16" t="n">
        <f aca="false">IFERROR(INDEX($B$5:$C$173, MATCH($D54, $B$5:$B$175, 0), 2), 0)*investment!$C$4</f>
        <v>0</v>
      </c>
      <c r="F54" s="17" t="n">
        <f aca="false">demand!E52</f>
        <v>0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-0</v>
      </c>
      <c r="J54" s="2" t="n">
        <f aca="false">-charge!E52</f>
        <v>-0</v>
      </c>
      <c r="K54" s="2" t="n">
        <f aca="false">discharge!E52</f>
        <v>0</v>
      </c>
      <c r="L54" s="2" t="n">
        <f aca="false">soc!E52/investment!$E$4 *100</f>
        <v>39.2258537764225</v>
      </c>
    </row>
    <row r="55" customFormat="false" ht="13.8" hidden="false" customHeight="false" outlineLevel="0" collapsed="false">
      <c r="B55" s="10" t="n">
        <f aca="false">_xlfn.NUMBERVALUE(solar!B52)</f>
        <v>106</v>
      </c>
      <c r="C55" s="11" t="n">
        <f aca="false">solar!C52</f>
        <v>0</v>
      </c>
      <c r="D55" s="5" t="n">
        <v>51</v>
      </c>
      <c r="E55" s="16" t="n">
        <f aca="false">IFERROR(INDEX($B$5:$C$173, MATCH($D55, $B$5:$B$175, 0), 2), 0)*investment!$C$4</f>
        <v>0</v>
      </c>
      <c r="F55" s="17" t="n">
        <f aca="false">demand!E53</f>
        <v>0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-0</v>
      </c>
      <c r="J55" s="2" t="n">
        <f aca="false">-charge!E53</f>
        <v>-0</v>
      </c>
      <c r="K55" s="2" t="n">
        <f aca="false">discharge!E53</f>
        <v>0</v>
      </c>
      <c r="L55" s="2" t="n">
        <f aca="false">soc!E53/investment!$E$4 *100</f>
        <v>39.2254615178847</v>
      </c>
    </row>
    <row r="56" customFormat="false" ht="13.8" hidden="false" customHeight="false" outlineLevel="0" collapsed="false">
      <c r="B56" s="10" t="n">
        <f aca="false">_xlfn.NUMBERVALUE(solar!B53)</f>
        <v>107</v>
      </c>
      <c r="C56" s="11" t="n">
        <f aca="false">solar!C53</f>
        <v>0</v>
      </c>
      <c r="D56" s="5" t="n">
        <v>52</v>
      </c>
      <c r="E56" s="16" t="n">
        <f aca="false">IFERROR(INDEX($B$5:$C$173, MATCH($D56, $B$5:$B$175, 0), 2), 0)*investment!$C$4</f>
        <v>0</v>
      </c>
      <c r="F56" s="17" t="n">
        <f aca="false">demand!E54</f>
        <v>0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-0</v>
      </c>
      <c r="J56" s="2" t="n">
        <f aca="false">-charge!E54</f>
        <v>-0</v>
      </c>
      <c r="K56" s="2" t="n">
        <f aca="false">discharge!E54</f>
        <v>0</v>
      </c>
      <c r="L56" s="2" t="n">
        <f aca="false">soc!E54/investment!$E$4 *100</f>
        <v>39.2250692632695</v>
      </c>
    </row>
    <row r="57" customFormat="false" ht="13.8" hidden="false" customHeight="false" outlineLevel="0" collapsed="false">
      <c r="B57" s="10" t="n">
        <f aca="false">_xlfn.NUMBERVALUE(solar!B54)</f>
        <v>108</v>
      </c>
      <c r="C57" s="11" t="n">
        <f aca="false">solar!C54</f>
        <v>0</v>
      </c>
      <c r="D57" s="5" t="n">
        <v>53</v>
      </c>
      <c r="E57" s="16" t="n">
        <f aca="false">IFERROR(INDEX($B$5:$C$173, MATCH($D57, $B$5:$B$175, 0), 2), 0)*investment!$C$4</f>
        <v>0</v>
      </c>
      <c r="F57" s="17" t="n">
        <f aca="false">demand!E55</f>
        <v>0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-0</v>
      </c>
      <c r="J57" s="2" t="n">
        <f aca="false">-charge!E55</f>
        <v>-0</v>
      </c>
      <c r="K57" s="2" t="n">
        <f aca="false">discharge!E55</f>
        <v>0</v>
      </c>
      <c r="L57" s="2" t="n">
        <f aca="false">soc!E55/investment!$E$4 *100</f>
        <v>46.049895403638</v>
      </c>
    </row>
    <row r="58" customFormat="false" ht="13.8" hidden="false" customHeight="false" outlineLevel="0" collapsed="false">
      <c r="B58" s="10" t="n">
        <f aca="false">_xlfn.NUMBERVALUE(solar!B55)</f>
        <v>109</v>
      </c>
      <c r="C58" s="11" t="n">
        <f aca="false">solar!C55</f>
        <v>0</v>
      </c>
      <c r="D58" s="5" t="n">
        <v>54</v>
      </c>
      <c r="E58" s="16" t="n">
        <f aca="false">IFERROR(INDEX($B$5:$C$173, MATCH($D58, $B$5:$B$175, 0), 2), 0)*investment!$C$4</f>
        <v>0</v>
      </c>
      <c r="F58" s="17" t="n">
        <f aca="false">demand!E56</f>
        <v>0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-0</v>
      </c>
      <c r="J58" s="2" t="n">
        <f aca="false">-charge!E56</f>
        <v>-0</v>
      </c>
      <c r="K58" s="2" t="n">
        <f aca="false">discharge!E56</f>
        <v>0</v>
      </c>
      <c r="L58" s="2" t="n">
        <f aca="false">soc!E56/investment!$E$4 *100</f>
        <v>46.0494349047323</v>
      </c>
    </row>
    <row r="59" customFormat="false" ht="13.8" hidden="false" customHeight="false" outlineLevel="0" collapsed="false">
      <c r="B59" s="10" t="n">
        <f aca="false">_xlfn.NUMBERVALUE(solar!B56)</f>
        <v>110</v>
      </c>
      <c r="C59" s="11" t="n">
        <f aca="false">solar!C56</f>
        <v>0</v>
      </c>
      <c r="D59" s="5" t="n">
        <v>55</v>
      </c>
      <c r="E59" s="16" t="n">
        <f aca="false">IFERROR(INDEX($B$5:$C$173, MATCH($D59, $B$5:$B$175, 0), 2), 0)*investment!$C$4</f>
        <v>0</v>
      </c>
      <c r="F59" s="17" t="n">
        <f aca="false">demand!E57</f>
        <v>0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-0</v>
      </c>
      <c r="J59" s="2" t="n">
        <f aca="false">-charge!E57</f>
        <v>-0</v>
      </c>
      <c r="K59" s="2" t="n">
        <f aca="false">discharge!E57</f>
        <v>0</v>
      </c>
      <c r="L59" s="2" t="n">
        <f aca="false">soc!E57/investment!$E$4 *100</f>
        <v>46.7223355588919</v>
      </c>
    </row>
    <row r="60" customFormat="false" ht="13.8" hidden="false" customHeight="false" outlineLevel="0" collapsed="false">
      <c r="B60" s="10" t="n">
        <f aca="false">_xlfn.NUMBERVALUE(solar!B57)</f>
        <v>111</v>
      </c>
      <c r="C60" s="11" t="n">
        <f aca="false">solar!C57</f>
        <v>0</v>
      </c>
      <c r="D60" s="5" t="n">
        <v>56</v>
      </c>
      <c r="E60" s="16" t="n">
        <f aca="false">IFERROR(INDEX($B$5:$C$173, MATCH($D60, $B$5:$B$175, 0), 2), 0)*investment!$C$4</f>
        <v>0</v>
      </c>
      <c r="F60" s="17" t="n">
        <f aca="false">demand!E58</f>
        <v>0</v>
      </c>
      <c r="G60" s="2" t="n">
        <f aca="false">solgen!E58</f>
        <v>0</v>
      </c>
      <c r="H60" s="2" t="n">
        <f aca="false">import!E58</f>
        <v>0</v>
      </c>
      <c r="I60" s="2" t="n">
        <f aca="false">-export!E58</f>
        <v>-0</v>
      </c>
      <c r="J60" s="2" t="n">
        <f aca="false">-charge!E58</f>
        <v>-0</v>
      </c>
      <c r="K60" s="2" t="n">
        <f aca="false">discharge!E58</f>
        <v>0</v>
      </c>
      <c r="L60" s="2" t="n">
        <f aca="false">soc!E58/investment!$E$4 *100</f>
        <v>53.176919982866</v>
      </c>
    </row>
    <row r="61" customFormat="false" ht="13.8" hidden="false" customHeight="false" outlineLevel="0" collapsed="false">
      <c r="B61" s="10" t="n">
        <f aca="false">_xlfn.NUMBERVALUE(solar!B58)</f>
        <v>112</v>
      </c>
      <c r="C61" s="11" t="n">
        <f aca="false">solar!C58</f>
        <v>0</v>
      </c>
      <c r="D61" s="5" t="n">
        <v>57</v>
      </c>
      <c r="E61" s="16" t="n">
        <f aca="false">IFERROR(INDEX($B$5:$C$173, MATCH($D61, $B$5:$B$175, 0), 2), 0)*investment!$C$4</f>
        <v>0</v>
      </c>
      <c r="F61" s="17" t="n">
        <f aca="false">demand!E59</f>
        <v>0</v>
      </c>
      <c r="G61" s="2" t="n">
        <f aca="false">solgen!E59</f>
        <v>0</v>
      </c>
      <c r="H61" s="2" t="n">
        <f aca="false">import!E59</f>
        <v>0</v>
      </c>
      <c r="I61" s="2" t="n">
        <f aca="false">-export!E59</f>
        <v>-0</v>
      </c>
      <c r="J61" s="2" t="n">
        <f aca="false">-charge!E59</f>
        <v>-0</v>
      </c>
      <c r="K61" s="2" t="n">
        <f aca="false">discharge!E59</f>
        <v>0</v>
      </c>
      <c r="L61" s="2" t="n">
        <f aca="false">soc!E59/investment!$E$4 *100</f>
        <v>59.0292718551105</v>
      </c>
    </row>
    <row r="62" customFormat="false" ht="13.8" hidden="false" customHeight="false" outlineLevel="0" collapsed="false">
      <c r="B62" s="10" t="n">
        <f aca="false">_xlfn.NUMBERVALUE(solar!B59)</f>
        <v>113</v>
      </c>
      <c r="C62" s="11" t="n">
        <f aca="false">solar!C59</f>
        <v>0</v>
      </c>
      <c r="D62" s="5" t="n">
        <v>58</v>
      </c>
      <c r="E62" s="16" t="n">
        <f aca="false">IFERROR(INDEX($B$5:$C$173, MATCH($D62, $B$5:$B$175, 0), 2), 0)*investment!$C$4</f>
        <v>0</v>
      </c>
      <c r="F62" s="17" t="n">
        <f aca="false">demand!E60</f>
        <v>0</v>
      </c>
      <c r="G62" s="2" t="n">
        <f aca="false">solgen!E60</f>
        <v>0</v>
      </c>
      <c r="H62" s="2" t="n">
        <f aca="false">import!E60</f>
        <v>0</v>
      </c>
      <c r="I62" s="2" t="n">
        <f aca="false">-export!E60</f>
        <v>-0</v>
      </c>
      <c r="J62" s="2" t="n">
        <f aca="false">-charge!E60</f>
        <v>-0</v>
      </c>
      <c r="K62" s="2" t="n">
        <f aca="false">discharge!E60</f>
        <v>0</v>
      </c>
      <c r="L62" s="2" t="n">
        <f aca="false">soc!E60/investment!$E$4 *100</f>
        <v>64.5592212845039</v>
      </c>
    </row>
    <row r="63" customFormat="false" ht="13.8" hidden="false" customHeight="false" outlineLevel="0" collapsed="false">
      <c r="B63" s="10" t="n">
        <f aca="false">_xlfn.NUMBERVALUE(solar!B60)</f>
        <v>114</v>
      </c>
      <c r="C63" s="11" t="n">
        <f aca="false">solar!C60</f>
        <v>0</v>
      </c>
      <c r="D63" s="5" t="n">
        <v>59</v>
      </c>
      <c r="E63" s="16" t="n">
        <f aca="false">IFERROR(INDEX($B$5:$C$173, MATCH($D63, $B$5:$B$175, 0), 2), 0)*investment!$C$4</f>
        <v>0</v>
      </c>
      <c r="F63" s="17" t="n">
        <f aca="false">demand!E61</f>
        <v>0</v>
      </c>
      <c r="G63" s="2" t="n">
        <f aca="false">solgen!E61</f>
        <v>0</v>
      </c>
      <c r="H63" s="2" t="n">
        <f aca="false">import!E61</f>
        <v>0</v>
      </c>
      <c r="I63" s="2" t="n">
        <f aca="false">-export!E61</f>
        <v>-0</v>
      </c>
      <c r="J63" s="2" t="n">
        <f aca="false">-charge!E61</f>
        <v>-0</v>
      </c>
      <c r="K63" s="2" t="n">
        <f aca="false">discharge!E61</f>
        <v>0</v>
      </c>
      <c r="L63" s="2" t="n">
        <f aca="false">soc!E61/investment!$E$4 *100</f>
        <v>69.2124955738935</v>
      </c>
    </row>
    <row r="64" customFormat="false" ht="13.8" hidden="false" customHeight="false" outlineLevel="0" collapsed="false">
      <c r="B64" s="10" t="n">
        <f aca="false">_xlfn.NUMBERVALUE(solar!B61)</f>
        <v>115</v>
      </c>
      <c r="C64" s="11" t="n">
        <f aca="false">solar!C61</f>
        <v>0</v>
      </c>
      <c r="D64" s="5" t="n">
        <v>60</v>
      </c>
      <c r="E64" s="16" t="n">
        <f aca="false">IFERROR(INDEX($B$5:$C$173, MATCH($D64, $B$5:$B$175, 0), 2), 0)*investment!$C$4</f>
        <v>0</v>
      </c>
      <c r="F64" s="17" t="n">
        <f aca="false">demand!E62</f>
        <v>0</v>
      </c>
      <c r="G64" s="2" t="n">
        <f aca="false">solgen!E62</f>
        <v>0</v>
      </c>
      <c r="H64" s="2" t="n">
        <f aca="false">import!E62</f>
        <v>0</v>
      </c>
      <c r="I64" s="2" t="n">
        <f aca="false">-export!E62</f>
        <v>-0</v>
      </c>
      <c r="J64" s="2" t="n">
        <f aca="false">-charge!E62</f>
        <v>-0</v>
      </c>
      <c r="K64" s="2" t="n">
        <f aca="false">discharge!E62</f>
        <v>0</v>
      </c>
      <c r="L64" s="2" t="n">
        <f aca="false">soc!E62/investment!$E$4 *100</f>
        <v>72.9949689747762</v>
      </c>
    </row>
    <row r="65" customFormat="false" ht="13.8" hidden="false" customHeight="false" outlineLevel="0" collapsed="false">
      <c r="B65" s="10" t="n">
        <f aca="false">_xlfn.NUMBERVALUE(solar!B62)</f>
        <v>128</v>
      </c>
      <c r="C65" s="11" t="n">
        <f aca="false">solar!C62</f>
        <v>0</v>
      </c>
      <c r="D65" s="5" t="n">
        <v>61</v>
      </c>
      <c r="E65" s="16" t="n">
        <f aca="false">IFERROR(INDEX($B$5:$C$173, MATCH($D65, $B$5:$B$175, 0), 2), 0)*investment!$C$4</f>
        <v>0</v>
      </c>
      <c r="F65" s="17" t="n">
        <f aca="false">demand!E63</f>
        <v>0</v>
      </c>
      <c r="G65" s="2" t="n">
        <f aca="false">solgen!E63</f>
        <v>0</v>
      </c>
      <c r="H65" s="2" t="n">
        <f aca="false">import!E63</f>
        <v>0</v>
      </c>
      <c r="I65" s="2" t="n">
        <f aca="false">-export!E63</f>
        <v>-0</v>
      </c>
      <c r="J65" s="2" t="n">
        <f aca="false">-charge!E63</f>
        <v>-0</v>
      </c>
      <c r="K65" s="2" t="n">
        <f aca="false">discharge!E63</f>
        <v>0</v>
      </c>
      <c r="L65" s="2" t="n">
        <f aca="false">soc!E63/investment!$E$4 *100</f>
        <v>76.1494514924292</v>
      </c>
    </row>
    <row r="66" customFormat="false" ht="13.8" hidden="false" customHeight="false" outlineLevel="0" collapsed="false">
      <c r="B66" s="10" t="n">
        <f aca="false">_xlfn.NUMBERVALUE(solar!B63)</f>
        <v>129</v>
      </c>
      <c r="C66" s="11" t="n">
        <f aca="false">solar!C63</f>
        <v>0</v>
      </c>
      <c r="D66" s="5" t="n">
        <v>62</v>
      </c>
      <c r="E66" s="16" t="n">
        <f aca="false">IFERROR(INDEX($B$5:$C$173, MATCH($D66, $B$5:$B$175, 0), 2), 0)*investment!$C$4</f>
        <v>0</v>
      </c>
      <c r="F66" s="17" t="n">
        <f aca="false">demand!E64</f>
        <v>0</v>
      </c>
      <c r="G66" s="2" t="n">
        <f aca="false">solgen!E64</f>
        <v>0</v>
      </c>
      <c r="H66" s="2" t="n">
        <f aca="false">import!E64</f>
        <v>0</v>
      </c>
      <c r="I66" s="2" t="n">
        <f aca="false">-export!E64</f>
        <v>-0</v>
      </c>
      <c r="J66" s="2" t="n">
        <f aca="false">-charge!E64</f>
        <v>-0</v>
      </c>
      <c r="K66" s="2" t="n">
        <f aca="false">discharge!E64</f>
        <v>0</v>
      </c>
      <c r="L66" s="2" t="n">
        <f aca="false">soc!E64/investment!$E$4 *100</f>
        <v>78.7545214663426</v>
      </c>
    </row>
    <row r="67" customFormat="false" ht="13.8" hidden="false" customHeight="false" outlineLevel="0" collapsed="false">
      <c r="B67" s="10" t="n">
        <f aca="false">_xlfn.NUMBERVALUE(solar!B64)</f>
        <v>130</v>
      </c>
      <c r="C67" s="11" t="n">
        <f aca="false">solar!C64</f>
        <v>0</v>
      </c>
      <c r="D67" s="5" t="n">
        <v>63</v>
      </c>
      <c r="E67" s="16" t="n">
        <f aca="false">IFERROR(INDEX($B$5:$C$173, MATCH($D67, $B$5:$B$175, 0), 2), 0)*investment!$C$4</f>
        <v>0</v>
      </c>
      <c r="F67" s="17" t="n">
        <f aca="false">demand!E65</f>
        <v>0</v>
      </c>
      <c r="G67" s="2" t="n">
        <f aca="false">solgen!E65</f>
        <v>0</v>
      </c>
      <c r="H67" s="2" t="n">
        <f aca="false">import!E65</f>
        <v>0</v>
      </c>
      <c r="I67" s="2" t="n">
        <f aca="false">-export!E65</f>
        <v>-0</v>
      </c>
      <c r="J67" s="2" t="n">
        <f aca="false">-charge!E65</f>
        <v>-0</v>
      </c>
      <c r="K67" s="2" t="n">
        <f aca="false">discharge!E65</f>
        <v>0</v>
      </c>
      <c r="L67" s="2" t="n">
        <f aca="false">soc!E65/investment!$E$4 *100</f>
        <v>81.2277079677098</v>
      </c>
    </row>
    <row r="68" customFormat="false" ht="13.8" hidden="false" customHeight="false" outlineLevel="0" collapsed="false">
      <c r="B68" s="10" t="n">
        <f aca="false">_xlfn.NUMBERVALUE(solar!B65)</f>
        <v>131</v>
      </c>
      <c r="C68" s="11" t="n">
        <f aca="false">solar!C65</f>
        <v>0</v>
      </c>
      <c r="D68" s="5" t="n">
        <v>64</v>
      </c>
      <c r="E68" s="16" t="n">
        <f aca="false">IFERROR(INDEX($B$5:$C$173, MATCH($D68, $B$5:$B$175, 0), 2), 0)*investment!$C$4</f>
        <v>0</v>
      </c>
      <c r="F68" s="17" t="n">
        <f aca="false">demand!E66</f>
        <v>0</v>
      </c>
      <c r="G68" s="2" t="n">
        <f aca="false">solgen!E66</f>
        <v>0</v>
      </c>
      <c r="H68" s="2" t="n">
        <f aca="false">import!E66</f>
        <v>0</v>
      </c>
      <c r="I68" s="2" t="n">
        <f aca="false">-export!E66</f>
        <v>-0</v>
      </c>
      <c r="J68" s="2" t="n">
        <f aca="false">-charge!E66</f>
        <v>-0</v>
      </c>
      <c r="K68" s="2" t="n">
        <f aca="false">discharge!E66</f>
        <v>0</v>
      </c>
      <c r="L68" s="2" t="n">
        <f aca="false">soc!E66/investment!$E$4 *100</f>
        <v>82.9878088570096</v>
      </c>
    </row>
    <row r="69" customFormat="false" ht="13.8" hidden="false" customHeight="false" outlineLevel="0" collapsed="false">
      <c r="B69" s="10" t="n">
        <f aca="false">_xlfn.NUMBERVALUE(solar!B66)</f>
        <v>132</v>
      </c>
      <c r="C69" s="11" t="n">
        <f aca="false">solar!C66</f>
        <v>0</v>
      </c>
      <c r="D69" s="5" t="n">
        <v>65</v>
      </c>
      <c r="E69" s="16" t="n">
        <f aca="false">IFERROR(INDEX($B$5:$C$173, MATCH($D69, $B$5:$B$175, 0), 2), 0)*investment!$C$4</f>
        <v>0</v>
      </c>
      <c r="F69" s="17" t="n">
        <f aca="false">demand!E67</f>
        <v>0</v>
      </c>
      <c r="G69" s="2" t="n">
        <f aca="false">solgen!E67</f>
        <v>0</v>
      </c>
      <c r="H69" s="2" t="n">
        <f aca="false">import!E67</f>
        <v>0</v>
      </c>
      <c r="I69" s="2" t="n">
        <f aca="false">-export!E67</f>
        <v>-0</v>
      </c>
      <c r="J69" s="2" t="n">
        <f aca="false">-charge!E67</f>
        <v>-0</v>
      </c>
      <c r="K69" s="2" t="n">
        <f aca="false">discharge!E67</f>
        <v>0</v>
      </c>
      <c r="L69" s="2" t="n">
        <f aca="false">soc!E67/investment!$E$4 *100</f>
        <v>84.5557113091626</v>
      </c>
    </row>
    <row r="70" customFormat="false" ht="13.8" hidden="false" customHeight="false" outlineLevel="0" collapsed="false">
      <c r="B70" s="10" t="n">
        <f aca="false">_xlfn.NUMBERVALUE(solar!B67)</f>
        <v>133</v>
      </c>
      <c r="C70" s="11" t="n">
        <f aca="false">solar!C67</f>
        <v>0</v>
      </c>
      <c r="D70" s="5" t="n">
        <v>66</v>
      </c>
      <c r="E70" s="16" t="n">
        <f aca="false">IFERROR(INDEX($B$5:$C$173, MATCH($D70, $B$5:$B$175, 0), 2), 0)*investment!$C$4</f>
        <v>0</v>
      </c>
      <c r="F70" s="17" t="n">
        <f aca="false">demand!E68</f>
        <v>0</v>
      </c>
      <c r="G70" s="2" t="n">
        <f aca="false">solgen!E68</f>
        <v>0</v>
      </c>
      <c r="H70" s="2" t="n">
        <f aca="false">import!E68</f>
        <v>0</v>
      </c>
      <c r="I70" s="2" t="n">
        <f aca="false">-export!E68</f>
        <v>-0</v>
      </c>
      <c r="J70" s="2" t="n">
        <f aca="false">-charge!E68</f>
        <v>-0</v>
      </c>
      <c r="K70" s="2" t="n">
        <f aca="false">discharge!E68</f>
        <v>0</v>
      </c>
      <c r="L70" s="2" t="n">
        <f aca="false">soc!E68/investment!$E$4 *100</f>
        <v>85.378846972568</v>
      </c>
    </row>
    <row r="71" customFormat="false" ht="13.8" hidden="false" customHeight="false" outlineLevel="0" collapsed="false">
      <c r="B71" s="10" t="n">
        <f aca="false">_xlfn.NUMBERVALUE(solar!B68)</f>
        <v>134</v>
      </c>
      <c r="C71" s="11" t="n">
        <f aca="false">solar!C68</f>
        <v>0</v>
      </c>
      <c r="D71" s="5" t="n">
        <v>67</v>
      </c>
      <c r="E71" s="16" t="n">
        <f aca="false">IFERROR(INDEX($B$5:$C$173, MATCH($D71, $B$5:$B$175, 0), 2), 0)*investment!$C$4</f>
        <v>0</v>
      </c>
      <c r="F71" s="17" t="n">
        <f aca="false">demand!E69</f>
        <v>0</v>
      </c>
      <c r="G71" s="2" t="n">
        <f aca="false">solgen!E69</f>
        <v>0</v>
      </c>
      <c r="H71" s="2" t="n">
        <f aca="false">import!E69</f>
        <v>0</v>
      </c>
      <c r="I71" s="2" t="n">
        <f aca="false">-export!E69</f>
        <v>-0</v>
      </c>
      <c r="J71" s="2" t="n">
        <f aca="false">-charge!E69</f>
        <v>-0</v>
      </c>
      <c r="K71" s="2" t="n">
        <f aca="false">discharge!E69</f>
        <v>0</v>
      </c>
      <c r="L71" s="2" t="n">
        <f aca="false">soc!E69/investment!$E$4 *100</f>
        <v>86.0599674695771</v>
      </c>
    </row>
    <row r="72" customFormat="false" ht="13.8" hidden="false" customHeight="false" outlineLevel="0" collapsed="false">
      <c r="B72" s="10" t="n">
        <f aca="false">_xlfn.NUMBERVALUE(solar!B69)</f>
        <v>135</v>
      </c>
      <c r="C72" s="11" t="n">
        <f aca="false">solar!C69</f>
        <v>0</v>
      </c>
      <c r="D72" s="5" t="n">
        <v>68</v>
      </c>
      <c r="E72" s="16" t="n">
        <f aca="false">IFERROR(INDEX($B$5:$C$173, MATCH($D72, $B$5:$B$175, 0), 2), 0)*investment!$C$4</f>
        <v>0</v>
      </c>
      <c r="F72" s="17" t="n">
        <f aca="false">demand!E70</f>
        <v>0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-0</v>
      </c>
      <c r="J72" s="2" t="n">
        <f aca="false">-charge!E70</f>
        <v>-0</v>
      </c>
      <c r="K72" s="2" t="n">
        <f aca="false">discharge!E70</f>
        <v>0</v>
      </c>
      <c r="L72" s="2" t="n">
        <f aca="false">soc!E70/investment!$E$4 *100</f>
        <v>85.9015511951754</v>
      </c>
    </row>
    <row r="73" customFormat="false" ht="13.8" hidden="false" customHeight="false" outlineLevel="0" collapsed="false">
      <c r="B73" s="10" t="n">
        <f aca="false">_xlfn.NUMBERVALUE(solar!B70)</f>
        <v>136</v>
      </c>
      <c r="C73" s="11" t="n">
        <f aca="false">solar!C70</f>
        <v>0</v>
      </c>
      <c r="D73" s="5" t="n">
        <v>69</v>
      </c>
      <c r="E73" s="16" t="n">
        <f aca="false">IFERROR(INDEX($B$5:$C$173, MATCH($D73, $B$5:$B$175, 0), 2), 0)*investment!$C$4</f>
        <v>0</v>
      </c>
      <c r="F73" s="17" t="n">
        <f aca="false">demand!E71</f>
        <v>0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-0</v>
      </c>
      <c r="J73" s="2" t="n">
        <f aca="false">-charge!E71</f>
        <v>-0</v>
      </c>
      <c r="K73" s="2" t="n">
        <f aca="false">discharge!E71</f>
        <v>0</v>
      </c>
      <c r="L73" s="2" t="n">
        <f aca="false">soc!E71/investment!$E$4 *100</f>
        <v>85.4161272097896</v>
      </c>
    </row>
    <row r="74" customFormat="false" ht="13.8" hidden="false" customHeight="false" outlineLevel="0" collapsed="false">
      <c r="B74" s="10" t="n">
        <f aca="false">_xlfn.NUMBERVALUE(solar!B71)</f>
        <v>137</v>
      </c>
      <c r="C74" s="11" t="n">
        <f aca="false">solar!C71</f>
        <v>0</v>
      </c>
      <c r="D74" s="5" t="n">
        <v>70</v>
      </c>
      <c r="E74" s="16" t="n">
        <f aca="false">IFERROR(INDEX($B$5:$C$173, MATCH($D74, $B$5:$B$175, 0), 2), 0)*investment!$C$4</f>
        <v>0</v>
      </c>
      <c r="F74" s="17" t="n">
        <f aca="false">demand!E72</f>
        <v>0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-0</v>
      </c>
      <c r="J74" s="2" t="n">
        <f aca="false">-charge!E72</f>
        <v>-0</v>
      </c>
      <c r="K74" s="2" t="n">
        <f aca="false">discharge!E72</f>
        <v>0</v>
      </c>
      <c r="L74" s="2" t="n">
        <f aca="false">soc!E72/investment!$E$4 *100</f>
        <v>84.3431173772798</v>
      </c>
    </row>
    <row r="75" customFormat="false" ht="13.8" hidden="false" customHeight="false" outlineLevel="0" collapsed="false">
      <c r="B75" s="10" t="n">
        <f aca="false">_xlfn.NUMBERVALUE(solar!B72)</f>
        <v>138</v>
      </c>
      <c r="C75" s="11" t="n">
        <f aca="false">solar!C72</f>
        <v>0</v>
      </c>
      <c r="D75" s="5" t="n">
        <v>71</v>
      </c>
      <c r="E75" s="16" t="n">
        <f aca="false">IFERROR(INDEX($B$5:$C$173, MATCH($D75, $B$5:$B$175, 0), 2), 0)*investment!$C$4</f>
        <v>0</v>
      </c>
      <c r="F75" s="17" t="n">
        <f aca="false">demand!E73</f>
        <v>0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-0</v>
      </c>
      <c r="J75" s="2" t="n">
        <f aca="false">-charge!E73</f>
        <v>-0</v>
      </c>
      <c r="K75" s="2" t="n">
        <f aca="false">discharge!E73</f>
        <v>0</v>
      </c>
      <c r="L75" s="2" t="n">
        <f aca="false">soc!E73/investment!$E$4 *100</f>
        <v>82.9671985952201</v>
      </c>
    </row>
    <row r="76" customFormat="false" ht="13.8" hidden="false" customHeight="false" outlineLevel="0" collapsed="false">
      <c r="B76" s="10" t="n">
        <f aca="false">_xlfn.NUMBERVALUE(solar!B73)</f>
        <v>139</v>
      </c>
      <c r="C76" s="11" t="n">
        <f aca="false">solar!C73</f>
        <v>0</v>
      </c>
      <c r="D76" s="5" t="n">
        <v>72</v>
      </c>
      <c r="E76" s="16" t="n">
        <f aca="false">IFERROR(INDEX($B$5:$C$173, MATCH($D76, $B$5:$B$175, 0), 2), 0)*investment!$C$4</f>
        <v>0</v>
      </c>
      <c r="F76" s="17" t="n">
        <f aca="false">demand!E74</f>
        <v>0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-0</v>
      </c>
      <c r="J76" s="2" t="n">
        <f aca="false">-charge!E74</f>
        <v>-0</v>
      </c>
      <c r="K76" s="2" t="n">
        <f aca="false">discharge!E74</f>
        <v>0</v>
      </c>
      <c r="L76" s="2" t="n">
        <f aca="false">soc!E74/investment!$E$4 *100</f>
        <v>81.1392098005757</v>
      </c>
    </row>
    <row r="77" customFormat="false" ht="13.8" hidden="false" customHeight="false" outlineLevel="0" collapsed="false">
      <c r="B77" s="10" t="n">
        <f aca="false">_xlfn.NUMBERVALUE(solar!B74)</f>
        <v>152</v>
      </c>
      <c r="C77" s="11" t="n">
        <f aca="false">solar!C74</f>
        <v>0</v>
      </c>
      <c r="D77" s="5" t="n">
        <v>73</v>
      </c>
      <c r="E77" s="16" t="n">
        <f aca="false">IFERROR(INDEX($B$5:$C$173, MATCH($D77, $B$5:$B$175, 0), 2), 0)*investment!$C$4</f>
        <v>0</v>
      </c>
      <c r="F77" s="17" t="n">
        <f aca="false">demand!E75</f>
        <v>0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-0</v>
      </c>
      <c r="J77" s="2" t="n">
        <f aca="false">-charge!E75</f>
        <v>-0</v>
      </c>
      <c r="K77" s="2" t="n">
        <f aca="false">discharge!E75</f>
        <v>0</v>
      </c>
      <c r="L77" s="2" t="n">
        <f aca="false">soc!E75/investment!$E$4 *100</f>
        <v>78.8065677695188</v>
      </c>
    </row>
    <row r="78" customFormat="false" ht="13.8" hidden="false" customHeight="false" outlineLevel="0" collapsed="false">
      <c r="B78" s="10" t="n">
        <f aca="false">_xlfn.NUMBERVALUE(solar!B75)</f>
        <v>153</v>
      </c>
      <c r="C78" s="11" t="n">
        <f aca="false">solar!C75</f>
        <v>0</v>
      </c>
      <c r="D78" s="5" t="n">
        <v>74</v>
      </c>
      <c r="E78" s="16" t="n">
        <f aca="false">IFERROR(INDEX($B$5:$C$173, MATCH($D78, $B$5:$B$175, 0), 2), 0)*investment!$C$4</f>
        <v>0</v>
      </c>
      <c r="F78" s="17" t="n">
        <f aca="false">demand!E76</f>
        <v>0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-0</v>
      </c>
      <c r="J78" s="2" t="n">
        <f aca="false">-charge!E76</f>
        <v>-0</v>
      </c>
      <c r="K78" s="2" t="n">
        <f aca="false">discharge!E76</f>
        <v>0</v>
      </c>
      <c r="L78" s="2" t="n">
        <f aca="false">soc!E76/investment!$E$4 *100</f>
        <v>76.4412446860361</v>
      </c>
    </row>
    <row r="79" customFormat="false" ht="13.8" hidden="false" customHeight="false" outlineLevel="0" collapsed="false">
      <c r="B79" s="10" t="n">
        <f aca="false">_xlfn.NUMBERVALUE(solar!B76)</f>
        <v>154</v>
      </c>
      <c r="C79" s="11" t="n">
        <f aca="false">solar!C76</f>
        <v>0</v>
      </c>
      <c r="D79" s="5" t="n">
        <v>75</v>
      </c>
      <c r="E79" s="16" t="n">
        <f aca="false">IFERROR(INDEX($B$5:$C$173, MATCH($D79, $B$5:$B$175, 0), 2), 0)*investment!$C$4</f>
        <v>0</v>
      </c>
      <c r="F79" s="17" t="n">
        <f aca="false">demand!E77</f>
        <v>0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-0</v>
      </c>
      <c r="J79" s="2" t="n">
        <f aca="false">-charge!E77</f>
        <v>-0</v>
      </c>
      <c r="K79" s="2" t="n">
        <f aca="false">discharge!E77</f>
        <v>0</v>
      </c>
      <c r="L79" s="2" t="n">
        <f aca="false">soc!E77/investment!$E$4 *100</f>
        <v>73.9970536105935</v>
      </c>
    </row>
    <row r="80" customFormat="false" ht="13.8" hidden="false" customHeight="false" outlineLevel="0" collapsed="false">
      <c r="B80" s="10" t="n">
        <f aca="false">_xlfn.NUMBERVALUE(solar!B77)</f>
        <v>155</v>
      </c>
      <c r="C80" s="11" t="n">
        <f aca="false">solar!C77</f>
        <v>0</v>
      </c>
      <c r="D80" s="5" t="n">
        <v>76</v>
      </c>
      <c r="E80" s="16" t="n">
        <f aca="false">IFERROR(INDEX($B$5:$C$173, MATCH($D80, $B$5:$B$175, 0), 2), 0)*investment!$C$4</f>
        <v>0</v>
      </c>
      <c r="F80" s="17" t="n">
        <f aca="false">demand!E78</f>
        <v>0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-0</v>
      </c>
      <c r="J80" s="2" t="n">
        <f aca="false">-charge!E78</f>
        <v>-0</v>
      </c>
      <c r="K80" s="2" t="n">
        <f aca="false">discharge!E78</f>
        <v>0</v>
      </c>
      <c r="L80" s="2" t="n">
        <f aca="false">soc!E78/investment!$E$4 *100</f>
        <v>71.8333212951539</v>
      </c>
    </row>
    <row r="81" customFormat="false" ht="13.8" hidden="false" customHeight="false" outlineLevel="0" collapsed="false">
      <c r="B81" s="10" t="n">
        <f aca="false">_xlfn.NUMBERVALUE(solar!B78)</f>
        <v>156</v>
      </c>
      <c r="C81" s="11" t="n">
        <f aca="false">solar!C78</f>
        <v>0</v>
      </c>
      <c r="D81" s="5" t="n">
        <v>77</v>
      </c>
      <c r="E81" s="16" t="n">
        <f aca="false">IFERROR(INDEX($B$5:$C$173, MATCH($D81, $B$5:$B$175, 0), 2), 0)*investment!$C$4</f>
        <v>0</v>
      </c>
      <c r="F81" s="17" t="n">
        <f aca="false">demand!E79</f>
        <v>0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-0</v>
      </c>
      <c r="J81" s="2" t="n">
        <f aca="false">-charge!E79</f>
        <v>-0</v>
      </c>
      <c r="K81" s="2" t="n">
        <f aca="false">discharge!E79</f>
        <v>0</v>
      </c>
      <c r="L81" s="2" t="n">
        <f aca="false">soc!E79/investment!$E$4 *100</f>
        <v>68.9797509824418</v>
      </c>
    </row>
    <row r="82" customFormat="false" ht="13.8" hidden="false" customHeight="false" outlineLevel="0" collapsed="false">
      <c r="B82" s="10" t="n">
        <f aca="false">_xlfn.NUMBERVALUE(solar!B79)</f>
        <v>157</v>
      </c>
      <c r="C82" s="11" t="n">
        <f aca="false">solar!C79</f>
        <v>0</v>
      </c>
      <c r="D82" s="5" t="n">
        <v>78</v>
      </c>
      <c r="E82" s="16" t="n">
        <f aca="false">IFERROR(INDEX($B$5:$C$173, MATCH($D82, $B$5:$B$175, 0), 2), 0)*investment!$C$4</f>
        <v>0</v>
      </c>
      <c r="F82" s="17" t="n">
        <f aca="false">demand!E80</f>
        <v>0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-0</v>
      </c>
      <c r="J82" s="2" t="n">
        <f aca="false">-charge!E80</f>
        <v>-0</v>
      </c>
      <c r="K82" s="2" t="n">
        <f aca="false">discharge!E80</f>
        <v>0</v>
      </c>
      <c r="L82" s="2" t="n">
        <f aca="false">soc!E80/investment!$E$4 *100</f>
        <v>66.3705852772564</v>
      </c>
    </row>
    <row r="83" customFormat="false" ht="13.8" hidden="false" customHeight="false" outlineLevel="0" collapsed="false">
      <c r="B83" s="10" t="n">
        <f aca="false">_xlfn.NUMBERVALUE(solar!B80)</f>
        <v>158</v>
      </c>
      <c r="C83" s="11" t="n">
        <f aca="false">solar!C80</f>
        <v>0</v>
      </c>
      <c r="D83" s="5" t="n">
        <v>79</v>
      </c>
      <c r="E83" s="16" t="n">
        <f aca="false">IFERROR(INDEX($B$5:$C$173, MATCH($D83, $B$5:$B$175, 0), 2), 0)*investment!$C$4</f>
        <v>0</v>
      </c>
      <c r="F83" s="17" t="n">
        <f aca="false">demand!E81</f>
        <v>0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-0</v>
      </c>
      <c r="J83" s="2" t="n">
        <f aca="false">-charge!E81</f>
        <v>-0</v>
      </c>
      <c r="K83" s="2" t="n">
        <f aca="false">discharge!E81</f>
        <v>0</v>
      </c>
      <c r="L83" s="2" t="n">
        <f aca="false">soc!E81/investment!$E$4 *100</f>
        <v>62.762996854448</v>
      </c>
    </row>
    <row r="84" customFormat="false" ht="13.8" hidden="false" customHeight="false" outlineLevel="0" collapsed="false">
      <c r="B84" s="10" t="n">
        <f aca="false">_xlfn.NUMBERVALUE(solar!B81)</f>
        <v>159</v>
      </c>
      <c r="C84" s="11" t="n">
        <f aca="false">solar!C81</f>
        <v>0</v>
      </c>
      <c r="D84" s="5" t="n">
        <v>80</v>
      </c>
      <c r="E84" s="16" t="n">
        <f aca="false">IFERROR(INDEX($B$5:$C$173, MATCH($D84, $B$5:$B$175, 0), 2), 0)*investment!$C$4</f>
        <v>0</v>
      </c>
      <c r="F84" s="17" t="n">
        <f aca="false">demand!E82</f>
        <v>0</v>
      </c>
      <c r="G84" s="2" t="n">
        <f aca="false">solgen!E82</f>
        <v>0</v>
      </c>
      <c r="H84" s="2" t="n">
        <f aca="false">import!E82</f>
        <v>0</v>
      </c>
      <c r="I84" s="2" t="n">
        <f aca="false">-export!E82</f>
        <v>-0</v>
      </c>
      <c r="J84" s="2" t="n">
        <f aca="false">-charge!E82</f>
        <v>-0</v>
      </c>
      <c r="K84" s="2" t="n">
        <f aca="false">discharge!E82</f>
        <v>0</v>
      </c>
      <c r="L84" s="2" t="n">
        <f aca="false">soc!E82/investment!$E$4 *100</f>
        <v>59.9445478753047</v>
      </c>
    </row>
    <row r="85" customFormat="false" ht="13.8" hidden="false" customHeight="false" outlineLevel="0" collapsed="false">
      <c r="B85" s="10" t="n">
        <f aca="false">_xlfn.NUMBERVALUE(solar!B82)</f>
        <v>160</v>
      </c>
      <c r="C85" s="11" t="n">
        <f aca="false">solar!C82</f>
        <v>0</v>
      </c>
      <c r="D85" s="5" t="n">
        <v>81</v>
      </c>
      <c r="E85" s="16" t="n">
        <f aca="false">IFERROR(INDEX($B$5:$C$173, MATCH($D85, $B$5:$B$175, 0), 2), 0)*investment!$C$4</f>
        <v>0</v>
      </c>
      <c r="F85" s="17" t="n">
        <f aca="false">demand!E83</f>
        <v>0</v>
      </c>
      <c r="G85" s="2" t="n">
        <f aca="false">solgen!E83</f>
        <v>0</v>
      </c>
      <c r="H85" s="2" t="n">
        <f aca="false">import!E83</f>
        <v>0</v>
      </c>
      <c r="I85" s="2" t="n">
        <f aca="false">-export!E83</f>
        <v>-0</v>
      </c>
      <c r="J85" s="2" t="n">
        <f aca="false">-charge!E83</f>
        <v>-0</v>
      </c>
      <c r="K85" s="2" t="n">
        <f aca="false">discharge!E83</f>
        <v>0</v>
      </c>
      <c r="L85" s="2" t="n">
        <f aca="false">soc!E83/investment!$E$4 *100</f>
        <v>56.4403172338049</v>
      </c>
    </row>
    <row r="86" customFormat="false" ht="13.8" hidden="false" customHeight="false" outlineLevel="0" collapsed="false">
      <c r="B86" s="10" t="n">
        <f aca="false">_xlfn.NUMBERVALUE(solar!B83)</f>
        <v>161</v>
      </c>
      <c r="C86" s="11" t="n">
        <f aca="false">solar!C83</f>
        <v>0</v>
      </c>
      <c r="D86" s="5" t="n">
        <v>82</v>
      </c>
      <c r="E86" s="16" t="n">
        <f aca="false">IFERROR(INDEX($B$5:$C$173, MATCH($D86, $B$5:$B$175, 0), 2), 0)*investment!$C$4</f>
        <v>0</v>
      </c>
      <c r="F86" s="17" t="n">
        <f aca="false">demand!E84</f>
        <v>0</v>
      </c>
      <c r="G86" s="2" t="n">
        <f aca="false">solgen!E84</f>
        <v>0</v>
      </c>
      <c r="H86" s="2" t="n">
        <f aca="false">import!E84</f>
        <v>0</v>
      </c>
      <c r="I86" s="2" t="n">
        <f aca="false">-export!E84</f>
        <v>-0</v>
      </c>
      <c r="J86" s="2" t="n">
        <f aca="false">-charge!E84</f>
        <v>-0</v>
      </c>
      <c r="K86" s="2" t="n">
        <f aca="false">discharge!E84</f>
        <v>0</v>
      </c>
      <c r="L86" s="2" t="n">
        <f aca="false">soc!E84/investment!$E$4 *100</f>
        <v>53.3680933202277</v>
      </c>
    </row>
    <row r="87" customFormat="false" ht="13.8" hidden="false" customHeight="false" outlineLevel="0" collapsed="false">
      <c r="B87" s="10" t="n">
        <f aca="false">_xlfn.NUMBERVALUE(solar!B84)</f>
        <v>162</v>
      </c>
      <c r="C87" s="11" t="n">
        <f aca="false">solar!C84</f>
        <v>0</v>
      </c>
      <c r="D87" s="5" t="n">
        <v>83</v>
      </c>
      <c r="E87" s="16" t="n">
        <f aca="false">IFERROR(INDEX($B$5:$C$173, MATCH($D87, $B$5:$B$175, 0), 2), 0)*investment!$C$4</f>
        <v>0</v>
      </c>
      <c r="F87" s="17" t="n">
        <f aca="false">demand!E85</f>
        <v>0</v>
      </c>
      <c r="G87" s="2" t="n">
        <f aca="false">solgen!E85</f>
        <v>0</v>
      </c>
      <c r="H87" s="2" t="n">
        <f aca="false">import!E85</f>
        <v>0</v>
      </c>
      <c r="I87" s="2" t="n">
        <f aca="false">-export!E85</f>
        <v>-0</v>
      </c>
      <c r="J87" s="2" t="n">
        <f aca="false">-charge!E85</f>
        <v>-0</v>
      </c>
      <c r="K87" s="2" t="n">
        <f aca="false">discharge!E85</f>
        <v>0</v>
      </c>
      <c r="L87" s="2" t="n">
        <f aca="false">soc!E85/investment!$E$4 *100</f>
        <v>52.0592703301881</v>
      </c>
    </row>
    <row r="88" customFormat="false" ht="13.8" hidden="false" customHeight="false" outlineLevel="0" collapsed="false">
      <c r="B88" s="10" t="n">
        <f aca="false">_xlfn.NUMBERVALUE(solar!B85)</f>
        <v>163</v>
      </c>
      <c r="C88" s="11" t="n">
        <f aca="false">solar!C85</f>
        <v>0</v>
      </c>
      <c r="D88" s="5" t="n">
        <v>84</v>
      </c>
      <c r="E88" s="16" t="n">
        <f aca="false">IFERROR(INDEX($B$5:$C$173, MATCH($D88, $B$5:$B$175, 0), 2), 0)*investment!$C$4</f>
        <v>0</v>
      </c>
      <c r="F88" s="17" t="n">
        <f aca="false">demand!E86</f>
        <v>0</v>
      </c>
      <c r="G88" s="2" t="n">
        <f aca="false">solgen!E86</f>
        <v>0</v>
      </c>
      <c r="H88" s="2" t="n">
        <f aca="false">import!E86</f>
        <v>0</v>
      </c>
      <c r="I88" s="2" t="n">
        <f aca="false">-export!E86</f>
        <v>-0</v>
      </c>
      <c r="J88" s="2" t="n">
        <f aca="false">-charge!E86</f>
        <v>-0</v>
      </c>
      <c r="K88" s="2" t="n">
        <f aca="false">discharge!E86</f>
        <v>0</v>
      </c>
      <c r="L88" s="2" t="n">
        <f aca="false">soc!E86/investment!$E$4 *100</f>
        <v>49.7036124095442</v>
      </c>
    </row>
    <row r="89" customFormat="false" ht="13.8" hidden="false" customHeight="false" outlineLevel="0" collapsed="false">
      <c r="B89" s="10" t="n">
        <f aca="false">_xlfn.NUMBERVALUE(solar!B86)</f>
        <v>0</v>
      </c>
      <c r="C89" s="11" t="n">
        <f aca="false">solar!C86</f>
        <v>0</v>
      </c>
      <c r="D89" s="5" t="n">
        <v>85</v>
      </c>
      <c r="E89" s="16" t="n">
        <f aca="false">IFERROR(INDEX($B$5:$C$173, MATCH($D89, $B$5:$B$175, 0), 2), 0)*investment!$C$4</f>
        <v>0</v>
      </c>
      <c r="F89" s="17" t="n">
        <f aca="false">demand!E87</f>
        <v>0</v>
      </c>
      <c r="G89" s="2" t="n">
        <f aca="false">solgen!E87</f>
        <v>0</v>
      </c>
      <c r="H89" s="2" t="n">
        <f aca="false">import!E87</f>
        <v>0</v>
      </c>
      <c r="I89" s="2" t="n">
        <f aca="false">-export!E87</f>
        <v>-0</v>
      </c>
      <c r="J89" s="2" t="n">
        <f aca="false">-charge!E87</f>
        <v>-0</v>
      </c>
      <c r="K89" s="2" t="n">
        <f aca="false">discharge!E87</f>
        <v>0</v>
      </c>
      <c r="L89" s="2" t="n">
        <f aca="false">soc!E87/investment!$E$4 *100</f>
        <v>46.0285589650852</v>
      </c>
    </row>
    <row r="90" customFormat="false" ht="13.8" hidden="false" customHeight="false" outlineLevel="0" collapsed="false">
      <c r="B90" s="10" t="n">
        <f aca="false">_xlfn.NUMBERVALUE(solar!B87)</f>
        <v>0</v>
      </c>
      <c r="C90" s="11" t="n">
        <f aca="false">solar!C87</f>
        <v>0</v>
      </c>
      <c r="D90" s="5" t="n">
        <v>86</v>
      </c>
      <c r="E90" s="16" t="n">
        <f aca="false">IFERROR(INDEX($B$5:$C$173, MATCH($D90, $B$5:$B$175, 0), 2), 0)*investment!$C$4</f>
        <v>0</v>
      </c>
      <c r="F90" s="17" t="n">
        <f aca="false">demand!E88</f>
        <v>0</v>
      </c>
      <c r="G90" s="2" t="n">
        <f aca="false">solgen!E88</f>
        <v>0</v>
      </c>
      <c r="H90" s="2" t="n">
        <f aca="false">import!E88</f>
        <v>0</v>
      </c>
      <c r="I90" s="2" t="n">
        <f aca="false">-export!E88</f>
        <v>-0</v>
      </c>
      <c r="J90" s="2" t="n">
        <f aca="false">-charge!E88</f>
        <v>-0</v>
      </c>
      <c r="K90" s="2" t="n">
        <f aca="false">discharge!E88</f>
        <v>0</v>
      </c>
      <c r="L90" s="2" t="n">
        <f aca="false">soc!E88/investment!$E$4 *100</f>
        <v>43.0848623410107</v>
      </c>
    </row>
    <row r="91" customFormat="false" ht="13.8" hidden="false" customHeight="false" outlineLevel="0" collapsed="false">
      <c r="B91" s="10" t="n">
        <f aca="false">_xlfn.NUMBERVALUE(solar!B88)</f>
        <v>0</v>
      </c>
      <c r="C91" s="11" t="n">
        <f aca="false">solar!C88</f>
        <v>0</v>
      </c>
      <c r="D91" s="5" t="n">
        <v>87</v>
      </c>
      <c r="E91" s="16" t="n">
        <f aca="false">IFERROR(INDEX($B$5:$C$173, MATCH($D91, $B$5:$B$175, 0), 2), 0)*investment!$C$4</f>
        <v>0</v>
      </c>
      <c r="F91" s="17" t="n">
        <f aca="false">demand!E89</f>
        <v>0</v>
      </c>
      <c r="G91" s="2" t="n">
        <f aca="false">solgen!E89</f>
        <v>0</v>
      </c>
      <c r="H91" s="2" t="n">
        <f aca="false">import!E89</f>
        <v>0</v>
      </c>
      <c r="I91" s="2" t="n">
        <f aca="false">-export!E89</f>
        <v>-0</v>
      </c>
      <c r="J91" s="2" t="n">
        <f aca="false">-charge!E89</f>
        <v>-0</v>
      </c>
      <c r="K91" s="2" t="n">
        <f aca="false">discharge!E89</f>
        <v>0</v>
      </c>
      <c r="L91" s="2" t="n">
        <f aca="false">soc!E89/investment!$E$4 *100</f>
        <v>39.7422499357121</v>
      </c>
    </row>
    <row r="92" customFormat="false" ht="13.8" hidden="false" customHeight="false" outlineLevel="0" collapsed="false">
      <c r="B92" s="10" t="n">
        <f aca="false">_xlfn.NUMBERVALUE(solar!B89)</f>
        <v>0</v>
      </c>
      <c r="C92" s="11" t="n">
        <f aca="false">solar!C89</f>
        <v>0</v>
      </c>
      <c r="D92" s="5" t="n">
        <v>88</v>
      </c>
      <c r="E92" s="16" t="n">
        <f aca="false">IFERROR(INDEX($B$5:$C$173, MATCH($D92, $B$5:$B$175, 0), 2), 0)*investment!$C$4</f>
        <v>0</v>
      </c>
      <c r="F92" s="17" t="n">
        <f aca="false">demand!E90</f>
        <v>0</v>
      </c>
      <c r="G92" s="2" t="n">
        <f aca="false">solgen!E90</f>
        <v>0</v>
      </c>
      <c r="H92" s="2" t="n">
        <f aca="false">import!E90</f>
        <v>0</v>
      </c>
      <c r="I92" s="2" t="n">
        <f aca="false">-export!E90</f>
        <v>-0</v>
      </c>
      <c r="J92" s="2" t="n">
        <f aca="false">-charge!E90</f>
        <v>-0</v>
      </c>
      <c r="K92" s="2" t="n">
        <f aca="false">discharge!E90</f>
        <v>0</v>
      </c>
      <c r="L92" s="2" t="n">
        <f aca="false">soc!E90/investment!$E$4 *100</f>
        <v>36.7665913673902</v>
      </c>
    </row>
    <row r="93" customFormat="false" ht="13.8" hidden="false" customHeight="false" outlineLevel="0" collapsed="false">
      <c r="B93" s="10" t="n">
        <f aca="false">_xlfn.NUMBERVALUE(solar!B90)</f>
        <v>0</v>
      </c>
      <c r="C93" s="11" t="n">
        <f aca="false">solar!C90</f>
        <v>0</v>
      </c>
      <c r="D93" s="5" t="n">
        <v>89</v>
      </c>
      <c r="E93" s="16" t="n">
        <f aca="false">IFERROR(INDEX($B$5:$C$173, MATCH($D93, $B$5:$B$175, 0), 2), 0)*investment!$C$4</f>
        <v>0</v>
      </c>
      <c r="F93" s="17" t="n">
        <f aca="false">demand!E91</f>
        <v>0</v>
      </c>
      <c r="G93" s="2" t="n">
        <f aca="false">solgen!E91</f>
        <v>0</v>
      </c>
      <c r="H93" s="2" t="n">
        <f aca="false">import!E91</f>
        <v>0</v>
      </c>
      <c r="I93" s="2" t="n">
        <f aca="false">-export!E91</f>
        <v>-0</v>
      </c>
      <c r="J93" s="2" t="n">
        <f aca="false">-charge!E91</f>
        <v>-0</v>
      </c>
      <c r="K93" s="2" t="n">
        <f aca="false">discharge!E91</f>
        <v>0</v>
      </c>
      <c r="L93" s="2" t="n">
        <f aca="false">soc!E91/investment!$E$4 *100</f>
        <v>34.0820333813748</v>
      </c>
    </row>
    <row r="94" customFormat="false" ht="13.8" hidden="false" customHeight="false" outlineLevel="0" collapsed="false">
      <c r="B94" s="10" t="n">
        <f aca="false">_xlfn.NUMBERVALUE(solar!B91)</f>
        <v>0</v>
      </c>
      <c r="C94" s="11" t="n">
        <f aca="false">solar!C91</f>
        <v>0</v>
      </c>
      <c r="D94" s="5" t="n">
        <v>90</v>
      </c>
      <c r="E94" s="16" t="n">
        <f aca="false">IFERROR(INDEX($B$5:$C$173, MATCH($D94, $B$5:$B$175, 0), 2), 0)*investment!$C$4</f>
        <v>0</v>
      </c>
      <c r="F94" s="17" t="n">
        <f aca="false">demand!E92</f>
        <v>0</v>
      </c>
      <c r="G94" s="2" t="n">
        <f aca="false">solgen!E92</f>
        <v>0</v>
      </c>
      <c r="H94" s="2" t="n">
        <f aca="false">import!E92</f>
        <v>0</v>
      </c>
      <c r="I94" s="2" t="n">
        <f aca="false">-export!E92</f>
        <v>-0</v>
      </c>
      <c r="J94" s="2" t="n">
        <f aca="false">-charge!E92</f>
        <v>-0</v>
      </c>
      <c r="K94" s="2" t="n">
        <f aca="false">discharge!E92</f>
        <v>0</v>
      </c>
      <c r="L94" s="2" t="n">
        <f aca="false">soc!E92/investment!$E$4 *100</f>
        <v>31.9725709215588</v>
      </c>
    </row>
    <row r="95" customFormat="false" ht="13.8" hidden="false" customHeight="false" outlineLevel="0" collapsed="false">
      <c r="B95" s="10" t="n">
        <f aca="false">_xlfn.NUMBERVALUE(solar!B92)</f>
        <v>0</v>
      </c>
      <c r="C95" s="11" t="n">
        <f aca="false">solar!C92</f>
        <v>0</v>
      </c>
      <c r="D95" s="5" t="n">
        <v>91</v>
      </c>
      <c r="E95" s="16" t="n">
        <f aca="false">IFERROR(INDEX($B$5:$C$173, MATCH($D95, $B$5:$B$175, 0), 2), 0)*investment!$C$4</f>
        <v>0</v>
      </c>
      <c r="F95" s="17" t="n">
        <f aca="false">demand!E93</f>
        <v>0</v>
      </c>
      <c r="G95" s="2" t="n">
        <f aca="false">solgen!E93</f>
        <v>0</v>
      </c>
      <c r="H95" s="2" t="n">
        <f aca="false">import!E93</f>
        <v>0</v>
      </c>
      <c r="I95" s="2" t="n">
        <f aca="false">-export!E93</f>
        <v>-0</v>
      </c>
      <c r="J95" s="2" t="n">
        <f aca="false">-charge!E93</f>
        <v>-0</v>
      </c>
      <c r="K95" s="2" t="n">
        <f aca="false">discharge!E93</f>
        <v>0</v>
      </c>
      <c r="L95" s="2" t="n">
        <f aca="false">soc!E93/investment!$E$4 *100</f>
        <v>29.5046510349358</v>
      </c>
    </row>
    <row r="96" customFormat="false" ht="13.8" hidden="false" customHeight="false" outlineLevel="0" collapsed="false">
      <c r="B96" s="10" t="n">
        <f aca="false">_xlfn.NUMBERVALUE(solar!B93)</f>
        <v>0</v>
      </c>
      <c r="C96" s="11" t="n">
        <f aca="false">solar!C93</f>
        <v>0</v>
      </c>
      <c r="D96" s="5" t="n">
        <v>92</v>
      </c>
      <c r="E96" s="16" t="n">
        <f aca="false">IFERROR(INDEX($B$5:$C$173, MATCH($D96, $B$5:$B$175, 0), 2), 0)*investment!$C$4</f>
        <v>0</v>
      </c>
      <c r="F96" s="17" t="n">
        <f aca="false">demand!E94</f>
        <v>0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-0</v>
      </c>
      <c r="J96" s="2" t="n">
        <f aca="false">-charge!E94</f>
        <v>-0</v>
      </c>
      <c r="K96" s="2" t="n">
        <f aca="false">discharge!E94</f>
        <v>0</v>
      </c>
      <c r="L96" s="2" t="n">
        <f aca="false">soc!E94/investment!$E$4 *100</f>
        <v>27.0563093515658</v>
      </c>
    </row>
    <row r="97" customFormat="false" ht="13.8" hidden="false" customHeight="false" outlineLevel="0" collapsed="false">
      <c r="B97" s="10" t="n">
        <f aca="false">_xlfn.NUMBERVALUE(solar!B94)</f>
        <v>0</v>
      </c>
      <c r="C97" s="11" t="n">
        <f aca="false">solar!C94</f>
        <v>0</v>
      </c>
      <c r="D97" s="5" t="n">
        <v>93</v>
      </c>
      <c r="E97" s="16" t="n">
        <f aca="false">IFERROR(INDEX($B$5:$C$173, MATCH($D97, $B$5:$B$175, 0), 2), 0)*investment!$C$4</f>
        <v>0</v>
      </c>
      <c r="F97" s="17" t="n">
        <f aca="false">demand!E95</f>
        <v>0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-0</v>
      </c>
      <c r="J97" s="2" t="n">
        <f aca="false">-charge!E95</f>
        <v>-0</v>
      </c>
      <c r="K97" s="2" t="n">
        <f aca="false">discharge!E95</f>
        <v>0</v>
      </c>
      <c r="L97" s="2" t="n">
        <f aca="false">soc!E95/investment!$E$4 *100</f>
        <v>25.2707205004921</v>
      </c>
    </row>
    <row r="98" customFormat="false" ht="13.8" hidden="false" customHeight="false" outlineLevel="0" collapsed="false">
      <c r="B98" s="10" t="n">
        <f aca="false">_xlfn.NUMBERVALUE(solar!B95)</f>
        <v>0</v>
      </c>
      <c r="C98" s="11" t="n">
        <f aca="false">solar!C95</f>
        <v>0</v>
      </c>
      <c r="D98" s="5" t="n">
        <v>94</v>
      </c>
      <c r="E98" s="16" t="n">
        <f aca="false">IFERROR(INDEX($B$5:$C$173, MATCH($D98, $B$5:$B$175, 0), 2), 0)*investment!$C$4</f>
        <v>0</v>
      </c>
      <c r="F98" s="17" t="n">
        <f aca="false">demand!E96</f>
        <v>0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-0</v>
      </c>
      <c r="J98" s="2" t="n">
        <f aca="false">-charge!E96</f>
        <v>-0</v>
      </c>
      <c r="K98" s="2" t="n">
        <f aca="false">discharge!E96</f>
        <v>0</v>
      </c>
      <c r="L98" s="2" t="n">
        <f aca="false">soc!E96/investment!$E$4 *100</f>
        <v>23.6002944027771</v>
      </c>
    </row>
    <row r="99" customFormat="false" ht="13.8" hidden="false" customHeight="false" outlineLevel="0" collapsed="false">
      <c r="B99" s="10" t="n">
        <f aca="false">_xlfn.NUMBERVALUE(solar!B96)</f>
        <v>0</v>
      </c>
      <c r="C99" s="11" t="n">
        <f aca="false">solar!C96</f>
        <v>0</v>
      </c>
      <c r="D99" s="5" t="n">
        <v>95</v>
      </c>
      <c r="E99" s="16" t="n">
        <f aca="false">IFERROR(INDEX($B$5:$C$173, MATCH($D99, $B$5:$B$175, 0), 2), 0)*investment!$C$4</f>
        <v>0</v>
      </c>
      <c r="F99" s="17" t="n">
        <f aca="false">demand!E97</f>
        <v>0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-0</v>
      </c>
      <c r="J99" s="2" t="n">
        <f aca="false">-charge!E97</f>
        <v>-0</v>
      </c>
      <c r="K99" s="2" t="n">
        <f aca="false">discharge!E97</f>
        <v>0</v>
      </c>
      <c r="L99" s="2" t="n">
        <f aca="false">soc!E97/investment!$E$4 *100</f>
        <v>22.6349069090239</v>
      </c>
    </row>
    <row r="100" customFormat="false" ht="13.8" hidden="false" customHeight="false" outlineLevel="0" collapsed="false">
      <c r="B100" s="10" t="n">
        <f aca="false">_xlfn.NUMBERVALUE(solar!B97)</f>
        <v>0</v>
      </c>
      <c r="C100" s="11" t="n">
        <f aca="false">solar!C97</f>
        <v>0</v>
      </c>
      <c r="D100" s="5" t="n">
        <v>96</v>
      </c>
      <c r="E100" s="16" t="n">
        <f aca="false">IFERROR(INDEX($B$5:$C$173, MATCH($D100, $B$5:$B$175, 0), 2), 0)*investment!$C$4</f>
        <v>0</v>
      </c>
      <c r="F100" s="17" t="n">
        <f aca="false">demand!E98</f>
        <v>0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-0</v>
      </c>
      <c r="J100" s="2" t="n">
        <f aca="false">-charge!E98</f>
        <v>-0</v>
      </c>
      <c r="K100" s="2" t="n">
        <f aca="false">discharge!E98</f>
        <v>0</v>
      </c>
      <c r="L100" s="2" t="n">
        <f aca="false">soc!E98/investment!$E$4 *100</f>
        <v>21.8407733362376</v>
      </c>
    </row>
    <row r="101" customFormat="false" ht="13.8" hidden="false" customHeight="false" outlineLevel="0" collapsed="false">
      <c r="B101" s="10" t="n">
        <f aca="false">_xlfn.NUMBERVALUE(solar!B98)</f>
        <v>0</v>
      </c>
      <c r="C101" s="11" t="n">
        <f aca="false">solar!C98</f>
        <v>0</v>
      </c>
      <c r="D101" s="5" t="n">
        <v>97</v>
      </c>
      <c r="E101" s="16" t="n">
        <f aca="false">IFERROR(INDEX($B$5:$C$173, MATCH($D101, $B$5:$B$175, 0), 2), 0)*investment!$C$4</f>
        <v>0</v>
      </c>
      <c r="F101" s="17" t="n">
        <f aca="false">demand!E99</f>
        <v>0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-0</v>
      </c>
      <c r="J101" s="2" t="n">
        <f aca="false">-charge!E99</f>
        <v>-0</v>
      </c>
      <c r="K101" s="2" t="n">
        <f aca="false">discharge!E99</f>
        <v>0</v>
      </c>
      <c r="L101" s="2" t="n">
        <f aca="false">soc!E99/investment!$E$4 *100</f>
        <v>21.3968938376373</v>
      </c>
    </row>
    <row r="102" customFormat="false" ht="13.8" hidden="false" customHeight="false" outlineLevel="0" collapsed="false">
      <c r="B102" s="10" t="n">
        <f aca="false">_xlfn.NUMBERVALUE(solar!B99)</f>
        <v>0</v>
      </c>
      <c r="C102" s="11" t="n">
        <f aca="false">solar!C99</f>
        <v>0</v>
      </c>
      <c r="D102" s="5" t="n">
        <v>98</v>
      </c>
      <c r="E102" s="16" t="n">
        <f aca="false">IFERROR(INDEX($B$5:$C$173, MATCH($D102, $B$5:$B$175, 0), 2), 0)*investment!$C$4</f>
        <v>0</v>
      </c>
      <c r="F102" s="17" t="n">
        <f aca="false">demand!E100</f>
        <v>0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-0</v>
      </c>
      <c r="J102" s="2" t="n">
        <f aca="false">-charge!E100</f>
        <v>-0</v>
      </c>
      <c r="K102" s="2" t="n">
        <f aca="false">discharge!E100</f>
        <v>0</v>
      </c>
      <c r="L102" s="2" t="n">
        <f aca="false">soc!E100/investment!$E$4 *100</f>
        <v>19.6122570577585</v>
      </c>
    </row>
    <row r="103" customFormat="false" ht="13.8" hidden="false" customHeight="false" outlineLevel="0" collapsed="false">
      <c r="B103" s="10" t="n">
        <f aca="false">_xlfn.NUMBERVALUE(solar!B100)</f>
        <v>0</v>
      </c>
      <c r="C103" s="11" t="n">
        <f aca="false">solar!C100</f>
        <v>0</v>
      </c>
      <c r="D103" s="5" t="n">
        <v>99</v>
      </c>
      <c r="E103" s="16" t="n">
        <f aca="false">IFERROR(INDEX($B$5:$C$173, MATCH($D103, $B$5:$B$175, 0), 2), 0)*investment!$C$4</f>
        <v>0</v>
      </c>
      <c r="F103" s="17" t="n">
        <f aca="false">demand!E101</f>
        <v>0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-0</v>
      </c>
      <c r="J103" s="2" t="n">
        <f aca="false">-charge!E101</f>
        <v>-0</v>
      </c>
      <c r="K103" s="2" t="n">
        <f aca="false">discharge!E101</f>
        <v>0</v>
      </c>
      <c r="L103" s="2" t="n">
        <f aca="false">soc!E101/investment!$E$4 *100</f>
        <v>19.0276869115664</v>
      </c>
    </row>
    <row r="104" customFormat="false" ht="13.8" hidden="false" customHeight="false" outlineLevel="0" collapsed="false">
      <c r="B104" s="10" t="n">
        <f aca="false">_xlfn.NUMBERVALUE(solar!B101)</f>
        <v>0</v>
      </c>
      <c r="C104" s="11" t="n">
        <f aca="false">solar!C101</f>
        <v>0</v>
      </c>
      <c r="D104" s="5" t="n">
        <v>100</v>
      </c>
      <c r="E104" s="16" t="n">
        <f aca="false">IFERROR(INDEX($B$5:$C$173, MATCH($D104, $B$5:$B$175, 0), 2), 0)*investment!$C$4</f>
        <v>0</v>
      </c>
      <c r="F104" s="17" t="n">
        <f aca="false">demand!E102</f>
        <v>0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-0</v>
      </c>
      <c r="J104" s="2" t="n">
        <f aca="false">-charge!E102</f>
        <v>-0</v>
      </c>
      <c r="K104" s="2" t="n">
        <f aca="false">discharge!E102</f>
        <v>0</v>
      </c>
      <c r="L104" s="2" t="n">
        <f aca="false">soc!E102/investment!$E$4 *100</f>
        <v>18.1414353345245</v>
      </c>
    </row>
    <row r="105" customFormat="false" ht="13.8" hidden="false" customHeight="false" outlineLevel="0" collapsed="false">
      <c r="B105" s="10" t="n">
        <f aca="false">_xlfn.NUMBERVALUE(solar!B102)</f>
        <v>0</v>
      </c>
      <c r="C105" s="11" t="n">
        <f aca="false">solar!C102</f>
        <v>0</v>
      </c>
      <c r="D105" s="5" t="n">
        <v>101</v>
      </c>
      <c r="E105" s="16" t="n">
        <f aca="false">IFERROR(INDEX($B$5:$C$173, MATCH($D105, $B$5:$B$175, 0), 2), 0)*investment!$C$4</f>
        <v>0</v>
      </c>
      <c r="F105" s="17" t="n">
        <f aca="false">demand!E103</f>
        <v>0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-0</v>
      </c>
      <c r="J105" s="2" t="n">
        <f aca="false">-charge!E103</f>
        <v>-0</v>
      </c>
      <c r="K105" s="2" t="n">
        <f aca="false">discharge!E103</f>
        <v>0</v>
      </c>
      <c r="L105" s="2" t="n">
        <f aca="false">soc!E103/investment!$E$4 *100</f>
        <v>17.2848696021592</v>
      </c>
    </row>
    <row r="106" customFormat="false" ht="13.8" hidden="false" customHeight="false" outlineLevel="0" collapsed="false">
      <c r="B106" s="10" t="n">
        <f aca="false">_xlfn.NUMBERVALUE(solar!B103)</f>
        <v>0</v>
      </c>
      <c r="C106" s="11" t="n">
        <f aca="false">solar!C103</f>
        <v>0</v>
      </c>
      <c r="D106" s="5" t="n">
        <v>102</v>
      </c>
      <c r="E106" s="16" t="n">
        <f aca="false">IFERROR(INDEX($B$5:$C$173, MATCH($D106, $B$5:$B$175, 0), 2), 0)*investment!$C$4</f>
        <v>0</v>
      </c>
      <c r="F106" s="17" t="n">
        <f aca="false">demand!E104</f>
        <v>0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-0</v>
      </c>
      <c r="J106" s="2" t="n">
        <f aca="false">-charge!E104</f>
        <v>-0</v>
      </c>
      <c r="K106" s="2" t="n">
        <f aca="false">discharge!E104</f>
        <v>0</v>
      </c>
      <c r="L106" s="2" t="n">
        <f aca="false">soc!E104/investment!$E$4 *100</f>
        <v>16.9192878498743</v>
      </c>
    </row>
    <row r="107" customFormat="false" ht="13.8" hidden="false" customHeight="false" outlineLevel="0" collapsed="false">
      <c r="B107" s="10" t="n">
        <f aca="false">_xlfn.NUMBERVALUE(solar!B104)</f>
        <v>0</v>
      </c>
      <c r="C107" s="11" t="n">
        <f aca="false">solar!C104</f>
        <v>0</v>
      </c>
      <c r="D107" s="5" t="n">
        <v>103</v>
      </c>
      <c r="E107" s="16" t="n">
        <f aca="false">IFERROR(INDEX($B$5:$C$173, MATCH($D107, $B$5:$B$175, 0), 2), 0)*investment!$C$4</f>
        <v>0</v>
      </c>
      <c r="F107" s="17" t="n">
        <f aca="false">demand!E105</f>
        <v>0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-0</v>
      </c>
      <c r="J107" s="2" t="n">
        <f aca="false">-charge!E105</f>
        <v>-0</v>
      </c>
      <c r="K107" s="2" t="n">
        <f aca="false">discharge!E105</f>
        <v>0</v>
      </c>
      <c r="L107" s="2" t="n">
        <f aca="false">soc!E105/investment!$E$4 *100</f>
        <v>15.4195751887989</v>
      </c>
    </row>
    <row r="108" customFormat="false" ht="13.8" hidden="false" customHeight="false" outlineLevel="0" collapsed="false">
      <c r="B108" s="10" t="n">
        <f aca="false">_xlfn.NUMBERVALUE(solar!B105)</f>
        <v>0</v>
      </c>
      <c r="C108" s="11" t="n">
        <f aca="false">solar!C105</f>
        <v>0</v>
      </c>
      <c r="D108" s="5" t="n">
        <v>104</v>
      </c>
      <c r="E108" s="16" t="n">
        <f aca="false">IFERROR(INDEX($B$5:$C$173, MATCH($D108, $B$5:$B$175, 0), 2), 0)*investment!$C$4</f>
        <v>0</v>
      </c>
      <c r="F108" s="17" t="n">
        <f aca="false">demand!E106</f>
        <v>0</v>
      </c>
      <c r="G108" s="2" t="n">
        <f aca="false">solgen!E106</f>
        <v>0</v>
      </c>
      <c r="H108" s="2" t="n">
        <f aca="false">import!E106</f>
        <v>0</v>
      </c>
      <c r="I108" s="2" t="n">
        <f aca="false">-export!E106</f>
        <v>-0</v>
      </c>
      <c r="J108" s="2" t="n">
        <f aca="false">-charge!E106</f>
        <v>-0</v>
      </c>
      <c r="K108" s="2" t="n">
        <f aca="false">discharge!E106</f>
        <v>0</v>
      </c>
      <c r="L108" s="2" t="n">
        <f aca="false">soc!E106/investment!$E$4 *100</f>
        <v>15.0776095022036</v>
      </c>
    </row>
    <row r="109" customFormat="false" ht="13.8" hidden="false" customHeight="false" outlineLevel="0" collapsed="false">
      <c r="B109" s="10" t="n">
        <f aca="false">_xlfn.NUMBERVALUE(solar!B106)</f>
        <v>0</v>
      </c>
      <c r="C109" s="11" t="n">
        <f aca="false">solar!C106</f>
        <v>0</v>
      </c>
      <c r="D109" s="5" t="n">
        <v>105</v>
      </c>
      <c r="E109" s="16" t="n">
        <f aca="false">IFERROR(INDEX($B$5:$C$173, MATCH($D109, $B$5:$B$175, 0), 2), 0)*investment!$C$4</f>
        <v>0</v>
      </c>
      <c r="F109" s="17" t="n">
        <f aca="false">demand!E107</f>
        <v>0</v>
      </c>
      <c r="G109" s="2" t="n">
        <f aca="false">solgen!E107</f>
        <v>0</v>
      </c>
      <c r="H109" s="2" t="n">
        <f aca="false">import!E107</f>
        <v>0</v>
      </c>
      <c r="I109" s="2" t="n">
        <f aca="false">-export!E107</f>
        <v>-0</v>
      </c>
      <c r="J109" s="2" t="n">
        <f aca="false">-charge!E107</f>
        <v>-0</v>
      </c>
      <c r="K109" s="2" t="n">
        <f aca="false">discharge!E107</f>
        <v>0</v>
      </c>
      <c r="L109" s="2" t="n">
        <f aca="false">soc!E107/investment!$E$4 *100</f>
        <v>13.9633745548024</v>
      </c>
    </row>
    <row r="110" customFormat="false" ht="13.8" hidden="false" customHeight="false" outlineLevel="0" collapsed="false">
      <c r="B110" s="10" t="n">
        <f aca="false">_xlfn.NUMBERVALUE(solar!B107)</f>
        <v>0</v>
      </c>
      <c r="C110" s="11" t="n">
        <f aca="false">solar!C107</f>
        <v>0</v>
      </c>
      <c r="D110" s="5" t="n">
        <v>106</v>
      </c>
      <c r="E110" s="16" t="n">
        <f aca="false">IFERROR(INDEX($B$5:$C$173, MATCH($D110, $B$5:$B$175, 0), 2), 0)*investment!$C$4</f>
        <v>0</v>
      </c>
      <c r="F110" s="17" t="n">
        <f aca="false">demand!E108</f>
        <v>0</v>
      </c>
      <c r="G110" s="2" t="n">
        <f aca="false">solgen!E108</f>
        <v>0</v>
      </c>
      <c r="H110" s="2" t="n">
        <f aca="false">import!E108</f>
        <v>0</v>
      </c>
      <c r="I110" s="2" t="n">
        <f aca="false">-export!E108</f>
        <v>-0</v>
      </c>
      <c r="J110" s="2" t="n">
        <f aca="false">-charge!E108</f>
        <v>-0</v>
      </c>
      <c r="K110" s="2" t="n">
        <f aca="false">discharge!E108</f>
        <v>0</v>
      </c>
      <c r="L110" s="2" t="n">
        <f aca="false">soc!E108/investment!$E$4 *100</f>
        <v>13.4693988004795</v>
      </c>
    </row>
    <row r="111" customFormat="false" ht="13.8" hidden="false" customHeight="false" outlineLevel="0" collapsed="false">
      <c r="B111" s="10" t="n">
        <f aca="false">_xlfn.NUMBERVALUE(solar!B108)</f>
        <v>0</v>
      </c>
      <c r="C111" s="11" t="n">
        <f aca="false">solar!C108</f>
        <v>0</v>
      </c>
      <c r="D111" s="5" t="n">
        <v>107</v>
      </c>
      <c r="E111" s="16" t="n">
        <f aca="false">IFERROR(INDEX($B$5:$C$173, MATCH($D111, $B$5:$B$175, 0), 2), 0)*investment!$C$4</f>
        <v>0</v>
      </c>
      <c r="F111" s="17" t="n">
        <f aca="false">demand!E109</f>
        <v>0</v>
      </c>
      <c r="G111" s="2" t="n">
        <f aca="false">solgen!E109</f>
        <v>0</v>
      </c>
      <c r="H111" s="2" t="n">
        <f aca="false">import!E109</f>
        <v>0</v>
      </c>
      <c r="I111" s="2" t="n">
        <f aca="false">-export!E109</f>
        <v>-0</v>
      </c>
      <c r="J111" s="2" t="n">
        <f aca="false">-charge!E109</f>
        <v>-0</v>
      </c>
      <c r="K111" s="2" t="n">
        <f aca="false">discharge!E109</f>
        <v>0</v>
      </c>
      <c r="L111" s="2" t="n">
        <f aca="false">soc!E109/investment!$E$4 *100</f>
        <v>12.2865834949681</v>
      </c>
    </row>
    <row r="112" customFormat="false" ht="13.8" hidden="false" customHeight="false" outlineLevel="0" collapsed="false">
      <c r="B112" s="10" t="n">
        <f aca="false">_xlfn.NUMBERVALUE(solar!B109)</f>
        <v>0</v>
      </c>
      <c r="C112" s="11" t="n">
        <f aca="false">solar!C109</f>
        <v>0</v>
      </c>
      <c r="D112" s="5" t="n">
        <v>108</v>
      </c>
      <c r="E112" s="16" t="n">
        <f aca="false">IFERROR(INDEX($B$5:$C$173, MATCH($D112, $B$5:$B$175, 0), 2), 0)*investment!$C$4</f>
        <v>0</v>
      </c>
      <c r="F112" s="17" t="n">
        <f aca="false">demand!E110</f>
        <v>0</v>
      </c>
      <c r="G112" s="2" t="n">
        <f aca="false">solgen!E110</f>
        <v>0</v>
      </c>
      <c r="H112" s="2" t="n">
        <f aca="false">import!E110</f>
        <v>0</v>
      </c>
      <c r="I112" s="2" t="n">
        <f aca="false">-export!E110</f>
        <v>-0</v>
      </c>
      <c r="J112" s="2" t="n">
        <f aca="false">-charge!E110</f>
        <v>-0</v>
      </c>
      <c r="K112" s="2" t="n">
        <f aca="false">discharge!E110</f>
        <v>0</v>
      </c>
      <c r="L112" s="2" t="n">
        <f aca="false">soc!E110/investment!$E$4 *100</f>
        <v>11.801385115666</v>
      </c>
    </row>
    <row r="113" customFormat="false" ht="13.8" hidden="false" customHeight="false" outlineLevel="0" collapsed="false">
      <c r="B113" s="10" t="n">
        <f aca="false">_xlfn.NUMBERVALUE(solar!B110)</f>
        <v>0</v>
      </c>
      <c r="C113" s="11" t="n">
        <f aca="false">solar!C110</f>
        <v>0</v>
      </c>
      <c r="D113" s="5" t="n">
        <v>109</v>
      </c>
      <c r="E113" s="16" t="n">
        <f aca="false">IFERROR(INDEX($B$5:$C$173, MATCH($D113, $B$5:$B$175, 0), 2), 0)*investment!$C$4</f>
        <v>0</v>
      </c>
      <c r="F113" s="17" t="n">
        <f aca="false">demand!E111</f>
        <v>0</v>
      </c>
      <c r="G113" s="2" t="n">
        <f aca="false">solgen!E111</f>
        <v>0</v>
      </c>
      <c r="H113" s="2" t="n">
        <f aca="false">import!E111</f>
        <v>0</v>
      </c>
      <c r="I113" s="2" t="n">
        <f aca="false">-export!E111</f>
        <v>-0</v>
      </c>
      <c r="J113" s="2" t="n">
        <f aca="false">-charge!E111</f>
        <v>-0</v>
      </c>
      <c r="K113" s="2" t="n">
        <f aca="false">discharge!E111</f>
        <v>0</v>
      </c>
      <c r="L113" s="2" t="n">
        <f aca="false">soc!E111/investment!$E$4 *100</f>
        <v>10.7610074532214</v>
      </c>
    </row>
    <row r="114" customFormat="false" ht="13.8" hidden="false" customHeight="false" outlineLevel="0" collapsed="false">
      <c r="B114" s="10" t="n">
        <f aca="false">_xlfn.NUMBERVALUE(solar!B111)</f>
        <v>0</v>
      </c>
      <c r="C114" s="11" t="n">
        <f aca="false">solar!C111</f>
        <v>0</v>
      </c>
      <c r="D114" s="5" t="n">
        <v>110</v>
      </c>
      <c r="E114" s="16" t="n">
        <f aca="false">IFERROR(INDEX($B$5:$C$173, MATCH($D114, $B$5:$B$175, 0), 2), 0)*investment!$C$4</f>
        <v>0</v>
      </c>
      <c r="F114" s="17" t="n">
        <f aca="false">demand!E112</f>
        <v>0</v>
      </c>
      <c r="G114" s="2" t="n">
        <f aca="false">solgen!E112</f>
        <v>0</v>
      </c>
      <c r="H114" s="2" t="n">
        <f aca="false">import!E112</f>
        <v>0</v>
      </c>
      <c r="I114" s="2" t="n">
        <f aca="false">-export!E112</f>
        <v>-0</v>
      </c>
      <c r="J114" s="2" t="n">
        <f aca="false">-charge!E112</f>
        <v>-0</v>
      </c>
      <c r="K114" s="2" t="n">
        <f aca="false">discharge!E112</f>
        <v>0</v>
      </c>
      <c r="L114" s="2" t="n">
        <f aca="false">soc!E112/investment!$E$4 *100</f>
        <v>9.99789525734691</v>
      </c>
    </row>
    <row r="115" customFormat="false" ht="13.8" hidden="false" customHeight="false" outlineLevel="0" collapsed="false">
      <c r="B115" s="10" t="n">
        <f aca="false">_xlfn.NUMBERVALUE(solar!B112)</f>
        <v>0</v>
      </c>
      <c r="C115" s="11" t="n">
        <f aca="false">solar!C112</f>
        <v>0</v>
      </c>
      <c r="D115" s="5" t="n">
        <v>111</v>
      </c>
      <c r="E115" s="16" t="n">
        <f aca="false">IFERROR(INDEX($B$5:$C$173, MATCH($D115, $B$5:$B$175, 0), 2), 0)*investment!$C$4</f>
        <v>0</v>
      </c>
      <c r="F115" s="17" t="n">
        <f aca="false">demand!E113</f>
        <v>0</v>
      </c>
      <c r="G115" s="2" t="n">
        <f aca="false">solgen!E113</f>
        <v>0</v>
      </c>
      <c r="H115" s="2" t="n">
        <f aca="false">import!E113</f>
        <v>0</v>
      </c>
      <c r="I115" s="2" t="n">
        <f aca="false">-export!E113</f>
        <v>-0</v>
      </c>
      <c r="J115" s="2" t="n">
        <f aca="false">-charge!E113</f>
        <v>-0</v>
      </c>
      <c r="K115" s="2" t="n">
        <f aca="false">discharge!E113</f>
        <v>0</v>
      </c>
      <c r="L115" s="2" t="n">
        <f aca="false">soc!E113/investment!$E$4 *100</f>
        <v>9.15726071858846</v>
      </c>
    </row>
    <row r="116" customFormat="false" ht="13.8" hidden="false" customHeight="false" outlineLevel="0" collapsed="false">
      <c r="B116" s="10" t="n">
        <f aca="false">_xlfn.NUMBERVALUE(solar!B113)</f>
        <v>0</v>
      </c>
      <c r="C116" s="11" t="n">
        <f aca="false">solar!C113</f>
        <v>0</v>
      </c>
      <c r="D116" s="5" t="n">
        <v>112</v>
      </c>
      <c r="E116" s="16" t="n">
        <f aca="false">IFERROR(INDEX($B$5:$C$173, MATCH($D116, $B$5:$B$175, 0), 2), 0)*investment!$C$4</f>
        <v>0</v>
      </c>
      <c r="F116" s="17" t="n">
        <f aca="false">demand!E114</f>
        <v>0</v>
      </c>
      <c r="G116" s="2" t="n">
        <f aca="false">solgen!E114</f>
        <v>0</v>
      </c>
      <c r="H116" s="2" t="n">
        <f aca="false">import!E114</f>
        <v>0</v>
      </c>
      <c r="I116" s="2" t="n">
        <f aca="false">-export!E114</f>
        <v>-0</v>
      </c>
      <c r="J116" s="2" t="n">
        <f aca="false">-charge!E114</f>
        <v>-0</v>
      </c>
      <c r="K116" s="2" t="n">
        <f aca="false">discharge!E114</f>
        <v>0</v>
      </c>
      <c r="L116" s="2" t="n">
        <f aca="false">soc!E114/investment!$E$4 *100</f>
        <v>8.15746708338037</v>
      </c>
    </row>
    <row r="117" customFormat="false" ht="13.8" hidden="false" customHeight="false" outlineLevel="0" collapsed="false">
      <c r="B117" s="10" t="n">
        <f aca="false">_xlfn.NUMBERVALUE(solar!B114)</f>
        <v>0</v>
      </c>
      <c r="C117" s="11" t="n">
        <f aca="false">solar!C114</f>
        <v>0</v>
      </c>
      <c r="D117" s="5" t="n">
        <v>113</v>
      </c>
      <c r="E117" s="16" t="n">
        <f aca="false">IFERROR(INDEX($B$5:$C$173, MATCH($D117, $B$5:$B$175, 0), 2), 0)*investment!$C$4</f>
        <v>0</v>
      </c>
      <c r="F117" s="17" t="n">
        <f aca="false">demand!E115</f>
        <v>0</v>
      </c>
      <c r="G117" s="2" t="n">
        <f aca="false">solgen!E115</f>
        <v>0</v>
      </c>
      <c r="H117" s="2" t="n">
        <f aca="false">import!E115</f>
        <v>0</v>
      </c>
      <c r="I117" s="2" t="n">
        <f aca="false">-export!E115</f>
        <v>-0</v>
      </c>
      <c r="J117" s="2" t="n">
        <f aca="false">-charge!E115</f>
        <v>-0</v>
      </c>
      <c r="K117" s="2" t="n">
        <f aca="false">discharge!E115</f>
        <v>0</v>
      </c>
      <c r="L117" s="2" t="n">
        <f aca="false">soc!E115/investment!$E$4 *100</f>
        <v>7.50444268617222</v>
      </c>
    </row>
    <row r="118" customFormat="false" ht="13.8" hidden="false" customHeight="false" outlineLevel="0" collapsed="false">
      <c r="B118" s="10" t="n">
        <f aca="false">_xlfn.NUMBERVALUE(solar!B115)</f>
        <v>0</v>
      </c>
      <c r="C118" s="11" t="n">
        <f aca="false">solar!C115</f>
        <v>0</v>
      </c>
      <c r="D118" s="5" t="n">
        <v>114</v>
      </c>
      <c r="E118" s="16" t="n">
        <f aca="false">IFERROR(INDEX($B$5:$C$173, MATCH($D118, $B$5:$B$175, 0), 2), 0)*investment!$C$4</f>
        <v>0</v>
      </c>
      <c r="F118" s="17" t="n">
        <f aca="false">demand!E116</f>
        <v>0</v>
      </c>
      <c r="G118" s="2" t="n">
        <f aca="false">solgen!E116</f>
        <v>0</v>
      </c>
      <c r="H118" s="2" t="n">
        <f aca="false">import!E116</f>
        <v>0</v>
      </c>
      <c r="I118" s="2" t="n">
        <f aca="false">-export!E116</f>
        <v>-0</v>
      </c>
      <c r="J118" s="2" t="n">
        <f aca="false">-charge!E116</f>
        <v>-0</v>
      </c>
      <c r="K118" s="2" t="n">
        <f aca="false">discharge!E116</f>
        <v>0</v>
      </c>
      <c r="L118" s="2" t="n">
        <f aca="false">soc!E116/investment!$E$4 *100</f>
        <v>6.44573579764514</v>
      </c>
    </row>
    <row r="119" customFormat="false" ht="13.8" hidden="false" customHeight="false" outlineLevel="0" collapsed="false">
      <c r="B119" s="10" t="n">
        <f aca="false">_xlfn.NUMBERVALUE(solar!B116)</f>
        <v>0</v>
      </c>
      <c r="C119" s="11" t="n">
        <f aca="false">solar!C116</f>
        <v>0</v>
      </c>
      <c r="D119" s="5" t="n">
        <v>115</v>
      </c>
      <c r="E119" s="16" t="n">
        <f aca="false">IFERROR(INDEX($B$5:$C$173, MATCH($D119, $B$5:$B$175, 0), 2), 0)*investment!$C$4</f>
        <v>0</v>
      </c>
      <c r="F119" s="17" t="n">
        <f aca="false">demand!E117</f>
        <v>0</v>
      </c>
      <c r="G119" s="2" t="n">
        <f aca="false">solgen!E117</f>
        <v>0</v>
      </c>
      <c r="H119" s="2" t="n">
        <f aca="false">import!E117</f>
        <v>0</v>
      </c>
      <c r="I119" s="2" t="n">
        <f aca="false">-export!E117</f>
        <v>-0</v>
      </c>
      <c r="J119" s="2" t="n">
        <f aca="false">-charge!E117</f>
        <v>-0</v>
      </c>
      <c r="K119" s="2" t="n">
        <f aca="false">discharge!E117</f>
        <v>0</v>
      </c>
      <c r="L119" s="2" t="n">
        <f aca="false">soc!E117/investment!$E$4 *100</f>
        <v>5.74772696211023</v>
      </c>
    </row>
    <row r="120" customFormat="false" ht="13.8" hidden="false" customHeight="false" outlineLevel="0" collapsed="false">
      <c r="B120" s="10" t="n">
        <f aca="false">_xlfn.NUMBERVALUE(solar!B117)</f>
        <v>0</v>
      </c>
      <c r="C120" s="11" t="n">
        <f aca="false">solar!C117</f>
        <v>0</v>
      </c>
      <c r="D120" s="5" t="n">
        <v>116</v>
      </c>
      <c r="E120" s="16" t="n">
        <f aca="false">IFERROR(INDEX($B$5:$C$173, MATCH($D120, $B$5:$B$175, 0), 2), 0)*investment!$C$4</f>
        <v>0</v>
      </c>
      <c r="F120" s="17" t="n">
        <f aca="false">demand!E118</f>
        <v>0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-0</v>
      </c>
      <c r="J120" s="2" t="n">
        <f aca="false">-charge!E118</f>
        <v>-0</v>
      </c>
      <c r="K120" s="2" t="n">
        <f aca="false">discharge!E118</f>
        <v>0</v>
      </c>
      <c r="L120" s="2" t="n">
        <f aca="false">soc!E118/investment!$E$4 *100</f>
        <v>4.55386695746842</v>
      </c>
    </row>
    <row r="121" customFormat="false" ht="13.8" hidden="false" customHeight="false" outlineLevel="0" collapsed="false">
      <c r="B121" s="10" t="n">
        <f aca="false">_xlfn.NUMBERVALUE(solar!B118)</f>
        <v>0</v>
      </c>
      <c r="C121" s="11" t="n">
        <f aca="false">solar!C118</f>
        <v>0</v>
      </c>
      <c r="D121" s="5" t="n">
        <v>117</v>
      </c>
      <c r="E121" s="16" t="n">
        <f aca="false">IFERROR(INDEX($B$5:$C$173, MATCH($D121, $B$5:$B$175, 0), 2), 0)*investment!$C$4</f>
        <v>0</v>
      </c>
      <c r="F121" s="17" t="n">
        <f aca="false">demand!E119</f>
        <v>0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-0</v>
      </c>
      <c r="J121" s="2" t="n">
        <f aca="false">-charge!E119</f>
        <v>-0</v>
      </c>
      <c r="K121" s="2" t="n">
        <f aca="false">discharge!E119</f>
        <v>0</v>
      </c>
      <c r="L121" s="2" t="n">
        <f aca="false">soc!E119/investment!$E$4 *100</f>
        <v>3.91503380785397</v>
      </c>
    </row>
    <row r="122" customFormat="false" ht="13.8" hidden="false" customHeight="false" outlineLevel="0" collapsed="false">
      <c r="B122" s="10" t="n">
        <f aca="false">_xlfn.NUMBERVALUE(solar!B119)</f>
        <v>0</v>
      </c>
      <c r="C122" s="11" t="n">
        <f aca="false">solar!C119</f>
        <v>0</v>
      </c>
      <c r="D122" s="5" t="n">
        <v>118</v>
      </c>
      <c r="E122" s="16" t="n">
        <f aca="false">IFERROR(INDEX($B$5:$C$173, MATCH($D122, $B$5:$B$175, 0), 2), 0)*investment!$C$4</f>
        <v>0</v>
      </c>
      <c r="F122" s="17" t="n">
        <f aca="false">demand!E120</f>
        <v>0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-0</v>
      </c>
      <c r="J122" s="2" t="n">
        <f aca="false">-charge!E120</f>
        <v>-0</v>
      </c>
      <c r="K122" s="2" t="n">
        <f aca="false">discharge!E120</f>
        <v>0</v>
      </c>
      <c r="L122" s="2" t="n">
        <f aca="false">soc!E120/investment!$E$4 *100</f>
        <v>2.46862268986915</v>
      </c>
    </row>
    <row r="123" customFormat="false" ht="13.8" hidden="false" customHeight="false" outlineLevel="0" collapsed="false">
      <c r="B123" s="10" t="n">
        <f aca="false">_xlfn.NUMBERVALUE(solar!B120)</f>
        <v>0</v>
      </c>
      <c r="C123" s="11" t="n">
        <f aca="false">solar!C120</f>
        <v>0</v>
      </c>
      <c r="D123" s="5" t="n">
        <v>119</v>
      </c>
      <c r="E123" s="16" t="n">
        <f aca="false">IFERROR(INDEX($B$5:$C$173, MATCH($D123, $B$5:$B$175, 0), 2), 0)*investment!$C$4</f>
        <v>0</v>
      </c>
      <c r="F123" s="17" t="n">
        <f aca="false">demand!E121</f>
        <v>0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-0</v>
      </c>
      <c r="J123" s="2" t="n">
        <f aca="false">-charge!E121</f>
        <v>-0</v>
      </c>
      <c r="K123" s="2" t="n">
        <f aca="false">discharge!E121</f>
        <v>0</v>
      </c>
      <c r="L123" s="2" t="n">
        <f aca="false">soc!E121/investment!$E$4 *100</f>
        <v>1.89581230687199</v>
      </c>
    </row>
    <row r="124" customFormat="false" ht="13.8" hidden="false" customHeight="false" outlineLevel="0" collapsed="false">
      <c r="B124" s="10" t="n">
        <f aca="false">_xlfn.NUMBERVALUE(solar!B121)</f>
        <v>0</v>
      </c>
      <c r="C124" s="11" t="n">
        <f aca="false">solar!C121</f>
        <v>0</v>
      </c>
      <c r="D124" s="5" t="n">
        <v>120</v>
      </c>
      <c r="E124" s="16" t="n">
        <f aca="false">IFERROR(INDEX($B$5:$C$173, MATCH($D124, $B$5:$B$175, 0), 2), 0)*investment!$C$4</f>
        <v>0</v>
      </c>
      <c r="F124" s="17" t="n">
        <f aca="false">demand!E122</f>
        <v>0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-0</v>
      </c>
      <c r="J124" s="2" t="n">
        <f aca="false">-charge!E122</f>
        <v>-0</v>
      </c>
      <c r="K124" s="2" t="n">
        <f aca="false">discharge!E122</f>
        <v>0</v>
      </c>
      <c r="L124" s="2" t="n">
        <f aca="false">soc!E122/investment!$E$4 *100</f>
        <v>0.886525739138235</v>
      </c>
    </row>
    <row r="125" customFormat="false" ht="13.8" hidden="false" customHeight="false" outlineLevel="0" collapsed="false">
      <c r="B125" s="10" t="n">
        <f aca="false">_xlfn.NUMBERVALUE(solar!B122)</f>
        <v>0</v>
      </c>
      <c r="C125" s="11" t="n">
        <f aca="false">solar!C122</f>
        <v>0</v>
      </c>
      <c r="D125" s="5" t="n">
        <v>121</v>
      </c>
      <c r="E125" s="16" t="n">
        <f aca="false">IFERROR(INDEX($B$5:$C$173, MATCH($D125, $B$5:$B$175, 0), 2), 0)*investment!$C$4</f>
        <v>0</v>
      </c>
      <c r="F125" s="17" t="n">
        <f aca="false">demand!E123</f>
        <v>0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-0</v>
      </c>
      <c r="J125" s="2" t="n">
        <f aca="false">-charge!E123</f>
        <v>-0</v>
      </c>
      <c r="K125" s="2" t="n">
        <f aca="false">discharge!E123</f>
        <v>0</v>
      </c>
      <c r="L125" s="2" t="n">
        <f aca="false">soc!E123/investment!$E$4 *100</f>
        <v>0.745808419909872</v>
      </c>
    </row>
    <row r="126" customFormat="false" ht="13.8" hidden="false" customHeight="false" outlineLevel="0" collapsed="false">
      <c r="B126" s="10" t="n">
        <f aca="false">_xlfn.NUMBERVALUE(solar!B123)</f>
        <v>0</v>
      </c>
      <c r="C126" s="11" t="n">
        <f aca="false">solar!C123</f>
        <v>0</v>
      </c>
      <c r="D126" s="5" t="n">
        <v>122</v>
      </c>
      <c r="E126" s="16" t="n">
        <f aca="false">IFERROR(INDEX($B$5:$C$173, MATCH($D126, $B$5:$B$175, 0), 2), 0)*investment!$C$4</f>
        <v>0</v>
      </c>
      <c r="F126" s="17" t="n">
        <f aca="false">demand!E124</f>
        <v>0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-0</v>
      </c>
      <c r="J126" s="2" t="n">
        <f aca="false">-charge!E124</f>
        <v>-0</v>
      </c>
      <c r="K126" s="2" t="n">
        <f aca="false">discharge!E124</f>
        <v>0</v>
      </c>
      <c r="L126" s="2" t="n">
        <f aca="false">soc!E124/investment!$E$4 *100</f>
        <v>0</v>
      </c>
    </row>
    <row r="127" customFormat="false" ht="13.8" hidden="false" customHeight="false" outlineLevel="0" collapsed="false">
      <c r="B127" s="10" t="n">
        <f aca="false">_xlfn.NUMBERVALUE(solar!B124)</f>
        <v>0</v>
      </c>
      <c r="C127" s="11" t="n">
        <f aca="false">solar!C124</f>
        <v>0</v>
      </c>
      <c r="D127" s="5" t="n">
        <v>123</v>
      </c>
      <c r="E127" s="16" t="n">
        <f aca="false">IFERROR(INDEX($B$5:$C$173, MATCH($D127, $B$5:$B$175, 0), 2), 0)*investment!$C$4</f>
        <v>0</v>
      </c>
      <c r="F127" s="17" t="n">
        <f aca="false">demand!E125</f>
        <v>0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-0</v>
      </c>
      <c r="J127" s="2" t="n">
        <f aca="false">-charge!E125</f>
        <v>-0</v>
      </c>
      <c r="K127" s="2" t="n">
        <f aca="false">discharge!E125</f>
        <v>0</v>
      </c>
      <c r="L127" s="2" t="n">
        <f aca="false">soc!E125/investment!$E$4 *100</f>
        <v>0.214899200959135</v>
      </c>
    </row>
    <row r="128" customFormat="false" ht="13.8" hidden="false" customHeight="false" outlineLevel="0" collapsed="false">
      <c r="B128" s="10" t="n">
        <f aca="false">_xlfn.NUMBERVALUE(solar!B125)</f>
        <v>0</v>
      </c>
      <c r="C128" s="11" t="n">
        <f aca="false">solar!C125</f>
        <v>0</v>
      </c>
      <c r="D128" s="5" t="n">
        <v>124</v>
      </c>
      <c r="E128" s="16" t="n">
        <f aca="false">IFERROR(INDEX($B$5:$C$173, MATCH($D128, $B$5:$B$175, 0), 2), 0)*investment!$C$4</f>
        <v>0</v>
      </c>
      <c r="F128" s="17" t="n">
        <f aca="false">demand!E126</f>
        <v>0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-0</v>
      </c>
      <c r="J128" s="2" t="n">
        <f aca="false">-charge!E126</f>
        <v>-0</v>
      </c>
      <c r="K128" s="2" t="n">
        <f aca="false">discharge!E126</f>
        <v>0</v>
      </c>
      <c r="L128" s="2" t="n">
        <f aca="false">soc!E126/investment!$E$4 *100</f>
        <v>0.0681565967700307</v>
      </c>
    </row>
    <row r="129" customFormat="false" ht="13.8" hidden="false" customHeight="false" outlineLevel="0" collapsed="false">
      <c r="B129" s="10" t="n">
        <f aca="false">_xlfn.NUMBERVALUE(solar!B126)</f>
        <v>0</v>
      </c>
      <c r="C129" s="11" t="n">
        <f aca="false">solar!C126</f>
        <v>0</v>
      </c>
      <c r="D129" s="5" t="n">
        <v>125</v>
      </c>
      <c r="E129" s="16" t="n">
        <f aca="false">IFERROR(INDEX($B$5:$C$173, MATCH($D129, $B$5:$B$175, 0), 2), 0)*investment!$C$4</f>
        <v>0</v>
      </c>
      <c r="F129" s="17" t="n">
        <f aca="false">demand!E127</f>
        <v>0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-0</v>
      </c>
      <c r="J129" s="2" t="n">
        <f aca="false">-charge!E127</f>
        <v>-0</v>
      </c>
      <c r="K129" s="2" t="n">
        <f aca="false">discharge!E127</f>
        <v>0</v>
      </c>
      <c r="L129" s="2" t="n">
        <f aca="false">soc!E127/investment!$E$4 *100</f>
        <v>0.0681559152282391</v>
      </c>
    </row>
    <row r="130" customFormat="false" ht="13.8" hidden="false" customHeight="false" outlineLevel="0" collapsed="false">
      <c r="B130" s="10" t="n">
        <f aca="false">_xlfn.NUMBERVALUE(solar!B127)</f>
        <v>0</v>
      </c>
      <c r="C130" s="11" t="n">
        <f aca="false">solar!C127</f>
        <v>0</v>
      </c>
      <c r="D130" s="5" t="n">
        <v>126</v>
      </c>
      <c r="E130" s="16" t="n">
        <f aca="false">IFERROR(INDEX($B$5:$C$173, MATCH($D130, $B$5:$B$175, 0), 2), 0)*investment!$C$4</f>
        <v>0</v>
      </c>
      <c r="F130" s="17" t="n">
        <f aca="false">demand!E128</f>
        <v>0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-0</v>
      </c>
      <c r="J130" s="2" t="n">
        <f aca="false">-charge!E128</f>
        <v>-0</v>
      </c>
      <c r="K130" s="2" t="n">
        <f aca="false">discharge!E128</f>
        <v>0</v>
      </c>
      <c r="L130" s="2" t="n">
        <f aca="false">soc!E128/investment!$E$4 *100</f>
        <v>0.0681552336690866</v>
      </c>
    </row>
    <row r="131" customFormat="false" ht="13.8" hidden="false" customHeight="false" outlineLevel="0" collapsed="false">
      <c r="B131" s="10" t="n">
        <f aca="false">_xlfn.NUMBERVALUE(solar!B128)</f>
        <v>0</v>
      </c>
      <c r="C131" s="11" t="n">
        <f aca="false">solar!C128</f>
        <v>0</v>
      </c>
      <c r="D131" s="5" t="n">
        <v>127</v>
      </c>
      <c r="E131" s="16" t="n">
        <f aca="false">IFERROR(INDEX($B$5:$C$173, MATCH($D131, $B$5:$B$175, 0), 2), 0)*investment!$C$4</f>
        <v>0</v>
      </c>
      <c r="F131" s="17" t="n">
        <f aca="false">demand!E129</f>
        <v>0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-0</v>
      </c>
      <c r="J131" s="2" t="n">
        <f aca="false">-charge!E129</f>
        <v>-0</v>
      </c>
      <c r="K131" s="2" t="n">
        <f aca="false">discharge!E129</f>
        <v>0</v>
      </c>
      <c r="L131" s="2" t="n">
        <f aca="false">soc!E129/investment!$E$4 *100</f>
        <v>0.0681545521167497</v>
      </c>
    </row>
    <row r="132" customFormat="false" ht="13.8" hidden="false" customHeight="false" outlineLevel="0" collapsed="false">
      <c r="B132" s="10" t="n">
        <f aca="false">_xlfn.NUMBERVALUE(solar!B129)</f>
        <v>0</v>
      </c>
      <c r="C132" s="11" t="n">
        <f aca="false">solar!C129</f>
        <v>0</v>
      </c>
      <c r="D132" s="5" t="n">
        <v>128</v>
      </c>
      <c r="E132" s="16" t="n">
        <f aca="false">IFERROR(INDEX($B$5:$C$173, MATCH($D132, $B$5:$B$175, 0), 2), 0)*investment!$C$4</f>
        <v>0</v>
      </c>
      <c r="F132" s="17" t="n">
        <f aca="false">demand!E130</f>
        <v>0</v>
      </c>
      <c r="G132" s="2" t="n">
        <f aca="false">solgen!E130</f>
        <v>0</v>
      </c>
      <c r="H132" s="2" t="n">
        <f aca="false">import!E130</f>
        <v>0</v>
      </c>
      <c r="I132" s="2" t="n">
        <f aca="false">-export!E130</f>
        <v>-0</v>
      </c>
      <c r="J132" s="2" t="n">
        <f aca="false">-charge!E130</f>
        <v>-0</v>
      </c>
      <c r="K132" s="2" t="n">
        <f aca="false">discharge!E130</f>
        <v>0</v>
      </c>
      <c r="L132" s="2" t="n">
        <f aca="false">soc!E130/investment!$E$4 *100</f>
        <v>0.0681538705712282</v>
      </c>
    </row>
    <row r="133" customFormat="false" ht="13.8" hidden="false" customHeight="false" outlineLevel="0" collapsed="false">
      <c r="B133" s="10" t="n">
        <f aca="false">_xlfn.NUMBERVALUE(solar!B130)</f>
        <v>0</v>
      </c>
      <c r="C133" s="11" t="n">
        <f aca="false">solar!C130</f>
        <v>0</v>
      </c>
      <c r="D133" s="5" t="n">
        <v>129</v>
      </c>
      <c r="E133" s="16" t="n">
        <f aca="false">IFERROR(INDEX($B$5:$C$173, MATCH($D133, $B$5:$B$175, 0), 2), 0)*investment!$C$4</f>
        <v>0</v>
      </c>
      <c r="F133" s="17" t="n">
        <f aca="false">demand!E131</f>
        <v>0</v>
      </c>
      <c r="G133" s="2" t="n">
        <f aca="false">solgen!E131</f>
        <v>0</v>
      </c>
      <c r="H133" s="2" t="n">
        <f aca="false">import!E131</f>
        <v>0</v>
      </c>
      <c r="I133" s="2" t="n">
        <f aca="false">-export!E131</f>
        <v>-0</v>
      </c>
      <c r="J133" s="2" t="n">
        <f aca="false">-charge!E131</f>
        <v>-0</v>
      </c>
      <c r="K133" s="2" t="n">
        <f aca="false">discharge!E131</f>
        <v>0</v>
      </c>
      <c r="L133" s="2" t="n">
        <f aca="false">soc!E131/investment!$E$4 *100</f>
        <v>0.0681531890325223</v>
      </c>
    </row>
    <row r="134" customFormat="false" ht="13.8" hidden="false" customHeight="false" outlineLevel="0" collapsed="false">
      <c r="B134" s="10" t="n">
        <f aca="false">_xlfn.NUMBERVALUE(solar!B131)</f>
        <v>0</v>
      </c>
      <c r="C134" s="11" t="n">
        <f aca="false">solar!C131</f>
        <v>0</v>
      </c>
      <c r="D134" s="5" t="n">
        <v>130</v>
      </c>
      <c r="E134" s="16" t="n">
        <f aca="false">IFERROR(INDEX($B$5:$C$173, MATCH($D134, $B$5:$B$175, 0), 2), 0)*investment!$C$4</f>
        <v>0</v>
      </c>
      <c r="F134" s="17" t="n">
        <f aca="false">demand!E132</f>
        <v>0</v>
      </c>
      <c r="G134" s="2" t="n">
        <f aca="false">solgen!E132</f>
        <v>0</v>
      </c>
      <c r="H134" s="2" t="n">
        <f aca="false">import!E132</f>
        <v>0</v>
      </c>
      <c r="I134" s="2" t="n">
        <f aca="false">-export!E132</f>
        <v>-0</v>
      </c>
      <c r="J134" s="2" t="n">
        <f aca="false">-charge!E132</f>
        <v>-0</v>
      </c>
      <c r="K134" s="2" t="n">
        <f aca="false">discharge!E132</f>
        <v>0</v>
      </c>
      <c r="L134" s="2" t="n">
        <f aca="false">soc!E132/investment!$E$4 *100</f>
        <v>0.0681525075006317</v>
      </c>
    </row>
    <row r="135" customFormat="false" ht="13.8" hidden="false" customHeight="false" outlineLevel="0" collapsed="false">
      <c r="B135" s="10" t="n">
        <f aca="false">_xlfn.NUMBERVALUE(solar!B132)</f>
        <v>0</v>
      </c>
      <c r="C135" s="11" t="n">
        <f aca="false">solar!C132</f>
        <v>0</v>
      </c>
      <c r="D135" s="5" t="n">
        <v>131</v>
      </c>
      <c r="E135" s="16" t="n">
        <f aca="false">IFERROR(INDEX($B$5:$C$173, MATCH($D135, $B$5:$B$175, 0), 2), 0)*investment!$C$4</f>
        <v>0</v>
      </c>
      <c r="F135" s="17" t="n">
        <f aca="false">demand!E133</f>
        <v>0</v>
      </c>
      <c r="G135" s="2" t="n">
        <f aca="false">solgen!E133</f>
        <v>0</v>
      </c>
      <c r="H135" s="2" t="n">
        <f aca="false">import!E133</f>
        <v>0</v>
      </c>
      <c r="I135" s="2" t="n">
        <f aca="false">-export!E133</f>
        <v>-0</v>
      </c>
      <c r="J135" s="2" t="n">
        <f aca="false">-charge!E133</f>
        <v>-0</v>
      </c>
      <c r="K135" s="2" t="n">
        <f aca="false">discharge!E133</f>
        <v>0</v>
      </c>
      <c r="L135" s="2" t="n">
        <f aca="false">soc!E133/investment!$E$4 *100</f>
        <v>0.0681518259755565</v>
      </c>
    </row>
    <row r="136" customFormat="false" ht="13.8" hidden="false" customHeight="false" outlineLevel="0" collapsed="false">
      <c r="B136" s="10" t="n">
        <f aca="false">_xlfn.NUMBERVALUE(solar!B133)</f>
        <v>0</v>
      </c>
      <c r="C136" s="11" t="n">
        <f aca="false">solar!C133</f>
        <v>0</v>
      </c>
      <c r="D136" s="5" t="n">
        <v>132</v>
      </c>
      <c r="E136" s="16" t="n">
        <f aca="false">IFERROR(INDEX($B$5:$C$173, MATCH($D136, $B$5:$B$175, 0), 2), 0)*investment!$C$4</f>
        <v>0</v>
      </c>
      <c r="F136" s="17" t="n">
        <f aca="false">demand!E134</f>
        <v>0</v>
      </c>
      <c r="G136" s="2" t="n">
        <f aca="false">solgen!E134</f>
        <v>0</v>
      </c>
      <c r="H136" s="2" t="n">
        <f aca="false">import!E134</f>
        <v>0</v>
      </c>
      <c r="I136" s="2" t="n">
        <f aca="false">-export!E134</f>
        <v>-0</v>
      </c>
      <c r="J136" s="2" t="n">
        <f aca="false">-charge!E134</f>
        <v>-0</v>
      </c>
      <c r="K136" s="2" t="n">
        <f aca="false">discharge!E134</f>
        <v>0</v>
      </c>
      <c r="L136" s="2" t="n">
        <f aca="false">soc!E134/investment!$E$4 *100</f>
        <v>0.0681511444572965</v>
      </c>
    </row>
    <row r="137" customFormat="false" ht="13.8" hidden="false" customHeight="false" outlineLevel="0" collapsed="false">
      <c r="B137" s="10" t="n">
        <f aca="false">_xlfn.NUMBERVALUE(solar!B134)</f>
        <v>0</v>
      </c>
      <c r="C137" s="11" t="n">
        <f aca="false">solar!C134</f>
        <v>0</v>
      </c>
      <c r="D137" s="5" t="n">
        <v>133</v>
      </c>
      <c r="E137" s="16" t="n">
        <f aca="false">IFERROR(INDEX($B$5:$C$173, MATCH($D137, $B$5:$B$175, 0), 2), 0)*investment!$C$4</f>
        <v>0</v>
      </c>
      <c r="F137" s="17" t="n">
        <f aca="false">demand!E135</f>
        <v>0</v>
      </c>
      <c r="G137" s="2" t="n">
        <f aca="false">solgen!E135</f>
        <v>0</v>
      </c>
      <c r="H137" s="2" t="n">
        <f aca="false">import!E135</f>
        <v>0</v>
      </c>
      <c r="I137" s="2" t="n">
        <f aca="false">-export!E135</f>
        <v>-0</v>
      </c>
      <c r="J137" s="2" t="n">
        <f aca="false">-charge!E135</f>
        <v>-0</v>
      </c>
      <c r="K137" s="2" t="n">
        <f aca="false">discharge!E135</f>
        <v>0</v>
      </c>
      <c r="L137" s="2" t="n">
        <f aca="false">soc!E135/investment!$E$4 *100</f>
        <v>0.0681504629458517</v>
      </c>
    </row>
    <row r="138" customFormat="false" ht="13.8" hidden="false" customHeight="false" outlineLevel="0" collapsed="false">
      <c r="B138" s="10" t="n">
        <f aca="false">_xlfn.NUMBERVALUE(solar!B135)</f>
        <v>0</v>
      </c>
      <c r="C138" s="11" t="n">
        <f aca="false">solar!C135</f>
        <v>0</v>
      </c>
      <c r="D138" s="5" t="n">
        <v>134</v>
      </c>
      <c r="E138" s="16" t="n">
        <f aca="false">IFERROR(INDEX($B$5:$C$173, MATCH($D138, $B$5:$B$175, 0), 2), 0)*investment!$C$4</f>
        <v>0</v>
      </c>
      <c r="F138" s="17" t="n">
        <f aca="false">demand!E136</f>
        <v>0</v>
      </c>
      <c r="G138" s="2" t="n">
        <f aca="false">solgen!E136</f>
        <v>0</v>
      </c>
      <c r="H138" s="2" t="n">
        <f aca="false">import!E136</f>
        <v>0</v>
      </c>
      <c r="I138" s="2" t="n">
        <f aca="false">-export!E136</f>
        <v>-0</v>
      </c>
      <c r="J138" s="2" t="n">
        <f aca="false">-charge!E136</f>
        <v>-0</v>
      </c>
      <c r="K138" s="2" t="n">
        <f aca="false">discharge!E136</f>
        <v>0</v>
      </c>
      <c r="L138" s="2" t="n">
        <f aca="false">soc!E136/investment!$E$4 *100</f>
        <v>0.068149781731354</v>
      </c>
    </row>
    <row r="139" customFormat="false" ht="13.8" hidden="false" customHeight="false" outlineLevel="0" collapsed="false">
      <c r="B139" s="10" t="n">
        <f aca="false">_xlfn.NUMBERVALUE(solar!B136)</f>
        <v>0</v>
      </c>
      <c r="C139" s="11" t="n">
        <f aca="false">solar!C136</f>
        <v>0</v>
      </c>
      <c r="D139" s="5" t="n">
        <v>135</v>
      </c>
      <c r="E139" s="16" t="n">
        <f aca="false">IFERROR(INDEX($B$5:$C$173, MATCH($D139, $B$5:$B$175, 0), 2), 0)*investment!$C$4</f>
        <v>0</v>
      </c>
      <c r="F139" s="17" t="n">
        <f aca="false">demand!E137</f>
        <v>0</v>
      </c>
      <c r="G139" s="2" t="n">
        <f aca="false">solgen!E137</f>
        <v>0</v>
      </c>
      <c r="H139" s="2" t="n">
        <f aca="false">import!E137</f>
        <v>0</v>
      </c>
      <c r="I139" s="2" t="n">
        <f aca="false">-export!E137</f>
        <v>-0</v>
      </c>
      <c r="J139" s="2" t="n">
        <f aca="false">-charge!E137</f>
        <v>-0</v>
      </c>
      <c r="K139" s="2" t="n">
        <f aca="false">discharge!E137</f>
        <v>0</v>
      </c>
      <c r="L139" s="2" t="n">
        <f aca="false">soc!E137/investment!$E$4 *100</f>
        <v>0.0681490999675837</v>
      </c>
    </row>
    <row r="140" customFormat="false" ht="13.8" hidden="false" customHeight="false" outlineLevel="0" collapsed="false">
      <c r="B140" s="10" t="n">
        <f aca="false">_xlfn.NUMBERVALUE(solar!B137)</f>
        <v>0</v>
      </c>
      <c r="C140" s="11" t="n">
        <f aca="false">solar!C137</f>
        <v>0</v>
      </c>
      <c r="D140" s="5" t="n">
        <v>136</v>
      </c>
      <c r="E140" s="16" t="n">
        <f aca="false">IFERROR(INDEX($B$5:$C$173, MATCH($D140, $B$5:$B$175, 0), 2), 0)*investment!$C$4</f>
        <v>0</v>
      </c>
      <c r="F140" s="17" t="n">
        <f aca="false">demand!E138</f>
        <v>0</v>
      </c>
      <c r="G140" s="2" t="n">
        <f aca="false">solgen!E138</f>
        <v>0</v>
      </c>
      <c r="H140" s="2" t="n">
        <f aca="false">import!E138</f>
        <v>0</v>
      </c>
      <c r="I140" s="2" t="n">
        <f aca="false">-export!E138</f>
        <v>-0</v>
      </c>
      <c r="J140" s="2" t="n">
        <f aca="false">-charge!E138</f>
        <v>-0</v>
      </c>
      <c r="K140" s="2" t="n">
        <f aca="false">discharge!E138</f>
        <v>0</v>
      </c>
      <c r="L140" s="2" t="n">
        <f aca="false">soc!E138/investment!$E$4 *100</f>
        <v>0.068148418476584</v>
      </c>
    </row>
    <row r="141" customFormat="false" ht="13.8" hidden="false" customHeight="false" outlineLevel="0" collapsed="false">
      <c r="B141" s="10" t="n">
        <f aca="false">_xlfn.NUMBERVALUE(solar!B138)</f>
        <v>0</v>
      </c>
      <c r="C141" s="11" t="n">
        <f aca="false">solar!C138</f>
        <v>0</v>
      </c>
      <c r="D141" s="5" t="n">
        <v>137</v>
      </c>
      <c r="E141" s="16" t="n">
        <f aca="false">IFERROR(INDEX($B$5:$C$173, MATCH($D141, $B$5:$B$175, 0), 2), 0)*investment!$C$4</f>
        <v>0</v>
      </c>
      <c r="F141" s="17" t="n">
        <f aca="false">demand!E139</f>
        <v>0</v>
      </c>
      <c r="G141" s="2" t="n">
        <f aca="false">solgen!E139</f>
        <v>0</v>
      </c>
      <c r="H141" s="2" t="n">
        <f aca="false">import!E139</f>
        <v>0</v>
      </c>
      <c r="I141" s="2" t="n">
        <f aca="false">-export!E139</f>
        <v>-0</v>
      </c>
      <c r="J141" s="2" t="n">
        <f aca="false">-charge!E139</f>
        <v>-0</v>
      </c>
      <c r="K141" s="2" t="n">
        <f aca="false">discharge!E139</f>
        <v>0</v>
      </c>
      <c r="L141" s="2" t="n">
        <f aca="false">soc!E139/investment!$E$4 *100</f>
        <v>0.0681477369923992</v>
      </c>
    </row>
    <row r="142" customFormat="false" ht="13.8" hidden="false" customHeight="false" outlineLevel="0" collapsed="false">
      <c r="B142" s="10" t="n">
        <f aca="false">_xlfn.NUMBERVALUE(solar!B139)</f>
        <v>0</v>
      </c>
      <c r="C142" s="11" t="n">
        <f aca="false">solar!C139</f>
        <v>0</v>
      </c>
      <c r="D142" s="5" t="n">
        <v>138</v>
      </c>
      <c r="E142" s="16" t="n">
        <f aca="false">IFERROR(INDEX($B$5:$C$173, MATCH($D142, $B$5:$B$175, 0), 2), 0)*investment!$C$4</f>
        <v>0</v>
      </c>
      <c r="F142" s="17" t="n">
        <f aca="false">demand!E140</f>
        <v>0</v>
      </c>
      <c r="G142" s="2" t="n">
        <f aca="false">solgen!E140</f>
        <v>0</v>
      </c>
      <c r="H142" s="2" t="n">
        <f aca="false">import!E140</f>
        <v>0</v>
      </c>
      <c r="I142" s="2" t="n">
        <f aca="false">-export!E140</f>
        <v>-0</v>
      </c>
      <c r="J142" s="2" t="n">
        <f aca="false">-charge!E140</f>
        <v>-0</v>
      </c>
      <c r="K142" s="2" t="n">
        <f aca="false">discharge!E140</f>
        <v>0</v>
      </c>
      <c r="L142" s="2" t="n">
        <f aca="false">soc!E140/investment!$E$4 *100</f>
        <v>0.0681470555150293</v>
      </c>
    </row>
    <row r="143" customFormat="false" ht="13.8" hidden="false" customHeight="false" outlineLevel="0" collapsed="false">
      <c r="B143" s="10" t="n">
        <f aca="false">_xlfn.NUMBERVALUE(solar!B140)</f>
        <v>0</v>
      </c>
      <c r="C143" s="11" t="n">
        <f aca="false">solar!C140</f>
        <v>0</v>
      </c>
      <c r="D143" s="5" t="n">
        <v>139</v>
      </c>
      <c r="E143" s="16" t="n">
        <f aca="false">IFERROR(INDEX($B$5:$C$173, MATCH($D143, $B$5:$B$175, 0), 2), 0)*investment!$C$4</f>
        <v>0</v>
      </c>
      <c r="F143" s="17" t="n">
        <f aca="false">demand!E141</f>
        <v>0</v>
      </c>
      <c r="G143" s="2" t="n">
        <f aca="false">solgen!E141</f>
        <v>0</v>
      </c>
      <c r="H143" s="2" t="n">
        <f aca="false">import!E141</f>
        <v>0</v>
      </c>
      <c r="I143" s="2" t="n">
        <f aca="false">-export!E141</f>
        <v>-0</v>
      </c>
      <c r="J143" s="2" t="n">
        <f aca="false">-charge!E141</f>
        <v>-0</v>
      </c>
      <c r="K143" s="2" t="n">
        <f aca="false">discharge!E141</f>
        <v>0</v>
      </c>
      <c r="L143" s="2" t="n">
        <f aca="false">soc!E141/investment!$E$4 *100</f>
        <v>0.0681463740444741</v>
      </c>
    </row>
    <row r="144" customFormat="false" ht="13.8" hidden="false" customHeight="false" outlineLevel="0" collapsed="false">
      <c r="B144" s="10" t="n">
        <f aca="false">_xlfn.NUMBERVALUE(solar!B141)</f>
        <v>0</v>
      </c>
      <c r="C144" s="11" t="n">
        <f aca="false">solar!C141</f>
        <v>0</v>
      </c>
      <c r="D144" s="5" t="n">
        <v>140</v>
      </c>
      <c r="E144" s="16" t="n">
        <f aca="false">IFERROR(INDEX($B$5:$C$173, MATCH($D144, $B$5:$B$175, 0), 2), 0)*investment!$C$4</f>
        <v>0</v>
      </c>
      <c r="F144" s="17" t="n">
        <f aca="false">demand!E142</f>
        <v>0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-0</v>
      </c>
      <c r="J144" s="2" t="n">
        <f aca="false">-charge!E142</f>
        <v>-0</v>
      </c>
      <c r="K144" s="2" t="n">
        <f aca="false">discharge!E142</f>
        <v>0</v>
      </c>
      <c r="L144" s="2" t="n">
        <f aca="false">soc!E142/investment!$E$4 *100</f>
        <v>0.0681456925807337</v>
      </c>
    </row>
    <row r="145" customFormat="false" ht="13.8" hidden="false" customHeight="false" outlineLevel="0" collapsed="false">
      <c r="B145" s="10" t="n">
        <f aca="false">_xlfn.NUMBERVALUE(solar!B142)</f>
        <v>0</v>
      </c>
      <c r="C145" s="11" t="n">
        <f aca="false">solar!C142</f>
        <v>0</v>
      </c>
      <c r="D145" s="5" t="n">
        <v>141</v>
      </c>
      <c r="E145" s="16" t="n">
        <f aca="false">IFERROR(INDEX($B$5:$C$173, MATCH($D145, $B$5:$B$175, 0), 2), 0)*investment!$C$4</f>
        <v>0</v>
      </c>
      <c r="F145" s="17" t="n">
        <f aca="false">demand!E143</f>
        <v>0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-0</v>
      </c>
      <c r="J145" s="2" t="n">
        <f aca="false">-charge!E143</f>
        <v>-0</v>
      </c>
      <c r="K145" s="2" t="n">
        <f aca="false">discharge!E143</f>
        <v>0</v>
      </c>
      <c r="L145" s="2" t="n">
        <f aca="false">soc!E143/investment!$E$4 *100</f>
        <v>0.0681450111238079</v>
      </c>
    </row>
    <row r="146" customFormat="false" ht="13.8" hidden="false" customHeight="false" outlineLevel="0" collapsed="false">
      <c r="B146" s="10" t="n">
        <f aca="false">_xlfn.NUMBERVALUE(solar!B143)</f>
        <v>0</v>
      </c>
      <c r="C146" s="11" t="n">
        <f aca="false">solar!C143</f>
        <v>0</v>
      </c>
      <c r="D146" s="5" t="n">
        <v>142</v>
      </c>
      <c r="E146" s="16" t="n">
        <f aca="false">IFERROR(INDEX($B$5:$C$173, MATCH($D146, $B$5:$B$175, 0), 2), 0)*investment!$C$4</f>
        <v>0</v>
      </c>
      <c r="F146" s="17" t="n">
        <f aca="false">demand!E144</f>
        <v>0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-0</v>
      </c>
      <c r="J146" s="2" t="n">
        <f aca="false">-charge!E144</f>
        <v>-0</v>
      </c>
      <c r="K146" s="2" t="n">
        <f aca="false">discharge!E144</f>
        <v>0</v>
      </c>
      <c r="L146" s="2" t="n">
        <f aca="false">soc!E144/investment!$E$4 *100</f>
        <v>0.0681443296736967</v>
      </c>
    </row>
    <row r="147" customFormat="false" ht="13.8" hidden="false" customHeight="false" outlineLevel="0" collapsed="false">
      <c r="B147" s="10" t="n">
        <f aca="false">_xlfn.NUMBERVALUE(solar!B144)</f>
        <v>0</v>
      </c>
      <c r="C147" s="11" t="n">
        <f aca="false">solar!C144</f>
        <v>0</v>
      </c>
      <c r="D147" s="5" t="n">
        <v>143</v>
      </c>
      <c r="E147" s="16" t="n">
        <f aca="false">IFERROR(INDEX($B$5:$C$173, MATCH($D147, $B$5:$B$175, 0), 2), 0)*investment!$C$4</f>
        <v>0</v>
      </c>
      <c r="F147" s="17" t="n">
        <f aca="false">demand!E145</f>
        <v>0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-0</v>
      </c>
      <c r="J147" s="2" t="n">
        <f aca="false">-charge!E145</f>
        <v>-0</v>
      </c>
      <c r="K147" s="2" t="n">
        <f aca="false">discharge!E145</f>
        <v>0</v>
      </c>
      <c r="L147" s="2" t="n">
        <f aca="false">soc!E145/investment!$E$4 *100</f>
        <v>0.0681436482303999</v>
      </c>
    </row>
    <row r="148" customFormat="false" ht="13.8" hidden="false" customHeight="false" outlineLevel="0" collapsed="false">
      <c r="B148" s="10" t="n">
        <f aca="false">_xlfn.NUMBERVALUE(solar!B145)</f>
        <v>0</v>
      </c>
      <c r="C148" s="11" t="n">
        <f aca="false">solar!C145</f>
        <v>0</v>
      </c>
      <c r="D148" s="5" t="n">
        <v>144</v>
      </c>
      <c r="E148" s="16" t="n">
        <f aca="false">IFERROR(INDEX($B$5:$C$173, MATCH($D148, $B$5:$B$175, 0), 2), 0)*investment!$C$4</f>
        <v>0</v>
      </c>
      <c r="F148" s="17" t="n">
        <f aca="false">demand!E146</f>
        <v>0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-0</v>
      </c>
      <c r="J148" s="2" t="n">
        <f aca="false">-charge!E146</f>
        <v>-0</v>
      </c>
      <c r="K148" s="2" t="n">
        <f aca="false">discharge!E146</f>
        <v>0</v>
      </c>
      <c r="L148" s="2" t="n">
        <f aca="false">soc!E146/investment!$E$4 *100</f>
        <v>0.0681429667939175</v>
      </c>
    </row>
    <row r="149" customFormat="false" ht="13.8" hidden="false" customHeight="false" outlineLevel="0" collapsed="false">
      <c r="B149" s="10" t="n">
        <f aca="false">_xlfn.NUMBERVALUE(solar!B146)</f>
        <v>0</v>
      </c>
      <c r="C149" s="11" t="n">
        <f aca="false">solar!C146</f>
        <v>0</v>
      </c>
      <c r="D149" s="5" t="n">
        <v>145</v>
      </c>
      <c r="E149" s="16" t="n">
        <f aca="false">IFERROR(INDEX($B$5:$C$173, MATCH($D149, $B$5:$B$175, 0), 2), 0)*investment!$C$4</f>
        <v>0</v>
      </c>
      <c r="F149" s="17" t="n">
        <f aca="false">demand!E147</f>
        <v>0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-0</v>
      </c>
      <c r="J149" s="2" t="n">
        <f aca="false">-charge!E147</f>
        <v>-0</v>
      </c>
      <c r="K149" s="2" t="n">
        <f aca="false">discharge!E147</f>
        <v>0</v>
      </c>
      <c r="L149" s="2" t="n">
        <f aca="false">soc!E147/investment!$E$4 *100</f>
        <v>7.82211547350854</v>
      </c>
    </row>
    <row r="150" customFormat="false" ht="13.8" hidden="false" customHeight="false" outlineLevel="0" collapsed="false">
      <c r="B150" s="10" t="n">
        <f aca="false">_xlfn.NUMBERVALUE(solar!B147)</f>
        <v>0</v>
      </c>
      <c r="C150" s="11" t="n">
        <f aca="false">solar!C147</f>
        <v>0</v>
      </c>
      <c r="D150" s="5" t="n">
        <v>146</v>
      </c>
      <c r="E150" s="16" t="n">
        <f aca="false">IFERROR(INDEX($B$5:$C$173, MATCH($D150, $B$5:$B$175, 0), 2), 0)*investment!$C$4</f>
        <v>0</v>
      </c>
      <c r="F150" s="17" t="n">
        <f aca="false">demand!E148</f>
        <v>0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-0</v>
      </c>
      <c r="J150" s="2" t="n">
        <f aca="false">-charge!E148</f>
        <v>-0</v>
      </c>
      <c r="K150" s="2" t="n">
        <f aca="false">discharge!E148</f>
        <v>0</v>
      </c>
      <c r="L150" s="2" t="n">
        <f aca="false">soc!E148/investment!$E$4 *100</f>
        <v>15.4604049832637</v>
      </c>
    </row>
    <row r="151" customFormat="false" ht="13.8" hidden="false" customHeight="false" outlineLevel="0" collapsed="false">
      <c r="B151" s="10" t="n">
        <f aca="false">_xlfn.NUMBERVALUE(solar!B148)</f>
        <v>0</v>
      </c>
      <c r="C151" s="11" t="n">
        <f aca="false">solar!C148</f>
        <v>0</v>
      </c>
      <c r="D151" s="5" t="n">
        <v>147</v>
      </c>
      <c r="E151" s="16" t="n">
        <f aca="false">IFERROR(INDEX($B$5:$C$173, MATCH($D151, $B$5:$B$175, 0), 2), 0)*investment!$C$4</f>
        <v>0</v>
      </c>
      <c r="F151" s="17" t="n">
        <f aca="false">demand!E149</f>
        <v>0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-0</v>
      </c>
      <c r="J151" s="2" t="n">
        <f aca="false">-charge!E149</f>
        <v>-0</v>
      </c>
      <c r="K151" s="2" t="n">
        <f aca="false">discharge!E149</f>
        <v>0</v>
      </c>
      <c r="L151" s="2" t="n">
        <f aca="false">soc!E149/investment!$E$4 *100</f>
        <v>15.4602503792719</v>
      </c>
    </row>
    <row r="152" customFormat="false" ht="13.8" hidden="false" customHeight="false" outlineLevel="0" collapsed="false">
      <c r="B152" s="10" t="n">
        <f aca="false">_xlfn.NUMBERVALUE(solar!B149)</f>
        <v>0</v>
      </c>
      <c r="C152" s="11" t="n">
        <f aca="false">solar!C149</f>
        <v>0</v>
      </c>
      <c r="D152" s="5" t="n">
        <v>148</v>
      </c>
      <c r="E152" s="16" t="n">
        <f aca="false">IFERROR(INDEX($B$5:$C$173, MATCH($D152, $B$5:$B$175, 0), 2), 0)*investment!$C$4</f>
        <v>0</v>
      </c>
      <c r="F152" s="17" t="n">
        <f aca="false">demand!E150</f>
        <v>0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-0</v>
      </c>
      <c r="J152" s="2" t="n">
        <f aca="false">-charge!E150</f>
        <v>-0</v>
      </c>
      <c r="K152" s="2" t="n">
        <f aca="false">discharge!E150</f>
        <v>0</v>
      </c>
      <c r="L152" s="2" t="n">
        <f aca="false">soc!E150/investment!$E$4 *100</f>
        <v>15.4600957767391</v>
      </c>
    </row>
    <row r="153" customFormat="false" ht="13.8" hidden="false" customHeight="false" outlineLevel="0" collapsed="false">
      <c r="B153" s="10" t="n">
        <f aca="false">_xlfn.NUMBERVALUE(solar!B150)</f>
        <v>0</v>
      </c>
      <c r="C153" s="11" t="n">
        <f aca="false">solar!C150</f>
        <v>0</v>
      </c>
      <c r="D153" s="5" t="n">
        <v>149</v>
      </c>
      <c r="E153" s="16" t="n">
        <f aca="false">IFERROR(INDEX($B$5:$C$173, MATCH($D153, $B$5:$B$175, 0), 2), 0)*investment!$C$4</f>
        <v>0</v>
      </c>
      <c r="F153" s="17" t="n">
        <f aca="false">demand!E151</f>
        <v>0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-0</v>
      </c>
      <c r="J153" s="2" t="n">
        <f aca="false">-charge!E151</f>
        <v>-0</v>
      </c>
      <c r="K153" s="2" t="n">
        <f aca="false">discharge!E151</f>
        <v>0</v>
      </c>
      <c r="L153" s="2" t="n">
        <f aca="false">soc!E151/investment!$E$4 *100</f>
        <v>17.5414950435123</v>
      </c>
    </row>
    <row r="154" customFormat="false" ht="13.8" hidden="false" customHeight="false" outlineLevel="0" collapsed="false">
      <c r="B154" s="10" t="n">
        <f aca="false">_xlfn.NUMBERVALUE(solar!B151)</f>
        <v>0</v>
      </c>
      <c r="C154" s="11" t="n">
        <f aca="false">solar!C151</f>
        <v>0</v>
      </c>
      <c r="D154" s="5" t="n">
        <v>150</v>
      </c>
      <c r="E154" s="16" t="n">
        <f aca="false">IFERROR(INDEX($B$5:$C$173, MATCH($D154, $B$5:$B$175, 0), 2), 0)*investment!$C$4</f>
        <v>0</v>
      </c>
      <c r="F154" s="17" t="n">
        <f aca="false">demand!E152</f>
        <v>0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-0</v>
      </c>
      <c r="J154" s="2" t="n">
        <f aca="false">-charge!E152</f>
        <v>-0</v>
      </c>
      <c r="K154" s="2" t="n">
        <f aca="false">discharge!E152</f>
        <v>0</v>
      </c>
      <c r="L154" s="2" t="n">
        <f aca="false">soc!E152/investment!$E$4 *100</f>
        <v>24.7135282013542</v>
      </c>
    </row>
    <row r="155" customFormat="false" ht="13.8" hidden="false" customHeight="false" outlineLevel="0" collapsed="false">
      <c r="B155" s="10" t="n">
        <f aca="false">_xlfn.NUMBERVALUE(solar!B152)</f>
        <v>0</v>
      </c>
      <c r="C155" s="11" t="n">
        <f aca="false">solar!C152</f>
        <v>0</v>
      </c>
      <c r="D155" s="5" t="n">
        <v>151</v>
      </c>
      <c r="E155" s="16" t="n">
        <f aca="false">IFERROR(INDEX($B$5:$C$173, MATCH($D155, $B$5:$B$175, 0), 2), 0)*investment!$C$4</f>
        <v>0</v>
      </c>
      <c r="F155" s="17" t="n">
        <f aca="false">demand!E153</f>
        <v>0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-0</v>
      </c>
      <c r="J155" s="2" t="n">
        <f aca="false">-charge!E153</f>
        <v>-0</v>
      </c>
      <c r="K155" s="2" t="n">
        <f aca="false">discharge!E153</f>
        <v>0</v>
      </c>
      <c r="L155" s="2" t="n">
        <f aca="false">soc!E153/investment!$E$4 *100</f>
        <v>31.3190323196271</v>
      </c>
    </row>
    <row r="156" customFormat="false" ht="13.8" hidden="false" customHeight="false" outlineLevel="0" collapsed="false">
      <c r="B156" s="10" t="n">
        <f aca="false">_xlfn.NUMBERVALUE(solar!B153)</f>
        <v>0</v>
      </c>
      <c r="C156" s="11" t="n">
        <f aca="false">solar!C153</f>
        <v>0</v>
      </c>
      <c r="D156" s="5" t="n">
        <v>152</v>
      </c>
      <c r="E156" s="16" t="n">
        <f aca="false">IFERROR(INDEX($B$5:$C$173, MATCH($D156, $B$5:$B$175, 0), 2), 0)*investment!$C$4</f>
        <v>0</v>
      </c>
      <c r="F156" s="17" t="n">
        <f aca="false">demand!E154</f>
        <v>0</v>
      </c>
      <c r="G156" s="2" t="n">
        <f aca="false">solgen!E154</f>
        <v>0</v>
      </c>
      <c r="H156" s="2" t="n">
        <f aca="false">import!E154</f>
        <v>0</v>
      </c>
      <c r="I156" s="2" t="n">
        <f aca="false">-export!E154</f>
        <v>-0</v>
      </c>
      <c r="J156" s="2" t="n">
        <f aca="false">-charge!E154</f>
        <v>-0</v>
      </c>
      <c r="K156" s="2" t="n">
        <f aca="false">discharge!E154</f>
        <v>0</v>
      </c>
      <c r="L156" s="2" t="n">
        <f aca="false">soc!E154/investment!$E$4 *100</f>
        <v>37.711874564089</v>
      </c>
    </row>
    <row r="157" customFormat="false" ht="13.8" hidden="false" customHeight="false" outlineLevel="0" collapsed="false">
      <c r="B157" s="10" t="n">
        <f aca="false">_xlfn.NUMBERVALUE(solar!B154)</f>
        <v>0</v>
      </c>
      <c r="C157" s="11" t="n">
        <f aca="false">solar!C154</f>
        <v>0</v>
      </c>
      <c r="D157" s="5" t="n">
        <v>153</v>
      </c>
      <c r="E157" s="16" t="n">
        <f aca="false">IFERROR(INDEX($B$5:$C$173, MATCH($D157, $B$5:$B$175, 0), 2), 0)*investment!$C$4</f>
        <v>0</v>
      </c>
      <c r="F157" s="17" t="n">
        <f aca="false">demand!E155</f>
        <v>0</v>
      </c>
      <c r="G157" s="2" t="n">
        <f aca="false">solgen!E155</f>
        <v>0</v>
      </c>
      <c r="H157" s="2" t="n">
        <f aca="false">import!E155</f>
        <v>0</v>
      </c>
      <c r="I157" s="2" t="n">
        <f aca="false">-export!E155</f>
        <v>-0</v>
      </c>
      <c r="J157" s="2" t="n">
        <f aca="false">-charge!E155</f>
        <v>-0</v>
      </c>
      <c r="K157" s="2" t="n">
        <f aca="false">discharge!E155</f>
        <v>0</v>
      </c>
      <c r="L157" s="2" t="n">
        <f aca="false">soc!E155/investment!$E$4 *100</f>
        <v>43.9257792653979</v>
      </c>
    </row>
    <row r="158" customFormat="false" ht="13.8" hidden="false" customHeight="false" outlineLevel="0" collapsed="false">
      <c r="B158" s="10" t="n">
        <f aca="false">_xlfn.NUMBERVALUE(solar!B155)</f>
        <v>0</v>
      </c>
      <c r="C158" s="11" t="n">
        <f aca="false">solar!C155</f>
        <v>0</v>
      </c>
      <c r="D158" s="5" t="n">
        <v>154</v>
      </c>
      <c r="E158" s="16" t="n">
        <f aca="false">IFERROR(INDEX($B$5:$C$173, MATCH($D158, $B$5:$B$175, 0), 2), 0)*investment!$C$4</f>
        <v>0</v>
      </c>
      <c r="F158" s="17" t="n">
        <f aca="false">demand!E156</f>
        <v>0</v>
      </c>
      <c r="G158" s="2" t="n">
        <f aca="false">solgen!E156</f>
        <v>0</v>
      </c>
      <c r="H158" s="2" t="n">
        <f aca="false">import!E156</f>
        <v>0</v>
      </c>
      <c r="I158" s="2" t="n">
        <f aca="false">-export!E156</f>
        <v>-0</v>
      </c>
      <c r="J158" s="2" t="n">
        <f aca="false">-charge!E156</f>
        <v>-0</v>
      </c>
      <c r="K158" s="2" t="n">
        <f aca="false">discharge!E156</f>
        <v>0</v>
      </c>
      <c r="L158" s="2" t="n">
        <f aca="false">soc!E156/investment!$E$4 *100</f>
        <v>49.6792065570124</v>
      </c>
    </row>
    <row r="159" customFormat="false" ht="13.8" hidden="false" customHeight="false" outlineLevel="0" collapsed="false">
      <c r="B159" s="10" t="n">
        <f aca="false">_xlfn.NUMBERVALUE(solar!B156)</f>
        <v>0</v>
      </c>
      <c r="C159" s="11" t="n">
        <f aca="false">solar!C156</f>
        <v>0</v>
      </c>
      <c r="D159" s="5" t="n">
        <v>155</v>
      </c>
      <c r="E159" s="16" t="n">
        <f aca="false">IFERROR(INDEX($B$5:$C$173, MATCH($D159, $B$5:$B$175, 0), 2), 0)*investment!$C$4</f>
        <v>0</v>
      </c>
      <c r="F159" s="17" t="n">
        <f aca="false">demand!E157</f>
        <v>0</v>
      </c>
      <c r="G159" s="2" t="n">
        <f aca="false">solgen!E157</f>
        <v>0</v>
      </c>
      <c r="H159" s="2" t="n">
        <f aca="false">import!E157</f>
        <v>0</v>
      </c>
      <c r="I159" s="2" t="n">
        <f aca="false">-export!E157</f>
        <v>-0</v>
      </c>
      <c r="J159" s="2" t="n">
        <f aca="false">-charge!E157</f>
        <v>-0</v>
      </c>
      <c r="K159" s="2" t="n">
        <f aca="false">discharge!E157</f>
        <v>0</v>
      </c>
      <c r="L159" s="2" t="n">
        <f aca="false">soc!E157/investment!$E$4 *100</f>
        <v>54.5342031151471</v>
      </c>
    </row>
    <row r="160" customFormat="false" ht="13.8" hidden="false" customHeight="false" outlineLevel="0" collapsed="false">
      <c r="B160" s="10" t="n">
        <f aca="false">_xlfn.NUMBERVALUE(solar!B157)</f>
        <v>0</v>
      </c>
      <c r="C160" s="11" t="n">
        <f aca="false">solar!C157</f>
        <v>0</v>
      </c>
      <c r="D160" s="5" t="n">
        <v>156</v>
      </c>
      <c r="E160" s="16" t="n">
        <f aca="false">IFERROR(INDEX($B$5:$C$173, MATCH($D160, $B$5:$B$175, 0), 2), 0)*investment!$C$4</f>
        <v>0</v>
      </c>
      <c r="F160" s="17" t="n">
        <f aca="false">demand!E158</f>
        <v>0</v>
      </c>
      <c r="G160" s="2" t="n">
        <f aca="false">solgen!E158</f>
        <v>0</v>
      </c>
      <c r="H160" s="2" t="n">
        <f aca="false">import!E158</f>
        <v>0</v>
      </c>
      <c r="I160" s="2" t="n">
        <f aca="false">-export!E158</f>
        <v>-0</v>
      </c>
      <c r="J160" s="2" t="n">
        <f aca="false">-charge!E158</f>
        <v>-0</v>
      </c>
      <c r="K160" s="2" t="n">
        <f aca="false">discharge!E158</f>
        <v>0</v>
      </c>
      <c r="L160" s="2" t="n">
        <f aca="false">soc!E158/investment!$E$4 *100</f>
        <v>59.2361837416132</v>
      </c>
    </row>
    <row r="161" customFormat="false" ht="13.8" hidden="false" customHeight="false" outlineLevel="0" collapsed="false">
      <c r="B161" s="10" t="n">
        <f aca="false">_xlfn.NUMBERVALUE(solar!B158)</f>
        <v>0</v>
      </c>
      <c r="C161" s="11" t="n">
        <f aca="false">solar!C158</f>
        <v>0</v>
      </c>
      <c r="D161" s="5" t="n">
        <v>157</v>
      </c>
      <c r="E161" s="16" t="n">
        <f aca="false">IFERROR(INDEX($B$5:$C$173, MATCH($D161, $B$5:$B$175, 0), 2), 0)*investment!$C$4</f>
        <v>0</v>
      </c>
      <c r="F161" s="17" t="n">
        <f aca="false">demand!E159</f>
        <v>0</v>
      </c>
      <c r="G161" s="2" t="n">
        <f aca="false">solgen!E159</f>
        <v>0</v>
      </c>
      <c r="H161" s="2" t="n">
        <f aca="false">import!E159</f>
        <v>0</v>
      </c>
      <c r="I161" s="2" t="n">
        <f aca="false">-export!E159</f>
        <v>-0</v>
      </c>
      <c r="J161" s="2" t="n">
        <f aca="false">-charge!E159</f>
        <v>-0</v>
      </c>
      <c r="K161" s="2" t="n">
        <f aca="false">discharge!E159</f>
        <v>0</v>
      </c>
      <c r="L161" s="2" t="n">
        <f aca="false">soc!E159/investment!$E$4 *100</f>
        <v>63.2554421026634</v>
      </c>
    </row>
    <row r="162" customFormat="false" ht="13.8" hidden="false" customHeight="false" outlineLevel="0" collapsed="false">
      <c r="B162" s="10" t="n">
        <f aca="false">_xlfn.NUMBERVALUE(solar!B159)</f>
        <v>0</v>
      </c>
      <c r="C162" s="11" t="n">
        <f aca="false">solar!C159</f>
        <v>0</v>
      </c>
      <c r="D162" s="5" t="n">
        <v>158</v>
      </c>
      <c r="E162" s="16" t="n">
        <f aca="false">IFERROR(INDEX($B$5:$C$173, MATCH($D162, $B$5:$B$175, 0), 2), 0)*investment!$C$4</f>
        <v>0</v>
      </c>
      <c r="F162" s="17" t="n">
        <f aca="false">demand!E160</f>
        <v>0</v>
      </c>
      <c r="G162" s="2" t="n">
        <f aca="false">solgen!E160</f>
        <v>0</v>
      </c>
      <c r="H162" s="2" t="n">
        <f aca="false">import!E160</f>
        <v>0</v>
      </c>
      <c r="I162" s="2" t="n">
        <f aca="false">-export!E160</f>
        <v>-0</v>
      </c>
      <c r="J162" s="2" t="n">
        <f aca="false">-charge!E160</f>
        <v>-0</v>
      </c>
      <c r="K162" s="2" t="n">
        <f aca="false">discharge!E160</f>
        <v>0</v>
      </c>
      <c r="L162" s="2" t="n">
        <f aca="false">soc!E160/investment!$E$4 *100</f>
        <v>66.6501621344893</v>
      </c>
    </row>
    <row r="163" customFormat="false" ht="13.8" hidden="false" customHeight="false" outlineLevel="0" collapsed="false">
      <c r="B163" s="10" t="n">
        <f aca="false">_xlfn.NUMBERVALUE(solar!B160)</f>
        <v>0</v>
      </c>
      <c r="C163" s="11" t="n">
        <f aca="false">solar!C160</f>
        <v>0</v>
      </c>
      <c r="D163" s="5" t="n">
        <v>159</v>
      </c>
      <c r="E163" s="16" t="n">
        <f aca="false">IFERROR(INDEX($B$5:$C$173, MATCH($D163, $B$5:$B$175, 0), 2), 0)*investment!$C$4</f>
        <v>0</v>
      </c>
      <c r="F163" s="17" t="n">
        <f aca="false">demand!E161</f>
        <v>0</v>
      </c>
      <c r="G163" s="2" t="n">
        <f aca="false">solgen!E161</f>
        <v>0</v>
      </c>
      <c r="H163" s="2" t="n">
        <f aca="false">import!E161</f>
        <v>0</v>
      </c>
      <c r="I163" s="2" t="n">
        <f aca="false">-export!E161</f>
        <v>-0</v>
      </c>
      <c r="J163" s="2" t="n">
        <f aca="false">-charge!E161</f>
        <v>-0</v>
      </c>
      <c r="K163" s="2" t="n">
        <f aca="false">discharge!E161</f>
        <v>0</v>
      </c>
      <c r="L163" s="2" t="n">
        <f aca="false">soc!E161/investment!$E$4 *100</f>
        <v>69.8249809100835</v>
      </c>
    </row>
    <row r="164" customFormat="false" ht="13.8" hidden="false" customHeight="false" outlineLevel="0" collapsed="false">
      <c r="B164" s="10" t="n">
        <f aca="false">_xlfn.NUMBERVALUE(solar!B161)</f>
        <v>0</v>
      </c>
      <c r="C164" s="11" t="n">
        <f aca="false">solar!C161</f>
        <v>0</v>
      </c>
      <c r="D164" s="5" t="n">
        <v>160</v>
      </c>
      <c r="E164" s="16" t="n">
        <f aca="false">IFERROR(INDEX($B$5:$C$173, MATCH($D164, $B$5:$B$175, 0), 2), 0)*investment!$C$4</f>
        <v>0</v>
      </c>
      <c r="F164" s="17" t="n">
        <f aca="false">demand!E162</f>
        <v>0</v>
      </c>
      <c r="G164" s="2" t="n">
        <f aca="false">solgen!E162</f>
        <v>0</v>
      </c>
      <c r="H164" s="2" t="n">
        <f aca="false">import!E162</f>
        <v>0</v>
      </c>
      <c r="I164" s="2" t="n">
        <f aca="false">-export!E162</f>
        <v>-0</v>
      </c>
      <c r="J164" s="2" t="n">
        <f aca="false">-charge!E162</f>
        <v>-0</v>
      </c>
      <c r="K164" s="2" t="n">
        <f aca="false">discharge!E162</f>
        <v>0</v>
      </c>
      <c r="L164" s="2" t="n">
        <f aca="false">soc!E162/investment!$E$4 *100</f>
        <v>72.6915254925378</v>
      </c>
    </row>
    <row r="165" customFormat="false" ht="13.8" hidden="false" customHeight="false" outlineLevel="0" collapsed="false">
      <c r="B165" s="10" t="n">
        <f aca="false">_xlfn.NUMBERVALUE(solar!B162)</f>
        <v>0</v>
      </c>
      <c r="C165" s="11" t="n">
        <f aca="false">solar!C162</f>
        <v>0</v>
      </c>
      <c r="D165" s="5" t="n">
        <v>161</v>
      </c>
      <c r="E165" s="16" t="n">
        <f aca="false">IFERROR(INDEX($B$5:$C$173, MATCH($D165, $B$5:$B$175, 0), 2), 0)*investment!$C$4</f>
        <v>0</v>
      </c>
      <c r="F165" s="17" t="n">
        <f aca="false">demand!E163</f>
        <v>0</v>
      </c>
      <c r="G165" s="2" t="n">
        <f aca="false">solgen!E163</f>
        <v>0</v>
      </c>
      <c r="H165" s="2" t="n">
        <f aca="false">import!E163</f>
        <v>0</v>
      </c>
      <c r="I165" s="2" t="n">
        <f aca="false">-export!E163</f>
        <v>-0</v>
      </c>
      <c r="J165" s="2" t="n">
        <f aca="false">-charge!E163</f>
        <v>-0</v>
      </c>
      <c r="K165" s="2" t="n">
        <f aca="false">discharge!E163</f>
        <v>0</v>
      </c>
      <c r="L165" s="2" t="n">
        <f aca="false">soc!E163/investment!$E$4 *100</f>
        <v>75.1311347123212</v>
      </c>
    </row>
    <row r="166" customFormat="false" ht="13.8" hidden="false" customHeight="false" outlineLevel="0" collapsed="false">
      <c r="B166" s="10" t="n">
        <f aca="false">_xlfn.NUMBERVALUE(solar!B163)</f>
        <v>0</v>
      </c>
      <c r="C166" s="11" t="n">
        <f aca="false">solar!C163</f>
        <v>0</v>
      </c>
      <c r="D166" s="5" t="n">
        <v>162</v>
      </c>
      <c r="E166" s="16" t="n">
        <f aca="false">IFERROR(INDEX($B$5:$C$173, MATCH($D166, $B$5:$B$175, 0), 2), 0)*investment!$C$4</f>
        <v>0</v>
      </c>
      <c r="F166" s="17" t="n">
        <f aca="false">demand!E164</f>
        <v>0</v>
      </c>
      <c r="G166" s="2" t="n">
        <f aca="false">solgen!E164</f>
        <v>0</v>
      </c>
      <c r="H166" s="2" t="n">
        <f aca="false">import!E164</f>
        <v>0</v>
      </c>
      <c r="I166" s="2" t="n">
        <f aca="false">-export!E164</f>
        <v>-0</v>
      </c>
      <c r="J166" s="2" t="n">
        <f aca="false">-charge!E164</f>
        <v>-0</v>
      </c>
      <c r="K166" s="2" t="n">
        <f aca="false">discharge!E164</f>
        <v>0</v>
      </c>
      <c r="L166" s="2" t="n">
        <f aca="false">soc!E164/investment!$E$4 *100</f>
        <v>76.9044192150114</v>
      </c>
    </row>
    <row r="167" customFormat="false" ht="13.8" hidden="false" customHeight="false" outlineLevel="0" collapsed="false">
      <c r="B167" s="10" t="n">
        <f aca="false">_xlfn.NUMBERVALUE(solar!B164)</f>
        <v>0</v>
      </c>
      <c r="C167" s="11" t="n">
        <f aca="false">solar!C164</f>
        <v>0</v>
      </c>
      <c r="D167" s="5" t="n">
        <v>163</v>
      </c>
      <c r="E167" s="16" t="n">
        <f aca="false">IFERROR(INDEX($B$5:$C$173, MATCH($D167, $B$5:$B$175, 0), 2), 0)*investment!$C$4</f>
        <v>0</v>
      </c>
      <c r="F167" s="17" t="n">
        <f aca="false">demand!E165</f>
        <v>0</v>
      </c>
      <c r="G167" s="2" t="n">
        <f aca="false">solgen!E165</f>
        <v>0</v>
      </c>
      <c r="H167" s="2" t="n">
        <f aca="false">import!E165</f>
        <v>0</v>
      </c>
      <c r="I167" s="2" t="n">
        <f aca="false">-export!E165</f>
        <v>-0</v>
      </c>
      <c r="J167" s="2" t="n">
        <f aca="false">-charge!E165</f>
        <v>-0</v>
      </c>
      <c r="K167" s="2" t="n">
        <f aca="false">discharge!E165</f>
        <v>0</v>
      </c>
      <c r="L167" s="2" t="n">
        <f aca="false">soc!E165/investment!$E$4 *100</f>
        <v>78.134232155492</v>
      </c>
    </row>
    <row r="168" customFormat="false" ht="13.8" hidden="false" customHeight="false" outlineLevel="0" collapsed="false">
      <c r="B168" s="10" t="n">
        <f aca="false">_xlfn.NUMBERVALUE(solar!B165)</f>
        <v>0</v>
      </c>
      <c r="C168" s="11" t="n">
        <f aca="false">solar!C165</f>
        <v>0</v>
      </c>
      <c r="D168" s="5" t="n">
        <v>164</v>
      </c>
      <c r="E168" s="16" t="n">
        <f aca="false">IFERROR(INDEX($B$5:$C$173, MATCH($D168, $B$5:$B$175, 0), 2), 0)*investment!$C$4</f>
        <v>0</v>
      </c>
      <c r="F168" s="17" t="n">
        <f aca="false">demand!E166</f>
        <v>0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</v>
      </c>
      <c r="J168" s="2" t="n">
        <f aca="false">-charge!E166</f>
        <v>-0</v>
      </c>
      <c r="K168" s="2" t="n">
        <f aca="false">discharge!E166</f>
        <v>0</v>
      </c>
      <c r="L168" s="2" t="n">
        <f aca="false">soc!E166/investment!$E$4 *100</f>
        <v>78.8860561023104</v>
      </c>
    </row>
    <row r="169" customFormat="false" ht="13.8" hidden="false" customHeight="false" outlineLevel="0" collapsed="false">
      <c r="B169" s="10" t="n">
        <f aca="false">_xlfn.NUMBERVALUE(solar!B166)</f>
        <v>0</v>
      </c>
      <c r="C169" s="11" t="n">
        <f aca="false">solar!C166</f>
        <v>0</v>
      </c>
      <c r="D169" s="5" t="n">
        <v>165</v>
      </c>
      <c r="E169" s="16" t="n">
        <f aca="false">IFERROR(INDEX($B$5:$C$173, MATCH($D169, $B$5:$B$175, 0), 2), 0)*investment!$C$4</f>
        <v>0</v>
      </c>
      <c r="F169" s="17" t="n">
        <f aca="false">demand!E167</f>
        <v>0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</v>
      </c>
      <c r="J169" s="2" t="n">
        <f aca="false">-charge!E167</f>
        <v>-0</v>
      </c>
      <c r="K169" s="2" t="n">
        <f aca="false">discharge!E167</f>
        <v>0</v>
      </c>
      <c r="L169" s="2" t="n">
        <f aca="false">soc!E167/investment!$E$4 *100</f>
        <v>79.138423259517</v>
      </c>
    </row>
    <row r="170" customFormat="false" ht="13.8" hidden="false" customHeight="false" outlineLevel="0" collapsed="false">
      <c r="B170" s="10" t="n">
        <f aca="false">_xlfn.NUMBERVALUE(solar!B167)</f>
        <v>0</v>
      </c>
      <c r="C170" s="11" t="n">
        <f aca="false">solar!C167</f>
        <v>0</v>
      </c>
      <c r="D170" s="5" t="n">
        <v>166</v>
      </c>
      <c r="E170" s="16" t="n">
        <f aca="false">IFERROR(INDEX($B$5:$C$173, MATCH($D170, $B$5:$B$175, 0), 2), 0)*investment!$C$4</f>
        <v>0</v>
      </c>
      <c r="F170" s="17" t="n">
        <f aca="false">demand!E168</f>
        <v>0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-0</v>
      </c>
      <c r="J170" s="2" t="n">
        <f aca="false">-charge!E168</f>
        <v>-0</v>
      </c>
      <c r="K170" s="2" t="n">
        <f aca="false">discharge!E168</f>
        <v>0</v>
      </c>
      <c r="L170" s="2" t="n">
        <f aca="false">soc!E168/investment!$E$4 *100</f>
        <v>78.5958108246959</v>
      </c>
    </row>
    <row r="171" customFormat="false" ht="13.8" hidden="false" customHeight="false" outlineLevel="0" collapsed="false">
      <c r="B171" s="10" t="n">
        <f aca="false">_xlfn.NUMBERVALUE(solar!B168)</f>
        <v>0</v>
      </c>
      <c r="C171" s="11" t="n">
        <f aca="false">solar!C168</f>
        <v>0</v>
      </c>
      <c r="D171" s="5" t="n">
        <v>167</v>
      </c>
      <c r="E171" s="16" t="n">
        <f aca="false">IFERROR(INDEX($B$5:$C$173, MATCH($D171, $B$5:$B$175, 0), 2), 0)*investment!$C$4</f>
        <v>0</v>
      </c>
      <c r="F171" s="17" t="n">
        <f aca="false">demand!E169</f>
        <v>0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-0</v>
      </c>
      <c r="J171" s="2" t="n">
        <f aca="false">-charge!E169</f>
        <v>-0</v>
      </c>
      <c r="K171" s="2" t="n">
        <f aca="false">discharge!E169</f>
        <v>0</v>
      </c>
      <c r="L171" s="2" t="n">
        <f aca="false">soc!E169/investment!$E$4 *100</f>
        <v>78.1401588796254</v>
      </c>
    </row>
    <row r="172" customFormat="false" ht="13.8" hidden="false" customHeight="false" outlineLevel="0" collapsed="false">
      <c r="B172" s="10" t="n">
        <f aca="false">_xlfn.NUMBERVALUE(solar!B169)</f>
        <v>0</v>
      </c>
      <c r="C172" s="11" t="n">
        <f aca="false">solar!C169</f>
        <v>0</v>
      </c>
      <c r="D172" s="5" t="n">
        <v>168</v>
      </c>
      <c r="E172" s="16" t="n">
        <f aca="false">IFERROR(INDEX($B$5:$C$173, MATCH($D172, $B$5:$B$175, 0), 2), 0)*investment!$C$4</f>
        <v>0</v>
      </c>
      <c r="F172" s="17" t="n">
        <f aca="false">demand!E170</f>
        <v>0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-0</v>
      </c>
      <c r="J172" s="2" t="n">
        <f aca="false">-charge!E170</f>
        <v>-0</v>
      </c>
      <c r="K172" s="2" t="n">
        <f aca="false">discharge!E170</f>
        <v>0</v>
      </c>
      <c r="L172" s="2" t="n">
        <f aca="false">soc!E170/investment!$E$4 *100</f>
        <v>76.0915961237217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0" sqref="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18" t="s">
        <v>19</v>
      </c>
    </row>
    <row r="3" customFormat="false" ht="13.8" hidden="false" customHeight="false" outlineLevel="0" collapsed="false">
      <c r="B3" s="18" t="s">
        <v>20</v>
      </c>
    </row>
    <row r="4" customFormat="false" ht="13.8" hidden="false" customHeight="false" outlineLevel="0" collapsed="false">
      <c r="B4" s="19" t="s">
        <v>21</v>
      </c>
    </row>
    <row r="5" customFormat="false" ht="13.8" hidden="false" customHeight="false" outlineLevel="0" collapsed="false">
      <c r="B5" s="20" t="s">
        <v>22</v>
      </c>
    </row>
    <row r="6" customFormat="false" ht="13.8" hidden="false" customHeight="false" outlineLevel="0" collapsed="false">
      <c r="B6" s="20" t="s">
        <v>23</v>
      </c>
    </row>
    <row r="7" customFormat="false" ht="13.8" hidden="false" customHeight="false" outlineLevel="0" collapsed="false">
      <c r="B7" s="20" t="s">
        <v>24</v>
      </c>
    </row>
    <row r="8" customFormat="false" ht="13.8" hidden="false" customHeight="false" outlineLevel="0" collapsed="false">
      <c r="B8" s="18" t="s">
        <v>25</v>
      </c>
    </row>
    <row r="9" customFormat="false" ht="13.8" hidden="false" customHeight="false" outlineLevel="0" collapsed="false">
      <c r="B9" s="18" t="s">
        <v>26</v>
      </c>
    </row>
    <row r="10" customFormat="false" ht="13.8" hidden="false" customHeight="false" outlineLevel="0" collapsed="false">
      <c r="B10" s="19" t="s">
        <v>27</v>
      </c>
    </row>
    <row r="11" customFormat="false" ht="13.8" hidden="false" customHeight="false" outlineLevel="0" collapsed="false">
      <c r="B11" s="20" t="s">
        <v>28</v>
      </c>
    </row>
    <row r="12" customFormat="false" ht="13.8" hidden="false" customHeight="false" outlineLevel="0" collapsed="false">
      <c r="B12" s="20" t="s">
        <v>29</v>
      </c>
    </row>
    <row r="13" customFormat="false" ht="13.8" hidden="false" customHeight="false" outlineLevel="0" collapsed="false">
      <c r="B13" s="20" t="s">
        <v>24</v>
      </c>
    </row>
    <row r="14" customFormat="false" ht="13.8" hidden="false" customHeight="false" outlineLevel="0" collapsed="false">
      <c r="B14" s="19" t="s">
        <v>30</v>
      </c>
    </row>
    <row r="15" customFormat="false" ht="13.8" hidden="false" customHeight="false" outlineLevel="0" collapsed="false">
      <c r="B15" s="19" t="s">
        <v>31</v>
      </c>
    </row>
    <row r="16" customFormat="false" ht="13.8" hidden="false" customHeight="false" outlineLevel="0" collapsed="false">
      <c r="B16" s="19" t="s">
        <v>32</v>
      </c>
    </row>
    <row r="17" customFormat="false" ht="13.8" hidden="false" customHeight="false" outlineLevel="0" collapsed="false">
      <c r="B17" s="19" t="s">
        <v>33</v>
      </c>
    </row>
    <row r="18" customFormat="false" ht="13.8" hidden="false" customHeight="false" outlineLevel="0" collapsed="false">
      <c r="B18" s="19" t="s">
        <v>34</v>
      </c>
    </row>
    <row r="19" customFormat="false" ht="13.8" hidden="false" customHeight="false" outlineLevel="0" collapsed="false">
      <c r="B19" s="19" t="s">
        <v>35</v>
      </c>
    </row>
    <row r="20" customFormat="false" ht="13.8" hidden="false" customHeight="false" outlineLevel="0" collapsed="false">
      <c r="B20" s="19" t="s">
        <v>36</v>
      </c>
    </row>
    <row r="21" customFormat="false" ht="13.8" hidden="false" customHeight="false" outlineLevel="0" collapsed="false">
      <c r="B21" s="18" t="s">
        <v>37</v>
      </c>
    </row>
    <row r="22" customFormat="false" ht="13.8" hidden="false" customHeight="false" outlineLevel="0" collapsed="false">
      <c r="B22" s="19" t="s">
        <v>38</v>
      </c>
    </row>
    <row r="23" customFormat="false" ht="13.8" hidden="false" customHeight="false" outlineLevel="0" collapsed="false">
      <c r="B23" s="19" t="s">
        <v>39</v>
      </c>
    </row>
    <row r="24" customFormat="false" ht="13.8" hidden="false" customHeight="false" outlineLevel="0" collapsed="false">
      <c r="B24" s="19" t="s">
        <v>40</v>
      </c>
    </row>
    <row r="25" customFormat="false" ht="13.8" hidden="false" customHeight="false" outlineLevel="0" collapsed="false">
      <c r="B25" s="19" t="s">
        <v>41</v>
      </c>
    </row>
    <row r="26" customFormat="false" ht="13.8" hidden="false" customHeight="false" outlineLevel="0" collapsed="false">
      <c r="B26" s="19" t="s">
        <v>42</v>
      </c>
    </row>
    <row r="27" customFormat="false" ht="13.8" hidden="false" customHeight="false" outlineLevel="0" collapsed="false">
      <c r="B27" s="21"/>
    </row>
    <row r="28" customFormat="false" ht="13.8" hidden="false" customHeight="false" outlineLevel="0" collapsed="false">
      <c r="B28" s="19" t="s">
        <v>43</v>
      </c>
    </row>
    <row r="29" customFormat="false" ht="13.8" hidden="false" customHeight="false" outlineLevel="0" collapsed="false">
      <c r="B29" s="20" t="s">
        <v>24</v>
      </c>
    </row>
    <row r="30" customFormat="false" ht="13.8" hidden="false" customHeight="false" outlineLevel="0" collapsed="false">
      <c r="B30" s="22" t="s">
        <v>44</v>
      </c>
    </row>
    <row r="31" customFormat="false" ht="13.8" hidden="false" customHeight="false" outlineLevel="0" collapsed="false">
      <c r="B31" s="22" t="s">
        <v>45</v>
      </c>
    </row>
    <row r="32" customFormat="false" ht="13.8" hidden="false" customHeight="false" outlineLevel="0" collapsed="false">
      <c r="B32" s="18" t="s">
        <v>46</v>
      </c>
    </row>
    <row r="33" customFormat="false" ht="13.8" hidden="false" customHeight="false" outlineLevel="0" collapsed="false">
      <c r="B33" s="18" t="s">
        <v>47</v>
      </c>
    </row>
    <row r="34" customFormat="false" ht="13.8" hidden="false" customHeight="false" outlineLevel="0" collapsed="false">
      <c r="B34" s="22" t="s">
        <v>48</v>
      </c>
    </row>
    <row r="35" customFormat="false" ht="13.8" hidden="false" customHeight="false" outlineLevel="0" collapsed="false">
      <c r="B35" s="20" t="s">
        <v>24</v>
      </c>
    </row>
    <row r="36" customFormat="false" ht="13.8" hidden="false" customHeight="false" outlineLevel="0" collapsed="false">
      <c r="B36" s="21"/>
    </row>
    <row r="37" customFormat="false" ht="13.8" hidden="false" customHeight="false" outlineLevel="0" collapsed="false">
      <c r="B37" s="21"/>
    </row>
    <row r="38" customFormat="false" ht="13.8" hidden="false" customHeight="false" outlineLevel="0" collapsed="false">
      <c r="B38" s="18" t="s">
        <v>49</v>
      </c>
    </row>
    <row r="39" customFormat="false" ht="13.8" hidden="false" customHeight="false" outlineLevel="0" collapsed="false">
      <c r="B39" s="19" t="s">
        <v>50</v>
      </c>
    </row>
    <row r="40" customFormat="false" ht="13.8" hidden="false" customHeight="false" outlineLevel="0" collapsed="false">
      <c r="B40" s="19" t="s">
        <v>51</v>
      </c>
    </row>
    <row r="41" customFormat="false" ht="13.8" hidden="false" customHeight="false" outlineLevel="0" collapsed="false">
      <c r="B41" s="19" t="s">
        <v>52</v>
      </c>
    </row>
    <row r="42" customFormat="false" ht="13.8" hidden="false" customHeight="false" outlineLevel="0" collapsed="false">
      <c r="B42" s="21"/>
    </row>
    <row r="43" customFormat="false" ht="13.8" hidden="false" customHeight="false" outlineLevel="0" collapsed="false">
      <c r="B43" s="23" t="s">
        <v>53</v>
      </c>
    </row>
    <row r="44" customFormat="false" ht="13.8" hidden="false" customHeight="false" outlineLevel="0" collapsed="false">
      <c r="B44" s="22" t="s">
        <v>44</v>
      </c>
    </row>
    <row r="45" customFormat="false" ht="13.8" hidden="false" customHeight="false" outlineLevel="0" collapsed="false">
      <c r="B45" s="22" t="s">
        <v>54</v>
      </c>
    </row>
    <row r="46" customFormat="false" ht="13.8" hidden="false" customHeight="false" outlineLevel="0" collapsed="false">
      <c r="B46" s="18" t="s">
        <v>55</v>
      </c>
    </row>
    <row r="47" customFormat="false" ht="13.8" hidden="false" customHeight="false" outlineLevel="0" collapsed="false">
      <c r="B47" s="18" t="s">
        <v>56</v>
      </c>
    </row>
    <row r="48" customFormat="false" ht="13.8" hidden="false" customHeight="false" outlineLevel="0" collapsed="false">
      <c r="B48" s="22" t="s">
        <v>48</v>
      </c>
    </row>
    <row r="49" customFormat="false" ht="13.8" hidden="false" customHeight="false" outlineLevel="0" collapsed="false">
      <c r="B49" s="19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1</v>
      </c>
      <c r="C2" s="2" t="n">
        <v>0.00131693742185917</v>
      </c>
      <c r="D2" s="2" t="n">
        <v>0.00131689386427975</v>
      </c>
      <c r="E2" s="2" t="n">
        <v>0.00111695070560198</v>
      </c>
    </row>
    <row r="3" customFormat="false" ht="13.8" hidden="false" customHeight="false" outlineLevel="0" collapsed="false">
      <c r="B3" s="2" t="n">
        <v>2</v>
      </c>
      <c r="C3" s="2" t="n">
        <v>0.00131694687537073</v>
      </c>
      <c r="D3" s="2" t="n">
        <v>0.00131690288219014</v>
      </c>
      <c r="E3" s="2" t="n">
        <v>0.00111695687517073</v>
      </c>
    </row>
    <row r="4" customFormat="false" ht="13.8" hidden="false" customHeight="false" outlineLevel="0" collapsed="false">
      <c r="B4" s="2" t="n">
        <v>3</v>
      </c>
      <c r="C4" s="2" t="n">
        <v>0.00131696029460113</v>
      </c>
      <c r="D4" s="2" t="n">
        <v>0.00131691105130066</v>
      </c>
      <c r="E4" s="2" t="n">
        <v>0.00111696304480118</v>
      </c>
    </row>
    <row r="5" customFormat="false" ht="13.8" hidden="false" customHeight="false" outlineLevel="0" collapsed="false">
      <c r="B5" s="2" t="n">
        <v>4</v>
      </c>
      <c r="C5" s="2" t="n">
        <v>0.00131696715183298</v>
      </c>
      <c r="D5" s="2" t="n">
        <v>0.00131691922049286</v>
      </c>
      <c r="E5" s="2" t="n">
        <v>0.00111696921449332</v>
      </c>
    </row>
    <row r="6" customFormat="false" ht="13.8" hidden="false" customHeight="false" outlineLevel="0" collapsed="false">
      <c r="B6" s="2" t="n">
        <v>5</v>
      </c>
      <c r="C6" s="2" t="n">
        <v>0.00131697400913339</v>
      </c>
      <c r="D6" s="2" t="n">
        <v>0.00131692738976676</v>
      </c>
      <c r="E6" s="2" t="n">
        <v>0.00111697538424716</v>
      </c>
    </row>
    <row r="7" customFormat="false" ht="13.8" hidden="false" customHeight="false" outlineLevel="0" collapsed="false">
      <c r="B7" s="2" t="n">
        <v>6</v>
      </c>
      <c r="C7" s="2" t="n">
        <v>0.0013169795540627</v>
      </c>
      <c r="D7" s="2" t="n">
        <v>0.00131693555912235</v>
      </c>
      <c r="E7" s="2" t="n">
        <v>0.0011169815540627</v>
      </c>
    </row>
    <row r="8" customFormat="false" ht="13.8" hidden="false" customHeight="false" outlineLevel="0" collapsed="false">
      <c r="B8" s="2" t="n">
        <v>7</v>
      </c>
      <c r="C8" s="2" t="n">
        <v>0.00131698772393994</v>
      </c>
      <c r="D8" s="2" t="n">
        <v>0.00131694372855963</v>
      </c>
      <c r="E8" s="2" t="n">
        <v>0.00111698772393994</v>
      </c>
    </row>
    <row r="9" customFormat="false" ht="13.8" hidden="false" customHeight="false" outlineLevel="0" collapsed="false">
      <c r="B9" s="2" t="n">
        <v>8</v>
      </c>
      <c r="C9" s="2" t="n">
        <v>0.00131697028485592</v>
      </c>
      <c r="D9" s="2" t="n">
        <v>0.00131695189807862</v>
      </c>
      <c r="E9" s="2" t="n">
        <v>0.00111699389387888</v>
      </c>
    </row>
    <row r="10" customFormat="false" ht="13.8" hidden="false" customHeight="false" outlineLevel="0" collapsed="false">
      <c r="B10" s="2" t="n">
        <v>9</v>
      </c>
      <c r="C10" s="2" t="n">
        <v>0.00131697714218793</v>
      </c>
      <c r="D10" s="2" t="n">
        <v>0.00131696006767929</v>
      </c>
      <c r="E10" s="2" t="n">
        <v>0.00111700006387952</v>
      </c>
    </row>
    <row r="11" customFormat="false" ht="13.8" hidden="false" customHeight="false" outlineLevel="0" collapsed="false">
      <c r="B11" s="2" t="n">
        <v>10</v>
      </c>
      <c r="C11" s="2" t="n">
        <v>0.00131698399958806</v>
      </c>
      <c r="D11" s="2" t="n">
        <v>0.00131696823736167</v>
      </c>
      <c r="E11" s="2" t="n">
        <v>0.00111700623394186</v>
      </c>
    </row>
    <row r="12" customFormat="false" ht="13.8" hidden="false" customHeight="false" outlineLevel="0" collapsed="false">
      <c r="B12" s="2" t="n">
        <v>11</v>
      </c>
      <c r="C12" s="2" t="n">
        <v>0.00131699085705632</v>
      </c>
      <c r="D12" s="2" t="n">
        <v>0.00131697640712574</v>
      </c>
      <c r="E12" s="2" t="n">
        <v>0.0011170124040659</v>
      </c>
    </row>
    <row r="13" customFormat="false" ht="13.8" hidden="false" customHeight="false" outlineLevel="0" collapsed="false">
      <c r="B13" s="2" t="n">
        <v>12</v>
      </c>
      <c r="C13" s="2" t="n">
        <v>0.00131699771459468</v>
      </c>
      <c r="D13" s="2" t="n">
        <v>0.00131698457697151</v>
      </c>
      <c r="E13" s="2" t="n">
        <v>0.00111701857425164</v>
      </c>
    </row>
    <row r="14" customFormat="false" ht="13.8" hidden="false" customHeight="false" outlineLevel="0" collapsed="false">
      <c r="B14" s="2" t="n">
        <v>13</v>
      </c>
      <c r="C14" s="2" t="n">
        <v>0.00131700457220092</v>
      </c>
      <c r="D14" s="2" t="n">
        <v>0.00131699274689898</v>
      </c>
      <c r="E14" s="2" t="n">
        <v>0.00111702474449909</v>
      </c>
    </row>
    <row r="15" customFormat="false" ht="13.8" hidden="false" customHeight="false" outlineLevel="0" collapsed="false">
      <c r="B15" s="2" t="n">
        <v>14</v>
      </c>
      <c r="C15" s="2" t="n">
        <v>0.0013170114298756</v>
      </c>
      <c r="D15" s="2" t="n">
        <v>0.00131700091690815</v>
      </c>
      <c r="E15" s="2" t="n">
        <v>0.00111703091480824</v>
      </c>
    </row>
    <row r="16" customFormat="false" ht="13.8" hidden="false" customHeight="false" outlineLevel="0" collapsed="false">
      <c r="B16" s="2" t="n">
        <v>15</v>
      </c>
      <c r="C16" s="2" t="n">
        <v>0.00131701828761861</v>
      </c>
      <c r="D16" s="2" t="n">
        <v>0.00131700908699901</v>
      </c>
      <c r="E16" s="2" t="n">
        <v>0.00111703708517909</v>
      </c>
    </row>
    <row r="17" customFormat="false" ht="13.8" hidden="false" customHeight="false" outlineLevel="0" collapsed="false">
      <c r="B17" s="2" t="n">
        <v>16</v>
      </c>
      <c r="C17" s="2" t="n">
        <v>0.0013170251454306</v>
      </c>
      <c r="D17" s="2" t="n">
        <v>0.00131701725717159</v>
      </c>
      <c r="E17" s="2" t="n">
        <v>0.00111704325561164</v>
      </c>
    </row>
    <row r="18" customFormat="false" ht="13.8" hidden="false" customHeight="false" outlineLevel="0" collapsed="false">
      <c r="B18" s="2" t="n">
        <v>17</v>
      </c>
      <c r="C18" s="2" t="n">
        <v>0.00131703200331077</v>
      </c>
      <c r="D18" s="2" t="n">
        <v>0.00131704117583554</v>
      </c>
      <c r="E18" s="2" t="n">
        <v>0.00111704942610591</v>
      </c>
    </row>
    <row r="19" customFormat="false" ht="13.8" hidden="false" customHeight="false" outlineLevel="0" collapsed="false">
      <c r="B19" s="2" t="n">
        <v>18</v>
      </c>
      <c r="C19" s="2" t="n">
        <v>0.00131703886125991</v>
      </c>
      <c r="D19" s="2" t="n">
        <v>0.00131704803387642</v>
      </c>
      <c r="E19" s="2" t="n">
        <v>0.00111705559666187</v>
      </c>
    </row>
    <row r="20" customFormat="false" ht="13.8" hidden="false" customHeight="false" outlineLevel="0" collapsed="false">
      <c r="B20" s="2" t="n">
        <v>19</v>
      </c>
      <c r="C20" s="2" t="n">
        <v>0.00131704571927727</v>
      </c>
      <c r="D20" s="2" t="n">
        <v>0.00131704176817952</v>
      </c>
      <c r="E20" s="2" t="n">
        <v>0.00111706176727954</v>
      </c>
    </row>
    <row r="21" customFormat="false" ht="13.8" hidden="false" customHeight="false" outlineLevel="0" collapsed="false">
      <c r="B21" s="2" t="n">
        <v>20</v>
      </c>
      <c r="C21" s="2" t="n">
        <v>0.00131705257736349</v>
      </c>
      <c r="D21" s="2" t="n">
        <v>0.00131704993867891</v>
      </c>
      <c r="E21" s="2" t="n">
        <v>0.00111706793795892</v>
      </c>
    </row>
    <row r="22" customFormat="false" ht="13.8" hidden="false" customHeight="false" outlineLevel="0" collapsed="false">
      <c r="B22" s="2" t="n">
        <v>21</v>
      </c>
      <c r="C22" s="2" t="n">
        <v>0.00131705943551823</v>
      </c>
      <c r="D22" s="2" t="n">
        <v>0.00131705810926</v>
      </c>
      <c r="E22" s="2" t="n">
        <v>0.00111707410870001</v>
      </c>
    </row>
    <row r="23" customFormat="false" ht="13.8" hidden="false" customHeight="false" outlineLevel="0" collapsed="false">
      <c r="B23" s="2" t="n">
        <v>22</v>
      </c>
      <c r="C23" s="2" t="n">
        <v>0.00131706706192509</v>
      </c>
      <c r="D23" s="2" t="n">
        <v>0.00131706627991955</v>
      </c>
      <c r="E23" s="2" t="n">
        <v>0.00111708027950203</v>
      </c>
    </row>
    <row r="24" customFormat="false" ht="13.8" hidden="false" customHeight="false" outlineLevel="0" collapsed="false">
      <c r="B24" s="2" t="n">
        <v>23</v>
      </c>
      <c r="C24" s="2" t="n">
        <v>0.00131707388259908</v>
      </c>
      <c r="D24" s="2" t="n">
        <v>0.00131708255176227</v>
      </c>
      <c r="E24" s="2" t="n">
        <v>0.00111708645036575</v>
      </c>
    </row>
    <row r="25" customFormat="false" ht="13.8" hidden="false" customHeight="false" outlineLevel="0" collapsed="false">
      <c r="B25" s="2" t="n">
        <v>24</v>
      </c>
      <c r="C25" s="2" t="n">
        <v>0.00131708070323805</v>
      </c>
      <c r="D25" s="2" t="n">
        <v>0.00131708937243825</v>
      </c>
      <c r="E25" s="2" t="n">
        <v>0.00111709262129119</v>
      </c>
    </row>
    <row r="26" customFormat="false" ht="13.8" hidden="false" customHeight="false" outlineLevel="0" collapsed="false">
      <c r="B26" s="2" t="n">
        <v>25</v>
      </c>
      <c r="C26" s="2" t="n">
        <v>0.00131708752391899</v>
      </c>
      <c r="D26" s="2" t="n">
        <v>0.00131709619318017</v>
      </c>
      <c r="E26" s="2" t="n">
        <v>0.00111709879227833</v>
      </c>
    </row>
    <row r="27" customFormat="false" ht="13.8" hidden="false" customHeight="false" outlineLevel="0" collapsed="false">
      <c r="B27" s="2" t="n">
        <v>26</v>
      </c>
      <c r="C27" s="2" t="n">
        <v>0.00131709434466597</v>
      </c>
      <c r="D27" s="2" t="n">
        <v>0.00131709896327334</v>
      </c>
      <c r="E27" s="2" t="n">
        <v>0.00111710496330287</v>
      </c>
    </row>
    <row r="28" customFormat="false" ht="13.8" hidden="false" customHeight="false" outlineLevel="0" collapsed="false">
      <c r="B28" s="2" t="n">
        <v>27</v>
      </c>
      <c r="C28" s="2" t="n">
        <v>0.00131710116543729</v>
      </c>
      <c r="D28" s="2" t="n">
        <v>0.00131710713423993</v>
      </c>
      <c r="E28" s="2" t="n">
        <v>0.00111711113438912</v>
      </c>
    </row>
    <row r="29" customFormat="false" ht="13.8" hidden="false" customHeight="false" outlineLevel="0" collapsed="false">
      <c r="B29" s="2" t="n">
        <v>28</v>
      </c>
      <c r="C29" s="2" t="n">
        <v>0.0013171101475518</v>
      </c>
      <c r="D29" s="2" t="n">
        <v>0.00131711665550683</v>
      </c>
      <c r="E29" s="2" t="n">
        <v>0.00111711730553709</v>
      </c>
    </row>
    <row r="30" customFormat="false" ht="13.8" hidden="false" customHeight="false" outlineLevel="0" collapsed="false">
      <c r="B30" s="2" t="n">
        <v>29</v>
      </c>
      <c r="C30" s="2" t="n">
        <v>0.00131712229199067</v>
      </c>
      <c r="D30" s="2" t="n">
        <v>0.00131712359299073</v>
      </c>
      <c r="E30" s="2" t="n">
        <v>0.00111712347674676</v>
      </c>
    </row>
    <row r="31" customFormat="false" ht="13.8" hidden="false" customHeight="false" outlineLevel="0" collapsed="false">
      <c r="B31" s="2" t="n">
        <v>30</v>
      </c>
      <c r="C31" s="2" t="n">
        <v>0.00131712964794089</v>
      </c>
      <c r="D31" s="2" t="n">
        <v>0.00131712964725911</v>
      </c>
      <c r="E31" s="2" t="n">
        <v>0.00111712964793411</v>
      </c>
    </row>
    <row r="32" customFormat="false" ht="13.8" hidden="false" customHeight="false" outlineLevel="0" collapsed="false">
      <c r="B32" s="2" t="n">
        <v>31</v>
      </c>
      <c r="C32" s="2" t="n">
        <v>0.0001999999996885</v>
      </c>
      <c r="D32" s="2" t="n">
        <v>0.000199999998656774</v>
      </c>
      <c r="E32" s="2" t="n">
        <v>0</v>
      </c>
    </row>
    <row r="33" customFormat="false" ht="13.8" hidden="false" customHeight="false" outlineLevel="0" collapsed="false">
      <c r="B33" s="2" t="n">
        <v>32</v>
      </c>
      <c r="C33" s="2" t="n">
        <v>0.000199999999582842</v>
      </c>
      <c r="D33" s="2" t="n">
        <v>0.000199999998201163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0.000199999999477184</v>
      </c>
      <c r="D34" s="2" t="n">
        <v>0.000199999997745553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0.000199999999444733</v>
      </c>
      <c r="D35" s="2" t="n">
        <v>0.000199999997605617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0.000199999999412281</v>
      </c>
      <c r="D36" s="2" t="n">
        <v>0.000199999997465681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0.000199999999379829</v>
      </c>
      <c r="D37" s="2" t="n">
        <v>0.000103073806211037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0.000199999999347378</v>
      </c>
      <c r="D38" s="2" t="n">
        <v>0.000199999997185809</v>
      </c>
      <c r="E38" s="2" t="n">
        <v>0</v>
      </c>
    </row>
    <row r="39" customFormat="false" ht="13.8" hidden="false" customHeight="false" outlineLevel="0" collapsed="false">
      <c r="B39" s="2" t="n">
        <v>38</v>
      </c>
      <c r="C39" s="2" t="n">
        <v>0.000199999999124164</v>
      </c>
      <c r="D39" s="2" t="n">
        <v>0.000103085866765679</v>
      </c>
      <c r="E39" s="2" t="n">
        <v>0</v>
      </c>
    </row>
    <row r="40" customFormat="false" ht="13.8" hidden="false" customHeight="false" outlineLevel="0" collapsed="false">
      <c r="B40" s="2" t="n">
        <v>39</v>
      </c>
      <c r="C40" s="2" t="n">
        <v>0.00019999999890095</v>
      </c>
      <c r="D40" s="2" t="n">
        <v>0.000199999995260759</v>
      </c>
      <c r="E40" s="2" t="n">
        <v>0</v>
      </c>
    </row>
    <row r="41" customFormat="false" ht="13.8" hidden="false" customHeight="false" outlineLevel="0" collapsed="false">
      <c r="B41" s="2" t="n">
        <v>40</v>
      </c>
      <c r="C41" s="2" t="n">
        <v>0</v>
      </c>
      <c r="D41" s="2" t="n">
        <v>0.000103097926738967</v>
      </c>
      <c r="E41" s="2" t="n">
        <v>0</v>
      </c>
    </row>
    <row r="42" customFormat="false" ht="13.8" hidden="false" customHeight="false" outlineLevel="0" collapsed="false">
      <c r="B42" s="2" t="n">
        <v>41</v>
      </c>
      <c r="C42" s="2" t="n">
        <v>0</v>
      </c>
      <c r="D42" s="2" t="n">
        <v>0.000103103956816077</v>
      </c>
      <c r="E42" s="2" t="n">
        <v>0</v>
      </c>
    </row>
    <row r="43" customFormat="false" ht="13.8" hidden="false" customHeight="false" outlineLevel="0" collapsed="false">
      <c r="B43" s="2" t="n">
        <v>42</v>
      </c>
      <c r="C43" s="2" t="n">
        <v>4.99847243879711E-009</v>
      </c>
      <c r="D43" s="2" t="n">
        <v>0.000103109987777668</v>
      </c>
      <c r="E43" s="2" t="n">
        <v>0</v>
      </c>
    </row>
    <row r="44" customFormat="false" ht="13.8" hidden="false" customHeight="false" outlineLevel="0" collapsed="false">
      <c r="B44" s="2" t="n">
        <v>43</v>
      </c>
      <c r="C44" s="2" t="n">
        <v>3.76834880301099E-009</v>
      </c>
      <c r="D44" s="2" t="n">
        <v>0.000103116018799571</v>
      </c>
      <c r="E44" s="2" t="n">
        <v>0</v>
      </c>
    </row>
    <row r="45" customFormat="false" ht="13.8" hidden="false" customHeight="false" outlineLevel="0" collapsed="false">
      <c r="B45" s="2" t="n">
        <v>44</v>
      </c>
      <c r="C45" s="2" t="n">
        <v>5.09091132697357E-009</v>
      </c>
      <c r="D45" s="2" t="n">
        <v>0.000103122049881786</v>
      </c>
      <c r="E45" s="2" t="n">
        <v>0</v>
      </c>
    </row>
    <row r="46" customFormat="false" ht="13.8" hidden="false" customHeight="false" outlineLevel="0" collapsed="false">
      <c r="B46" s="2" t="n">
        <v>45</v>
      </c>
      <c r="C46" s="2" t="n">
        <v>0</v>
      </c>
      <c r="D46" s="2" t="n">
        <v>0.000103128081024314</v>
      </c>
      <c r="E46" s="2" t="n">
        <v>0</v>
      </c>
    </row>
    <row r="47" customFormat="false" ht="13.8" hidden="false" customHeight="false" outlineLevel="0" collapsed="false">
      <c r="B47" s="2" t="n">
        <v>46</v>
      </c>
      <c r="C47" s="2" t="n">
        <v>0</v>
      </c>
      <c r="D47" s="2" t="n">
        <v>0.00010313411233894</v>
      </c>
      <c r="E47" s="2" t="n">
        <v>0</v>
      </c>
    </row>
    <row r="48" customFormat="false" ht="13.8" hidden="false" customHeight="false" outlineLevel="0" collapsed="false">
      <c r="B48" s="2" t="n">
        <v>47</v>
      </c>
      <c r="C48" s="2" t="n">
        <v>0</v>
      </c>
      <c r="D48" s="2" t="n">
        <v>0.00010314014371388</v>
      </c>
      <c r="E48" s="2" t="n">
        <v>0</v>
      </c>
    </row>
    <row r="49" customFormat="false" ht="13.8" hidden="false" customHeight="false" outlineLevel="0" collapsed="false">
      <c r="B49" s="2" t="n">
        <v>48</v>
      </c>
      <c r="C49" s="2" t="n">
        <v>4.7150286420081E-009</v>
      </c>
      <c r="D49" s="2" t="n">
        <v>0.000103146175149134</v>
      </c>
      <c r="E49" s="2" t="n">
        <v>0</v>
      </c>
    </row>
    <row r="50" customFormat="false" ht="13.8" hidden="false" customHeight="false" outlineLevel="0" collapsed="false">
      <c r="B50" s="2" t="n">
        <v>49</v>
      </c>
      <c r="C50" s="2" t="n">
        <v>0</v>
      </c>
      <c r="D50" s="2" t="n">
        <v>0.000103152206644704</v>
      </c>
      <c r="E50" s="2" t="n">
        <v>0</v>
      </c>
    </row>
    <row r="51" customFormat="false" ht="13.8" hidden="false" customHeight="false" outlineLevel="0" collapsed="false">
      <c r="B51" s="2" t="n">
        <v>50</v>
      </c>
      <c r="C51" s="2" t="n">
        <v>0</v>
      </c>
      <c r="D51" s="2" t="n">
        <v>0.000103158238173173</v>
      </c>
      <c r="E51" s="2" t="n">
        <v>0</v>
      </c>
    </row>
    <row r="52" customFormat="false" ht="13.8" hidden="false" customHeight="false" outlineLevel="0" collapsed="false">
      <c r="B52" s="2" t="n">
        <v>51</v>
      </c>
      <c r="C52" s="2" t="n">
        <v>0</v>
      </c>
      <c r="D52" s="2" t="n">
        <v>0.000103164269761959</v>
      </c>
      <c r="E52" s="2" t="n">
        <v>0</v>
      </c>
    </row>
    <row r="53" customFormat="false" ht="13.8" hidden="false" customHeight="false" outlineLevel="0" collapsed="false">
      <c r="B53" s="2" t="n">
        <v>52</v>
      </c>
      <c r="C53" s="2" t="n">
        <v>0</v>
      </c>
      <c r="D53" s="2" t="n">
        <v>0.000103170301411061</v>
      </c>
      <c r="E53" s="2" t="n">
        <v>0</v>
      </c>
    </row>
    <row r="54" customFormat="false" ht="13.8" hidden="false" customHeight="false" outlineLevel="0" collapsed="false">
      <c r="B54" s="2" t="n">
        <v>53</v>
      </c>
      <c r="C54" s="2" t="n">
        <v>0</v>
      </c>
      <c r="D54" s="2" t="n">
        <v>0.000103176333120481</v>
      </c>
      <c r="E54" s="2" t="n">
        <v>0</v>
      </c>
    </row>
    <row r="55" customFormat="false" ht="13.8" hidden="false" customHeight="false" outlineLevel="0" collapsed="false">
      <c r="B55" s="2" t="n">
        <v>54</v>
      </c>
      <c r="C55" s="2" t="n">
        <v>0</v>
      </c>
      <c r="D55" s="2" t="n">
        <v>0.000103182365194204</v>
      </c>
      <c r="E55" s="2" t="n">
        <v>0</v>
      </c>
    </row>
    <row r="56" customFormat="false" ht="13.8" hidden="false" customHeight="false" outlineLevel="0" collapsed="false">
      <c r="B56" s="2" t="n">
        <v>55</v>
      </c>
      <c r="C56" s="2" t="n">
        <v>0</v>
      </c>
      <c r="D56" s="2" t="n">
        <v>0.000103188397328246</v>
      </c>
      <c r="E56" s="2" t="n">
        <v>0</v>
      </c>
    </row>
    <row r="57" customFormat="false" ht="13.8" hidden="false" customHeight="false" outlineLevel="0" collapsed="false">
      <c r="B57" s="2" t="n">
        <v>56</v>
      </c>
      <c r="C57" s="2" t="n">
        <v>0</v>
      </c>
      <c r="D57" s="2" t="n">
        <v>0.000103194429522608</v>
      </c>
      <c r="E57" s="2" t="n">
        <v>0</v>
      </c>
    </row>
    <row r="58" customFormat="false" ht="13.8" hidden="false" customHeight="false" outlineLevel="0" collapsed="false">
      <c r="B58" s="2" t="n">
        <v>57</v>
      </c>
      <c r="C58" s="2" t="n">
        <v>0</v>
      </c>
      <c r="D58" s="2" t="n">
        <v>0.000103200461777289</v>
      </c>
      <c r="E58" s="2" t="n">
        <v>0</v>
      </c>
    </row>
    <row r="59" customFormat="false" ht="13.8" hidden="false" customHeight="false" outlineLevel="0" collapsed="false">
      <c r="B59" s="2" t="n">
        <v>58</v>
      </c>
      <c r="C59" s="2" t="n">
        <v>0</v>
      </c>
      <c r="D59" s="2" t="n">
        <v>0.000103206494531836</v>
      </c>
      <c r="E59" s="2" t="n">
        <v>0</v>
      </c>
    </row>
    <row r="60" customFormat="false" ht="13.8" hidden="false" customHeight="false" outlineLevel="0" collapsed="false">
      <c r="B60" s="2" t="n">
        <v>59</v>
      </c>
      <c r="C60" s="2" t="n">
        <v>0</v>
      </c>
      <c r="D60" s="2" t="n">
        <v>0.000103212527346704</v>
      </c>
      <c r="E60" s="2" t="n">
        <v>2.36115969605663E-011</v>
      </c>
    </row>
    <row r="61" customFormat="false" ht="13.8" hidden="false" customHeight="false" outlineLevel="0" collapsed="false">
      <c r="B61" s="2" t="n">
        <v>60</v>
      </c>
      <c r="C61" s="2" t="n">
        <v>0.000200004999013085</v>
      </c>
      <c r="D61" s="2" t="n">
        <v>0.000103218560221893</v>
      </c>
      <c r="E61" s="2" t="n">
        <v>4.99897892082123E-009</v>
      </c>
    </row>
    <row r="62" customFormat="false" ht="13.8" hidden="false" customHeight="false" outlineLevel="0" collapsed="false">
      <c r="B62" s="2" t="n">
        <v>61</v>
      </c>
      <c r="C62" s="2" t="n">
        <v>0.000200009999272994</v>
      </c>
      <c r="D62" s="2" t="n">
        <v>0.000200009996368232</v>
      </c>
      <c r="E62" s="2" t="n">
        <v>9.99924409866663E-009</v>
      </c>
    </row>
    <row r="63" customFormat="false" ht="13.8" hidden="false" customHeight="false" outlineLevel="0" collapsed="false">
      <c r="B63" s="2" t="n">
        <v>62</v>
      </c>
      <c r="C63" s="2" t="n">
        <v>0.000200014999504624</v>
      </c>
      <c r="D63" s="2" t="n">
        <v>0.000103230625815683</v>
      </c>
      <c r="E63" s="2" t="n">
        <v>1.4999478417995E-008</v>
      </c>
    </row>
    <row r="64" customFormat="false" ht="13.8" hidden="false" customHeight="false" outlineLevel="0" collapsed="false">
      <c r="B64" s="2" t="n">
        <v>63</v>
      </c>
      <c r="C64" s="2" t="n">
        <v>0.000200019999786256</v>
      </c>
      <c r="D64" s="2" t="n">
        <v>0.000103236658534285</v>
      </c>
      <c r="E64" s="2" t="n">
        <v>1.9999762739346E-008</v>
      </c>
    </row>
    <row r="65" customFormat="false" ht="13.8" hidden="false" customHeight="false" outlineLevel="0" collapsed="false">
      <c r="B65" s="2" t="n">
        <v>64</v>
      </c>
      <c r="C65" s="2" t="n">
        <v>0.00020002500011789</v>
      </c>
      <c r="D65" s="2" t="n">
        <v>0.000200024998024205</v>
      </c>
      <c r="E65" s="2" t="n">
        <v>2.50000970632213E-008</v>
      </c>
    </row>
    <row r="66" customFormat="false" ht="13.8" hidden="false" customHeight="false" outlineLevel="0" collapsed="false">
      <c r="B66" s="2" t="n">
        <v>65</v>
      </c>
      <c r="C66" s="2" t="n">
        <v>0.000200030000499528</v>
      </c>
      <c r="D66" s="2" t="n">
        <v>0.000200029998676201</v>
      </c>
      <c r="E66" s="2" t="n">
        <v>3.00004813900518E-008</v>
      </c>
    </row>
    <row r="67" customFormat="false" ht="13.8" hidden="false" customHeight="false" outlineLevel="0" collapsed="false">
      <c r="B67" s="2" t="n">
        <v>66</v>
      </c>
      <c r="C67" s="2" t="n">
        <v>0.000200035000932681</v>
      </c>
      <c r="D67" s="2" t="n">
        <v>0.000200034999384723</v>
      </c>
      <c r="E67" s="2" t="n">
        <v>3.50009172827162E-008</v>
      </c>
    </row>
    <row r="68" customFormat="false" ht="13.8" hidden="false" customHeight="false" outlineLevel="0" collapsed="false">
      <c r="B68" s="2" t="n">
        <v>67</v>
      </c>
      <c r="C68" s="2" t="n">
        <v>0.000199999999615779</v>
      </c>
      <c r="D68" s="2" t="n">
        <v>0.000199999998343189</v>
      </c>
      <c r="E68" s="2" t="n">
        <v>1.05452307987414E-008</v>
      </c>
    </row>
    <row r="69" customFormat="false" ht="13.8" hidden="false" customHeight="false" outlineLevel="0" collapsed="false">
      <c r="B69" s="2" t="n">
        <v>68</v>
      </c>
      <c r="C69" s="2" t="n">
        <v>0.0013173258646039</v>
      </c>
      <c r="D69" s="2" t="n">
        <v>0.00131731979463743</v>
      </c>
      <c r="E69" s="2" t="n">
        <v>0.00111733950863972</v>
      </c>
    </row>
    <row r="70" customFormat="false" ht="13.8" hidden="false" customHeight="false" outlineLevel="0" collapsed="false">
      <c r="B70" s="2" t="n">
        <v>69</v>
      </c>
      <c r="C70" s="2" t="n">
        <v>0.00131733268779511</v>
      </c>
      <c r="D70" s="2" t="n">
        <v>0.00131732647235914</v>
      </c>
      <c r="E70" s="2" t="n">
        <v>0.00111734568218242</v>
      </c>
    </row>
    <row r="71" customFormat="false" ht="13.8" hidden="false" customHeight="false" outlineLevel="0" collapsed="false">
      <c r="B71" s="2" t="n">
        <v>70</v>
      </c>
      <c r="C71" s="2" t="n">
        <v>0.00131733951102599</v>
      </c>
      <c r="D71" s="2" t="n">
        <v>0.00131733314990611</v>
      </c>
      <c r="E71" s="2" t="n">
        <v>0.00111735185575726</v>
      </c>
    </row>
    <row r="72" customFormat="false" ht="13.8" hidden="false" customHeight="false" outlineLevel="0" collapsed="false">
      <c r="B72" s="2" t="n">
        <v>71</v>
      </c>
      <c r="C72" s="2" t="n">
        <v>0.0013173463343248</v>
      </c>
      <c r="D72" s="2" t="n">
        <v>0.00131733982739646</v>
      </c>
      <c r="E72" s="2" t="n">
        <v>0.00111735802939384</v>
      </c>
    </row>
    <row r="73" customFormat="false" ht="13.8" hidden="false" customHeight="false" outlineLevel="0" collapsed="false">
      <c r="B73" s="2" t="n">
        <v>72</v>
      </c>
      <c r="C73" s="2" t="n">
        <v>0.00131735315769112</v>
      </c>
      <c r="D73" s="2" t="n">
        <v>0.0013173465048235</v>
      </c>
      <c r="E73" s="2" t="n">
        <v>0.00111736420309215</v>
      </c>
    </row>
    <row r="74" customFormat="false" ht="13.8" hidden="false" customHeight="false" outlineLevel="0" collapsed="false">
      <c r="B74" s="2" t="n">
        <v>73</v>
      </c>
      <c r="C74" s="2" t="n">
        <v>0.00131735937671197</v>
      </c>
      <c r="D74" s="2" t="n">
        <v>0.00131735204898806</v>
      </c>
      <c r="E74" s="2" t="n">
        <v>0.0011173703768522</v>
      </c>
    </row>
    <row r="75" customFormat="false" ht="13.8" hidden="false" customHeight="false" outlineLevel="0" collapsed="false">
      <c r="B75" s="2" t="n">
        <v>74</v>
      </c>
      <c r="C75" s="2" t="n">
        <v>0.0013173662379347</v>
      </c>
      <c r="D75" s="2" t="n">
        <v>0.00131735876381066</v>
      </c>
      <c r="E75" s="2" t="n">
        <v>0.0011173765506177</v>
      </c>
    </row>
    <row r="76" customFormat="false" ht="13.8" hidden="false" customHeight="false" outlineLevel="0" collapsed="false">
      <c r="B76" s="2" t="n">
        <v>75</v>
      </c>
      <c r="C76" s="2" t="n">
        <v>0.00131737309922602</v>
      </c>
      <c r="D76" s="2" t="n">
        <v>0.00131736547855452</v>
      </c>
      <c r="E76" s="2" t="n">
        <v>0.00111738272444495</v>
      </c>
    </row>
    <row r="77" customFormat="false" ht="13.8" hidden="false" customHeight="false" outlineLevel="0" collapsed="false">
      <c r="B77" s="2" t="n">
        <v>76</v>
      </c>
      <c r="C77" s="2" t="n">
        <v>0.00131737996058591</v>
      </c>
      <c r="D77" s="2" t="n">
        <v>0.00131737219321327</v>
      </c>
      <c r="E77" s="2" t="n">
        <v>0.00111738889833393</v>
      </c>
    </row>
    <row r="78" customFormat="false" ht="13.8" hidden="false" customHeight="false" outlineLevel="0" collapsed="false">
      <c r="B78" s="2" t="n">
        <v>77</v>
      </c>
      <c r="C78" s="2" t="n">
        <v>0.00131738682201452</v>
      </c>
      <c r="D78" s="2" t="n">
        <v>0.00131737890778031</v>
      </c>
      <c r="E78" s="2" t="n">
        <v>0.00111739507228465</v>
      </c>
    </row>
    <row r="79" customFormat="false" ht="13.8" hidden="false" customHeight="false" outlineLevel="0" collapsed="false">
      <c r="B79" s="2" t="n">
        <v>78</v>
      </c>
      <c r="C79" s="2" t="n">
        <v>0.00131739368351166</v>
      </c>
      <c r="D79" s="2" t="n">
        <v>0.00131738562224865</v>
      </c>
      <c r="E79" s="2" t="n">
        <v>0.00111740124629712</v>
      </c>
    </row>
    <row r="80" customFormat="false" ht="13.8" hidden="false" customHeight="false" outlineLevel="0" collapsed="false">
      <c r="B80" s="2" t="n">
        <v>79</v>
      </c>
      <c r="C80" s="2" t="n">
        <v>0.00131740054507747</v>
      </c>
      <c r="D80" s="2" t="n">
        <v>0.00131739233661121</v>
      </c>
      <c r="E80" s="2" t="n">
        <v>0.00111740742037132</v>
      </c>
    </row>
    <row r="81" customFormat="false" ht="13.8" hidden="false" customHeight="false" outlineLevel="0" collapsed="false">
      <c r="B81" s="2" t="n">
        <v>80</v>
      </c>
      <c r="C81" s="2" t="n">
        <v>0.00131740740671183</v>
      </c>
      <c r="D81" s="2" t="n">
        <v>0.00131739905086048</v>
      </c>
      <c r="E81" s="2" t="n">
        <v>0.00111741359450727</v>
      </c>
    </row>
    <row r="82" customFormat="false" ht="13.8" hidden="false" customHeight="false" outlineLevel="0" collapsed="false">
      <c r="B82" s="2" t="n">
        <v>81</v>
      </c>
      <c r="C82" s="2" t="n">
        <v>0.00131741426841487</v>
      </c>
      <c r="D82" s="2" t="n">
        <v>0.00131740576498897</v>
      </c>
      <c r="E82" s="2" t="n">
        <v>0.00111741976870495</v>
      </c>
    </row>
    <row r="83" customFormat="false" ht="13.8" hidden="false" customHeight="false" outlineLevel="0" collapsed="false">
      <c r="B83" s="2" t="n">
        <v>82</v>
      </c>
      <c r="C83" s="2" t="n">
        <v>0.00131742113018649</v>
      </c>
      <c r="D83" s="2" t="n">
        <v>0.00131741247898876</v>
      </c>
      <c r="E83" s="2" t="n">
        <v>0.00111742594296438</v>
      </c>
    </row>
    <row r="84" customFormat="false" ht="13.8" hidden="false" customHeight="false" outlineLevel="0" collapsed="false">
      <c r="B84" s="2" t="n">
        <v>83</v>
      </c>
      <c r="C84" s="2" t="n">
        <v>0.00131742799202675</v>
      </c>
      <c r="D84" s="2" t="n">
        <v>0.00131741919285193</v>
      </c>
      <c r="E84" s="2" t="n">
        <v>0.00111743211728556</v>
      </c>
    </row>
    <row r="85" customFormat="false" ht="13.8" hidden="false" customHeight="false" outlineLevel="0" collapsed="false">
      <c r="B85" s="2" t="n">
        <v>84</v>
      </c>
      <c r="C85" s="2" t="n">
        <v>0.00131743485393561</v>
      </c>
      <c r="D85" s="2" t="n">
        <v>0.00131742590657043</v>
      </c>
      <c r="E85" s="2" t="n">
        <v>0.00111743829166847</v>
      </c>
    </row>
    <row r="86" customFormat="false" ht="13.8" hidden="false" customHeight="false" outlineLevel="0" collapsed="false">
      <c r="B86" s="2" t="n">
        <v>85</v>
      </c>
      <c r="C86" s="2" t="n">
        <v>0.00131744171591309</v>
      </c>
      <c r="D86" s="2" t="n">
        <v>0.00131743262013612</v>
      </c>
      <c r="E86" s="2" t="n">
        <v>0.00111744446611313</v>
      </c>
    </row>
    <row r="87" customFormat="false" ht="13.8" hidden="false" customHeight="false" outlineLevel="0" collapsed="false">
      <c r="B87" s="2" t="n">
        <v>86</v>
      </c>
      <c r="C87" s="2" t="n">
        <v>0.0013174485779592</v>
      </c>
      <c r="D87" s="2" t="n">
        <v>0.00131743933354096</v>
      </c>
      <c r="E87" s="2" t="n">
        <v>0.00111745064061954</v>
      </c>
    </row>
    <row r="88" customFormat="false" ht="13.8" hidden="false" customHeight="false" outlineLevel="0" collapsed="false">
      <c r="B88" s="2" t="n">
        <v>87</v>
      </c>
      <c r="C88" s="2" t="n">
        <v>0.00131744566145914</v>
      </c>
      <c r="D88" s="2" t="n">
        <v>0.00131742481758758</v>
      </c>
      <c r="E88" s="2" t="n">
        <v>0.00111745681518769</v>
      </c>
    </row>
    <row r="89" customFormat="false" ht="13.8" hidden="false" customHeight="false" outlineLevel="0" collapsed="false">
      <c r="B89" s="2" t="n">
        <v>88</v>
      </c>
      <c r="C89" s="2" t="n">
        <v>0.00131746230225727</v>
      </c>
      <c r="D89" s="2" t="n">
        <v>0.0013174527598369</v>
      </c>
      <c r="E89" s="2" t="n">
        <v>0.00111746298981759</v>
      </c>
    </row>
    <row r="90" customFormat="false" ht="13.8" hidden="false" customHeight="false" outlineLevel="0" collapsed="false">
      <c r="B90" s="2" t="n">
        <v>89</v>
      </c>
      <c r="C90" s="2" t="n">
        <v>0.00131746916450923</v>
      </c>
      <c r="D90" s="2" t="n">
        <v>0.00131744116632916</v>
      </c>
      <c r="E90" s="2" t="n">
        <v>0.00111746916450923</v>
      </c>
    </row>
    <row r="91" customFormat="false" ht="13.8" hidden="false" customHeight="false" outlineLevel="0" collapsed="false">
      <c r="B91" s="2" t="n">
        <v>90</v>
      </c>
      <c r="C91" s="2" t="n">
        <v>0.00131747533926263</v>
      </c>
      <c r="D91" s="2" t="n">
        <v>0.00131746640151466</v>
      </c>
      <c r="E91" s="2" t="n">
        <v>0.00111747533926263</v>
      </c>
    </row>
    <row r="92" customFormat="false" ht="13.8" hidden="false" customHeight="false" outlineLevel="0" collapsed="false">
      <c r="B92" s="2" t="n">
        <v>91</v>
      </c>
      <c r="C92" s="2" t="n">
        <v>0.00131748151407777</v>
      </c>
      <c r="D92" s="2" t="n">
        <v>0.00131745751539772</v>
      </c>
      <c r="E92" s="2" t="n">
        <v>0.00111748151407777</v>
      </c>
    </row>
    <row r="93" customFormat="false" ht="13.8" hidden="false" customHeight="false" outlineLevel="0" collapsed="false">
      <c r="B93" s="2" t="n">
        <v>92</v>
      </c>
      <c r="C93" s="2" t="n">
        <v>0.00131748768895466</v>
      </c>
      <c r="D93" s="2" t="n">
        <v>0.00131746569005462</v>
      </c>
      <c r="E93" s="2" t="n">
        <v>0.00111748768895466</v>
      </c>
    </row>
    <row r="94" customFormat="false" ht="13.8" hidden="false" customHeight="false" outlineLevel="0" collapsed="false">
      <c r="B94" s="2" t="n">
        <v>93</v>
      </c>
      <c r="C94" s="2" t="n">
        <v>0.0013174938638933</v>
      </c>
      <c r="D94" s="2" t="n">
        <v>0.00131747386479327</v>
      </c>
      <c r="E94" s="2" t="n">
        <v>0.0011174938638933</v>
      </c>
    </row>
    <row r="95" customFormat="false" ht="13.8" hidden="false" customHeight="false" outlineLevel="0" collapsed="false">
      <c r="B95" s="2" t="n">
        <v>94</v>
      </c>
      <c r="C95" s="2" t="n">
        <v>0.00131750003889368</v>
      </c>
      <c r="D95" s="2" t="n">
        <v>0.00131748203961367</v>
      </c>
      <c r="E95" s="2" t="n">
        <v>0.00111750003889368</v>
      </c>
    </row>
    <row r="96" customFormat="false" ht="13.8" hidden="false" customHeight="false" outlineLevel="0" collapsed="false">
      <c r="B96" s="2" t="n">
        <v>95</v>
      </c>
      <c r="C96" s="2" t="n">
        <v>0.00131750621395582</v>
      </c>
      <c r="D96" s="2" t="n">
        <v>0.00131750071366571</v>
      </c>
      <c r="E96" s="2" t="n">
        <v>0.00111750621395582</v>
      </c>
    </row>
    <row r="97" customFormat="false" ht="13.8" hidden="false" customHeight="false" outlineLevel="0" collapsed="false">
      <c r="B97" s="2" t="n">
        <v>96</v>
      </c>
      <c r="C97" s="2" t="n">
        <v>0.00131751238907972</v>
      </c>
      <c r="D97" s="2" t="n">
        <v>0.0013175075763018</v>
      </c>
      <c r="E97" s="2" t="n">
        <v>0.00111751238907971</v>
      </c>
    </row>
    <row r="98" customFormat="false" ht="13.8" hidden="false" customHeight="false" outlineLevel="0" collapsed="false">
      <c r="B98" s="2" t="n">
        <v>97</v>
      </c>
      <c r="C98" s="2" t="n">
        <v>0.00131751856426536</v>
      </c>
      <c r="D98" s="2" t="n">
        <v>0.00131750656456535</v>
      </c>
      <c r="E98" s="2" t="n">
        <v>0.00111751856426536</v>
      </c>
    </row>
    <row r="99" customFormat="false" ht="13.8" hidden="false" customHeight="false" outlineLevel="0" collapsed="false">
      <c r="B99" s="2" t="n">
        <v>98</v>
      </c>
      <c r="C99" s="2" t="n">
        <v>0.00131752473951275</v>
      </c>
      <c r="D99" s="2" t="n">
        <v>0.00131751473971275</v>
      </c>
      <c r="E99" s="2" t="n">
        <v>0.00111752473951275</v>
      </c>
    </row>
    <row r="100" customFormat="false" ht="13.8" hidden="false" customHeight="false" outlineLevel="0" collapsed="false">
      <c r="B100" s="2" t="n">
        <v>99</v>
      </c>
      <c r="C100" s="2" t="n">
        <v>0.0013175309148219</v>
      </c>
      <c r="D100" s="2" t="n">
        <v>0.0013175229149419</v>
      </c>
      <c r="E100" s="2" t="n">
        <v>0.0011175309148219</v>
      </c>
    </row>
    <row r="101" customFormat="false" ht="13.8" hidden="false" customHeight="false" outlineLevel="0" collapsed="false">
      <c r="B101" s="2" t="n">
        <v>100</v>
      </c>
      <c r="C101" s="2" t="n">
        <v>0.0013175370901928</v>
      </c>
      <c r="D101" s="2" t="n">
        <v>0.00131753502753245</v>
      </c>
      <c r="E101" s="2" t="n">
        <v>0.0011175370901928</v>
      </c>
    </row>
    <row r="102" customFormat="false" ht="13.8" hidden="false" customHeight="false" outlineLevel="0" collapsed="false">
      <c r="B102" s="2" t="n">
        <v>101</v>
      </c>
      <c r="C102" s="2" t="n">
        <v>0.00131754326562546</v>
      </c>
      <c r="D102" s="2" t="n">
        <v>0.00131753926564546</v>
      </c>
      <c r="E102" s="2" t="n">
        <v>0.00111754326562546</v>
      </c>
    </row>
    <row r="103" customFormat="false" ht="13.8" hidden="false" customHeight="false" outlineLevel="0" collapsed="false">
      <c r="B103" s="2" t="n">
        <v>102</v>
      </c>
      <c r="C103" s="2" t="n">
        <v>0.00131754944111987</v>
      </c>
      <c r="D103" s="2" t="n">
        <v>0.00131754744111987</v>
      </c>
      <c r="E103" s="2" t="n">
        <v>0.00111754944111987</v>
      </c>
    </row>
    <row r="104" customFormat="false" ht="13.8" hidden="false" customHeight="false" outlineLevel="0" collapsed="false">
      <c r="B104" s="2" t="n">
        <v>103</v>
      </c>
      <c r="C104" s="2" t="n">
        <v>0.00131755561667604</v>
      </c>
      <c r="D104" s="2" t="n">
        <v>0.00131755561667604</v>
      </c>
      <c r="E104" s="2" t="n">
        <v>0.00111755561667604</v>
      </c>
    </row>
    <row r="105" customFormat="false" ht="13.8" hidden="false" customHeight="false" outlineLevel="0" collapsed="false">
      <c r="B105" s="2" t="n">
        <v>104</v>
      </c>
      <c r="C105" s="2" t="n">
        <v>0.00131756194341116</v>
      </c>
      <c r="D105" s="2" t="n">
        <v>0.00131756328128338</v>
      </c>
      <c r="E105" s="2" t="n">
        <v>0.00111756194341124</v>
      </c>
    </row>
    <row r="106" customFormat="false" ht="13.8" hidden="false" customHeight="false" outlineLevel="0" collapsed="false">
      <c r="B106" s="2" t="n">
        <v>105</v>
      </c>
      <c r="C106" s="2" t="n">
        <v>0.00131756796797364</v>
      </c>
      <c r="D106" s="2" t="n">
        <v>0.00131756796797364</v>
      </c>
      <c r="E106" s="2" t="n">
        <v>0.00111756796797364</v>
      </c>
    </row>
    <row r="107" customFormat="false" ht="13.8" hidden="false" customHeight="false" outlineLevel="0" collapsed="false">
      <c r="B107" s="2" t="n">
        <v>106</v>
      </c>
      <c r="C107" s="2" t="n">
        <v>0.00131757414371508</v>
      </c>
      <c r="D107" s="2" t="n">
        <v>0.00131757414371508</v>
      </c>
      <c r="E107" s="2" t="n">
        <v>0.00111757414371508</v>
      </c>
    </row>
    <row r="108" customFormat="false" ht="13.8" hidden="false" customHeight="false" outlineLevel="0" collapsed="false">
      <c r="B108" s="2" t="n">
        <v>107</v>
      </c>
      <c r="C108" s="2" t="n">
        <v>0.00131758031951827</v>
      </c>
      <c r="D108" s="2" t="n">
        <v>0.00131758031951827</v>
      </c>
      <c r="E108" s="2" t="n">
        <v>0.00111758031951827</v>
      </c>
    </row>
    <row r="109" customFormat="false" ht="13.8" hidden="false" customHeight="false" outlineLevel="0" collapsed="false">
      <c r="B109" s="2" t="n">
        <v>108</v>
      </c>
      <c r="C109" s="2" t="n">
        <v>0.00131758649538323</v>
      </c>
      <c r="D109" s="2" t="n">
        <v>0.00131758649538323</v>
      </c>
      <c r="E109" s="2" t="n">
        <v>0.00111758649538323</v>
      </c>
    </row>
    <row r="110" customFormat="false" ht="13.8" hidden="false" customHeight="false" outlineLevel="0" collapsed="false">
      <c r="B110" s="2" t="n">
        <v>109</v>
      </c>
      <c r="C110" s="2" t="n">
        <v>0.00131759267130994</v>
      </c>
      <c r="D110" s="2" t="n">
        <v>0.00131759267130994</v>
      </c>
      <c r="E110" s="2" t="n">
        <v>0.00111759267130994</v>
      </c>
    </row>
    <row r="111" customFormat="false" ht="13.8" hidden="false" customHeight="false" outlineLevel="0" collapsed="false">
      <c r="B111" s="2" t="n">
        <v>110</v>
      </c>
      <c r="C111" s="2" t="n">
        <v>0.00131759990515004</v>
      </c>
      <c r="D111" s="2" t="n">
        <v>0.00131760927053703</v>
      </c>
      <c r="E111" s="2" t="n">
        <v>0.0011175999051516</v>
      </c>
    </row>
    <row r="112" customFormat="false" ht="13.8" hidden="false" customHeight="false" outlineLevel="0" collapsed="false">
      <c r="B112" s="2" t="n">
        <v>111</v>
      </c>
      <c r="C112" s="2" t="n">
        <v>0.00131760623232816</v>
      </c>
      <c r="D112" s="2" t="n">
        <v>0.00131761693568091</v>
      </c>
      <c r="E112" s="2" t="n">
        <v>0.00111760623232958</v>
      </c>
    </row>
    <row r="113" customFormat="false" ht="13.8" hidden="false" customHeight="false" outlineLevel="0" collapsed="false">
      <c r="B113" s="2" t="n">
        <v>112</v>
      </c>
      <c r="C113" s="2" t="n">
        <v>0.0013176125595692</v>
      </c>
      <c r="D113" s="2" t="n">
        <v>0.00131762460090145</v>
      </c>
      <c r="E113" s="2" t="n">
        <v>0.00111761255957118</v>
      </c>
    </row>
    <row r="114" customFormat="false" ht="13.8" hidden="false" customHeight="false" outlineLevel="0" collapsed="false">
      <c r="B114" s="2" t="n">
        <v>113</v>
      </c>
      <c r="C114" s="2" t="n">
        <v>0.00131761888687351</v>
      </c>
      <c r="D114" s="2" t="n">
        <v>0.0013176322661986</v>
      </c>
      <c r="E114" s="2" t="n">
        <v>0.00111761888687606</v>
      </c>
    </row>
    <row r="115" customFormat="false" ht="13.8" hidden="false" customHeight="false" outlineLevel="0" collapsed="false">
      <c r="B115" s="2" t="n">
        <v>114</v>
      </c>
      <c r="C115" s="2" t="n">
        <v>0.00131762521424107</v>
      </c>
      <c r="D115" s="2" t="n">
        <v>0.00131763993157246</v>
      </c>
      <c r="E115" s="2" t="n">
        <v>0.00111762521424424</v>
      </c>
    </row>
    <row r="116" customFormat="false" ht="13.8" hidden="false" customHeight="false" outlineLevel="0" collapsed="false">
      <c r="B116" s="2" t="n">
        <v>115</v>
      </c>
      <c r="C116" s="2" t="n">
        <v>0.00131763154167249</v>
      </c>
      <c r="D116" s="2" t="n">
        <v>0.00131764759702295</v>
      </c>
      <c r="E116" s="2" t="n">
        <v>0.00111763154167511</v>
      </c>
    </row>
    <row r="117" customFormat="false" ht="13.8" hidden="false" customHeight="false" outlineLevel="0" collapsed="false">
      <c r="B117" s="2" t="n">
        <v>116</v>
      </c>
      <c r="C117" s="2" t="n">
        <v>0.00131763786916446</v>
      </c>
      <c r="D117" s="2" t="n">
        <v>0.00131765526255012</v>
      </c>
      <c r="E117" s="2" t="n">
        <v>0.00111763786917198</v>
      </c>
    </row>
    <row r="118" customFormat="false" ht="13.8" hidden="false" customHeight="false" outlineLevel="0" collapsed="false">
      <c r="B118" s="2" t="n">
        <v>117</v>
      </c>
      <c r="C118" s="2" t="n">
        <v>0.00131764419672415</v>
      </c>
      <c r="D118" s="2" t="n">
        <v>0.00131766292815389</v>
      </c>
      <c r="E118" s="2" t="n">
        <v>0.00111764419672768</v>
      </c>
    </row>
    <row r="119" customFormat="false" ht="13.8" hidden="false" customHeight="false" outlineLevel="0" collapsed="false">
      <c r="B119" s="2" t="n">
        <v>118</v>
      </c>
      <c r="C119" s="2" t="n">
        <v>0.00131765052432227</v>
      </c>
      <c r="D119" s="2" t="n">
        <v>0.00131767116047782</v>
      </c>
      <c r="E119" s="2" t="n">
        <v>0.0011176505243328</v>
      </c>
    </row>
    <row r="120" customFormat="false" ht="13.8" hidden="false" customHeight="false" outlineLevel="0" collapsed="false">
      <c r="B120" s="2" t="n">
        <v>119</v>
      </c>
      <c r="C120" s="2" t="n">
        <v>0.0013176568519885</v>
      </c>
      <c r="D120" s="2" t="n">
        <v>0.0013176788639394</v>
      </c>
      <c r="E120" s="2" t="n">
        <v>0.00111765685199637</v>
      </c>
    </row>
    <row r="121" customFormat="false" ht="13.8" hidden="false" customHeight="false" outlineLevel="0" collapsed="false">
      <c r="B121" s="2" t="n">
        <v>120</v>
      </c>
      <c r="C121" s="2" t="n">
        <v>0.00131766317971944</v>
      </c>
      <c r="D121" s="2" t="n">
        <v>0.00131768656747703</v>
      </c>
      <c r="E121" s="2" t="n">
        <v>0.00111766317972178</v>
      </c>
    </row>
    <row r="122" customFormat="false" ht="13.8" hidden="false" customHeight="false" outlineLevel="0" collapsed="false">
      <c r="B122" s="2" t="n">
        <v>121</v>
      </c>
      <c r="C122" s="2" t="n">
        <v>0.00131766950748331</v>
      </c>
      <c r="D122" s="2" t="n">
        <v>0.00131769427109128</v>
      </c>
      <c r="E122" s="2" t="n">
        <v>0.00111767075444263</v>
      </c>
    </row>
    <row r="123" customFormat="false" ht="13.8" hidden="false" customHeight="false" outlineLevel="0" collapsed="false">
      <c r="B123" s="2" t="n">
        <v>122</v>
      </c>
      <c r="C123" s="2" t="n">
        <v>0.001317738975048</v>
      </c>
      <c r="D123" s="2" t="n">
        <v>0.00131771096712719</v>
      </c>
      <c r="E123" s="2" t="n">
        <v>0.00111773398747592</v>
      </c>
    </row>
    <row r="124" customFormat="false" ht="13.8" hidden="false" customHeight="false" outlineLevel="0" collapsed="false">
      <c r="B124" s="2" t="n">
        <v>123</v>
      </c>
      <c r="C124" s="2" t="n">
        <v>0.000161998379774357</v>
      </c>
      <c r="D124" s="2" t="n">
        <v>0.000199999999027</v>
      </c>
      <c r="E124" s="2" t="n">
        <v>0</v>
      </c>
    </row>
    <row r="125" customFormat="false" ht="13.8" hidden="false" customHeight="false" outlineLevel="0" collapsed="false">
      <c r="B125" s="2" t="n">
        <v>124</v>
      </c>
      <c r="C125" s="2" t="n">
        <v>0.00131729012321812</v>
      </c>
      <c r="D125" s="2" t="n">
        <v>0.00131729012222318</v>
      </c>
      <c r="E125" s="2" t="n">
        <v>0.00111729012320823</v>
      </c>
    </row>
    <row r="126" customFormat="false" ht="13.8" hidden="false" customHeight="false" outlineLevel="0" collapsed="false">
      <c r="B126" s="2" t="n">
        <v>125</v>
      </c>
      <c r="C126" s="2" t="n">
        <v>0.000199999999624854</v>
      </c>
      <c r="D126" s="2" t="n">
        <v>0.000199999998382323</v>
      </c>
      <c r="E126" s="2" t="n">
        <v>0</v>
      </c>
    </row>
    <row r="127" customFormat="false" ht="13.8" hidden="false" customHeight="false" outlineLevel="0" collapsed="false">
      <c r="B127" s="2" t="n">
        <v>126</v>
      </c>
      <c r="C127" s="2" t="n">
        <v>0.000199999999482135</v>
      </c>
      <c r="D127" s="2" t="n">
        <v>0.000199999997766899</v>
      </c>
      <c r="E127" s="2" t="n">
        <v>0</v>
      </c>
    </row>
    <row r="128" customFormat="false" ht="13.8" hidden="false" customHeight="false" outlineLevel="0" collapsed="false">
      <c r="B128" s="2" t="n">
        <v>127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128</v>
      </c>
      <c r="C129" s="2" t="n">
        <v>0.000199999999196696</v>
      </c>
      <c r="D129" s="2" t="n">
        <v>0.000199999996536051</v>
      </c>
      <c r="E129" s="2" t="n">
        <v>0</v>
      </c>
    </row>
    <row r="130" customFormat="false" ht="13.8" hidden="false" customHeight="false" outlineLevel="0" collapsed="false">
      <c r="B130" s="2" t="n">
        <v>129</v>
      </c>
      <c r="C130" s="2" t="n">
        <v>0.000199999999053976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130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131</v>
      </c>
      <c r="C132" s="2" t="n">
        <v>4.92804982557139E-009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132</v>
      </c>
      <c r="C133" s="2" t="n">
        <v>0.000199999998725904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133</v>
      </c>
      <c r="C134" s="2" t="n">
        <v>0</v>
      </c>
      <c r="D134" s="2" t="n">
        <v>0</v>
      </c>
      <c r="E134" s="2" t="n">
        <v>1.63358633815254E-013</v>
      </c>
    </row>
    <row r="135" customFormat="false" ht="13.8" hidden="false" customHeight="false" outlineLevel="0" collapsed="false">
      <c r="B135" s="2" t="n">
        <v>134</v>
      </c>
      <c r="C135" s="2" t="n">
        <v>0.000199999998540472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135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136</v>
      </c>
      <c r="C137" s="2" t="n">
        <v>9.74818391825241E-010</v>
      </c>
      <c r="D137" s="2" t="n">
        <v>0</v>
      </c>
      <c r="E137" s="2" t="n">
        <v>8.16797252934482E-014</v>
      </c>
    </row>
    <row r="138" customFormat="false" ht="13.8" hidden="false" customHeight="false" outlineLevel="0" collapsed="false">
      <c r="B138" s="2" t="n">
        <v>137</v>
      </c>
      <c r="C138" s="2" t="n">
        <v>3.01275882348436E-009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138</v>
      </c>
      <c r="C139" s="2" t="n">
        <v>5.65255146399299E-009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139</v>
      </c>
      <c r="C140" s="2" t="n">
        <v>1.52631672251028E-008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140</v>
      </c>
      <c r="C141" s="2" t="n">
        <v>7.53201003848356E-009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141</v>
      </c>
      <c r="C142" s="2" t="n">
        <v>1.04128603959175E-008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142</v>
      </c>
      <c r="C143" s="2" t="n">
        <v>1.05449194655264E-008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143</v>
      </c>
      <c r="C144" s="2" t="n">
        <v>1.34258000536595E-008</v>
      </c>
      <c r="D144" s="2" t="n">
        <v>4.94476273368551E-009</v>
      </c>
      <c r="E144" s="2" t="n">
        <v>0</v>
      </c>
    </row>
    <row r="145" customFormat="false" ht="13.8" hidden="false" customHeight="false" outlineLevel="0" collapsed="false">
      <c r="B145" s="2" t="n">
        <v>144</v>
      </c>
      <c r="C145" s="2" t="n">
        <v>1.35578890445383E-008</v>
      </c>
      <c r="D145" s="2" t="n">
        <v>2.36115958495398E-011</v>
      </c>
      <c r="E145" s="2" t="n">
        <v>0</v>
      </c>
    </row>
    <row r="146" customFormat="false" ht="13.8" hidden="false" customHeight="false" outlineLevel="0" collapsed="false">
      <c r="B146" s="2" t="n">
        <v>145</v>
      </c>
      <c r="C146" s="2" t="n">
        <v>1.50643963969572E-008</v>
      </c>
      <c r="D146" s="2" t="n">
        <v>2.36116381495757E-011</v>
      </c>
      <c r="E146" s="2" t="n">
        <v>0</v>
      </c>
    </row>
    <row r="147" customFormat="false" ht="13.8" hidden="false" customHeight="false" outlineLevel="0" collapsed="false">
      <c r="B147" s="2" t="n">
        <v>146</v>
      </c>
      <c r="C147" s="2" t="n">
        <v>1.6570918744141E-008</v>
      </c>
      <c r="D147" s="2" t="n">
        <v>1.50637188653128E-009</v>
      </c>
      <c r="E147" s="2" t="n">
        <v>0</v>
      </c>
    </row>
    <row r="148" customFormat="false" ht="13.8" hidden="false" customHeight="false" outlineLevel="0" collapsed="false">
      <c r="B148" s="2" t="n">
        <v>147</v>
      </c>
      <c r="C148" s="2" t="n">
        <v>2.08262765831234E-008</v>
      </c>
      <c r="D148" s="2" t="n">
        <v>9.89770632007215E-009</v>
      </c>
      <c r="E148" s="2" t="n">
        <v>1.51316674837225E-009</v>
      </c>
    </row>
    <row r="149" customFormat="false" ht="13.8" hidden="false" customHeight="false" outlineLevel="0" collapsed="false">
      <c r="B149" s="2" t="n">
        <v>148</v>
      </c>
      <c r="C149" s="2" t="n">
        <v>2.23328295432956E-008</v>
      </c>
      <c r="D149" s="2" t="n">
        <v>0</v>
      </c>
      <c r="E149" s="2" t="n">
        <v>9.99826716300173E-009</v>
      </c>
    </row>
    <row r="150" customFormat="false" ht="13.8" hidden="false" customHeight="false" outlineLevel="0" collapsed="false">
      <c r="B150" s="2" t="n">
        <v>149</v>
      </c>
      <c r="C150" s="2" t="n">
        <v>2.52138276317827E-008</v>
      </c>
      <c r="D150" s="2" t="n">
        <v>0</v>
      </c>
      <c r="E150" s="2" t="n">
        <v>1.49984496994236E-008</v>
      </c>
    </row>
    <row r="151" customFormat="false" ht="13.8" hidden="false" customHeight="false" outlineLevel="0" collapsed="false">
      <c r="B151" s="2" t="n">
        <v>150</v>
      </c>
      <c r="C151" s="2" t="n">
        <v>2.80948552348242E-008</v>
      </c>
      <c r="D151" s="2" t="n">
        <v>1.69695151812472E-009</v>
      </c>
      <c r="E151" s="2" t="n">
        <v>1.99987174226496E-008</v>
      </c>
    </row>
    <row r="152" customFormat="false" ht="13.8" hidden="false" customHeight="false" outlineLevel="0" collapsed="false">
      <c r="B152" s="2" t="n">
        <v>151</v>
      </c>
      <c r="C152" s="2" t="n">
        <v>2.99971000511402E-008</v>
      </c>
      <c r="D152" s="2" t="n">
        <v>4.72234820679288E-011</v>
      </c>
      <c r="E152" s="2" t="n">
        <v>2.49990351483979E-008</v>
      </c>
    </row>
    <row r="153" customFormat="false" ht="13.8" hidden="false" customHeight="false" outlineLevel="0" collapsed="false">
      <c r="B153" s="2" t="n">
        <v>152</v>
      </c>
      <c r="C153" s="2" t="n">
        <v>0.000199999998405387</v>
      </c>
      <c r="D153" s="2" t="n">
        <v>1.78971675958564E-009</v>
      </c>
      <c r="E153" s="2" t="n">
        <v>2.99994028771024E-008</v>
      </c>
    </row>
    <row r="154" customFormat="false" ht="13.8" hidden="false" customHeight="false" outlineLevel="0" collapsed="false">
      <c r="B154" s="2" t="n">
        <v>153</v>
      </c>
      <c r="C154" s="2" t="n">
        <v>7.64926669608035E-008</v>
      </c>
      <c r="D154" s="2" t="n">
        <v>9.99355652635537E-009</v>
      </c>
      <c r="E154" s="2" t="n">
        <v>3.49998206092255E-008</v>
      </c>
    </row>
    <row r="155" customFormat="false" ht="13.8" hidden="false" customHeight="false" outlineLevel="0" collapsed="false">
      <c r="B155" s="2" t="n">
        <v>154</v>
      </c>
      <c r="C155" s="2" t="n">
        <v>0</v>
      </c>
      <c r="D155" s="2" t="n">
        <v>1.49942280417862E-008</v>
      </c>
      <c r="E155" s="2" t="n">
        <v>4.00003455527992E-008</v>
      </c>
    </row>
    <row r="156" customFormat="false" ht="13.8" hidden="false" customHeight="false" outlineLevel="0" collapsed="false">
      <c r="B156" s="2" t="n">
        <v>155</v>
      </c>
      <c r="C156" s="2" t="n">
        <v>0</v>
      </c>
      <c r="D156" s="2" t="n">
        <v>1.98768880416863E-008</v>
      </c>
      <c r="E156" s="2" t="n">
        <v>4.50009205008614E-008</v>
      </c>
    </row>
    <row r="157" customFormat="false" ht="13.8" hidden="false" customHeight="false" outlineLevel="0" collapsed="false">
      <c r="B157" s="2" t="n">
        <v>156</v>
      </c>
      <c r="C157" s="2" t="n">
        <v>0</v>
      </c>
      <c r="D157" s="2" t="n">
        <v>3.54177506186898E-015</v>
      </c>
      <c r="E157" s="2" t="n">
        <v>5.0001545453954E-008</v>
      </c>
    </row>
    <row r="158" customFormat="false" ht="13.8" hidden="false" customHeight="false" outlineLevel="0" collapsed="false">
      <c r="B158" s="2" t="n">
        <v>157</v>
      </c>
      <c r="C158" s="2" t="n">
        <v>0.000199999998954709</v>
      </c>
      <c r="D158" s="2" t="n">
        <v>0</v>
      </c>
      <c r="E158" s="2" t="n">
        <v>5.50022204125108E-008</v>
      </c>
    </row>
    <row r="159" customFormat="false" ht="13.8" hidden="false" customHeight="false" outlineLevel="0" collapsed="false">
      <c r="B159" s="2" t="n">
        <v>158</v>
      </c>
      <c r="C159" s="2" t="n">
        <v>0.000200060002939458</v>
      </c>
      <c r="D159" s="2" t="n">
        <v>0.000200059999757419</v>
      </c>
      <c r="E159" s="2" t="n">
        <v>6.00029078047064E-008</v>
      </c>
    </row>
    <row r="160" customFormat="false" ht="13.8" hidden="false" customHeight="false" outlineLevel="0" collapsed="false">
      <c r="B160" s="2" t="n">
        <v>159</v>
      </c>
      <c r="C160" s="2" t="n">
        <v>0</v>
      </c>
      <c r="D160" s="2" t="n">
        <v>0</v>
      </c>
      <c r="E160" s="2" t="n">
        <v>6.50036452033563E-008</v>
      </c>
    </row>
    <row r="161" customFormat="false" ht="13.8" hidden="false" customHeight="false" outlineLevel="0" collapsed="false">
      <c r="B161" s="2" t="n">
        <v>160</v>
      </c>
      <c r="C161" s="2" t="n">
        <v>0.00020007000445869</v>
      </c>
      <c r="D161" s="2" t="n">
        <v>7.00018368441104E-008</v>
      </c>
      <c r="E161" s="2" t="n">
        <v>7.0004432609068E-008</v>
      </c>
    </row>
    <row r="162" customFormat="false" ht="13.8" hidden="false" customHeight="false" outlineLevel="0" collapsed="false">
      <c r="B162" s="2" t="n">
        <v>161</v>
      </c>
      <c r="C162" s="2" t="n">
        <v>0</v>
      </c>
      <c r="D162" s="2" t="n">
        <v>0</v>
      </c>
      <c r="E162" s="2" t="n">
        <v>7.50052700223181E-008</v>
      </c>
    </row>
    <row r="163" customFormat="false" ht="13.8" hidden="false" customHeight="false" outlineLevel="0" collapsed="false">
      <c r="B163" s="2" t="n">
        <v>162</v>
      </c>
      <c r="C163" s="2" t="n">
        <v>0.000200080006198264</v>
      </c>
      <c r="D163" s="2" t="n">
        <v>0.000200080004203886</v>
      </c>
      <c r="E163" s="2" t="n">
        <v>8.00061784244364E-008</v>
      </c>
    </row>
    <row r="164" customFormat="false" ht="13.8" hidden="false" customHeight="false" outlineLevel="0" collapsed="false">
      <c r="B164" s="2" t="n">
        <v>163</v>
      </c>
      <c r="C164" s="2" t="n">
        <v>0.000200085007153219</v>
      </c>
      <c r="D164" s="2" t="n">
        <v>8.50055062126547E-008</v>
      </c>
      <c r="E164" s="2" t="n">
        <v>8.50071368351496E-008</v>
      </c>
    </row>
    <row r="165" customFormat="false" ht="13.8" hidden="false" customHeight="false" outlineLevel="0" collapsed="false">
      <c r="B165" s="2" t="n">
        <v>164</v>
      </c>
      <c r="C165" s="2" t="n">
        <v>0.000200090008158183</v>
      </c>
      <c r="D165" s="2" t="n">
        <v>0.000200090006858549</v>
      </c>
      <c r="E165" s="2" t="n">
        <v>9.00081452548914E-008</v>
      </c>
    </row>
    <row r="166" customFormat="false" ht="13.8" hidden="false" customHeight="false" outlineLevel="0" collapsed="false">
      <c r="B166" s="2" t="n">
        <v>165</v>
      </c>
      <c r="C166" s="2" t="n">
        <v>0.000200095009213157</v>
      </c>
      <c r="D166" s="2" t="n">
        <v>0.000200095008260894</v>
      </c>
      <c r="E166" s="2" t="n">
        <v>9.50092036841233E-008</v>
      </c>
    </row>
    <row r="167" customFormat="false" ht="13.8" hidden="false" customHeight="false" outlineLevel="0" collapsed="false">
      <c r="B167" s="2" t="n">
        <v>166</v>
      </c>
      <c r="C167" s="2" t="n">
        <v>0.00131736458442273</v>
      </c>
      <c r="D167" s="2" t="n">
        <v>0.0013173914200014</v>
      </c>
      <c r="E167" s="2" t="n">
        <v>0.00111739142070855</v>
      </c>
    </row>
    <row r="168" customFormat="false" ht="13.8" hidden="false" customHeight="false" outlineLevel="0" collapsed="false">
      <c r="B168" s="2" t="n">
        <v>167</v>
      </c>
      <c r="C168" s="2" t="n">
        <v>0.00131738325055927</v>
      </c>
      <c r="D168" s="2" t="n">
        <v>0.00111741359388721</v>
      </c>
      <c r="E168" s="2" t="n">
        <v>0.00111741359435873</v>
      </c>
    </row>
    <row r="169" customFormat="false" ht="13.8" hidden="false" customHeight="false" outlineLevel="0" collapsed="false">
      <c r="B169" s="2" t="n">
        <v>168</v>
      </c>
      <c r="C169" s="2" t="n">
        <v>0.00131738992589908</v>
      </c>
      <c r="D169" s="2" t="n">
        <v>0.00131740776869475</v>
      </c>
      <c r="E169" s="2" t="n">
        <v>0.00111741976863065</v>
      </c>
    </row>
    <row r="170" customFormat="false" ht="13.8" hidden="false" customHeight="false" outlineLevel="0" collapsed="false">
      <c r="B170" s="2" t="n">
        <v>169</v>
      </c>
      <c r="C170" s="2" t="n">
        <v>0.00131739658683469</v>
      </c>
      <c r="D170" s="2" t="n">
        <v>0.00131741594316404</v>
      </c>
      <c r="E170" s="2" t="n">
        <v>0.0011174259429643</v>
      </c>
    </row>
    <row r="171" customFormat="false" ht="13.8" hidden="false" customHeight="false" outlineLevel="0" collapsed="false">
      <c r="B171" s="2" t="n">
        <v>170</v>
      </c>
      <c r="C171" s="2" t="n">
        <v>0.00131740325808871</v>
      </c>
      <c r="D171" s="2" t="n">
        <v>0.0013174241174053</v>
      </c>
      <c r="E171" s="2" t="n">
        <v>0.00111743211728549</v>
      </c>
    </row>
    <row r="172" customFormat="false" ht="13.8" hidden="false" customHeight="false" outlineLevel="0" collapsed="false">
      <c r="B172" s="2" t="n">
        <v>171</v>
      </c>
      <c r="C172" s="2" t="n">
        <v>0.00131740992532448</v>
      </c>
      <c r="D172" s="2" t="n">
        <v>0.0013174322917283</v>
      </c>
      <c r="E172" s="2" t="n">
        <v>0.00111743829166843</v>
      </c>
    </row>
    <row r="173" customFormat="false" ht="13.8" hidden="false" customHeight="false" outlineLevel="0" collapsed="false">
      <c r="B173" s="2" t="n">
        <v>172</v>
      </c>
      <c r="C173" s="2" t="n">
        <v>0.00131741657663811</v>
      </c>
      <c r="D173" s="2" t="n">
        <v>0.00131744046613305</v>
      </c>
      <c r="E173" s="2" t="n">
        <v>0.00111744446611311</v>
      </c>
    </row>
    <row r="174" customFormat="false" ht="13.8" hidden="false" customHeight="false" outlineLevel="0" collapsed="false">
      <c r="B174" s="2" t="n">
        <v>173</v>
      </c>
      <c r="C174" s="2" t="n">
        <v>0.00131742167791481</v>
      </c>
      <c r="D174" s="2" t="n">
        <v>0.00131744995305922</v>
      </c>
      <c r="E174" s="2" t="n">
        <v>0.00111745064061954</v>
      </c>
    </row>
    <row r="175" customFormat="false" ht="13.8" hidden="false" customHeight="false" outlineLevel="0" collapsed="false">
      <c r="B175" s="2" t="n">
        <v>174</v>
      </c>
      <c r="C175" s="2" t="n">
        <v>0.00131742839082754</v>
      </c>
      <c r="D175" s="2" t="n">
        <v>0.00131745681518769</v>
      </c>
      <c r="E175" s="2" t="n">
        <v>0.00111745681518769</v>
      </c>
    </row>
    <row r="176" customFormat="false" ht="13.8" hidden="false" customHeight="false" outlineLevel="0" collapsed="false">
      <c r="B176" s="2" t="n">
        <v>175</v>
      </c>
      <c r="C176" s="2" t="n">
        <v>0.00131743510371565</v>
      </c>
      <c r="D176" s="2" t="n">
        <v>0.00131746298981759</v>
      </c>
      <c r="E176" s="2" t="n">
        <v>0.00111746298981759</v>
      </c>
    </row>
    <row r="177" customFormat="false" ht="13.8" hidden="false" customHeight="false" outlineLevel="0" collapsed="false">
      <c r="B177" s="2" t="n">
        <v>176</v>
      </c>
      <c r="C177" s="2" t="n">
        <v>0.00131744181657897</v>
      </c>
      <c r="D177" s="2" t="n">
        <v>0.00131746916450923</v>
      </c>
      <c r="E177" s="2" t="n">
        <v>0.00111746916450923</v>
      </c>
    </row>
    <row r="178" customFormat="false" ht="13.8" hidden="false" customHeight="false" outlineLevel="0" collapsed="false">
      <c r="B178" s="2" t="n">
        <v>177</v>
      </c>
      <c r="C178" s="2" t="n">
        <v>0.00131744852950374</v>
      </c>
      <c r="D178" s="2" t="n">
        <v>0.00131747533926263</v>
      </c>
      <c r="E178" s="2" t="n">
        <v>0.00111747533926263</v>
      </c>
    </row>
    <row r="179" customFormat="false" ht="13.8" hidden="false" customHeight="false" outlineLevel="0" collapsed="false">
      <c r="B179" s="2" t="n">
        <v>178</v>
      </c>
      <c r="C179" s="2" t="n">
        <v>0.00131745539161809</v>
      </c>
      <c r="D179" s="2" t="n">
        <v>0.00131748151407777</v>
      </c>
      <c r="E179" s="2" t="n">
        <v>0.00111748151407777</v>
      </c>
    </row>
    <row r="180" customFormat="false" ht="13.8" hidden="false" customHeight="false" outlineLevel="0" collapsed="false">
      <c r="B180" s="2" t="n">
        <v>179</v>
      </c>
      <c r="C180" s="2" t="n">
        <v>0.00131746225380087</v>
      </c>
      <c r="D180" s="2" t="n">
        <v>0.00131748768895466</v>
      </c>
      <c r="E180" s="2" t="n">
        <v>0.00111748768895466</v>
      </c>
    </row>
    <row r="181" customFormat="false" ht="13.8" hidden="false" customHeight="false" outlineLevel="0" collapsed="false">
      <c r="B181" s="2" t="n">
        <v>180</v>
      </c>
      <c r="C181" s="2" t="n">
        <v>0.00131746911605243</v>
      </c>
      <c r="D181" s="2" t="n">
        <v>0.0013174938638933</v>
      </c>
      <c r="E181" s="2" t="n">
        <v>0.0011174938638933</v>
      </c>
    </row>
    <row r="182" customFormat="false" ht="13.8" hidden="false" customHeight="false" outlineLevel="0" collapsed="false">
      <c r="B182" s="2" t="n">
        <v>181</v>
      </c>
      <c r="C182" s="2" t="n">
        <v>0.00131747597837245</v>
      </c>
      <c r="D182" s="2" t="n">
        <v>0.00131750003889368</v>
      </c>
      <c r="E182" s="2" t="n">
        <v>0.00111750003889368</v>
      </c>
    </row>
    <row r="183" customFormat="false" ht="13.8" hidden="false" customHeight="false" outlineLevel="0" collapsed="false">
      <c r="B183" s="2" t="n">
        <v>182</v>
      </c>
      <c r="C183" s="2" t="n">
        <v>0.0013174828407612</v>
      </c>
      <c r="D183" s="2" t="n">
        <v>0.00131750621395582</v>
      </c>
      <c r="E183" s="2" t="n">
        <v>0.00111750621395582</v>
      </c>
    </row>
    <row r="184" customFormat="false" ht="13.8" hidden="false" customHeight="false" outlineLevel="0" collapsed="false">
      <c r="B184" s="2" t="n">
        <v>183</v>
      </c>
      <c r="C184" s="2" t="n">
        <v>0.00131748970321849</v>
      </c>
      <c r="D184" s="2" t="n">
        <v>0.00131751238907972</v>
      </c>
      <c r="E184" s="2" t="n">
        <v>0.00111751238907971</v>
      </c>
    </row>
    <row r="185" customFormat="false" ht="13.8" hidden="false" customHeight="false" outlineLevel="0" collapsed="false">
      <c r="B185" s="2" t="n">
        <v>184</v>
      </c>
      <c r="C185" s="2" t="n">
        <v>0.00131749656574429</v>
      </c>
      <c r="D185" s="2" t="n">
        <v>0.00131751856426536</v>
      </c>
      <c r="E185" s="2" t="n">
        <v>0.00111751856426536</v>
      </c>
    </row>
    <row r="186" customFormat="false" ht="13.8" hidden="false" customHeight="false" outlineLevel="0" collapsed="false">
      <c r="B186" s="2" t="n">
        <v>185</v>
      </c>
      <c r="C186" s="2" t="n">
        <v>0.00131750342833934</v>
      </c>
      <c r="D186" s="2" t="n">
        <v>0.00131752473951275</v>
      </c>
      <c r="E186" s="2" t="n">
        <v>0.00111752473951275</v>
      </c>
    </row>
    <row r="187" customFormat="false" ht="13.8" hidden="false" customHeight="false" outlineLevel="0" collapsed="false">
      <c r="B187" s="2" t="n">
        <v>186</v>
      </c>
      <c r="C187" s="2" t="n">
        <v>0.00131751029100227</v>
      </c>
      <c r="D187" s="2" t="n">
        <v>0.0013175309148219</v>
      </c>
      <c r="E187" s="2" t="n">
        <v>0.0011175309148219</v>
      </c>
    </row>
    <row r="188" customFormat="false" ht="13.8" hidden="false" customHeight="false" outlineLevel="0" collapsed="false">
      <c r="B188" s="2" t="n">
        <v>187</v>
      </c>
      <c r="C188" s="2" t="n">
        <v>0.00131751715373435</v>
      </c>
      <c r="D188" s="2" t="n">
        <v>0.0013175370901928</v>
      </c>
      <c r="E188" s="2" t="n">
        <v>0.0011175370901928</v>
      </c>
    </row>
    <row r="189" customFormat="false" ht="13.8" hidden="false" customHeight="false" outlineLevel="0" collapsed="false">
      <c r="B189" s="2" t="n">
        <v>188</v>
      </c>
      <c r="C189" s="2" t="n">
        <v>0.00131752401653494</v>
      </c>
      <c r="D189" s="2" t="n">
        <v>0.00131754326562546</v>
      </c>
      <c r="E189" s="2" t="n">
        <v>0.00111754326562546</v>
      </c>
    </row>
    <row r="190" customFormat="false" ht="13.8" hidden="false" customHeight="false" outlineLevel="0" collapsed="false">
      <c r="B190" s="2" t="n">
        <v>189</v>
      </c>
      <c r="C190" s="2" t="n">
        <v>0.00131753087940398</v>
      </c>
      <c r="D190" s="2" t="n">
        <v>0.00131754944111987</v>
      </c>
      <c r="E190" s="2" t="n">
        <v>0.00111754944111987</v>
      </c>
    </row>
    <row r="191" customFormat="false" ht="13.8" hidden="false" customHeight="false" outlineLevel="0" collapsed="false">
      <c r="B191" s="2" t="n">
        <v>190</v>
      </c>
      <c r="C191" s="2" t="n">
        <v>0.0013175377423417</v>
      </c>
      <c r="D191" s="2" t="n">
        <v>0.00131755561667604</v>
      </c>
      <c r="E191" s="2" t="n">
        <v>0.00111755561667604</v>
      </c>
    </row>
    <row r="192" customFormat="false" ht="13.8" hidden="false" customHeight="false" outlineLevel="0" collapsed="false">
      <c r="B192" s="2" t="n">
        <v>191</v>
      </c>
      <c r="C192" s="2" t="n">
        <v>0.00131754460534739</v>
      </c>
      <c r="D192" s="2" t="n">
        <v>0.00131756179229396</v>
      </c>
      <c r="E192" s="2" t="n">
        <v>0.00111756179229396</v>
      </c>
    </row>
    <row r="193" customFormat="false" ht="13.8" hidden="false" customHeight="false" outlineLevel="0" collapsed="false">
      <c r="B193" s="2" t="n">
        <v>192</v>
      </c>
      <c r="C193" s="2" t="n">
        <v>0.00131755146842304</v>
      </c>
      <c r="D193" s="2" t="n">
        <v>0.00131756796797364</v>
      </c>
      <c r="E193" s="2" t="n">
        <v>0.00111756796797364</v>
      </c>
    </row>
    <row r="194" customFormat="false" ht="13.8" hidden="false" customHeight="false" outlineLevel="0" collapsed="false">
      <c r="B194" s="2" t="n">
        <v>193</v>
      </c>
      <c r="C194" s="2" t="n">
        <v>0.0013175583315653</v>
      </c>
      <c r="D194" s="2" t="n">
        <v>0.00131757414371508</v>
      </c>
      <c r="E194" s="2" t="n">
        <v>0.00111757414371508</v>
      </c>
    </row>
    <row r="195" customFormat="false" ht="13.8" hidden="false" customHeight="false" outlineLevel="0" collapsed="false">
      <c r="B195" s="2" t="n">
        <v>194</v>
      </c>
      <c r="C195" s="2" t="n">
        <v>0.00131756519477883</v>
      </c>
      <c r="D195" s="2" t="n">
        <v>0.00131758031951827</v>
      </c>
      <c r="E195" s="2" t="n">
        <v>0.00111758031951827</v>
      </c>
    </row>
    <row r="196" customFormat="false" ht="13.8" hidden="false" customHeight="false" outlineLevel="0" collapsed="false">
      <c r="B196" s="2" t="n">
        <v>195</v>
      </c>
      <c r="C196" s="2" t="n">
        <v>0.00131757205806008</v>
      </c>
      <c r="D196" s="2" t="n">
        <v>0.00131758649538323</v>
      </c>
      <c r="E196" s="2" t="n">
        <v>0.00111758649538323</v>
      </c>
    </row>
    <row r="197" customFormat="false" ht="13.8" hidden="false" customHeight="false" outlineLevel="0" collapsed="false">
      <c r="B197" s="2" t="n">
        <v>196</v>
      </c>
      <c r="C197" s="2" t="n">
        <v>0.00131758224631072</v>
      </c>
      <c r="D197" s="2" t="n">
        <v>0.00131762543251687</v>
      </c>
      <c r="E197" s="2" t="n">
        <v>0.0011175959962565</v>
      </c>
    </row>
    <row r="198" customFormat="false" ht="13.8" hidden="false" customHeight="false" outlineLevel="0" collapsed="false">
      <c r="B198" s="2" t="n">
        <v>197</v>
      </c>
      <c r="C198" s="2" t="n">
        <v>0.00131756085071822</v>
      </c>
      <c r="D198" s="2" t="n">
        <v>0.00131762338921098</v>
      </c>
      <c r="E198" s="2" t="n">
        <v>0.00111761379095503</v>
      </c>
    </row>
    <row r="199" customFormat="false" ht="13.8" hidden="false" customHeight="false" outlineLevel="0" collapsed="false">
      <c r="B199" s="2" t="n">
        <v>198</v>
      </c>
      <c r="C199" s="2" t="n">
        <v>0.00131759627551616</v>
      </c>
      <c r="D199" s="2" t="n">
        <v>0.00131764076320429</v>
      </c>
      <c r="E199" s="2" t="n">
        <v>0.00111760865060037</v>
      </c>
    </row>
    <row r="200" customFormat="false" ht="13.8" hidden="false" customHeight="false" outlineLevel="0" collapsed="false">
      <c r="B200" s="2" t="n">
        <v>199</v>
      </c>
      <c r="C200" s="2" t="n">
        <v>0.0013176032902454</v>
      </c>
      <c r="D200" s="2" t="n">
        <v>0.00131764842866313</v>
      </c>
      <c r="E200" s="2" t="n">
        <v>0.00111761497785168</v>
      </c>
    </row>
    <row r="201" customFormat="false" ht="13.8" hidden="false" customHeight="false" outlineLevel="0" collapsed="false">
      <c r="B201" s="2" t="n">
        <v>200</v>
      </c>
      <c r="C201" s="2" t="n">
        <v>0.00131761030500424</v>
      </c>
      <c r="D201" s="2" t="n">
        <v>0.00131765609419827</v>
      </c>
      <c r="E201" s="2" t="n">
        <v>0.00111762130519587</v>
      </c>
    </row>
    <row r="202" customFormat="false" ht="13.8" hidden="false" customHeight="false" outlineLevel="0" collapsed="false">
      <c r="B202" s="2" t="n">
        <v>201</v>
      </c>
      <c r="C202" s="2" t="n">
        <v>0.00131761731987701</v>
      </c>
      <c r="D202" s="2" t="n">
        <v>0.00131766375981077</v>
      </c>
      <c r="E202" s="2" t="n">
        <v>0.00111762763257037</v>
      </c>
    </row>
    <row r="203" customFormat="false" ht="13.8" hidden="false" customHeight="false" outlineLevel="0" collapsed="false">
      <c r="B203" s="2" t="n">
        <v>202</v>
      </c>
      <c r="C203" s="2" t="n">
        <v>0.00131762433476854</v>
      </c>
      <c r="D203" s="2" t="n">
        <v>0.00131767142549858</v>
      </c>
      <c r="E203" s="2" t="n">
        <v>0.00111763396004783</v>
      </c>
    </row>
    <row r="204" customFormat="false" ht="13.8" hidden="false" customHeight="false" outlineLevel="0" collapsed="false">
      <c r="B204" s="2" t="n">
        <v>203</v>
      </c>
      <c r="C204" s="2" t="n">
        <v>0.00131763134975538</v>
      </c>
      <c r="D204" s="2" t="n">
        <v>0.00131767909126503</v>
      </c>
      <c r="E204" s="2" t="n">
        <v>0.00111764028756925</v>
      </c>
    </row>
    <row r="205" customFormat="false" ht="13.8" hidden="false" customHeight="false" outlineLevel="0" collapsed="false">
      <c r="B205" s="2" t="n">
        <v>204</v>
      </c>
      <c r="C205" s="2" t="n">
        <v>0.00131763836484379</v>
      </c>
      <c r="D205" s="2" t="n">
        <v>0.00131768675710564</v>
      </c>
      <c r="E205" s="2" t="n">
        <v>0.00111764661512804</v>
      </c>
    </row>
    <row r="206" customFormat="false" ht="13.8" hidden="false" customHeight="false" outlineLevel="0" collapsed="false">
      <c r="B206" s="2" t="n">
        <v>205</v>
      </c>
      <c r="C206" s="2" t="n">
        <v>0.00131762625852959</v>
      </c>
      <c r="D206" s="2" t="n">
        <v>0.00131768880202602</v>
      </c>
      <c r="E206" s="2" t="n">
        <v>0.00111766760052621</v>
      </c>
    </row>
    <row r="207" customFormat="false" ht="13.8" hidden="false" customHeight="false" outlineLevel="0" collapsed="false">
      <c r="B207" s="2" t="n">
        <v>206</v>
      </c>
      <c r="C207" s="2" t="n">
        <v>0.00131765239517295</v>
      </c>
      <c r="D207" s="2" t="n">
        <v>0.00131770208902091</v>
      </c>
      <c r="E207" s="2" t="n">
        <v>0.00111765927048248</v>
      </c>
    </row>
    <row r="208" customFormat="false" ht="13.8" hidden="false" customHeight="false" outlineLevel="0" collapsed="false">
      <c r="B208" s="2" t="n">
        <v>207</v>
      </c>
      <c r="C208" s="2" t="n">
        <v>0.00131765941041909</v>
      </c>
      <c r="D208" s="2" t="n">
        <v>0.00131770975509305</v>
      </c>
      <c r="E208" s="2" t="n">
        <v>0.00111766559827538</v>
      </c>
    </row>
    <row r="209" customFormat="false" ht="13.8" hidden="false" customHeight="false" outlineLevel="0" collapsed="false">
      <c r="B209" s="2" t="n">
        <v>208</v>
      </c>
      <c r="C209" s="2" t="n">
        <v>0.00131766642578281</v>
      </c>
      <c r="D209" s="2" t="n">
        <v>0.00131771742124159</v>
      </c>
      <c r="E209" s="2" t="n">
        <v>0.00111767192608999</v>
      </c>
    </row>
    <row r="210" customFormat="false" ht="13.8" hidden="false" customHeight="false" outlineLevel="0" collapsed="false">
      <c r="B210" s="2" t="n">
        <v>209</v>
      </c>
      <c r="C210" s="2" t="n">
        <v>0.00131767344116599</v>
      </c>
      <c r="D210" s="2" t="n">
        <v>0.00131772508746713</v>
      </c>
      <c r="E210" s="2" t="n">
        <v>0.00111767825401314</v>
      </c>
    </row>
    <row r="211" customFormat="false" ht="13.8" hidden="false" customHeight="false" outlineLevel="0" collapsed="false">
      <c r="B211" s="2" t="n">
        <v>210</v>
      </c>
      <c r="C211" s="2" t="n">
        <v>0.00131768045666707</v>
      </c>
      <c r="D211" s="2" t="n">
        <v>0.00131773275376925</v>
      </c>
      <c r="E211" s="2" t="n">
        <v>0.00111768458195635</v>
      </c>
    </row>
    <row r="212" customFormat="false" ht="13.8" hidden="false" customHeight="false" outlineLevel="0" collapsed="false">
      <c r="B212" s="2" t="n">
        <v>211</v>
      </c>
      <c r="C212" s="2" t="n">
        <v>0.00131768747221592</v>
      </c>
      <c r="D212" s="2" t="n">
        <v>0.00131774042014775</v>
      </c>
      <c r="E212" s="2" t="n">
        <v>0.0011176909099832</v>
      </c>
    </row>
    <row r="213" customFormat="false" ht="13.8" hidden="false" customHeight="false" outlineLevel="0" collapsed="false">
      <c r="B213" s="2" t="n">
        <v>212</v>
      </c>
      <c r="C213" s="2" t="n">
        <v>0.00131769448784335</v>
      </c>
      <c r="D213" s="2" t="n">
        <v>0.00131774808660267</v>
      </c>
      <c r="E213" s="2" t="n">
        <v>0.00111769723806538</v>
      </c>
    </row>
    <row r="214" customFormat="false" ht="13.8" hidden="false" customHeight="false" outlineLevel="0" collapsed="false">
      <c r="B214" s="2" t="n">
        <v>213</v>
      </c>
      <c r="C214" s="2" t="n">
        <v>0.00131770150353629</v>
      </c>
      <c r="D214" s="2" t="n">
        <v>0.00131775575313548</v>
      </c>
      <c r="E214" s="2" t="n">
        <v>0.00111770356621513</v>
      </c>
    </row>
    <row r="215" customFormat="false" ht="13.8" hidden="false" customHeight="false" outlineLevel="0" collapsed="false">
      <c r="B215" s="2" t="n">
        <v>214</v>
      </c>
      <c r="C215" s="2" t="n">
        <v>0.0013176998485566</v>
      </c>
      <c r="D215" s="2" t="n">
        <v>0.00131776398461898</v>
      </c>
      <c r="E215" s="2" t="n">
        <v>0.00111772814142335</v>
      </c>
    </row>
    <row r="216" customFormat="false" ht="13.8" hidden="false" customHeight="false" outlineLevel="0" collapsed="false">
      <c r="B216" s="2" t="n">
        <v>215</v>
      </c>
      <c r="C216" s="2" t="n">
        <v>0.0013177155728745</v>
      </c>
      <c r="D216" s="2" t="n">
        <v>0.00131777263553845</v>
      </c>
      <c r="E216" s="2" t="n">
        <v>0.00111771622267744</v>
      </c>
    </row>
    <row r="217" customFormat="false" ht="13.8" hidden="false" customHeight="false" outlineLevel="0" collapsed="false">
      <c r="B217" s="2" t="n">
        <v>216</v>
      </c>
      <c r="C217" s="2" t="n">
        <v>0.00131772255097105</v>
      </c>
      <c r="D217" s="2" t="n">
        <v>0.00131778034003243</v>
      </c>
      <c r="E217" s="2" t="n">
        <v>0.00111772255101298</v>
      </c>
    </row>
    <row r="218" customFormat="false" ht="13.8" hidden="false" customHeight="false" outlineLevel="0" collapsed="false">
      <c r="B218" s="2" t="n">
        <v>217</v>
      </c>
      <c r="C218" s="2" t="n">
        <v>0.00131772822958708</v>
      </c>
      <c r="D218" s="2" t="n">
        <v>0.0013177880446013</v>
      </c>
      <c r="E218" s="2" t="n">
        <v>0.00111772887939251</v>
      </c>
    </row>
    <row r="219" customFormat="false" ht="13.8" hidden="false" customHeight="false" outlineLevel="0" collapsed="false">
      <c r="B219" s="2" t="n">
        <v>218</v>
      </c>
      <c r="C219" s="2" t="n">
        <v>0.001317735207746</v>
      </c>
      <c r="D219" s="2" t="n">
        <v>0.00131779574897447</v>
      </c>
      <c r="E219" s="2" t="n">
        <v>0.00111773520778943</v>
      </c>
    </row>
    <row r="220" customFormat="false" ht="13.8" hidden="false" customHeight="false" outlineLevel="0" collapsed="false">
      <c r="B220" s="2" t="n">
        <v>219</v>
      </c>
      <c r="C220" s="2" t="n">
        <v>0.000199999999778456</v>
      </c>
      <c r="D220" s="2" t="n">
        <v>0.000199999999044675</v>
      </c>
      <c r="E220" s="2" t="n">
        <v>0</v>
      </c>
    </row>
    <row r="221" customFormat="false" ht="13.8" hidden="false" customHeight="false" outlineLevel="0" collapsed="false">
      <c r="B221" s="2" t="n">
        <v>220</v>
      </c>
      <c r="C221" s="2" t="n">
        <v>0.000199999999699101</v>
      </c>
      <c r="D221" s="2" t="n">
        <v>0.000199999998702487</v>
      </c>
      <c r="E221" s="2" t="n">
        <v>0</v>
      </c>
    </row>
    <row r="222" customFormat="false" ht="13.8" hidden="false" customHeight="false" outlineLevel="0" collapsed="false">
      <c r="B222" s="2" t="n">
        <v>221</v>
      </c>
      <c r="C222" s="2" t="n">
        <v>0.000199999999619747</v>
      </c>
      <c r="D222" s="2" t="n">
        <v>0.000199999998360299</v>
      </c>
      <c r="E222" s="2" t="n">
        <v>0</v>
      </c>
    </row>
    <row r="223" customFormat="false" ht="13.8" hidden="false" customHeight="false" outlineLevel="0" collapsed="false">
      <c r="B223" s="2" t="n">
        <v>222</v>
      </c>
      <c r="C223" s="2" t="n">
        <v>0.000199999999489246</v>
      </c>
      <c r="D223" s="2" t="n">
        <v>0.000199999997797563</v>
      </c>
      <c r="E223" s="2" t="n">
        <v>0</v>
      </c>
    </row>
    <row r="224" customFormat="false" ht="13.8" hidden="false" customHeight="false" outlineLevel="0" collapsed="false">
      <c r="B224" s="2" t="n">
        <v>223</v>
      </c>
      <c r="C224" s="2" t="n">
        <v>0.000199999999358745</v>
      </c>
      <c r="D224" s="2" t="n">
        <v>0.000199999997234827</v>
      </c>
      <c r="E224" s="2" t="n">
        <v>0</v>
      </c>
    </row>
    <row r="225" customFormat="false" ht="13.8" hidden="false" customHeight="false" outlineLevel="0" collapsed="false">
      <c r="B225" s="2" t="n">
        <v>224</v>
      </c>
      <c r="C225" s="2" t="n">
        <v>0.000199999999228244</v>
      </c>
      <c r="D225" s="2" t="n">
        <v>0.00019999999667209</v>
      </c>
      <c r="E225" s="2" t="n">
        <v>0</v>
      </c>
    </row>
    <row r="226" customFormat="false" ht="13.8" hidden="false" customHeight="false" outlineLevel="0" collapsed="false">
      <c r="B226" s="2" t="n">
        <v>225</v>
      </c>
      <c r="C226" s="2" t="n">
        <v>0.000199999999097743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226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227</v>
      </c>
      <c r="C228" s="2" t="n">
        <v>0.000199999998862448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228</v>
      </c>
      <c r="C229" s="2" t="n">
        <v>4.72233297659341E-011</v>
      </c>
      <c r="D229" s="2" t="n">
        <v>4.92380194990195E-009</v>
      </c>
      <c r="E229" s="2" t="n">
        <v>0</v>
      </c>
    </row>
    <row r="230" customFormat="false" ht="13.8" hidden="false" customHeight="false" outlineLevel="0" collapsed="false">
      <c r="B230" s="2" t="n">
        <v>229</v>
      </c>
      <c r="C230" s="2" t="n">
        <v>1.5036655173935E-009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230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231</v>
      </c>
      <c r="C232" s="2" t="n">
        <v>0</v>
      </c>
      <c r="D232" s="2" t="n">
        <v>4.9462309893591E-009</v>
      </c>
      <c r="E232" s="2" t="n">
        <v>0</v>
      </c>
    </row>
    <row r="233" customFormat="false" ht="13.8" hidden="false" customHeight="false" outlineLevel="0" collapsed="false">
      <c r="B233" s="2" t="n">
        <v>232</v>
      </c>
      <c r="C233" s="2" t="n">
        <v>3.8145656281675E-009</v>
      </c>
      <c r="D233" s="2" t="n">
        <v>4.72234268963045E-011</v>
      </c>
      <c r="E233" s="2" t="n">
        <v>0</v>
      </c>
    </row>
    <row r="234" customFormat="false" ht="13.8" hidden="false" customHeight="false" outlineLevel="0" collapsed="false">
      <c r="B234" s="2" t="n">
        <v>233</v>
      </c>
      <c r="C234" s="2" t="n">
        <v>3.56712623019323E-009</v>
      </c>
      <c r="D234" s="2" t="n">
        <v>4.92194416722981E-009</v>
      </c>
      <c r="E234" s="2" t="n">
        <v>0</v>
      </c>
    </row>
    <row r="235" customFormat="false" ht="13.8" hidden="false" customHeight="false" outlineLevel="0" collapsed="false">
      <c r="B235" s="2" t="n">
        <v>234</v>
      </c>
      <c r="C235" s="2" t="n">
        <v>4.54151768035423E-009</v>
      </c>
      <c r="D235" s="2" t="n">
        <v>0</v>
      </c>
      <c r="E235" s="2" t="n">
        <v>8.16797252934482E-014</v>
      </c>
    </row>
    <row r="236" customFormat="false" ht="13.8" hidden="false" customHeight="false" outlineLevel="0" collapsed="false">
      <c r="B236" s="2" t="n">
        <v>235</v>
      </c>
      <c r="C236" s="2" t="n">
        <v>6.02557789134163E-009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236</v>
      </c>
      <c r="C237" s="2" t="n">
        <v>7.02894612895304E-009</v>
      </c>
      <c r="D237" s="2" t="n">
        <v>2.36115961030106E-011</v>
      </c>
      <c r="E237" s="2" t="n">
        <v>0</v>
      </c>
    </row>
    <row r="238" customFormat="false" ht="13.8" hidden="false" customHeight="false" outlineLevel="0" collapsed="false">
      <c r="B238" s="2" t="n">
        <v>237</v>
      </c>
      <c r="C238" s="2" t="n">
        <v>8.43477751271512E-009</v>
      </c>
      <c r="D238" s="2" t="n">
        <v>5.02791486203001E-010</v>
      </c>
      <c r="E238" s="2" t="n">
        <v>0</v>
      </c>
    </row>
    <row r="239" customFormat="false" ht="13.8" hidden="false" customHeight="false" outlineLevel="0" collapsed="false">
      <c r="B239" s="2" t="n">
        <v>238</v>
      </c>
      <c r="C239" s="2" t="n">
        <v>1.31895504509118E-008</v>
      </c>
      <c r="D239" s="2" t="n">
        <v>8.80878736230004E-009</v>
      </c>
      <c r="E239" s="2" t="n">
        <v>0</v>
      </c>
    </row>
    <row r="240" customFormat="false" ht="13.8" hidden="false" customHeight="false" outlineLevel="0" collapsed="false">
      <c r="B240" s="2" t="n">
        <v>239</v>
      </c>
      <c r="C240" s="2" t="n">
        <v>1.42689330789785E-008</v>
      </c>
      <c r="D240" s="2" t="n">
        <v>1.3808975146536E-008</v>
      </c>
      <c r="E240" s="2" t="n">
        <v>0</v>
      </c>
    </row>
    <row r="241" customFormat="false" ht="13.8" hidden="false" customHeight="false" outlineLevel="0" collapsed="false">
      <c r="B241" s="2" t="n">
        <v>240</v>
      </c>
      <c r="C241" s="2" t="n">
        <v>1.69581628271678E-008</v>
      </c>
      <c r="D241" s="2" t="n">
        <v>1.52567726171331E-008</v>
      </c>
      <c r="E241" s="2" t="n">
        <v>0</v>
      </c>
    </row>
    <row r="242" customFormat="false" ht="13.8" hidden="false" customHeight="false" outlineLevel="0" collapsed="false">
      <c r="B242" s="2" t="n">
        <v>241</v>
      </c>
      <c r="C242" s="2" t="n">
        <v>4.40840809798748E-008</v>
      </c>
      <c r="D242" s="2" t="n">
        <v>2.49925650679007E-008</v>
      </c>
      <c r="E242" s="2" t="n">
        <v>1.412555955301E-009</v>
      </c>
    </row>
    <row r="243" customFormat="false" ht="13.8" hidden="false" customHeight="false" outlineLevel="0" collapsed="false">
      <c r="B243" s="2" t="n">
        <v>242</v>
      </c>
      <c r="C243" s="2" t="n">
        <v>4.38833761211903E-008</v>
      </c>
      <c r="D243" s="2" t="n">
        <v>2.5249877003775E-008</v>
      </c>
      <c r="E243" s="2" t="n">
        <v>9.99821385826215E-009</v>
      </c>
    </row>
    <row r="244" customFormat="false" ht="13.8" hidden="false" customHeight="false" outlineLevel="0" collapsed="false">
      <c r="B244" s="2" t="n">
        <v>243</v>
      </c>
      <c r="C244" s="2" t="n">
        <v>0</v>
      </c>
      <c r="D244" s="2" t="n">
        <v>3.02599173630777E-008</v>
      </c>
      <c r="E244" s="2" t="n">
        <v>1.49983883796966E-008</v>
      </c>
    </row>
    <row r="245" customFormat="false" ht="13.8" hidden="false" customHeight="false" outlineLevel="0" collapsed="false">
      <c r="B245" s="2" t="n">
        <v>244</v>
      </c>
      <c r="C245" s="2" t="n">
        <v>0</v>
      </c>
      <c r="D245" s="2" t="n">
        <v>3.52605762254283E-008</v>
      </c>
      <c r="E245" s="2" t="n">
        <v>1.99986129031545E-008</v>
      </c>
    </row>
    <row r="246" customFormat="false" ht="13.8" hidden="false" customHeight="false" outlineLevel="0" collapsed="false">
      <c r="B246" s="2" t="n">
        <v>245</v>
      </c>
      <c r="C246" s="2" t="n">
        <v>0</v>
      </c>
      <c r="D246" s="2" t="n">
        <v>4.02612143560709E-008</v>
      </c>
      <c r="E246" s="2" t="n">
        <v>2.49988874291348E-008</v>
      </c>
    </row>
    <row r="247" customFormat="false" ht="13.8" hidden="false" customHeight="false" outlineLevel="0" collapsed="false">
      <c r="B247" s="2" t="n">
        <v>246</v>
      </c>
      <c r="C247" s="2" t="n">
        <v>0</v>
      </c>
      <c r="D247" s="2" t="n">
        <v>4.49786349742062E-008</v>
      </c>
      <c r="E247" s="2" t="n">
        <v>2.99992427870274E-008</v>
      </c>
    </row>
    <row r="248" customFormat="false" ht="13.8" hidden="false" customHeight="false" outlineLevel="0" collapsed="false">
      <c r="B248" s="2" t="n">
        <v>247</v>
      </c>
      <c r="C248" s="2" t="n">
        <v>0</v>
      </c>
      <c r="D248" s="2" t="n">
        <v>0</v>
      </c>
      <c r="E248" s="2" t="n">
        <v>3.49996481483386E-008</v>
      </c>
    </row>
    <row r="249" customFormat="false" ht="13.8" hidden="false" customHeight="false" outlineLevel="0" collapsed="false">
      <c r="B249" s="2" t="n">
        <v>248</v>
      </c>
      <c r="C249" s="2" t="n">
        <v>0</v>
      </c>
      <c r="D249" s="2" t="n">
        <v>0</v>
      </c>
      <c r="E249" s="2" t="n">
        <v>4.00001035137045E-008</v>
      </c>
    </row>
    <row r="250" customFormat="false" ht="13.8" hidden="false" customHeight="false" outlineLevel="0" collapsed="false">
      <c r="B250" s="2" t="n">
        <v>249</v>
      </c>
      <c r="C250" s="2" t="n">
        <v>0</v>
      </c>
      <c r="D250" s="2" t="n">
        <v>0</v>
      </c>
      <c r="E250" s="2" t="n">
        <v>4.50006088835588E-008</v>
      </c>
    </row>
    <row r="251" customFormat="false" ht="13.8" hidden="false" customHeight="false" outlineLevel="0" collapsed="false">
      <c r="B251" s="2" t="n">
        <v>250</v>
      </c>
      <c r="C251" s="2" t="n">
        <v>0</v>
      </c>
      <c r="D251" s="2" t="n">
        <v>0</v>
      </c>
      <c r="E251" s="2" t="n">
        <v>5.00012067547865E-008</v>
      </c>
    </row>
    <row r="252" customFormat="false" ht="13.8" hidden="false" customHeight="false" outlineLevel="0" collapsed="false">
      <c r="B252" s="2" t="n">
        <v>251</v>
      </c>
      <c r="C252" s="2" t="n">
        <v>0</v>
      </c>
      <c r="D252" s="2" t="n">
        <v>0</v>
      </c>
      <c r="E252" s="2" t="n">
        <v>5.50018546314784E-008</v>
      </c>
    </row>
    <row r="253" customFormat="false" ht="13.8" hidden="false" customHeight="false" outlineLevel="0" collapsed="false">
      <c r="B253" s="2" t="n">
        <v>252</v>
      </c>
      <c r="C253" s="2" t="n">
        <v>0</v>
      </c>
      <c r="D253" s="2" t="n">
        <v>0</v>
      </c>
      <c r="E253" s="2" t="n">
        <v>6.00025525141766E-008</v>
      </c>
    </row>
    <row r="254" customFormat="false" ht="13.8" hidden="false" customHeight="false" outlineLevel="0" collapsed="false">
      <c r="B254" s="2" t="n">
        <v>253</v>
      </c>
      <c r="C254" s="2" t="n">
        <v>0</v>
      </c>
      <c r="D254" s="2" t="n">
        <v>0</v>
      </c>
      <c r="E254" s="2" t="n">
        <v>6.50033004033291E-008</v>
      </c>
    </row>
    <row r="255" customFormat="false" ht="13.8" hidden="false" customHeight="false" outlineLevel="0" collapsed="false">
      <c r="B255" s="2" t="n">
        <v>254</v>
      </c>
      <c r="C255" s="2" t="n">
        <v>0</v>
      </c>
      <c r="D255" s="2" t="n">
        <v>2.36122223907142E-011</v>
      </c>
      <c r="E255" s="2" t="n">
        <v>5.34289220353015E-008</v>
      </c>
    </row>
    <row r="256" customFormat="false" ht="13.8" hidden="false" customHeight="false" outlineLevel="0" collapsed="false">
      <c r="B256" s="2" t="n">
        <v>255</v>
      </c>
      <c r="C256" s="2" t="n">
        <v>0.000200075005317086</v>
      </c>
      <c r="D256" s="2" t="n">
        <v>0.000200075003054063</v>
      </c>
      <c r="E256" s="2" t="n">
        <v>7.50052945745592E-008</v>
      </c>
    </row>
    <row r="257" customFormat="false" ht="13.8" hidden="false" customHeight="false" outlineLevel="0" collapsed="false">
      <c r="B257" s="2" t="n">
        <v>256</v>
      </c>
      <c r="C257" s="2" t="n">
        <v>0.000200080006380506</v>
      </c>
      <c r="D257" s="2" t="n">
        <v>0.00020008000498974</v>
      </c>
      <c r="E257" s="2" t="n">
        <v>8.0006366671805E-008</v>
      </c>
    </row>
    <row r="258" customFormat="false" ht="13.8" hidden="false" customHeight="false" outlineLevel="0" collapsed="false">
      <c r="B258" s="2" t="n">
        <v>257</v>
      </c>
      <c r="C258" s="2" t="n">
        <v>0.00131735454300044</v>
      </c>
      <c r="D258" s="2" t="n">
        <v>0.00131737472048704</v>
      </c>
      <c r="E258" s="2" t="n">
        <v>0.00111738889817222</v>
      </c>
    </row>
    <row r="259" customFormat="false" ht="13.8" hidden="false" customHeight="false" outlineLevel="0" collapsed="false">
      <c r="B259" s="2" t="n">
        <v>258</v>
      </c>
      <c r="C259" s="2" t="n">
        <v>0.00131736121865173</v>
      </c>
      <c r="D259" s="2" t="n">
        <v>0.00131738139688021</v>
      </c>
      <c r="E259" s="2" t="n">
        <v>0.00111739507214663</v>
      </c>
    </row>
    <row r="260" customFormat="false" ht="13.8" hidden="false" customHeight="false" outlineLevel="0" collapsed="false">
      <c r="B260" s="2" t="n">
        <v>259</v>
      </c>
      <c r="C260" s="2" t="n">
        <v>0.00131736789429147</v>
      </c>
      <c r="D260" s="2" t="n">
        <v>0.00131738807315146</v>
      </c>
      <c r="E260" s="2" t="n">
        <v>0.00111740124618278</v>
      </c>
    </row>
    <row r="261" customFormat="false" ht="13.8" hidden="false" customHeight="false" outlineLevel="0" collapsed="false">
      <c r="B261" s="2" t="n">
        <v>260</v>
      </c>
      <c r="C261" s="2" t="n">
        <v>0.00131737456992088</v>
      </c>
      <c r="D261" s="2" t="n">
        <v>0.00131739474929386</v>
      </c>
      <c r="E261" s="2" t="n">
        <v>0.00111740742028067</v>
      </c>
    </row>
    <row r="262" customFormat="false" ht="13.8" hidden="false" customHeight="false" outlineLevel="0" collapsed="false">
      <c r="B262" s="2" t="n">
        <v>261</v>
      </c>
      <c r="C262" s="2" t="n">
        <v>0.00131738124553518</v>
      </c>
      <c r="D262" s="2" t="n">
        <v>0.00131740142529886</v>
      </c>
      <c r="E262" s="2" t="n">
        <v>0.00111741359444031</v>
      </c>
    </row>
    <row r="263" customFormat="false" ht="13.8" hidden="false" customHeight="false" outlineLevel="0" collapsed="false">
      <c r="B263" s="2" t="n">
        <v>262</v>
      </c>
      <c r="C263" s="2" t="n">
        <v>0.0013173879211305</v>
      </c>
      <c r="D263" s="2" t="n">
        <v>0.00131740810112994</v>
      </c>
      <c r="E263" s="2" t="n">
        <v>0.00111741976865473</v>
      </c>
    </row>
    <row r="264" customFormat="false" ht="13.8" hidden="false" customHeight="false" outlineLevel="0" collapsed="false">
      <c r="B264" s="2" t="n">
        <v>263</v>
      </c>
      <c r="C264" s="2" t="n">
        <v>0.00131739459670417</v>
      </c>
      <c r="D264" s="2" t="n">
        <v>0.00131741477680727</v>
      </c>
      <c r="E264" s="2" t="n">
        <v>0.0011174259429309</v>
      </c>
    </row>
    <row r="265" customFormat="false" ht="13.8" hidden="false" customHeight="false" outlineLevel="0" collapsed="false">
      <c r="B265" s="2" t="n">
        <v>264</v>
      </c>
      <c r="C265" s="2" t="n">
        <v>0.00131740127223851</v>
      </c>
      <c r="D265" s="2" t="n">
        <v>0.00131742145232183</v>
      </c>
      <c r="E265" s="2" t="n">
        <v>0.00111743211726882</v>
      </c>
    </row>
    <row r="266" customFormat="false" ht="13.8" hidden="false" customHeight="false" outlineLevel="0" collapsed="false">
      <c r="B266" s="2" t="n">
        <v>265</v>
      </c>
      <c r="C266" s="2" t="n">
        <v>0.00131740609714931</v>
      </c>
      <c r="D266" s="2" t="n">
        <v>0.00131742752325781</v>
      </c>
      <c r="E266" s="2" t="n">
        <v>0.00111743829166847</v>
      </c>
    </row>
    <row r="267" customFormat="false" ht="13.8" hidden="false" customHeight="false" outlineLevel="0" collapsed="false">
      <c r="B267" s="2" t="n">
        <v>266</v>
      </c>
      <c r="C267" s="2" t="n">
        <v>0.00131741281043308</v>
      </c>
      <c r="D267" s="2" t="n">
        <v>0.00131743423613239</v>
      </c>
      <c r="E267" s="2" t="n">
        <v>0.00111744446611313</v>
      </c>
    </row>
    <row r="268" customFormat="false" ht="13.8" hidden="false" customHeight="false" outlineLevel="0" collapsed="false">
      <c r="B268" s="2" t="n">
        <v>267</v>
      </c>
      <c r="C268" s="2" t="n">
        <v>0.00131741952369774</v>
      </c>
      <c r="D268" s="2" t="n">
        <v>0.00131744101540062</v>
      </c>
      <c r="E268" s="2" t="n">
        <v>0.00111745064061954</v>
      </c>
    </row>
    <row r="269" customFormat="false" ht="13.8" hidden="false" customHeight="false" outlineLevel="0" collapsed="false">
      <c r="B269" s="2" t="n">
        <v>268</v>
      </c>
      <c r="C269" s="2" t="n">
        <v>0.00131742623694447</v>
      </c>
      <c r="D269" s="2" t="n">
        <v>0.0013174478774397</v>
      </c>
      <c r="E269" s="2" t="n">
        <v>0.00111745681518769</v>
      </c>
    </row>
    <row r="270" customFormat="false" ht="13.8" hidden="false" customHeight="false" outlineLevel="0" collapsed="false">
      <c r="B270" s="2" t="n">
        <v>269</v>
      </c>
      <c r="C270" s="2" t="n">
        <v>0.00131743295017035</v>
      </c>
      <c r="D270" s="2" t="n">
        <v>0.00131745473954743</v>
      </c>
      <c r="E270" s="2" t="n">
        <v>0.00111746298981759</v>
      </c>
    </row>
    <row r="271" customFormat="false" ht="13.8" hidden="false" customHeight="false" outlineLevel="0" collapsed="false">
      <c r="B271" s="2" t="n">
        <v>270</v>
      </c>
      <c r="C271" s="2" t="n">
        <v>0.00131743966337555</v>
      </c>
      <c r="D271" s="2" t="n">
        <v>0.0013174616017238</v>
      </c>
      <c r="E271" s="2" t="n">
        <v>0.00111746916450923</v>
      </c>
    </row>
    <row r="272" customFormat="false" ht="13.8" hidden="false" customHeight="false" outlineLevel="0" collapsed="false">
      <c r="B272" s="2" t="n">
        <v>271</v>
      </c>
      <c r="C272" s="2" t="n">
        <v>0.00131744637655791</v>
      </c>
      <c r="D272" s="2" t="n">
        <v>0.00131746846396876</v>
      </c>
      <c r="E272" s="2" t="n">
        <v>0.00111747533926263</v>
      </c>
    </row>
    <row r="273" customFormat="false" ht="13.8" hidden="false" customHeight="false" outlineLevel="0" collapsed="false">
      <c r="B273" s="2" t="n">
        <v>272</v>
      </c>
      <c r="C273" s="2" t="n">
        <v>0.00131745308971773</v>
      </c>
      <c r="D273" s="2" t="n">
        <v>0.00131747532628236</v>
      </c>
      <c r="E273" s="2" t="n">
        <v>0.00111748151407777</v>
      </c>
    </row>
    <row r="274" customFormat="false" ht="13.8" hidden="false" customHeight="false" outlineLevel="0" collapsed="false">
      <c r="B274" s="2" t="n">
        <v>273</v>
      </c>
      <c r="C274" s="2" t="n">
        <v>0.00131745980285288</v>
      </c>
      <c r="D274" s="2" t="n">
        <v>0.00131748218866457</v>
      </c>
      <c r="E274" s="2" t="n">
        <v>0.00111748768895466</v>
      </c>
    </row>
    <row r="275" customFormat="false" ht="13.8" hidden="false" customHeight="false" outlineLevel="0" collapsed="false">
      <c r="B275" s="2" t="n">
        <v>274</v>
      </c>
      <c r="C275" s="2" t="n">
        <v>0.00131746651596312</v>
      </c>
      <c r="D275" s="2" t="n">
        <v>0.00131748905111541</v>
      </c>
      <c r="E275" s="2" t="n">
        <v>0.0011174938638933</v>
      </c>
    </row>
    <row r="276" customFormat="false" ht="13.8" hidden="false" customHeight="false" outlineLevel="0" collapsed="false">
      <c r="B276" s="2" t="n">
        <v>275</v>
      </c>
      <c r="C276" s="2" t="n">
        <v>0.00131747322913476</v>
      </c>
      <c r="D276" s="2" t="n">
        <v>0.00131749591363487</v>
      </c>
      <c r="E276" s="2" t="n">
        <v>0.00111750003889368</v>
      </c>
    </row>
    <row r="277" customFormat="false" ht="13.8" hidden="false" customHeight="false" outlineLevel="0" collapsed="false">
      <c r="B277" s="2" t="n">
        <v>276</v>
      </c>
      <c r="C277" s="2" t="n">
        <v>0.00131748009149615</v>
      </c>
      <c r="D277" s="2" t="n">
        <v>0.00131750277622296</v>
      </c>
      <c r="E277" s="2" t="n">
        <v>0.00111750621395582</v>
      </c>
    </row>
    <row r="278" customFormat="false" ht="13.8" hidden="false" customHeight="false" outlineLevel="0" collapsed="false">
      <c r="B278" s="2" t="n">
        <v>277</v>
      </c>
      <c r="C278" s="2" t="n">
        <v>0.00131748695392604</v>
      </c>
      <c r="D278" s="2" t="n">
        <v>0.00131750963887968</v>
      </c>
      <c r="E278" s="2" t="n">
        <v>0.00111751238907971</v>
      </c>
    </row>
    <row r="279" customFormat="false" ht="13.8" hidden="false" customHeight="false" outlineLevel="0" collapsed="false">
      <c r="B279" s="2" t="n">
        <v>278</v>
      </c>
      <c r="C279" s="2" t="n">
        <v>0.00131749381642458</v>
      </c>
      <c r="D279" s="2" t="n">
        <v>0.00131751650160502</v>
      </c>
      <c r="E279" s="2" t="n">
        <v>0.00111751856426536</v>
      </c>
    </row>
    <row r="280" customFormat="false" ht="13.8" hidden="false" customHeight="false" outlineLevel="0" collapsed="false">
      <c r="B280" s="2" t="n">
        <v>279</v>
      </c>
      <c r="C280" s="2" t="n">
        <v>0.00131750067899171</v>
      </c>
      <c r="D280" s="2" t="n">
        <v>0.00131752336439898</v>
      </c>
      <c r="E280" s="2" t="n">
        <v>0.00111752473951275</v>
      </c>
    </row>
    <row r="281" customFormat="false" ht="13.8" hidden="false" customHeight="false" outlineLevel="0" collapsed="false">
      <c r="B281" s="2" t="n">
        <v>280</v>
      </c>
      <c r="C281" s="2" t="n">
        <v>0.00131750754162747</v>
      </c>
      <c r="D281" s="2" t="n">
        <v>0.00131753022726158</v>
      </c>
      <c r="E281" s="2" t="n">
        <v>0.0011175309148219</v>
      </c>
    </row>
    <row r="282" customFormat="false" ht="13.8" hidden="false" customHeight="false" outlineLevel="0" collapsed="false">
      <c r="B282" s="2" t="n">
        <v>281</v>
      </c>
      <c r="C282" s="2" t="n">
        <v>0.00131751440433178</v>
      </c>
      <c r="D282" s="2" t="n">
        <v>0.0013175370901928</v>
      </c>
      <c r="E282" s="2" t="n">
        <v>0.0011175370901928</v>
      </c>
    </row>
    <row r="283" customFormat="false" ht="13.8" hidden="false" customHeight="false" outlineLevel="0" collapsed="false">
      <c r="B283" s="2" t="n">
        <v>282</v>
      </c>
      <c r="C283" s="2" t="n">
        <v>0.00131752141822186</v>
      </c>
      <c r="D283" s="2" t="n">
        <v>0.00131754475461488</v>
      </c>
      <c r="E283" s="2" t="n">
        <v>0.0011175434167427</v>
      </c>
    </row>
    <row r="284" customFormat="false" ht="13.8" hidden="false" customHeight="false" outlineLevel="0" collapsed="false">
      <c r="B284" s="2" t="n">
        <v>283</v>
      </c>
      <c r="C284" s="2" t="n">
        <v>0.0013175284321811</v>
      </c>
      <c r="D284" s="2" t="n">
        <v>0.0013175524191136</v>
      </c>
      <c r="E284" s="2" t="n">
        <v>0.00111754974335593</v>
      </c>
    </row>
    <row r="285" customFormat="false" ht="13.8" hidden="false" customHeight="false" outlineLevel="0" collapsed="false">
      <c r="B285" s="2" t="n">
        <v>284</v>
      </c>
      <c r="C285" s="2" t="n">
        <v>0.0013175354462119</v>
      </c>
      <c r="D285" s="2" t="n">
        <v>0.00131756008368897</v>
      </c>
      <c r="E285" s="2" t="n">
        <v>0.00111755607003239</v>
      </c>
    </row>
    <row r="286" customFormat="false" ht="13.8" hidden="false" customHeight="false" outlineLevel="0" collapsed="false">
      <c r="B286" s="2" t="n">
        <v>285</v>
      </c>
      <c r="C286" s="2" t="n">
        <v>0.00131754246031277</v>
      </c>
      <c r="D286" s="2" t="n">
        <v>0.00131756774834098</v>
      </c>
      <c r="E286" s="2" t="n">
        <v>0.00111756239677212</v>
      </c>
    </row>
    <row r="287" customFormat="false" ht="13.8" hidden="false" customHeight="false" outlineLevel="0" collapsed="false">
      <c r="B287" s="2" t="n">
        <v>286</v>
      </c>
      <c r="C287" s="2" t="n">
        <v>0.00131754947448329</v>
      </c>
      <c r="D287" s="2" t="n">
        <v>0.00131757541306962</v>
      </c>
      <c r="E287" s="2" t="n">
        <v>0.00111756872357519</v>
      </c>
    </row>
    <row r="288" customFormat="false" ht="13.8" hidden="false" customHeight="false" outlineLevel="0" collapsed="false">
      <c r="B288" s="2" t="n">
        <v>287</v>
      </c>
      <c r="C288" s="2" t="n">
        <v>0.00131755648872391</v>
      </c>
      <c r="D288" s="2" t="n">
        <v>0.00131758307787494</v>
      </c>
      <c r="E288" s="2" t="n">
        <v>0.00111757505044155</v>
      </c>
    </row>
    <row r="289" customFormat="false" ht="13.8" hidden="false" customHeight="false" outlineLevel="0" collapsed="false">
      <c r="B289" s="2" t="n">
        <v>288</v>
      </c>
      <c r="C289" s="2" t="n">
        <v>0.00131756350303562</v>
      </c>
      <c r="D289" s="2" t="n">
        <v>0.00131759074275683</v>
      </c>
      <c r="E289" s="2" t="n">
        <v>0.00111758137737097</v>
      </c>
    </row>
    <row r="290" customFormat="false" ht="13.8" hidden="false" customHeight="false" outlineLevel="0" collapsed="false">
      <c r="B290" s="2" t="n">
        <v>289</v>
      </c>
      <c r="C290" s="2" t="n">
        <v>0.00131757051741089</v>
      </c>
      <c r="D290" s="2" t="n">
        <v>0.00131759840771533</v>
      </c>
      <c r="E290" s="2" t="n">
        <v>0.00111758770436567</v>
      </c>
    </row>
    <row r="291" customFormat="false" ht="13.8" hidden="false" customHeight="false" outlineLevel="0" collapsed="false">
      <c r="B291" s="2" t="n">
        <v>290</v>
      </c>
      <c r="C291" s="2" t="n">
        <v>0.00131757753186508</v>
      </c>
      <c r="D291" s="2" t="n">
        <v>0.00131760607275074</v>
      </c>
      <c r="E291" s="2" t="n">
        <v>0.00111759403142101</v>
      </c>
    </row>
    <row r="292" customFormat="false" ht="13.8" hidden="false" customHeight="false" outlineLevel="0" collapsed="false">
      <c r="B292" s="2" t="n">
        <v>291</v>
      </c>
      <c r="C292" s="2" t="n">
        <v>0.00131758454638831</v>
      </c>
      <c r="D292" s="2" t="n">
        <v>0.00131761373786266</v>
      </c>
      <c r="E292" s="2" t="n">
        <v>0.00111760035853981</v>
      </c>
    </row>
    <row r="293" customFormat="false" ht="13.8" hidden="false" customHeight="false" outlineLevel="0" collapsed="false">
      <c r="B293" s="2" t="n">
        <v>292</v>
      </c>
      <c r="C293" s="2" t="n">
        <v>0.00131759156097909</v>
      </c>
      <c r="D293" s="2" t="n">
        <v>0.00131762140305116</v>
      </c>
      <c r="E293" s="2" t="n">
        <v>0.00111760668572289</v>
      </c>
    </row>
    <row r="294" customFormat="false" ht="13.8" hidden="false" customHeight="false" outlineLevel="0" collapsed="false">
      <c r="B294" s="2" t="n">
        <v>293</v>
      </c>
      <c r="C294" s="2" t="n">
        <v>0.00131759857564073</v>
      </c>
      <c r="D294" s="2" t="n">
        <v>0.00131762906831618</v>
      </c>
      <c r="E294" s="2" t="n">
        <v>0.00111761301296896</v>
      </c>
    </row>
    <row r="295" customFormat="false" ht="13.8" hidden="false" customHeight="false" outlineLevel="0" collapsed="false">
      <c r="B295" s="2" t="n">
        <v>294</v>
      </c>
      <c r="C295" s="2" t="n">
        <v>0.00131760559037256</v>
      </c>
      <c r="D295" s="2" t="n">
        <v>0.00131763673365825</v>
      </c>
      <c r="E295" s="2" t="n">
        <v>0.00111761934027828</v>
      </c>
    </row>
    <row r="296" customFormat="false" ht="13.8" hidden="false" customHeight="false" outlineLevel="0" collapsed="false">
      <c r="B296" s="2" t="n">
        <v>295</v>
      </c>
      <c r="C296" s="2" t="n">
        <v>0.00131758555528972</v>
      </c>
      <c r="D296" s="2" t="n">
        <v>0.00131763469046558</v>
      </c>
      <c r="E296" s="2" t="n">
        <v>0.00111763305432663</v>
      </c>
    </row>
    <row r="297" customFormat="false" ht="13.8" hidden="false" customHeight="false" outlineLevel="0" collapsed="false">
      <c r="B297" s="2" t="n">
        <v>296</v>
      </c>
      <c r="C297" s="2" t="n">
        <v>0.00131761962004544</v>
      </c>
      <c r="D297" s="2" t="n">
        <v>0.00131765206457193</v>
      </c>
      <c r="E297" s="2" t="n">
        <v>0.00111763199508749</v>
      </c>
    </row>
    <row r="298" customFormat="false" ht="13.8" hidden="false" customHeight="false" outlineLevel="0" collapsed="false">
      <c r="B298" s="2" t="n">
        <v>297</v>
      </c>
      <c r="C298" s="2" t="n">
        <v>0.00131762663498471</v>
      </c>
      <c r="D298" s="2" t="n">
        <v>0.00131765973014359</v>
      </c>
      <c r="E298" s="2" t="n">
        <v>0.00111763832258857</v>
      </c>
    </row>
    <row r="299" customFormat="false" ht="13.8" hidden="false" customHeight="false" outlineLevel="0" collapsed="false">
      <c r="B299" s="2" t="n">
        <v>298</v>
      </c>
      <c r="C299" s="2" t="n">
        <v>0.00131763365000097</v>
      </c>
      <c r="D299" s="2" t="n">
        <v>0.00131766739579222</v>
      </c>
      <c r="E299" s="2" t="n">
        <v>0.00111764465014862</v>
      </c>
    </row>
    <row r="300" customFormat="false" ht="13.8" hidden="false" customHeight="false" outlineLevel="0" collapsed="false">
      <c r="B300" s="2" t="n">
        <v>299</v>
      </c>
      <c r="C300" s="2" t="n">
        <v>0.00131764066507092</v>
      </c>
      <c r="D300" s="2" t="n">
        <v>0.00131767506151716</v>
      </c>
      <c r="E300" s="2" t="n">
        <v>0.00111765097778299</v>
      </c>
    </row>
    <row r="301" customFormat="false" ht="13.8" hidden="false" customHeight="false" outlineLevel="0" collapsed="false">
      <c r="B301" s="2" t="n">
        <v>300</v>
      </c>
      <c r="C301" s="2" t="n">
        <v>0.00131764768023502</v>
      </c>
      <c r="D301" s="2" t="n">
        <v>0.00131768272731902</v>
      </c>
      <c r="E301" s="2" t="n">
        <v>0.00111765730546424</v>
      </c>
    </row>
    <row r="302" customFormat="false" ht="13.8" hidden="false" customHeight="false" outlineLevel="0" collapsed="false">
      <c r="B302" s="2" t="n">
        <v>301</v>
      </c>
      <c r="C302" s="2" t="n">
        <v>0.0013176546954419</v>
      </c>
      <c r="D302" s="2" t="n">
        <v>0.00131769039319713</v>
      </c>
      <c r="E302" s="2" t="n">
        <v>0.0011176636332284</v>
      </c>
    </row>
    <row r="303" customFormat="false" ht="13.8" hidden="false" customHeight="false" outlineLevel="0" collapsed="false">
      <c r="B303" s="2" t="n">
        <v>302</v>
      </c>
      <c r="C303" s="2" t="n">
        <v>0.00131766171074695</v>
      </c>
      <c r="D303" s="2" t="n">
        <v>0.00131769805915271</v>
      </c>
      <c r="E303" s="2" t="n">
        <v>0.0011176699610352</v>
      </c>
    </row>
    <row r="304" customFormat="false" ht="13.8" hidden="false" customHeight="false" outlineLevel="0" collapsed="false">
      <c r="B304" s="2" t="n">
        <v>303</v>
      </c>
      <c r="C304" s="2" t="n">
        <v>0.00131766872611413</v>
      </c>
      <c r="D304" s="2" t="n">
        <v>0.0013177057251835</v>
      </c>
      <c r="E304" s="2" t="n">
        <v>0.001117676288911</v>
      </c>
    </row>
    <row r="305" customFormat="false" ht="13.8" hidden="false" customHeight="false" outlineLevel="0" collapsed="false">
      <c r="B305" s="2" t="n">
        <v>304</v>
      </c>
      <c r="C305" s="2" t="n">
        <v>0.00131767574154553</v>
      </c>
      <c r="D305" s="2" t="n">
        <v>0.00131771339129281</v>
      </c>
      <c r="E305" s="2" t="n">
        <v>0.00111768261685473</v>
      </c>
    </row>
    <row r="306" customFormat="false" ht="13.8" hidden="false" customHeight="false" outlineLevel="0" collapsed="false">
      <c r="B306" s="2" t="n">
        <v>305</v>
      </c>
      <c r="C306" s="2" t="n">
        <v>0.00131768275705067</v>
      </c>
      <c r="D306" s="2" t="n">
        <v>0.00131772105747784</v>
      </c>
      <c r="E306" s="2" t="n">
        <v>0.00111768894485882</v>
      </c>
    </row>
    <row r="307" customFormat="false" ht="13.8" hidden="false" customHeight="false" outlineLevel="0" collapsed="false">
      <c r="B307" s="2" t="n">
        <v>306</v>
      </c>
      <c r="C307" s="2" t="n">
        <v>0.00131768977262199</v>
      </c>
      <c r="D307" s="2" t="n">
        <v>0.00131772872373946</v>
      </c>
      <c r="E307" s="2" t="n">
        <v>0.00111769527292954</v>
      </c>
    </row>
    <row r="308" customFormat="false" ht="13.8" hidden="false" customHeight="false" outlineLevel="0" collapsed="false">
      <c r="B308" s="2" t="n">
        <v>307</v>
      </c>
      <c r="C308" s="2" t="n">
        <v>0.00131768367193382</v>
      </c>
      <c r="D308" s="2" t="n">
        <v>0.00131773281300588</v>
      </c>
      <c r="E308" s="2" t="n">
        <v>0.00111771377260949</v>
      </c>
    </row>
    <row r="309" customFormat="false" ht="13.8" hidden="false" customHeight="false" outlineLevel="0" collapsed="false">
      <c r="B309" s="2" t="n">
        <v>308</v>
      </c>
      <c r="C309" s="2" t="n">
        <v>0.00131769184885231</v>
      </c>
      <c r="D309" s="2" t="n">
        <v>0.00131774099041688</v>
      </c>
      <c r="E309" s="2" t="n">
        <v>0.0011177204995703</v>
      </c>
    </row>
    <row r="310" customFormat="false" ht="13.8" hidden="false" customHeight="false" outlineLevel="0" collapsed="false">
      <c r="B310" s="2" t="n">
        <v>309</v>
      </c>
      <c r="C310" s="2" t="n">
        <v>0.00131770002585257</v>
      </c>
      <c r="D310" s="2" t="n">
        <v>0.00131774916790757</v>
      </c>
      <c r="E310" s="2" t="n">
        <v>0.00111772722659838</v>
      </c>
    </row>
    <row r="311" customFormat="false" ht="13.8" hidden="false" customHeight="false" outlineLevel="0" collapsed="false">
      <c r="B311" s="2" t="n">
        <v>310</v>
      </c>
      <c r="C311" s="2" t="n">
        <v>0.00131770820291411</v>
      </c>
      <c r="D311" s="2" t="n">
        <v>0.00131775859224343</v>
      </c>
      <c r="E311" s="2" t="n">
        <v>0.00111773395367257</v>
      </c>
    </row>
    <row r="312" customFormat="false" ht="13.8" hidden="false" customHeight="false" outlineLevel="0" collapsed="false">
      <c r="B312" s="2" t="n">
        <v>311</v>
      </c>
      <c r="C312" s="2" t="n">
        <v>0.00131772496483433</v>
      </c>
      <c r="D312" s="2" t="n">
        <v>0.00131776818955818</v>
      </c>
      <c r="E312" s="2" t="n">
        <v>0.00111772691418295</v>
      </c>
    </row>
    <row r="313" customFormat="false" ht="13.8" hidden="false" customHeight="false" outlineLevel="0" collapsed="false">
      <c r="B313" s="2" t="n">
        <v>312</v>
      </c>
      <c r="C313" s="2" t="n">
        <v>0.00131773194303085</v>
      </c>
      <c r="D313" s="2" t="n">
        <v>0.0013177758939844</v>
      </c>
      <c r="E313" s="2" t="n">
        <v>0.00111773324260979</v>
      </c>
    </row>
    <row r="314" customFormat="false" ht="13.8" hidden="false" customHeight="false" outlineLevel="0" collapsed="false">
      <c r="B314" s="2" t="n">
        <v>313</v>
      </c>
      <c r="C314" s="2" t="n">
        <v>0.00131773892130128</v>
      </c>
      <c r="D314" s="2" t="n">
        <v>0.00131778359848357</v>
      </c>
      <c r="E314" s="2" t="n">
        <v>0.00111773957109579</v>
      </c>
    </row>
    <row r="315" customFormat="false" ht="13.8" hidden="false" customHeight="false" outlineLevel="0" collapsed="false">
      <c r="B315" s="2" t="n">
        <v>314</v>
      </c>
      <c r="C315" s="2" t="n">
        <v>0.00131774714648874</v>
      </c>
      <c r="D315" s="2" t="n">
        <v>0.00131779130286495</v>
      </c>
      <c r="E315" s="2" t="n">
        <v>0.00111774718429903</v>
      </c>
    </row>
    <row r="316" customFormat="false" ht="13.8" hidden="false" customHeight="false" outlineLevel="0" collapsed="false">
      <c r="B316" s="2" t="n">
        <v>315</v>
      </c>
      <c r="C316" s="2" t="n">
        <v>0.00131781011361952</v>
      </c>
      <c r="D316" s="2" t="n">
        <v>0.00131781510052025</v>
      </c>
      <c r="E316" s="2" t="n">
        <v>0.00111780996249818</v>
      </c>
    </row>
    <row r="317" customFormat="false" ht="13.8" hidden="false" customHeight="false" outlineLevel="0" collapsed="false">
      <c r="B317" s="2" t="n">
        <v>316</v>
      </c>
      <c r="C317" s="2" t="n">
        <v>0.000199999999716585</v>
      </c>
      <c r="D317" s="2" t="n">
        <v>0.000199999998777876</v>
      </c>
      <c r="E317" s="2" t="n">
        <v>0</v>
      </c>
    </row>
    <row r="318" customFormat="false" ht="13.8" hidden="false" customHeight="false" outlineLevel="0" collapsed="false">
      <c r="B318" s="2" t="n">
        <v>317</v>
      </c>
      <c r="C318" s="2" t="n">
        <v>0.000199999999649422</v>
      </c>
      <c r="D318" s="2" t="n">
        <v>0.000199999998488263</v>
      </c>
      <c r="E318" s="2" t="n">
        <v>0</v>
      </c>
    </row>
    <row r="319" customFormat="false" ht="13.8" hidden="false" customHeight="false" outlineLevel="0" collapsed="false">
      <c r="B319" s="2" t="n">
        <v>318</v>
      </c>
      <c r="C319" s="2" t="n">
        <v>0.000199999999510671</v>
      </c>
      <c r="D319" s="2" t="n">
        <v>0.00019999999788995</v>
      </c>
      <c r="E319" s="2" t="n">
        <v>0</v>
      </c>
    </row>
    <row r="320" customFormat="false" ht="13.8" hidden="false" customHeight="false" outlineLevel="0" collapsed="false">
      <c r="B320" s="2" t="n">
        <v>319</v>
      </c>
      <c r="C320" s="2" t="n">
        <v>0</v>
      </c>
      <c r="D320" s="2" t="n">
        <v>0.000199999997291637</v>
      </c>
      <c r="E320" s="2" t="n">
        <v>0</v>
      </c>
    </row>
    <row r="321" customFormat="false" ht="13.8" hidden="false" customHeight="false" outlineLevel="0" collapsed="false">
      <c r="B321" s="2" t="n">
        <v>320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321</v>
      </c>
      <c r="C322" s="2" t="n">
        <v>0.000199999999094417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322</v>
      </c>
      <c r="C323" s="2" t="n">
        <v>0.000199999999004251</v>
      </c>
      <c r="D323" s="2" t="n">
        <v>2.0781065948863E-016</v>
      </c>
      <c r="E323" s="2" t="n">
        <v>0</v>
      </c>
    </row>
    <row r="324" customFormat="false" ht="13.8" hidden="false" customHeight="false" outlineLevel="0" collapsed="false">
      <c r="B324" s="2" t="n">
        <v>323</v>
      </c>
      <c r="C324" s="2" t="n">
        <v>0</v>
      </c>
      <c r="D324" s="2" t="n">
        <v>4.99536740060154E-009</v>
      </c>
      <c r="E324" s="2" t="n">
        <v>0</v>
      </c>
    </row>
    <row r="325" customFormat="false" ht="13.8" hidden="false" customHeight="false" outlineLevel="0" collapsed="false">
      <c r="B325" s="2" t="n">
        <v>324</v>
      </c>
      <c r="C325" s="2" t="n">
        <v>0</v>
      </c>
      <c r="D325" s="2" t="n">
        <v>9.99507859719505E-009</v>
      </c>
      <c r="E325" s="2" t="n">
        <v>0</v>
      </c>
    </row>
    <row r="326" customFormat="false" ht="13.8" hidden="false" customHeight="false" outlineLevel="0" collapsed="false">
      <c r="B326" s="2" t="n">
        <v>325</v>
      </c>
      <c r="C326" s="2" t="n">
        <v>2.36115792262764E-011</v>
      </c>
      <c r="D326" s="2" t="n">
        <v>1.49948397953352E-008</v>
      </c>
      <c r="E326" s="2" t="n">
        <v>0</v>
      </c>
    </row>
    <row r="327" customFormat="false" ht="13.8" hidden="false" customHeight="false" outlineLevel="0" collapsed="false">
      <c r="B327" s="2" t="n">
        <v>326</v>
      </c>
      <c r="C327" s="2" t="n">
        <v>0.000199999998636982</v>
      </c>
      <c r="D327" s="2" t="n">
        <v>1.99946225057301E-008</v>
      </c>
      <c r="E327" s="2" t="n">
        <v>0</v>
      </c>
    </row>
    <row r="328" customFormat="false" ht="13.8" hidden="false" customHeight="false" outlineLevel="0" collapsed="false">
      <c r="B328" s="2" t="n">
        <v>327</v>
      </c>
      <c r="C328" s="2" t="n">
        <v>3.30099321849586E-009</v>
      </c>
      <c r="D328" s="2" t="n">
        <v>2.49944552186474E-008</v>
      </c>
      <c r="E328" s="2" t="n">
        <v>0</v>
      </c>
    </row>
    <row r="329" customFormat="false" ht="13.8" hidden="false" customHeight="false" outlineLevel="0" collapsed="false">
      <c r="B329" s="2" t="n">
        <v>328</v>
      </c>
      <c r="C329" s="2" t="n">
        <v>0</v>
      </c>
      <c r="D329" s="2" t="n">
        <v>2.99943379345208E-008</v>
      </c>
      <c r="E329" s="2" t="n">
        <v>0</v>
      </c>
    </row>
    <row r="330" customFormat="false" ht="13.8" hidden="false" customHeight="false" outlineLevel="0" collapsed="false">
      <c r="B330" s="2" t="n">
        <v>329</v>
      </c>
      <c r="C330" s="2" t="n">
        <v>0</v>
      </c>
      <c r="D330" s="2" t="n">
        <v>3.49942706538129E-008</v>
      </c>
      <c r="E330" s="2" t="n">
        <v>0</v>
      </c>
    </row>
    <row r="331" customFormat="false" ht="13.8" hidden="false" customHeight="false" outlineLevel="0" collapsed="false">
      <c r="B331" s="2" t="n">
        <v>330</v>
      </c>
      <c r="C331" s="2" t="n">
        <v>0</v>
      </c>
      <c r="D331" s="2" t="n">
        <v>3.99945999979741E-008</v>
      </c>
      <c r="E331" s="2" t="n">
        <v>0</v>
      </c>
    </row>
    <row r="332" customFormat="false" ht="13.8" hidden="false" customHeight="false" outlineLevel="0" collapsed="false">
      <c r="B332" s="2" t="n">
        <v>331</v>
      </c>
      <c r="C332" s="2" t="n">
        <v>1.59634076572883E-009</v>
      </c>
      <c r="D332" s="2" t="n">
        <v>4.49949793466238E-008</v>
      </c>
      <c r="E332" s="2" t="n">
        <v>0</v>
      </c>
    </row>
    <row r="333" customFormat="false" ht="13.8" hidden="false" customHeight="false" outlineLevel="0" collapsed="false">
      <c r="B333" s="2" t="n">
        <v>332</v>
      </c>
      <c r="C333" s="2" t="n">
        <v>4.72234203088049E-011</v>
      </c>
      <c r="D333" s="2" t="n">
        <v>4.9995408700304E-008</v>
      </c>
      <c r="E333" s="2" t="n">
        <v>0</v>
      </c>
    </row>
    <row r="334" customFormat="false" ht="13.8" hidden="false" customHeight="false" outlineLevel="0" collapsed="false">
      <c r="B334" s="2" t="n">
        <v>333</v>
      </c>
      <c r="C334" s="2" t="n">
        <v>1.6969515468245E-009</v>
      </c>
      <c r="D334" s="2" t="n">
        <v>5.49958880594483E-008</v>
      </c>
      <c r="E334" s="2" t="n">
        <v>0</v>
      </c>
    </row>
    <row r="335" customFormat="false" ht="13.8" hidden="false" customHeight="false" outlineLevel="0" collapsed="false">
      <c r="B335" s="2" t="n">
        <v>334</v>
      </c>
      <c r="C335" s="2" t="n">
        <v>0</v>
      </c>
      <c r="D335" s="2" t="n">
        <v>5.99964531426936E-008</v>
      </c>
      <c r="E335" s="2" t="n">
        <v>1.24780343319124E-009</v>
      </c>
    </row>
    <row r="336" customFormat="false" ht="13.8" hidden="false" customHeight="false" outlineLevel="0" collapsed="false">
      <c r="B336" s="2" t="n">
        <v>335</v>
      </c>
      <c r="C336" s="2" t="n">
        <v>0</v>
      </c>
      <c r="D336" s="2" t="n">
        <v>6.49970682323933E-008</v>
      </c>
      <c r="E336" s="2" t="n">
        <v>0</v>
      </c>
    </row>
    <row r="337" customFormat="false" ht="13.8" hidden="false" customHeight="false" outlineLevel="0" collapsed="false">
      <c r="B337" s="2" t="n">
        <v>336</v>
      </c>
      <c r="C337" s="2" t="n">
        <v>0</v>
      </c>
      <c r="D337" s="2" t="n">
        <v>6.99977333291547E-008</v>
      </c>
      <c r="E337" s="2" t="n">
        <v>0</v>
      </c>
    </row>
    <row r="338" customFormat="false" ht="13.8" hidden="false" customHeight="false" outlineLevel="0" collapsed="false">
      <c r="B338" s="2" t="n">
        <v>337</v>
      </c>
      <c r="C338" s="2" t="n">
        <v>0</v>
      </c>
      <c r="D338" s="2" t="n">
        <v>7.49984484334546E-008</v>
      </c>
      <c r="E338" s="2" t="n">
        <v>0</v>
      </c>
    </row>
    <row r="339" customFormat="false" ht="13.8" hidden="false" customHeight="false" outlineLevel="0" collapsed="false">
      <c r="B339" s="2" t="n">
        <v>338</v>
      </c>
      <c r="C339" s="2" t="n">
        <v>0</v>
      </c>
      <c r="D339" s="2" t="n">
        <v>7.99993714393618E-008</v>
      </c>
      <c r="E339" s="2" t="n">
        <v>2.36115962482328E-011</v>
      </c>
    </row>
    <row r="340" customFormat="false" ht="13.8" hidden="false" customHeight="false" outlineLevel="0" collapsed="false">
      <c r="B340" s="2" t="n">
        <v>339</v>
      </c>
      <c r="C340" s="2" t="n">
        <v>0</v>
      </c>
      <c r="D340" s="2" t="n">
        <v>8.5000344453863E-008</v>
      </c>
      <c r="E340" s="2" t="n">
        <v>5.50015761011441E-010</v>
      </c>
    </row>
    <row r="341" customFormat="false" ht="13.8" hidden="false" customHeight="false" outlineLevel="0" collapsed="false">
      <c r="B341" s="2" t="n">
        <v>340</v>
      </c>
      <c r="C341" s="2" t="n">
        <v>0</v>
      </c>
      <c r="D341" s="2" t="n">
        <v>9.00013674773918E-008</v>
      </c>
      <c r="E341" s="2" t="n">
        <v>2.36117381456016E-011</v>
      </c>
    </row>
    <row r="342" customFormat="false" ht="13.8" hidden="false" customHeight="false" outlineLevel="0" collapsed="false">
      <c r="B342" s="2" t="n">
        <v>341</v>
      </c>
      <c r="C342" s="2" t="n">
        <v>0</v>
      </c>
      <c r="D342" s="2" t="n">
        <v>9.50024405104107E-008</v>
      </c>
      <c r="E342" s="2" t="n">
        <v>2.36115962710692E-011</v>
      </c>
    </row>
    <row r="343" customFormat="false" ht="13.8" hidden="false" customHeight="false" outlineLevel="0" collapsed="false">
      <c r="B343" s="2" t="n">
        <v>342</v>
      </c>
      <c r="C343" s="2" t="n">
        <v>0</v>
      </c>
      <c r="D343" s="2" t="n">
        <v>1.00004139955857E-007</v>
      </c>
      <c r="E343" s="2" t="n">
        <v>4.92769080377804E-009</v>
      </c>
    </row>
    <row r="344" customFormat="false" ht="13.8" hidden="false" customHeight="false" outlineLevel="0" collapsed="false">
      <c r="B344" s="2" t="n">
        <v>343</v>
      </c>
      <c r="C344" s="2" t="n">
        <v>0</v>
      </c>
      <c r="D344" s="2" t="n">
        <v>1.05005889411863E-007</v>
      </c>
      <c r="E344" s="2" t="n">
        <v>0</v>
      </c>
    </row>
    <row r="345" customFormat="false" ht="13.8" hidden="false" customHeight="false" outlineLevel="0" collapsed="false">
      <c r="B345" s="2" t="n">
        <v>344</v>
      </c>
      <c r="C345" s="2" t="n">
        <v>0</v>
      </c>
      <c r="D345" s="2" t="n">
        <v>1.10007688878877E-007</v>
      </c>
      <c r="E345" s="2" t="n">
        <v>0</v>
      </c>
    </row>
    <row r="346" customFormat="false" ht="13.8" hidden="false" customHeight="false" outlineLevel="0" collapsed="false">
      <c r="B346" s="2" t="n">
        <v>345</v>
      </c>
      <c r="C346" s="2" t="n">
        <v>0.000199999999011441</v>
      </c>
      <c r="D346" s="2" t="n">
        <v>1.15009538357398E-007</v>
      </c>
      <c r="E346" s="2" t="n">
        <v>0</v>
      </c>
    </row>
    <row r="347" customFormat="false" ht="13.8" hidden="false" customHeight="false" outlineLevel="0" collapsed="false">
      <c r="B347" s="2" t="n">
        <v>346</v>
      </c>
      <c r="C347" s="2" t="n">
        <v>0.000199999999088131</v>
      </c>
      <c r="D347" s="2" t="n">
        <v>1.20011069203297E-007</v>
      </c>
      <c r="E347" s="2" t="n">
        <v>2.36115963037653E-011</v>
      </c>
    </row>
    <row r="348" customFormat="false" ht="13.8" hidden="false" customHeight="false" outlineLevel="0" collapsed="false">
      <c r="B348" s="2" t="n">
        <v>347</v>
      </c>
      <c r="C348" s="2" t="n">
        <v>0.000200004999214821</v>
      </c>
      <c r="D348" s="2" t="n">
        <v>1.25012650061679E-007</v>
      </c>
      <c r="E348" s="2" t="n">
        <v>4.99918730373224E-009</v>
      </c>
    </row>
    <row r="349" customFormat="false" ht="13.8" hidden="false" customHeight="false" outlineLevel="0" collapsed="false">
      <c r="B349" s="2" t="n">
        <v>348</v>
      </c>
      <c r="C349" s="2" t="n">
        <v>0.000200009999391512</v>
      </c>
      <c r="D349" s="2" t="n">
        <v>1.30014280933129E-007</v>
      </c>
      <c r="E349" s="2" t="n">
        <v>9.99936652168229E-009</v>
      </c>
    </row>
    <row r="350" customFormat="false" ht="13.8" hidden="false" customHeight="false" outlineLevel="0" collapsed="false">
      <c r="B350" s="2" t="n">
        <v>349</v>
      </c>
      <c r="C350" s="2" t="n">
        <v>0.0001999999993182</v>
      </c>
      <c r="D350" s="2" t="n">
        <v>0.000199999997059991</v>
      </c>
      <c r="E350" s="2" t="n">
        <v>4.25619803239835E-009</v>
      </c>
    </row>
    <row r="351" customFormat="false" ht="13.8" hidden="false" customHeight="false" outlineLevel="0" collapsed="false">
      <c r="B351" s="2" t="n">
        <v>350</v>
      </c>
      <c r="C351" s="2" t="n">
        <v>0.000200019999949202</v>
      </c>
      <c r="D351" s="2" t="n">
        <v>0.000200019998124856</v>
      </c>
      <c r="E351" s="2" t="n">
        <v>1.99999310540833E-008</v>
      </c>
    </row>
    <row r="352" customFormat="false" ht="13.8" hidden="false" customHeight="false" outlineLevel="0" collapsed="false">
      <c r="B352" s="2" t="n">
        <v>351</v>
      </c>
      <c r="C352" s="2" t="n">
        <v>0.000200025000330201</v>
      </c>
      <c r="D352" s="2" t="n">
        <v>0.000200024998939717</v>
      </c>
      <c r="E352" s="2" t="n">
        <v>2.50003163695119E-008</v>
      </c>
    </row>
    <row r="353" customFormat="false" ht="13.8" hidden="false" customHeight="false" outlineLevel="0" collapsed="false">
      <c r="B353" s="2" t="n">
        <v>352</v>
      </c>
      <c r="C353" s="2" t="n">
        <v>0.00131729565199825</v>
      </c>
      <c r="D353" s="2" t="n">
        <v>0.00131730731287743</v>
      </c>
      <c r="E353" s="2" t="n">
        <v>0.00111732098865231</v>
      </c>
    </row>
    <row r="354" customFormat="false" ht="13.8" hidden="false" customHeight="false" outlineLevel="0" collapsed="false">
      <c r="B354" s="2" t="n">
        <v>353</v>
      </c>
      <c r="C354" s="2" t="n">
        <v>0.00131730247493356</v>
      </c>
      <c r="D354" s="2" t="n">
        <v>0.00131731398887381</v>
      </c>
      <c r="E354" s="2" t="n">
        <v>0.00111732716205924</v>
      </c>
    </row>
    <row r="355" customFormat="false" ht="13.8" hidden="false" customHeight="false" outlineLevel="0" collapsed="false">
      <c r="B355" s="2" t="n">
        <v>354</v>
      </c>
      <c r="C355" s="2" t="n">
        <v>0.00131730929783153</v>
      </c>
      <c r="D355" s="2" t="n">
        <v>0.00131732066427982</v>
      </c>
      <c r="E355" s="2" t="n">
        <v>0.00111733333541747</v>
      </c>
    </row>
    <row r="356" customFormat="false" ht="13.8" hidden="false" customHeight="false" outlineLevel="0" collapsed="false">
      <c r="B356" s="2" t="n">
        <v>355</v>
      </c>
      <c r="C356" s="2" t="n">
        <v>0.00131731612079725</v>
      </c>
      <c r="D356" s="2" t="n">
        <v>0.00131732733954978</v>
      </c>
      <c r="E356" s="2" t="n">
        <v>0.00111733950883743</v>
      </c>
    </row>
    <row r="357" customFormat="false" ht="13.8" hidden="false" customHeight="false" outlineLevel="0" collapsed="false">
      <c r="B357" s="2" t="n">
        <v>356</v>
      </c>
      <c r="C357" s="2" t="n">
        <v>0.00131732294383121</v>
      </c>
      <c r="D357" s="2" t="n">
        <v>0.00131733401467402</v>
      </c>
      <c r="E357" s="2" t="n">
        <v>0.00111734568231912</v>
      </c>
    </row>
    <row r="358" customFormat="false" ht="13.8" hidden="false" customHeight="false" outlineLevel="0" collapsed="false">
      <c r="B358" s="2" t="n">
        <v>357</v>
      </c>
      <c r="C358" s="2" t="n">
        <v>0.00131732976693174</v>
      </c>
      <c r="D358" s="2" t="n">
        <v>0.00131734068964503</v>
      </c>
      <c r="E358" s="2" t="n">
        <v>0.00111735185586255</v>
      </c>
    </row>
    <row r="359" customFormat="false" ht="13.8" hidden="false" customHeight="false" outlineLevel="0" collapsed="false">
      <c r="B359" s="2" t="n">
        <v>358</v>
      </c>
      <c r="C359" s="2" t="n">
        <v>0.00131733659009235</v>
      </c>
      <c r="D359" s="2" t="n">
        <v>0.00131734736441721</v>
      </c>
      <c r="E359" s="2" t="n">
        <v>0.00111735802945873</v>
      </c>
    </row>
    <row r="360" customFormat="false" ht="13.8" hidden="false" customHeight="false" outlineLevel="0" collapsed="false">
      <c r="B360" s="2" t="n">
        <v>359</v>
      </c>
      <c r="C360" s="2" t="n">
        <v>0.00131734341331808</v>
      </c>
      <c r="D360" s="2" t="n">
        <v>0.00131735403902003</v>
      </c>
      <c r="E360" s="2" t="n">
        <v>0.00111736420311665</v>
      </c>
    </row>
    <row r="361" customFormat="false" ht="13.8" hidden="false" customHeight="false" outlineLevel="0" collapsed="false">
      <c r="B361" s="2" t="n">
        <v>360</v>
      </c>
      <c r="C361" s="2" t="n">
        <v>0.0013173502366025</v>
      </c>
      <c r="D361" s="2" t="n">
        <v>0.00131736071344477</v>
      </c>
      <c r="E361" s="2" t="n">
        <v>0.00111737037683631</v>
      </c>
    </row>
    <row r="362" customFormat="false" ht="13.8" hidden="false" customHeight="false" outlineLevel="0" collapsed="false">
      <c r="B362" s="2" t="n">
        <v>361</v>
      </c>
      <c r="C362" s="2" t="n">
        <v>0.0013173559267981</v>
      </c>
      <c r="D362" s="2" t="n">
        <v>0.00131736692539874</v>
      </c>
      <c r="E362" s="2" t="n">
        <v>0.0011173765506177</v>
      </c>
    </row>
    <row r="363" customFormat="false" ht="13.8" hidden="false" customHeight="false" outlineLevel="0" collapsed="false">
      <c r="B363" s="2" t="n">
        <v>362</v>
      </c>
      <c r="C363" s="2" t="n">
        <v>0.00131736278798656</v>
      </c>
      <c r="D363" s="2" t="n">
        <v>0.00131737378669695</v>
      </c>
      <c r="E363" s="2" t="n">
        <v>0.00111738272444495</v>
      </c>
    </row>
    <row r="364" customFormat="false" ht="13.8" hidden="false" customHeight="false" outlineLevel="0" collapsed="false">
      <c r="B364" s="2" t="n">
        <v>363</v>
      </c>
      <c r="C364" s="2" t="n">
        <v>0.00131736964924328</v>
      </c>
      <c r="D364" s="2" t="n">
        <v>0.0013173806480638</v>
      </c>
      <c r="E364" s="2" t="n">
        <v>0.00111738889833393</v>
      </c>
    </row>
    <row r="365" customFormat="false" ht="13.8" hidden="false" customHeight="false" outlineLevel="0" collapsed="false">
      <c r="B365" s="2" t="n">
        <v>364</v>
      </c>
      <c r="C365" s="2" t="n">
        <v>0.0013173765105689</v>
      </c>
      <c r="D365" s="2" t="n">
        <v>0.0013173875094992</v>
      </c>
      <c r="E365" s="2" t="n">
        <v>0.00111739507228465</v>
      </c>
    </row>
    <row r="366" customFormat="false" ht="13.8" hidden="false" customHeight="false" outlineLevel="0" collapsed="false">
      <c r="B366" s="2" t="n">
        <v>365</v>
      </c>
      <c r="C366" s="2" t="n">
        <v>0.00131738337196291</v>
      </c>
      <c r="D366" s="2" t="n">
        <v>0.00131739437100326</v>
      </c>
      <c r="E366" s="2" t="n">
        <v>0.00111740124629712</v>
      </c>
    </row>
    <row r="367" customFormat="false" ht="13.8" hidden="false" customHeight="false" outlineLevel="0" collapsed="false">
      <c r="B367" s="2" t="n">
        <v>366</v>
      </c>
      <c r="C367" s="2" t="n">
        <v>0.00131739023342564</v>
      </c>
      <c r="D367" s="2" t="n">
        <v>0.00131740123257587</v>
      </c>
      <c r="E367" s="2" t="n">
        <v>0.00111740742037132</v>
      </c>
    </row>
    <row r="368" customFormat="false" ht="13.8" hidden="false" customHeight="false" outlineLevel="0" collapsed="false">
      <c r="B368" s="2" t="n">
        <v>367</v>
      </c>
      <c r="C368" s="2" t="n">
        <v>0.00131739709495687</v>
      </c>
      <c r="D368" s="2" t="n">
        <v>0.00131740809421716</v>
      </c>
      <c r="E368" s="2" t="n">
        <v>0.00111741359450727</v>
      </c>
    </row>
    <row r="369" customFormat="false" ht="13.8" hidden="false" customHeight="false" outlineLevel="0" collapsed="false">
      <c r="B369" s="2" t="n">
        <v>368</v>
      </c>
      <c r="C369" s="2" t="n">
        <v>0.00131740395655683</v>
      </c>
      <c r="D369" s="2" t="n">
        <v>0.00131741495592705</v>
      </c>
      <c r="E369" s="2" t="n">
        <v>0.00111741976870495</v>
      </c>
    </row>
    <row r="370" customFormat="false" ht="13.8" hidden="false" customHeight="false" outlineLevel="0" collapsed="false">
      <c r="B370" s="2" t="n">
        <v>369</v>
      </c>
      <c r="C370" s="2" t="n">
        <v>0.00131741081822532</v>
      </c>
      <c r="D370" s="2" t="n">
        <v>0.00131742181770557</v>
      </c>
      <c r="E370" s="2" t="n">
        <v>0.00111742594296438</v>
      </c>
    </row>
    <row r="371" customFormat="false" ht="13.8" hidden="false" customHeight="false" outlineLevel="0" collapsed="false">
      <c r="B371" s="2" t="n">
        <v>370</v>
      </c>
      <c r="C371" s="2" t="n">
        <v>0.00131741767996249</v>
      </c>
      <c r="D371" s="2" t="n">
        <v>0.00131742867955269</v>
      </c>
      <c r="E371" s="2" t="n">
        <v>0.00111743211728556</v>
      </c>
    </row>
    <row r="372" customFormat="false" ht="13.8" hidden="false" customHeight="false" outlineLevel="0" collapsed="false">
      <c r="B372" s="2" t="n">
        <v>371</v>
      </c>
      <c r="C372" s="2" t="n">
        <v>0.00131742454176821</v>
      </c>
      <c r="D372" s="2" t="n">
        <v>0.00131743554146843</v>
      </c>
      <c r="E372" s="2" t="n">
        <v>0.00111743829166847</v>
      </c>
    </row>
    <row r="373" customFormat="false" ht="13.8" hidden="false" customHeight="false" outlineLevel="0" collapsed="false">
      <c r="B373" s="2" t="n">
        <v>372</v>
      </c>
      <c r="C373" s="2" t="n">
        <v>0.0013174314036426</v>
      </c>
      <c r="D373" s="2" t="n">
        <v>0.00131744240345279</v>
      </c>
      <c r="E373" s="2" t="n">
        <v>0.00111744446611313</v>
      </c>
    </row>
    <row r="374" customFormat="false" ht="13.8" hidden="false" customHeight="false" outlineLevel="0" collapsed="false">
      <c r="B374" s="2" t="n">
        <v>373</v>
      </c>
      <c r="C374" s="2" t="n">
        <v>0.00131743826558554</v>
      </c>
      <c r="D374" s="2" t="n">
        <v>0.00131744926550577</v>
      </c>
      <c r="E374" s="2" t="n">
        <v>0.00111745064061954</v>
      </c>
    </row>
    <row r="375" customFormat="false" ht="13.8" hidden="false" customHeight="false" outlineLevel="0" collapsed="false">
      <c r="B375" s="2" t="n">
        <v>374</v>
      </c>
      <c r="C375" s="2" t="n">
        <v>0.00131744512759714</v>
      </c>
      <c r="D375" s="2" t="n">
        <v>0.00131745612762737</v>
      </c>
      <c r="E375" s="2" t="n">
        <v>0.00111745681518769</v>
      </c>
    </row>
    <row r="376" customFormat="false" ht="13.8" hidden="false" customHeight="false" outlineLevel="0" collapsed="false">
      <c r="B376" s="2" t="n">
        <v>375</v>
      </c>
      <c r="C376" s="2" t="n">
        <v>0.00131745198967738</v>
      </c>
      <c r="D376" s="2" t="n">
        <v>0.00131746298981759</v>
      </c>
      <c r="E376" s="2" t="n">
        <v>0.00111746298981759</v>
      </c>
    </row>
    <row r="377" customFormat="false" ht="13.8" hidden="false" customHeight="false" outlineLevel="0" collapsed="false">
      <c r="B377" s="2" t="n">
        <v>376</v>
      </c>
      <c r="C377" s="2" t="n">
        <v>0.00131743916660914</v>
      </c>
      <c r="D377" s="2" t="n">
        <v>0.00131746916450923</v>
      </c>
      <c r="E377" s="2" t="n">
        <v>0.00111746916450923</v>
      </c>
    </row>
    <row r="378" customFormat="false" ht="13.8" hidden="false" customHeight="false" outlineLevel="0" collapsed="false">
      <c r="B378" s="2" t="n">
        <v>377</v>
      </c>
      <c r="C378" s="2" t="n">
        <v>0.00131744734108255</v>
      </c>
      <c r="D378" s="2" t="n">
        <v>0.0013174711633647</v>
      </c>
      <c r="E378" s="2" t="n">
        <v>0.00111747731405614</v>
      </c>
    </row>
    <row r="379" customFormat="false" ht="13.8" hidden="false" customHeight="false" outlineLevel="0" collapsed="false">
      <c r="B379" s="2" t="n">
        <v>378</v>
      </c>
      <c r="C379" s="2" t="n">
        <v>0.00131745551563771</v>
      </c>
      <c r="D379" s="2" t="n">
        <v>0.00131747933815805</v>
      </c>
      <c r="E379" s="2" t="n">
        <v>0.00111748403865234</v>
      </c>
    </row>
    <row r="380" customFormat="false" ht="13.8" hidden="false" customHeight="false" outlineLevel="0" collapsed="false">
      <c r="B380" s="2" t="n">
        <v>379</v>
      </c>
      <c r="C380" s="2" t="n">
        <v>0.00131748004316228</v>
      </c>
      <c r="D380" s="2" t="n">
        <v>0.00131749364500168</v>
      </c>
      <c r="E380" s="2" t="n">
        <v>0.00111748829343278</v>
      </c>
    </row>
    <row r="381" customFormat="false" ht="13.8" hidden="false" customHeight="false" outlineLevel="0" collapsed="false">
      <c r="B381" s="2" t="n">
        <v>380</v>
      </c>
      <c r="C381" s="2" t="n">
        <v>0.00131748705670879</v>
      </c>
      <c r="D381" s="2" t="n">
        <v>0.00131750130898929</v>
      </c>
      <c r="E381" s="2" t="n">
        <v>0.00111749461949477</v>
      </c>
    </row>
    <row r="382" customFormat="false" ht="13.8" hidden="false" customHeight="false" outlineLevel="0" collapsed="false">
      <c r="B382" s="2" t="n">
        <v>381</v>
      </c>
      <c r="C382" s="2" t="n">
        <v>0.0013174940703255</v>
      </c>
      <c r="D382" s="2" t="n">
        <v>0.00131750897305355</v>
      </c>
      <c r="E382" s="2" t="n">
        <v>0.00111750094562002</v>
      </c>
    </row>
    <row r="383" customFormat="false" ht="13.8" hidden="false" customHeight="false" outlineLevel="0" collapsed="false">
      <c r="B383" s="2" t="n">
        <v>382</v>
      </c>
      <c r="C383" s="2" t="n">
        <v>0.00131750108401213</v>
      </c>
      <c r="D383" s="2" t="n">
        <v>0.00131751663719444</v>
      </c>
      <c r="E383" s="2" t="n">
        <v>0.00111750727180864</v>
      </c>
    </row>
    <row r="384" customFormat="false" ht="13.8" hidden="false" customHeight="false" outlineLevel="0" collapsed="false">
      <c r="B384" s="2" t="n">
        <v>383</v>
      </c>
      <c r="C384" s="2" t="n">
        <v>0.00131750809776814</v>
      </c>
      <c r="D384" s="2" t="n">
        <v>0.00131752430141197</v>
      </c>
      <c r="E384" s="2" t="n">
        <v>0.00111751359806105</v>
      </c>
    </row>
    <row r="385" customFormat="false" ht="13.8" hidden="false" customHeight="false" outlineLevel="0" collapsed="false">
      <c r="B385" s="2" t="n">
        <v>384</v>
      </c>
      <c r="C385" s="2" t="n">
        <v>0.00131751511159629</v>
      </c>
      <c r="D385" s="2" t="n">
        <v>0.00131753196570609</v>
      </c>
      <c r="E385" s="2" t="n">
        <v>0.00111751992437544</v>
      </c>
    </row>
    <row r="386" customFormat="false" ht="13.8" hidden="false" customHeight="false" outlineLevel="0" collapsed="false">
      <c r="B386" s="2" t="n">
        <v>385</v>
      </c>
      <c r="C386" s="2" t="n">
        <v>0.00131752212549347</v>
      </c>
      <c r="D386" s="2" t="n">
        <v>0.00131753963007688</v>
      </c>
      <c r="E386" s="2" t="n">
        <v>0.00111752625075381</v>
      </c>
    </row>
    <row r="387" customFormat="false" ht="13.8" hidden="false" customHeight="false" outlineLevel="0" collapsed="false">
      <c r="B387" s="2" t="n">
        <v>386</v>
      </c>
      <c r="C387" s="2" t="n">
        <v>0.00131752913945622</v>
      </c>
      <c r="D387" s="2" t="n">
        <v>0.00131754729452444</v>
      </c>
      <c r="E387" s="2" t="n">
        <v>0.00111753257719913</v>
      </c>
    </row>
    <row r="388" customFormat="false" ht="13.8" hidden="false" customHeight="false" outlineLevel="0" collapsed="false">
      <c r="B388" s="2" t="n">
        <v>387</v>
      </c>
      <c r="C388" s="2" t="n">
        <v>0.00131753615349844</v>
      </c>
      <c r="D388" s="2" t="n">
        <v>0.00131755495904856</v>
      </c>
      <c r="E388" s="2" t="n">
        <v>0.0011175389037002</v>
      </c>
    </row>
    <row r="389" customFormat="false" ht="13.8" hidden="false" customHeight="false" outlineLevel="0" collapsed="false">
      <c r="B389" s="2" t="n">
        <v>388</v>
      </c>
      <c r="C389" s="2" t="n">
        <v>0.0013175431676032</v>
      </c>
      <c r="D389" s="2" t="n">
        <v>0.00131756262364926</v>
      </c>
      <c r="E389" s="2" t="n">
        <v>0.00111754523027093</v>
      </c>
    </row>
    <row r="390" customFormat="false" ht="13.8" hidden="false" customHeight="false" outlineLevel="0" collapsed="false">
      <c r="B390" s="2" t="n">
        <v>389</v>
      </c>
      <c r="C390" s="2" t="n">
        <v>0.00131755018178348</v>
      </c>
      <c r="D390" s="2" t="n">
        <v>0.0013175702883267</v>
      </c>
      <c r="E390" s="2" t="n">
        <v>0.00111755155690011</v>
      </c>
    </row>
    <row r="391" customFormat="false" ht="13.8" hidden="false" customHeight="false" outlineLevel="0" collapsed="false">
      <c r="B391" s="2" t="n">
        <v>390</v>
      </c>
      <c r="C391" s="2" t="n">
        <v>0.00131755719602794</v>
      </c>
      <c r="D391" s="2" t="n">
        <v>0.00131757795308065</v>
      </c>
      <c r="E391" s="2" t="n">
        <v>0.00111755788359817</v>
      </c>
    </row>
    <row r="392" customFormat="false" ht="13.8" hidden="false" customHeight="false" outlineLevel="0" collapsed="false">
      <c r="B392" s="2" t="n">
        <v>391</v>
      </c>
      <c r="C392" s="2" t="n">
        <v>0.00131756421034752</v>
      </c>
      <c r="D392" s="2" t="n">
        <v>0.00131758561791141</v>
      </c>
      <c r="E392" s="2" t="n">
        <v>0.00111756421035473</v>
      </c>
    </row>
    <row r="393" customFormat="false" ht="13.8" hidden="false" customHeight="false" outlineLevel="0" collapsed="false">
      <c r="B393" s="2" t="n">
        <v>392</v>
      </c>
      <c r="C393" s="2" t="n">
        <v>0.00131756022448537</v>
      </c>
      <c r="D393" s="2" t="n">
        <v>0.00131759328281876</v>
      </c>
      <c r="E393" s="2" t="n">
        <v>0.00111757053717487</v>
      </c>
    </row>
    <row r="394" customFormat="false" ht="13.8" hidden="false" customHeight="false" outlineLevel="0" collapsed="false">
      <c r="B394" s="2" t="n">
        <v>393</v>
      </c>
      <c r="C394" s="2" t="n">
        <v>0.00131756723883093</v>
      </c>
      <c r="D394" s="2" t="n">
        <v>0.0013176009478023</v>
      </c>
      <c r="E394" s="2" t="n">
        <v>0.00111757686406137</v>
      </c>
    </row>
    <row r="395" customFormat="false" ht="13.8" hidden="false" customHeight="false" outlineLevel="0" collapsed="false">
      <c r="B395" s="2" t="n">
        <v>394</v>
      </c>
      <c r="C395" s="2" t="n">
        <v>0.00131757425325157</v>
      </c>
      <c r="D395" s="2" t="n">
        <v>0.00131760861286345</v>
      </c>
      <c r="E395" s="2" t="n">
        <v>0.0011175831910077</v>
      </c>
    </row>
    <row r="396" customFormat="false" ht="13.8" hidden="false" customHeight="false" outlineLevel="0" collapsed="false">
      <c r="B396" s="2" t="n">
        <v>395</v>
      </c>
      <c r="C396" s="2" t="n">
        <v>0.00131758126773716</v>
      </c>
      <c r="D396" s="2" t="n">
        <v>0.00131761627800073</v>
      </c>
      <c r="E396" s="2" t="n">
        <v>0.0011175895180211</v>
      </c>
    </row>
    <row r="397" customFormat="false" ht="13.8" hidden="false" customHeight="false" outlineLevel="0" collapsed="false">
      <c r="B397" s="2" t="n">
        <v>396</v>
      </c>
      <c r="C397" s="2" t="n">
        <v>0.00131758828229148</v>
      </c>
      <c r="D397" s="2" t="n">
        <v>0.00131762394321403</v>
      </c>
      <c r="E397" s="2" t="n">
        <v>0.00111759584509904</v>
      </c>
    </row>
    <row r="398" customFormat="false" ht="13.8" hidden="false" customHeight="false" outlineLevel="0" collapsed="false">
      <c r="B398" s="2" t="n">
        <v>397</v>
      </c>
      <c r="C398" s="2" t="n">
        <v>0.00131759529692857</v>
      </c>
      <c r="D398" s="2" t="n">
        <v>0.00131763160850532</v>
      </c>
      <c r="E398" s="2" t="n">
        <v>0.00111760217223029</v>
      </c>
    </row>
    <row r="399" customFormat="false" ht="13.8" hidden="false" customHeight="false" outlineLevel="0" collapsed="false">
      <c r="B399" s="2" t="n">
        <v>398</v>
      </c>
      <c r="C399" s="2" t="n">
        <v>0.00131760231161349</v>
      </c>
      <c r="D399" s="2" t="n">
        <v>0.00131763927387148</v>
      </c>
      <c r="E399" s="2" t="n">
        <v>0.00111760849944294</v>
      </c>
    </row>
    <row r="400" customFormat="false" ht="13.8" hidden="false" customHeight="false" outlineLevel="0" collapsed="false">
      <c r="B400" s="2" t="n">
        <v>399</v>
      </c>
      <c r="C400" s="2" t="n">
        <v>0.00131760932639633</v>
      </c>
      <c r="D400" s="2" t="n">
        <v>0.00131764693931647</v>
      </c>
      <c r="E400" s="2" t="n">
        <v>0.00111761482669582</v>
      </c>
    </row>
    <row r="401" customFormat="false" ht="13.8" hidden="false" customHeight="false" outlineLevel="0" collapsed="false">
      <c r="B401" s="2" t="n">
        <v>400</v>
      </c>
      <c r="C401" s="2" t="n">
        <v>0.00131761634117184</v>
      </c>
      <c r="D401" s="2" t="n">
        <v>0.00131765460483682</v>
      </c>
      <c r="E401" s="2" t="n">
        <v>0.00111762115407905</v>
      </c>
    </row>
    <row r="402" customFormat="false" ht="13.8" hidden="false" customHeight="false" outlineLevel="0" collapsed="false">
      <c r="B402" s="2" t="n">
        <v>401</v>
      </c>
      <c r="C402" s="2" t="n">
        <v>0.00131762335614441</v>
      </c>
      <c r="D402" s="2" t="n">
        <v>0.00131766227043331</v>
      </c>
      <c r="E402" s="2" t="n">
        <v>0.00111762748141473</v>
      </c>
    </row>
    <row r="403" customFormat="false" ht="13.8" hidden="false" customHeight="false" outlineLevel="0" collapsed="false">
      <c r="B403" s="2" t="n">
        <v>402</v>
      </c>
      <c r="C403" s="2" t="n">
        <v>0.00131763037111216</v>
      </c>
      <c r="D403" s="2" t="n">
        <v>0.00131766993610806</v>
      </c>
      <c r="E403" s="2" t="n">
        <v>0.00111763380887964</v>
      </c>
    </row>
    <row r="404" customFormat="false" ht="13.8" hidden="false" customHeight="false" outlineLevel="0" collapsed="false">
      <c r="B404" s="2" t="n">
        <v>403</v>
      </c>
      <c r="C404" s="2" t="n">
        <v>0.00131763738617307</v>
      </c>
      <c r="D404" s="2" t="n">
        <v>0.0013176776018585</v>
      </c>
      <c r="E404" s="2" t="n">
        <v>0.00111764013638681</v>
      </c>
    </row>
    <row r="405" customFormat="false" ht="13.8" hidden="false" customHeight="false" outlineLevel="0" collapsed="false">
      <c r="B405" s="2" t="n">
        <v>404</v>
      </c>
      <c r="C405" s="2" t="n">
        <v>0.00131764440127933</v>
      </c>
      <c r="D405" s="2" t="n">
        <v>0.00131768526768321</v>
      </c>
      <c r="E405" s="2" t="n">
        <v>0.00111764646398042</v>
      </c>
    </row>
    <row r="406" customFormat="false" ht="13.8" hidden="false" customHeight="false" outlineLevel="0" collapsed="false">
      <c r="B406" s="2" t="n">
        <v>405</v>
      </c>
      <c r="C406" s="2" t="n">
        <v>0.00131765141648086</v>
      </c>
      <c r="D406" s="2" t="n">
        <v>0.00131769293358796</v>
      </c>
      <c r="E406" s="2" t="n">
        <v>0.00111765279161347</v>
      </c>
    </row>
    <row r="407" customFormat="false" ht="13.8" hidden="false" customHeight="false" outlineLevel="0" collapsed="false">
      <c r="B407" s="2" t="n">
        <v>406</v>
      </c>
      <c r="C407" s="2" t="n">
        <v>0.00131765846950117</v>
      </c>
      <c r="D407" s="2" t="n">
        <v>0.00131770177081081</v>
      </c>
      <c r="E407" s="2" t="n">
        <v>0.00111765911930356</v>
      </c>
    </row>
    <row r="408" customFormat="false" ht="13.8" hidden="false" customHeight="false" outlineLevel="0" collapsed="false">
      <c r="B408" s="2" t="n">
        <v>407</v>
      </c>
      <c r="C408" s="2" t="n">
        <v>0.00131766544703847</v>
      </c>
      <c r="D408" s="2" t="n">
        <v>0.00131770947459045</v>
      </c>
      <c r="E408" s="2" t="n">
        <v>0.00111766544705233</v>
      </c>
    </row>
    <row r="409" customFormat="false" ht="13.8" hidden="false" customHeight="false" outlineLevel="0" collapsed="false">
      <c r="B409" s="2" t="n">
        <v>408</v>
      </c>
      <c r="C409" s="2" t="n">
        <v>0.00131767112506874</v>
      </c>
      <c r="D409" s="2" t="n">
        <v>0.00131771717844245</v>
      </c>
      <c r="E409" s="2" t="n">
        <v>0.00111767177487151</v>
      </c>
    </row>
    <row r="410" customFormat="false" ht="13.8" hidden="false" customHeight="false" outlineLevel="0" collapsed="false">
      <c r="B410" s="2" t="n">
        <v>409</v>
      </c>
      <c r="C410" s="2" t="n">
        <v>0.0013176781027302</v>
      </c>
      <c r="D410" s="2" t="n">
        <v>0.00131772488236977</v>
      </c>
      <c r="E410" s="2" t="n">
        <v>0.00111767946301482</v>
      </c>
    </row>
    <row r="411" customFormat="false" ht="13.8" hidden="false" customHeight="false" outlineLevel="0" collapsed="false">
      <c r="B411" s="2" t="n">
        <v>410</v>
      </c>
      <c r="C411" s="2" t="n">
        <v>0.00020037843408623</v>
      </c>
      <c r="D411" s="2" t="n">
        <v>0.000200378433609578</v>
      </c>
      <c r="E411" s="2" t="n">
        <v>3.7733228425435E-007</v>
      </c>
    </row>
    <row r="412" customFormat="false" ht="13.8" hidden="false" customHeight="false" outlineLevel="0" collapsed="false">
      <c r="B412" s="2" t="n">
        <v>411</v>
      </c>
      <c r="C412" s="2" t="n">
        <v>0.00131775733072672</v>
      </c>
      <c r="D412" s="2" t="n">
        <v>0.00131775733000756</v>
      </c>
      <c r="E412" s="2" t="n">
        <v>0.00111775733071957</v>
      </c>
    </row>
    <row r="413" customFormat="false" ht="13.8" hidden="false" customHeight="false" outlineLevel="0" collapsed="false">
      <c r="B413" s="2" t="n">
        <v>412</v>
      </c>
      <c r="C413" s="2" t="n">
        <v>0.00019999999970965</v>
      </c>
      <c r="D413" s="2" t="n">
        <v>0.000199999998747975</v>
      </c>
      <c r="E413" s="2" t="n">
        <v>0</v>
      </c>
    </row>
    <row r="414" customFormat="false" ht="13.8" hidden="false" customHeight="false" outlineLevel="0" collapsed="false">
      <c r="B414" s="2" t="n">
        <v>413</v>
      </c>
      <c r="C414" s="2" t="n">
        <v>0.000199999999636431</v>
      </c>
      <c r="D414" s="2" t="n">
        <v>0.000199999998432244</v>
      </c>
      <c r="E414" s="2" t="n">
        <v>0</v>
      </c>
    </row>
    <row r="415" customFormat="false" ht="13.8" hidden="false" customHeight="false" outlineLevel="0" collapsed="false">
      <c r="B415" s="2" t="n">
        <v>414</v>
      </c>
      <c r="C415" s="2" t="n">
        <v>0.000199999999496579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415</v>
      </c>
      <c r="C416" s="2" t="n">
        <v>0.000199999999356728</v>
      </c>
      <c r="D416" s="2" t="n">
        <v>0.00019999999722613</v>
      </c>
      <c r="E416" s="2" t="n">
        <v>0</v>
      </c>
    </row>
    <row r="417" customFormat="false" ht="13.8" hidden="false" customHeight="false" outlineLevel="0" collapsed="false">
      <c r="B417" s="2" t="n">
        <v>416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417</v>
      </c>
      <c r="C418" s="2" t="n">
        <v>0.000199999999077025</v>
      </c>
      <c r="D418" s="2" t="n">
        <v>0.000199999996020016</v>
      </c>
      <c r="E418" s="2" t="n">
        <v>0</v>
      </c>
    </row>
    <row r="419" customFormat="false" ht="13.8" hidden="false" customHeight="false" outlineLevel="0" collapsed="false">
      <c r="B419" s="2" t="n">
        <v>418</v>
      </c>
      <c r="C419" s="2" t="n">
        <v>4.72233866376187E-011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419</v>
      </c>
      <c r="C420" s="2" t="n">
        <v>1.60427641124459E-009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420</v>
      </c>
      <c r="C421" s="2" t="n">
        <v>0.000199999998771975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421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422</v>
      </c>
      <c r="C423" s="2" t="n">
        <v>3.72032822166377E-009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423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424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425</v>
      </c>
      <c r="C426" s="2" t="n">
        <v>0</v>
      </c>
      <c r="D426" s="2" t="n">
        <v>2.3611595864732E-011</v>
      </c>
      <c r="E426" s="2" t="n">
        <v>0</v>
      </c>
    </row>
    <row r="427" customFormat="false" ht="13.8" hidden="false" customHeight="false" outlineLevel="0" collapsed="false">
      <c r="B427" s="2" t="n">
        <v>426</v>
      </c>
      <c r="C427" s="2" t="n">
        <v>4.90396946543761E-009</v>
      </c>
      <c r="D427" s="2" t="n">
        <v>4.94578139191575E-009</v>
      </c>
      <c r="E427" s="2" t="n">
        <v>2.36115960329511E-011</v>
      </c>
    </row>
    <row r="428" customFormat="false" ht="13.8" hidden="false" customHeight="false" outlineLevel="0" collapsed="false">
      <c r="B428" s="2" t="n">
        <v>427</v>
      </c>
      <c r="C428" s="2" t="n">
        <v>0</v>
      </c>
      <c r="D428" s="2" t="n">
        <v>4.72234276783694E-011</v>
      </c>
      <c r="E428" s="2" t="n">
        <v>3.76723134737666E-009</v>
      </c>
    </row>
    <row r="429" customFormat="false" ht="13.8" hidden="false" customHeight="false" outlineLevel="0" collapsed="false">
      <c r="B429" s="2" t="n">
        <v>428</v>
      </c>
      <c r="C429" s="2" t="n">
        <v>0</v>
      </c>
      <c r="D429" s="2" t="n">
        <v>4.79179577042413E-010</v>
      </c>
      <c r="E429" s="2" t="n">
        <v>0</v>
      </c>
    </row>
    <row r="430" customFormat="false" ht="13.8" hidden="false" customHeight="false" outlineLevel="0" collapsed="false">
      <c r="B430" s="2" t="n">
        <v>429</v>
      </c>
      <c r="C430" s="2" t="n">
        <v>0</v>
      </c>
      <c r="D430" s="2" t="n">
        <v>2.36115956205815E-011</v>
      </c>
      <c r="E430" s="2" t="n">
        <v>0</v>
      </c>
    </row>
    <row r="431" customFormat="false" ht="13.8" hidden="false" customHeight="false" outlineLevel="0" collapsed="false">
      <c r="B431" s="2" t="n">
        <v>430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431</v>
      </c>
      <c r="C432" s="2" t="n">
        <v>0</v>
      </c>
      <c r="D432" s="2" t="n">
        <v>0</v>
      </c>
      <c r="E432" s="2" t="n">
        <v>8.16873387122879E-010</v>
      </c>
    </row>
    <row r="433" customFormat="false" ht="13.8" hidden="false" customHeight="false" outlineLevel="0" collapsed="false">
      <c r="B433" s="2" t="n">
        <v>432</v>
      </c>
      <c r="C433" s="2" t="n">
        <v>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433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434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435</v>
      </c>
      <c r="C436" s="2" t="n">
        <v>0</v>
      </c>
      <c r="D436" s="2" t="n">
        <v>2.36115963783623E-011</v>
      </c>
      <c r="E436" s="2" t="n">
        <v>1.0251297123529E-016</v>
      </c>
    </row>
    <row r="437" customFormat="false" ht="13.8" hidden="false" customHeight="false" outlineLevel="0" collapsed="false">
      <c r="B437" s="2" t="n">
        <v>436</v>
      </c>
      <c r="C437" s="2" t="n">
        <v>0</v>
      </c>
      <c r="D437" s="2" t="n">
        <v>3.80819745802786E-009</v>
      </c>
      <c r="E437" s="2" t="n">
        <v>2.36115962846181E-011</v>
      </c>
    </row>
    <row r="438" customFormat="false" ht="13.8" hidden="false" customHeight="false" outlineLevel="0" collapsed="false">
      <c r="B438" s="2" t="n">
        <v>437</v>
      </c>
      <c r="C438" s="2" t="n">
        <v>0</v>
      </c>
      <c r="D438" s="2" t="n">
        <v>8.80895344494929E-009</v>
      </c>
      <c r="E438" s="2" t="n">
        <v>4.95093050437765E-009</v>
      </c>
    </row>
    <row r="439" customFormat="false" ht="13.8" hidden="false" customHeight="false" outlineLevel="0" collapsed="false">
      <c r="B439" s="2" t="n">
        <v>438</v>
      </c>
      <c r="C439" s="2" t="n">
        <v>0</v>
      </c>
      <c r="D439" s="2" t="n">
        <v>1.14421362800444E-008</v>
      </c>
      <c r="E439" s="2" t="n">
        <v>2.36115962506681E-011</v>
      </c>
    </row>
    <row r="440" customFormat="false" ht="13.8" hidden="false" customHeight="false" outlineLevel="0" collapsed="false">
      <c r="B440" s="2" t="n">
        <v>439</v>
      </c>
      <c r="C440" s="2" t="n">
        <v>0.000199999998821183</v>
      </c>
      <c r="D440" s="2" t="n">
        <v>1.99954168027432E-008</v>
      </c>
      <c r="E440" s="2" t="n">
        <v>2.36115963010771E-011</v>
      </c>
    </row>
    <row r="441" customFormat="false" ht="13.8" hidden="false" customHeight="false" outlineLevel="0" collapsed="false">
      <c r="B441" s="2" t="n">
        <v>440</v>
      </c>
      <c r="C441" s="2" t="n">
        <v>0.000199999999149341</v>
      </c>
      <c r="D441" s="2" t="n">
        <v>2.49970818680358E-008</v>
      </c>
      <c r="E441" s="2" t="n">
        <v>1.41871849327792E-009</v>
      </c>
    </row>
    <row r="442" customFormat="false" ht="13.8" hidden="false" customHeight="false" outlineLevel="0" collapsed="false">
      <c r="B442" s="2" t="n">
        <v>441</v>
      </c>
      <c r="C442" s="2" t="n">
        <v>0.000199999999477499</v>
      </c>
      <c r="D442" s="2" t="n">
        <v>0.000199999997746908</v>
      </c>
      <c r="E442" s="2" t="n">
        <v>2.83745114762585E-009</v>
      </c>
    </row>
    <row r="443" customFormat="false" ht="13.8" hidden="false" customHeight="false" outlineLevel="0" collapsed="false">
      <c r="B443" s="2" t="n">
        <v>442</v>
      </c>
      <c r="C443" s="2" t="n">
        <v>0.000199999999424369</v>
      </c>
      <c r="D443" s="2" t="n">
        <v>3.49989178461703E-008</v>
      </c>
      <c r="E443" s="2" t="n">
        <v>3.4601042391659E-009</v>
      </c>
    </row>
    <row r="444" customFormat="false" ht="13.8" hidden="false" customHeight="false" outlineLevel="0" collapsed="false">
      <c r="B444" s="2" t="n">
        <v>443</v>
      </c>
      <c r="C444" s="2" t="n">
        <v>0.000199999999371238</v>
      </c>
      <c r="D444" s="2" t="n">
        <v>3.99990887601108E-008</v>
      </c>
      <c r="E444" s="2" t="n">
        <v>0</v>
      </c>
    </row>
    <row r="445" customFormat="false" ht="13.8" hidden="false" customHeight="false" outlineLevel="0" collapsed="false">
      <c r="B445" s="2" t="n">
        <v>444</v>
      </c>
      <c r="C445" s="2" t="n">
        <v>0</v>
      </c>
      <c r="D445" s="2" t="n">
        <v>0.000199999997059596</v>
      </c>
      <c r="E445" s="2" t="n">
        <v>0</v>
      </c>
    </row>
    <row r="446" customFormat="false" ht="13.8" hidden="false" customHeight="false" outlineLevel="0" collapsed="false">
      <c r="B446" s="2" t="n">
        <v>445</v>
      </c>
      <c r="C446" s="2" t="n">
        <v>0.000199999999264978</v>
      </c>
      <c r="D446" s="2" t="n">
        <v>4.97162259702443E-008</v>
      </c>
      <c r="E446" s="2" t="n">
        <v>0</v>
      </c>
    </row>
    <row r="447" customFormat="false" ht="13.8" hidden="false" customHeight="false" outlineLevel="0" collapsed="false">
      <c r="B447" s="2" t="n">
        <v>446</v>
      </c>
      <c r="C447" s="2" t="n">
        <v>0.000199999999330327</v>
      </c>
      <c r="D447" s="2" t="n">
        <v>0.000199999997112284</v>
      </c>
      <c r="E447" s="2" t="n">
        <v>1.1002182170689E-009</v>
      </c>
    </row>
    <row r="448" customFormat="false" ht="13.8" hidden="false" customHeight="false" outlineLevel="0" collapsed="false">
      <c r="B448" s="2" t="n">
        <v>447</v>
      </c>
      <c r="C448" s="2" t="n">
        <v>0.000199999999395675</v>
      </c>
      <c r="D448" s="2" t="n">
        <v>0</v>
      </c>
      <c r="E448" s="2" t="n">
        <v>0</v>
      </c>
    </row>
    <row r="449" customFormat="false" ht="13.8" hidden="false" customHeight="false" outlineLevel="0" collapsed="false">
      <c r="B449" s="2" t="n">
        <v>448</v>
      </c>
      <c r="C449" s="2" t="n">
        <v>0</v>
      </c>
      <c r="D449" s="2" t="n">
        <v>0.000199999959899106</v>
      </c>
      <c r="E449" s="2" t="n">
        <v>0</v>
      </c>
    </row>
    <row r="450" customFormat="false" ht="13.8" hidden="false" customHeight="false" outlineLevel="0" collapsed="false">
      <c r="B450" s="2" t="n">
        <v>449</v>
      </c>
      <c r="C450" s="2" t="n">
        <v>0.000199999966481437</v>
      </c>
      <c r="D450" s="2" t="n">
        <v>0.000199999997957659</v>
      </c>
      <c r="E450" s="2" t="n">
        <v>1.41871847821177E-009</v>
      </c>
    </row>
    <row r="451" customFormat="false" ht="13.8" hidden="false" customHeight="false" outlineLevel="0" collapsed="false">
      <c r="B451" s="2" t="n">
        <v>450</v>
      </c>
      <c r="C451" s="2" t="n">
        <v>0.000200000032652479</v>
      </c>
      <c r="D451" s="2" t="n">
        <v>0.000200002138513068</v>
      </c>
      <c r="E451" s="2" t="n">
        <v>2.83745114557922E-009</v>
      </c>
    </row>
    <row r="452" customFormat="false" ht="13.8" hidden="false" customHeight="false" outlineLevel="0" collapsed="false">
      <c r="B452" s="2" t="n">
        <v>451</v>
      </c>
      <c r="C452" s="2" t="n">
        <v>0.000200004636944318</v>
      </c>
      <c r="D452" s="2" t="n">
        <v>0.000200004635761413</v>
      </c>
      <c r="E452" s="2" t="n">
        <v>4.25619800124748E-009</v>
      </c>
    </row>
    <row r="453" customFormat="false" ht="13.8" hidden="false" customHeight="false" outlineLevel="0" collapsed="false">
      <c r="B453" s="2" t="n">
        <v>452</v>
      </c>
      <c r="C453" s="2" t="n">
        <v>0.000200020000201115</v>
      </c>
      <c r="D453" s="2" t="n">
        <v>0.000200019999211137</v>
      </c>
      <c r="E453" s="2" t="n">
        <v>2.00001912673585E-008</v>
      </c>
    </row>
    <row r="454" customFormat="false" ht="13.8" hidden="false" customHeight="false" outlineLevel="0" collapsed="false">
      <c r="B454" s="2" t="n">
        <v>453</v>
      </c>
      <c r="C454" s="2" t="n">
        <v>0.211565438943307</v>
      </c>
      <c r="D454" s="2" t="n">
        <v>0.211565448559026</v>
      </c>
      <c r="E454" s="2" t="n">
        <v>0.211365470289491</v>
      </c>
    </row>
    <row r="455" customFormat="false" ht="13.8" hidden="false" customHeight="false" outlineLevel="0" collapsed="false">
      <c r="B455" s="2" t="n">
        <v>454</v>
      </c>
      <c r="C455" s="2" t="n">
        <v>0.211567548120388</v>
      </c>
      <c r="D455" s="2" t="n">
        <v>0.211567557739383</v>
      </c>
      <c r="E455" s="2" t="n">
        <v>0.211367578965342</v>
      </c>
    </row>
    <row r="456" customFormat="false" ht="13.8" hidden="false" customHeight="false" outlineLevel="0" collapsed="false">
      <c r="B456" s="2" t="n">
        <v>455</v>
      </c>
      <c r="C456" s="2" t="n">
        <v>0.211569657318479</v>
      </c>
      <c r="D456" s="2" t="n">
        <v>0.211569666940733</v>
      </c>
      <c r="E456" s="2" t="n">
        <v>0.21136968766228</v>
      </c>
    </row>
    <row r="457" customFormat="false" ht="13.8" hidden="false" customHeight="false" outlineLevel="0" collapsed="false">
      <c r="B457" s="2" t="n">
        <v>456</v>
      </c>
      <c r="C457" s="2" t="n">
        <v>0.21157176653757</v>
      </c>
      <c r="D457" s="2" t="n">
        <v>0.211571776163069</v>
      </c>
      <c r="E457" s="2" t="n">
        <v>0.211371796380306</v>
      </c>
    </row>
    <row r="458" customFormat="false" ht="13.8" hidden="false" customHeight="false" outlineLevel="0" collapsed="false">
      <c r="B458" s="2" t="n">
        <v>457</v>
      </c>
      <c r="C458" s="2" t="n">
        <v>0.211573875777121</v>
      </c>
      <c r="D458" s="2" t="n">
        <v>0.211573885406199</v>
      </c>
      <c r="E458" s="2" t="n">
        <v>0.211373905119419</v>
      </c>
    </row>
    <row r="459" customFormat="false" ht="13.8" hidden="false" customHeight="false" outlineLevel="0" collapsed="false">
      <c r="B459" s="2" t="n">
        <v>458</v>
      </c>
      <c r="C459" s="2" t="n">
        <v>0.211575985038017</v>
      </c>
      <c r="D459" s="2" t="n">
        <v>0.211575994670195</v>
      </c>
      <c r="E459" s="2" t="n">
        <v>0.211376013879558</v>
      </c>
    </row>
    <row r="460" customFormat="false" ht="13.8" hidden="false" customHeight="false" outlineLevel="0" collapsed="false">
      <c r="B460" s="2" t="n">
        <v>459</v>
      </c>
      <c r="C460" s="2" t="n">
        <v>0.211578094319757</v>
      </c>
      <c r="D460" s="2" t="n">
        <v>0.211578103955114</v>
      </c>
      <c r="E460" s="2" t="n">
        <v>0.211378122660785</v>
      </c>
    </row>
    <row r="461" customFormat="false" ht="13.8" hidden="false" customHeight="false" outlineLevel="0" collapsed="false">
      <c r="B461" s="2" t="n">
        <v>460</v>
      </c>
      <c r="C461" s="2" t="n">
        <v>0.211580203621858</v>
      </c>
      <c r="D461" s="2" t="n">
        <v>0.211580213260795</v>
      </c>
      <c r="E461" s="2" t="n">
        <v>0.2113802314631</v>
      </c>
    </row>
    <row r="462" customFormat="false" ht="13.8" hidden="false" customHeight="false" outlineLevel="0" collapsed="false">
      <c r="B462" s="2" t="n">
        <v>461</v>
      </c>
      <c r="C462" s="2" t="n">
        <v>0.211582311323799</v>
      </c>
      <c r="D462" s="2" t="n">
        <v>0.211582321417448</v>
      </c>
      <c r="E462" s="2" t="n">
        <v>0.211382340286504</v>
      </c>
    </row>
    <row r="463" customFormat="false" ht="13.8" hidden="false" customHeight="false" outlineLevel="0" collapsed="false">
      <c r="B463" s="2" t="n">
        <v>462</v>
      </c>
      <c r="C463" s="2" t="n">
        <v>0.211584420706635</v>
      </c>
      <c r="D463" s="2" t="n">
        <v>0.21158443080313</v>
      </c>
      <c r="E463" s="2" t="n">
        <v>0.211384449130995</v>
      </c>
    </row>
    <row r="464" customFormat="false" ht="13.8" hidden="false" customHeight="false" outlineLevel="0" collapsed="false">
      <c r="B464" s="2" t="n">
        <v>463</v>
      </c>
      <c r="C464" s="2" t="n">
        <v>0.211586530110473</v>
      </c>
      <c r="D464" s="2" t="n">
        <v>0.211586540209768</v>
      </c>
      <c r="E464" s="2" t="n">
        <v>0.211386557996575</v>
      </c>
    </row>
    <row r="465" customFormat="false" ht="13.8" hidden="false" customHeight="false" outlineLevel="0" collapsed="false">
      <c r="B465" s="2" t="n">
        <v>464</v>
      </c>
      <c r="C465" s="2" t="n">
        <v>0.211588639535313</v>
      </c>
      <c r="D465" s="2" t="n">
        <v>0.211588649637353</v>
      </c>
      <c r="E465" s="2" t="n">
        <v>0.211388666883244</v>
      </c>
    </row>
    <row r="466" customFormat="false" ht="13.8" hidden="false" customHeight="false" outlineLevel="0" collapsed="false">
      <c r="B466" s="2" t="n">
        <v>465</v>
      </c>
      <c r="C466" s="2" t="n">
        <v>0.211590748981243</v>
      </c>
      <c r="D466" s="2" t="n">
        <v>0.211590759085881</v>
      </c>
      <c r="E466" s="2" t="n">
        <v>0.211390775791002</v>
      </c>
    </row>
    <row r="467" customFormat="false" ht="13.8" hidden="false" customHeight="false" outlineLevel="0" collapsed="false">
      <c r="B467" s="2" t="n">
        <v>466</v>
      </c>
      <c r="C467" s="2" t="n">
        <v>0.211592858597389</v>
      </c>
      <c r="D467" s="2" t="n">
        <v>0.211592868555344</v>
      </c>
      <c r="E467" s="2" t="n">
        <v>0.211392884719849</v>
      </c>
    </row>
    <row r="468" customFormat="false" ht="13.8" hidden="false" customHeight="false" outlineLevel="0" collapsed="false">
      <c r="B468" s="2" t="n">
        <v>467</v>
      </c>
      <c r="C468" s="2" t="n">
        <v>0.211594968234632</v>
      </c>
      <c r="D468" s="2" t="n">
        <v>0.211594978045737</v>
      </c>
      <c r="E468" s="2" t="n">
        <v>0.211394993669785</v>
      </c>
    </row>
    <row r="469" customFormat="false" ht="13.8" hidden="false" customHeight="false" outlineLevel="0" collapsed="false">
      <c r="B469" s="2" t="n">
        <v>468</v>
      </c>
      <c r="C469" s="2" t="n">
        <v>0.211597077892971</v>
      </c>
      <c r="D469" s="2" t="n">
        <v>0.211597087557052</v>
      </c>
      <c r="E469" s="2" t="n">
        <v>0.211397102640812</v>
      </c>
    </row>
    <row r="470" customFormat="false" ht="13.8" hidden="false" customHeight="false" outlineLevel="0" collapsed="false">
      <c r="B470" s="2" t="n">
        <v>469</v>
      </c>
      <c r="C470" s="2" t="n">
        <v>0.211599187572407</v>
      </c>
      <c r="D470" s="2" t="n">
        <v>0.211599197089281</v>
      </c>
      <c r="E470" s="2" t="n">
        <v>0.211399211632928</v>
      </c>
    </row>
    <row r="471" customFormat="false" ht="13.8" hidden="false" customHeight="false" outlineLevel="0" collapsed="false">
      <c r="B471" s="2" t="n">
        <v>470</v>
      </c>
      <c r="C471" s="2" t="n">
        <v>0.21160129727294</v>
      </c>
      <c r="D471" s="2" t="n">
        <v>0.211601306642419</v>
      </c>
      <c r="E471" s="2" t="n">
        <v>0.211401320646135</v>
      </c>
    </row>
    <row r="472" customFormat="false" ht="13.8" hidden="false" customHeight="false" outlineLevel="0" collapsed="false">
      <c r="B472" s="2" t="n">
        <v>471</v>
      </c>
      <c r="C472" s="2" t="n">
        <v>0.21160340699457</v>
      </c>
      <c r="D472" s="2" t="n">
        <v>0.211603416216456</v>
      </c>
      <c r="E472" s="2" t="n">
        <v>0.211403429680431</v>
      </c>
    </row>
    <row r="473" customFormat="false" ht="13.8" hidden="false" customHeight="false" outlineLevel="0" collapsed="false">
      <c r="B473" s="2" t="n">
        <v>472</v>
      </c>
      <c r="C473" s="2" t="n">
        <v>0.211605516737298</v>
      </c>
      <c r="D473" s="2" t="n">
        <v>0.211605525811385</v>
      </c>
      <c r="E473" s="2" t="n">
        <v>0.211405538735819</v>
      </c>
    </row>
    <row r="474" customFormat="false" ht="13.8" hidden="false" customHeight="false" outlineLevel="0" collapsed="false">
      <c r="B474" s="2" t="n">
        <v>473</v>
      </c>
      <c r="C474" s="2" t="n">
        <v>0.211607626501123</v>
      </c>
      <c r="D474" s="2" t="n">
        <v>0.211607635427199</v>
      </c>
      <c r="E474" s="2" t="n">
        <v>0.211407647812297</v>
      </c>
    </row>
    <row r="475" customFormat="false" ht="13.8" hidden="false" customHeight="false" outlineLevel="0" collapsed="false">
      <c r="B475" s="2" t="n">
        <v>474</v>
      </c>
      <c r="C475" s="2" t="n">
        <v>0.211609736286047</v>
      </c>
      <c r="D475" s="2" t="n">
        <v>0.211609745063889</v>
      </c>
      <c r="E475" s="2" t="n">
        <v>0.211409756909866</v>
      </c>
    </row>
    <row r="476" customFormat="false" ht="13.8" hidden="false" customHeight="false" outlineLevel="0" collapsed="false">
      <c r="B476" s="2" t="n">
        <v>475</v>
      </c>
      <c r="C476" s="2" t="n">
        <v>0.211611846092068</v>
      </c>
      <c r="D476" s="2" t="n">
        <v>0.211611854721448</v>
      </c>
      <c r="E476" s="2" t="n">
        <v>0.211411866028526</v>
      </c>
    </row>
    <row r="477" customFormat="false" ht="13.8" hidden="false" customHeight="false" outlineLevel="0" collapsed="false">
      <c r="B477" s="2" t="n">
        <v>476</v>
      </c>
      <c r="C477" s="2" t="n">
        <v>0.211613955919187</v>
      </c>
      <c r="D477" s="2" t="n">
        <v>0.211613964399867</v>
      </c>
      <c r="E477" s="2" t="n">
        <v>0.211413975168278</v>
      </c>
    </row>
    <row r="478" customFormat="false" ht="13.8" hidden="false" customHeight="false" outlineLevel="0" collapsed="false">
      <c r="B478" s="2" t="n">
        <v>477</v>
      </c>
      <c r="C478" s="2" t="n">
        <v>0.211616065767405</v>
      </c>
      <c r="D478" s="2" t="n">
        <v>0.21161607409914</v>
      </c>
      <c r="E478" s="2" t="n">
        <v>0.211416084329121</v>
      </c>
    </row>
    <row r="479" customFormat="false" ht="13.8" hidden="false" customHeight="false" outlineLevel="0" collapsed="false">
      <c r="B479" s="2" t="n">
        <v>478</v>
      </c>
      <c r="C479" s="2" t="n">
        <v>0.211618175636722</v>
      </c>
      <c r="D479" s="2" t="n">
        <v>0.211618165512876</v>
      </c>
      <c r="E479" s="2" t="n">
        <v>0.211418193511056</v>
      </c>
    </row>
    <row r="480" customFormat="false" ht="13.8" hidden="false" customHeight="false" outlineLevel="0" collapsed="false">
      <c r="B480" s="2" t="n">
        <v>479</v>
      </c>
      <c r="C480" s="2" t="n">
        <v>0.211620285527138</v>
      </c>
      <c r="D480" s="2" t="n">
        <v>0.211620293776335</v>
      </c>
      <c r="E480" s="2" t="n">
        <v>0.211420302714083</v>
      </c>
    </row>
    <row r="481" customFormat="false" ht="13.8" hidden="false" customHeight="false" outlineLevel="0" collapsed="false">
      <c r="B481" s="2" t="n">
        <v>480</v>
      </c>
      <c r="C481" s="2" t="n">
        <v>0.211622395438651</v>
      </c>
      <c r="D481" s="2" t="n">
        <v>0.211622403687932</v>
      </c>
      <c r="E481" s="2" t="n">
        <v>0.211422411938203</v>
      </c>
    </row>
    <row r="482" customFormat="false" ht="13.8" hidden="false" customHeight="false" outlineLevel="0" collapsed="false">
      <c r="B482" s="2" t="n">
        <v>481</v>
      </c>
      <c r="C482" s="2" t="n">
        <v>0.211624505371265</v>
      </c>
      <c r="D482" s="2" t="n">
        <v>0.211624499184515</v>
      </c>
      <c r="E482" s="2" t="n">
        <v>0.211424521183415</v>
      </c>
    </row>
    <row r="483" customFormat="false" ht="13.8" hidden="false" customHeight="false" outlineLevel="0" collapsed="false">
      <c r="B483" s="2" t="n">
        <v>482</v>
      </c>
      <c r="C483" s="2" t="n">
        <v>0.21162661532498</v>
      </c>
      <c r="D483" s="2" t="n">
        <v>0.211626623574425</v>
      </c>
      <c r="E483" s="2" t="n">
        <v>0.211426630449719</v>
      </c>
    </row>
    <row r="484" customFormat="false" ht="13.8" hidden="false" customHeight="false" outlineLevel="0" collapsed="false">
      <c r="B484" s="2" t="n">
        <v>483</v>
      </c>
      <c r="C484" s="2" t="n">
        <v>0.211628725299793</v>
      </c>
      <c r="D484" s="2" t="n">
        <v>0.211628733549321</v>
      </c>
      <c r="E484" s="2" t="n">
        <v>0.211428739737117</v>
      </c>
    </row>
    <row r="485" customFormat="false" ht="13.8" hidden="false" customHeight="false" outlineLevel="0" collapsed="false">
      <c r="B485" s="2" t="n">
        <v>484</v>
      </c>
      <c r="C485" s="2" t="n">
        <v>0.211630835295706</v>
      </c>
      <c r="D485" s="2" t="n">
        <v>0.211630843545317</v>
      </c>
      <c r="E485" s="2" t="n">
        <v>0.211430849045607</v>
      </c>
    </row>
    <row r="486" customFormat="false" ht="13.8" hidden="false" customHeight="false" outlineLevel="0" collapsed="false">
      <c r="B486" s="2" t="n">
        <v>485</v>
      </c>
      <c r="C486" s="2" t="n">
        <v>0.21163294531272</v>
      </c>
      <c r="D486" s="2" t="n">
        <v>0.211632953562413</v>
      </c>
      <c r="E486" s="2" t="n">
        <v>0.211432958375191</v>
      </c>
    </row>
    <row r="487" customFormat="false" ht="13.8" hidden="false" customHeight="false" outlineLevel="0" collapsed="false">
      <c r="B487" s="2" t="n">
        <v>486</v>
      </c>
      <c r="C487" s="2" t="n">
        <v>0.211635055350833</v>
      </c>
      <c r="D487" s="2" t="n">
        <v>0.211635063600609</v>
      </c>
      <c r="E487" s="2" t="n">
        <v>0.211435067725868</v>
      </c>
    </row>
    <row r="488" customFormat="false" ht="13.8" hidden="false" customHeight="false" outlineLevel="0" collapsed="false">
      <c r="B488" s="2" t="n">
        <v>487</v>
      </c>
      <c r="C488" s="2" t="n">
        <v>0.211637165410048</v>
      </c>
      <c r="D488" s="2" t="n">
        <v>0.211637173659906</v>
      </c>
      <c r="E488" s="2" t="n">
        <v>0.211437177097639</v>
      </c>
    </row>
    <row r="489" customFormat="false" ht="13.8" hidden="false" customHeight="false" outlineLevel="0" collapsed="false">
      <c r="B489" s="2" t="n">
        <v>488</v>
      </c>
      <c r="C489" s="2" t="n">
        <v>0.211639275490363</v>
      </c>
      <c r="D489" s="2" t="n">
        <v>0.211639283740304</v>
      </c>
      <c r="E489" s="2" t="n">
        <v>0.211439286490504</v>
      </c>
    </row>
    <row r="490" customFormat="false" ht="13.8" hidden="false" customHeight="false" outlineLevel="0" collapsed="false">
      <c r="B490" s="2" t="n">
        <v>489</v>
      </c>
      <c r="C490" s="2" t="n">
        <v>0.21164138559178</v>
      </c>
      <c r="D490" s="2" t="n">
        <v>0.211641393841802</v>
      </c>
      <c r="E490" s="2" t="n">
        <v>0.211441395904463</v>
      </c>
    </row>
    <row r="491" customFormat="false" ht="13.8" hidden="false" customHeight="false" outlineLevel="0" collapsed="false">
      <c r="B491" s="2" t="n">
        <v>490</v>
      </c>
      <c r="C491" s="2" t="n">
        <v>0.211643495714297</v>
      </c>
      <c r="D491" s="2" t="n">
        <v>0.211643501339536</v>
      </c>
      <c r="E491" s="2" t="n">
        <v>0.211443505339516</v>
      </c>
    </row>
    <row r="492" customFormat="false" ht="13.8" hidden="false" customHeight="false" outlineLevel="0" collapsed="false">
      <c r="B492" s="2" t="n">
        <v>491</v>
      </c>
      <c r="C492" s="2" t="n">
        <v>0.211645605857916</v>
      </c>
      <c r="D492" s="2" t="n">
        <v>0.211645614108104</v>
      </c>
      <c r="E492" s="2" t="n">
        <v>0.211445614795664</v>
      </c>
    </row>
    <row r="493" customFormat="false" ht="13.8" hidden="false" customHeight="false" outlineLevel="0" collapsed="false">
      <c r="B493" s="2" t="n">
        <v>492</v>
      </c>
      <c r="C493" s="2" t="n">
        <v>0.211647716022636</v>
      </c>
      <c r="D493" s="2" t="n">
        <v>0.211647724272907</v>
      </c>
      <c r="E493" s="2" t="n">
        <v>0.211447724272907</v>
      </c>
    </row>
    <row r="494" customFormat="false" ht="13.8" hidden="false" customHeight="false" outlineLevel="0" collapsed="false">
      <c r="B494" s="2" t="n">
        <v>493</v>
      </c>
      <c r="C494" s="2" t="n">
        <v>0.211649826359576</v>
      </c>
      <c r="D494" s="2" t="n">
        <v>0.211649835260234</v>
      </c>
      <c r="E494" s="2" t="n">
        <v>0.211449833922362</v>
      </c>
    </row>
    <row r="495" customFormat="false" ht="13.8" hidden="false" customHeight="false" outlineLevel="0" collapsed="false">
      <c r="B495" s="2" t="n">
        <v>494</v>
      </c>
      <c r="C495" s="2" t="n">
        <v>0.211651936717619</v>
      </c>
      <c r="D495" s="2" t="n">
        <v>0.211651946268671</v>
      </c>
      <c r="E495" s="2" t="n">
        <v>0.211451943592914</v>
      </c>
    </row>
    <row r="496" customFormat="false" ht="13.8" hidden="false" customHeight="false" outlineLevel="0" collapsed="false">
      <c r="B496" s="2" t="n">
        <v>495</v>
      </c>
      <c r="C496" s="2" t="n">
        <v>0.21165404664341</v>
      </c>
      <c r="D496" s="2" t="n">
        <v>0.211654052831206</v>
      </c>
      <c r="E496" s="2" t="n">
        <v>0.211454052831206</v>
      </c>
    </row>
    <row r="497" customFormat="false" ht="13.8" hidden="false" customHeight="false" outlineLevel="0" collapsed="false">
      <c r="B497" s="2" t="n">
        <v>496</v>
      </c>
      <c r="C497" s="2" t="n">
        <v>0.211656157497017</v>
      </c>
      <c r="D497" s="2" t="n">
        <v>0.211656168348877</v>
      </c>
      <c r="E497" s="2" t="n">
        <v>0.211456162997308</v>
      </c>
    </row>
    <row r="498" customFormat="false" ht="13.8" hidden="false" customHeight="false" outlineLevel="0" collapsed="false">
      <c r="B498" s="2" t="n">
        <v>497</v>
      </c>
      <c r="C498" s="2" t="n">
        <v>0.211658267162772</v>
      </c>
      <c r="D498" s="2" t="n">
        <v>0.211658271975549</v>
      </c>
      <c r="E498" s="2" t="n">
        <v>0.21145827197555</v>
      </c>
    </row>
    <row r="499" customFormat="false" ht="13.8" hidden="false" customHeight="false" outlineLevel="0" collapsed="false">
      <c r="B499" s="2" t="n">
        <v>498</v>
      </c>
      <c r="C499" s="2" t="n">
        <v>0.211660378360832</v>
      </c>
      <c r="D499" s="2" t="n">
        <v>0.211660390513525</v>
      </c>
      <c r="E499" s="2" t="n">
        <v>0.211460382486092</v>
      </c>
    </row>
    <row r="500" customFormat="false" ht="13.8" hidden="false" customHeight="false" outlineLevel="0" collapsed="false">
      <c r="B500" s="2" t="n">
        <v>499</v>
      </c>
      <c r="C500" s="2" t="n">
        <v>0.211662488824396</v>
      </c>
      <c r="D500" s="2" t="n">
        <v>0.211662501627516</v>
      </c>
      <c r="E500" s="2" t="n">
        <v>0.21146249226213</v>
      </c>
    </row>
    <row r="501" customFormat="false" ht="13.8" hidden="false" customHeight="false" outlineLevel="0" collapsed="false">
      <c r="B501" s="2" t="n">
        <v>500</v>
      </c>
      <c r="C501" s="2" t="n">
        <v>0.211664599309065</v>
      </c>
      <c r="D501" s="2" t="n">
        <v>0.211664612762618</v>
      </c>
      <c r="E501" s="2" t="n">
        <v>0.211464602059267</v>
      </c>
    </row>
    <row r="502" customFormat="false" ht="13.8" hidden="false" customHeight="false" outlineLevel="0" collapsed="false">
      <c r="B502" s="2" t="n">
        <v>501</v>
      </c>
      <c r="C502" s="2" t="n">
        <v>0.21166670981484</v>
      </c>
      <c r="D502" s="2" t="n">
        <v>0.211666723918832</v>
      </c>
      <c r="E502" s="2" t="n">
        <v>0.211466711877501</v>
      </c>
    </row>
    <row r="503" customFormat="false" ht="13.8" hidden="false" customHeight="false" outlineLevel="0" collapsed="false">
      <c r="B503" s="2" t="n">
        <v>502</v>
      </c>
      <c r="C503" s="2" t="n">
        <v>0.211668820417272</v>
      </c>
      <c r="D503" s="2" t="n">
        <v>0.211668835473921</v>
      </c>
      <c r="E503" s="2" t="n">
        <v>0.211468821716834</v>
      </c>
    </row>
    <row r="504" customFormat="false" ht="13.8" hidden="false" customHeight="false" outlineLevel="0" collapsed="false">
      <c r="B504" s="2" t="n">
        <v>503</v>
      </c>
      <c r="C504" s="2" t="n">
        <v>0.211670930927481</v>
      </c>
      <c r="D504" s="2" t="n">
        <v>0.211670946710156</v>
      </c>
      <c r="E504" s="2" t="n">
        <v>0.211470931577264</v>
      </c>
    </row>
    <row r="505" customFormat="false" ht="13.8" hidden="false" customHeight="false" outlineLevel="0" collapsed="false">
      <c r="B505" s="2" t="n">
        <v>504</v>
      </c>
      <c r="C505" s="2" t="n">
        <v>0.211673041458788</v>
      </c>
      <c r="D505" s="2" t="n">
        <v>0.211673057967491</v>
      </c>
      <c r="E505" s="2" t="n">
        <v>0.211473041458798</v>
      </c>
    </row>
    <row r="506" customFormat="false" ht="13.8" hidden="false" customHeight="false" outlineLevel="0" collapsed="false">
      <c r="B506" s="2" t="n">
        <v>505</v>
      </c>
      <c r="C506" s="2" t="n">
        <v>0.211675151361421</v>
      </c>
      <c r="D506" s="2" t="n">
        <v>0.211675169245936</v>
      </c>
      <c r="E506" s="2" t="n">
        <v>0.211475151361422</v>
      </c>
    </row>
    <row r="507" customFormat="false" ht="13.8" hidden="false" customHeight="false" outlineLevel="0" collapsed="false">
      <c r="B507" s="2" t="n">
        <v>506</v>
      </c>
      <c r="C507" s="2" t="n">
        <v>0.211677258377022</v>
      </c>
      <c r="D507" s="2" t="n">
        <v>0.211677275781396</v>
      </c>
      <c r="E507" s="2" t="n">
        <v>0.211477291114719</v>
      </c>
    </row>
    <row r="508" customFormat="false" ht="13.8" hidden="false" customHeight="false" outlineLevel="0" collapsed="false">
      <c r="B508" s="2" t="n">
        <v>507</v>
      </c>
      <c r="C508" s="2" t="n">
        <v>0.211679371229961</v>
      </c>
      <c r="D508" s="2" t="n">
        <v>0.211679391866113</v>
      </c>
      <c r="E508" s="2" t="n">
        <v>0.211479371229963</v>
      </c>
    </row>
    <row r="509" customFormat="false" ht="13.8" hidden="false" customHeight="false" outlineLevel="0" collapsed="false">
      <c r="B509" s="2" t="n">
        <v>508</v>
      </c>
      <c r="C509" s="2" t="n">
        <v>0.211681480776584</v>
      </c>
      <c r="D509" s="2" t="n">
        <v>0.211681498181253</v>
      </c>
      <c r="E509" s="2" t="n">
        <v>0.21148151167034</v>
      </c>
    </row>
    <row r="510" customFormat="false" ht="13.8" hidden="false" customHeight="false" outlineLevel="0" collapsed="false">
      <c r="B510" s="2" t="n">
        <v>509</v>
      </c>
      <c r="C510" s="2" t="n">
        <v>0.211683592827346</v>
      </c>
      <c r="D510" s="2" t="n">
        <v>0.21168361457073</v>
      </c>
      <c r="E510" s="2" t="n">
        <v>0.211483591182933</v>
      </c>
    </row>
    <row r="511" customFormat="false" ht="13.8" hidden="false" customHeight="false" outlineLevel="0" collapsed="false">
      <c r="B511" s="2" t="n">
        <v>510</v>
      </c>
      <c r="C511" s="2" t="n">
        <v>0.211685732835835</v>
      </c>
      <c r="D511" s="2" t="n">
        <v>0.211685734473517</v>
      </c>
      <c r="E511" s="2" t="n">
        <v>0.211485725333282</v>
      </c>
    </row>
    <row r="512" customFormat="false" ht="13.8" hidden="false" customHeight="false" outlineLevel="0" collapsed="false">
      <c r="B512" s="2" t="n">
        <v>511</v>
      </c>
      <c r="C512" s="2" t="n">
        <v>0.21168780834855</v>
      </c>
      <c r="D512" s="2" t="n">
        <v>0.211687808347704</v>
      </c>
      <c r="E512" s="2" t="n">
        <v>0.211487808348542</v>
      </c>
    </row>
    <row r="513" customFormat="false" ht="13.8" hidden="false" customHeight="false" outlineLevel="0" collapsed="false">
      <c r="B513" s="2" t="n">
        <v>512</v>
      </c>
      <c r="C513" s="2" t="n">
        <v>0.170601833780504</v>
      </c>
      <c r="D513" s="2" t="n">
        <v>0.170601833779292</v>
      </c>
      <c r="E513" s="2" t="n">
        <v>0.170401833780492</v>
      </c>
    </row>
    <row r="514" customFormat="false" ht="13.8" hidden="false" customHeight="false" outlineLevel="0" collapsed="false">
      <c r="B514" s="2" t="n">
        <v>513</v>
      </c>
      <c r="C514" s="2" t="n">
        <v>0.170603542815822</v>
      </c>
      <c r="D514" s="2" t="n">
        <v>0.170565576837987</v>
      </c>
      <c r="E514" s="2" t="n">
        <v>0.170403542815806</v>
      </c>
    </row>
    <row r="515" customFormat="false" ht="13.8" hidden="false" customHeight="false" outlineLevel="0" collapsed="false">
      <c r="B515" s="2" t="n">
        <v>514</v>
      </c>
      <c r="C515" s="2" t="n">
        <v>0.170487741778324</v>
      </c>
      <c r="D515" s="2" t="n">
        <v>0.170567287510452</v>
      </c>
      <c r="E515" s="2" t="n">
        <v>0.170405251868227</v>
      </c>
    </row>
    <row r="516" customFormat="false" ht="13.8" hidden="false" customHeight="false" outlineLevel="0" collapsed="false">
      <c r="B516" s="2" t="n">
        <v>515</v>
      </c>
      <c r="C516" s="2" t="n">
        <v>0.17060696093776</v>
      </c>
      <c r="D516" s="2" t="n">
        <v>0.170606960935554</v>
      </c>
      <c r="E516" s="2" t="n">
        <v>0.170406960937738</v>
      </c>
    </row>
    <row r="517" customFormat="false" ht="13.8" hidden="false" customHeight="false" outlineLevel="0" collapsed="false">
      <c r="B517" s="2" t="n">
        <v>516</v>
      </c>
      <c r="C517" s="2" t="n">
        <v>0.170491161584266</v>
      </c>
      <c r="D517" s="2" t="n">
        <v>0.170570708906705</v>
      </c>
      <c r="E517" s="2" t="n">
        <v>0.170408670024341</v>
      </c>
    </row>
    <row r="518" customFormat="false" ht="13.8" hidden="false" customHeight="false" outlineLevel="0" collapsed="false">
      <c r="B518" s="2" t="n">
        <v>517</v>
      </c>
      <c r="C518" s="2" t="n">
        <v>0.170492871512887</v>
      </c>
      <c r="D518" s="2" t="n">
        <v>0.170572419630492</v>
      </c>
      <c r="E518" s="2" t="n">
        <v>0.170410379128034</v>
      </c>
    </row>
    <row r="519" customFormat="false" ht="13.8" hidden="false" customHeight="false" outlineLevel="0" collapsed="false">
      <c r="B519" s="2" t="n">
        <v>518</v>
      </c>
      <c r="C519" s="2" t="n">
        <v>0.170612088248907</v>
      </c>
      <c r="D519" s="2" t="n">
        <v>0.170574130371632</v>
      </c>
      <c r="E519" s="2" t="n">
        <v>0.170412088248877</v>
      </c>
    </row>
    <row r="520" customFormat="false" ht="13.8" hidden="false" customHeight="false" outlineLevel="0" collapsed="false">
      <c r="B520" s="2" t="n">
        <v>519</v>
      </c>
      <c r="C520" s="2" t="n">
        <v>0.170613797386843</v>
      </c>
      <c r="D520" s="2" t="n">
        <v>0.17057584112988</v>
      </c>
      <c r="E520" s="2" t="n">
        <v>0.170413797386812</v>
      </c>
    </row>
    <row r="521" customFormat="false" ht="13.8" hidden="false" customHeight="false" outlineLevel="0" collapsed="false">
      <c r="B521" s="2" t="n">
        <v>520</v>
      </c>
      <c r="C521" s="2" t="n">
        <v>0.17061550654187</v>
      </c>
      <c r="D521" s="2" t="n">
        <v>0.170577551905236</v>
      </c>
      <c r="E521" s="2" t="n">
        <v>0.170415506541838</v>
      </c>
    </row>
    <row r="522" customFormat="false" ht="13.8" hidden="false" customHeight="false" outlineLevel="0" collapsed="false">
      <c r="B522" s="2" t="n">
        <v>521</v>
      </c>
      <c r="C522" s="2" t="n">
        <v>0.170617215713989</v>
      </c>
      <c r="D522" s="2" t="n">
        <v>0.170579262697699</v>
      </c>
      <c r="E522" s="2" t="n">
        <v>0.170417215713956</v>
      </c>
    </row>
    <row r="523" customFormat="false" ht="13.8" hidden="false" customHeight="false" outlineLevel="0" collapsed="false">
      <c r="B523" s="2" t="n">
        <v>522</v>
      </c>
      <c r="C523" s="2" t="n">
        <v>0.170618924903109</v>
      </c>
      <c r="D523" s="2" t="n">
        <v>0.170580973506877</v>
      </c>
      <c r="E523" s="2" t="n">
        <v>0.170418924903072</v>
      </c>
    </row>
    <row r="524" customFormat="false" ht="13.8" hidden="false" customHeight="false" outlineLevel="0" collapsed="false">
      <c r="B524" s="2" t="n">
        <v>523</v>
      </c>
      <c r="C524" s="2" t="n">
        <v>0.170503131443862</v>
      </c>
      <c r="D524" s="2" t="n">
        <v>0.170582684333163</v>
      </c>
      <c r="E524" s="2" t="n">
        <v>0.170420634109279</v>
      </c>
    </row>
    <row r="525" customFormat="false" ht="13.8" hidden="false" customHeight="false" outlineLevel="0" collapsed="false">
      <c r="B525" s="2" t="n">
        <v>524</v>
      </c>
      <c r="C525" s="2" t="n">
        <v>0.170504841492147</v>
      </c>
      <c r="D525" s="2" t="n">
        <v>0.170584395176558</v>
      </c>
      <c r="E525" s="2" t="n">
        <v>0.170422343332579</v>
      </c>
    </row>
    <row r="526" customFormat="false" ht="13.8" hidden="false" customHeight="false" outlineLevel="0" collapsed="false">
      <c r="B526" s="2" t="n">
        <v>525</v>
      </c>
      <c r="C526" s="2" t="n">
        <v>0.170506551557534</v>
      </c>
      <c r="D526" s="2" t="n">
        <v>0.170586106037061</v>
      </c>
      <c r="E526" s="2" t="n">
        <v>0.170424052572971</v>
      </c>
    </row>
    <row r="527" customFormat="false" ht="13.8" hidden="false" customHeight="false" outlineLevel="0" collapsed="false">
      <c r="B527" s="2" t="n">
        <v>526</v>
      </c>
      <c r="C527" s="2" t="n">
        <v>0.170508261640219</v>
      </c>
      <c r="D527" s="2" t="n">
        <v>0.170587816915528</v>
      </c>
      <c r="E527" s="2" t="n">
        <v>0.170425761830661</v>
      </c>
    </row>
    <row r="528" customFormat="false" ht="13.8" hidden="false" customHeight="false" outlineLevel="0" collapsed="false">
      <c r="B528" s="2" t="n">
        <v>527</v>
      </c>
      <c r="C528" s="2" t="n">
        <v>0.170509971740006</v>
      </c>
      <c r="D528" s="2" t="n">
        <v>0.170589527811103</v>
      </c>
      <c r="E528" s="2" t="n">
        <v>0.170427471105443</v>
      </c>
    </row>
    <row r="529" customFormat="false" ht="13.8" hidden="false" customHeight="false" outlineLevel="0" collapsed="false">
      <c r="B529" s="2" t="n">
        <v>528</v>
      </c>
      <c r="C529" s="2" t="n">
        <v>0.170511681856893</v>
      </c>
      <c r="D529" s="2" t="n">
        <v>0.170591238723788</v>
      </c>
      <c r="E529" s="2" t="n">
        <v>0.170429180397319</v>
      </c>
    </row>
    <row r="530" customFormat="false" ht="13.8" hidden="false" customHeight="false" outlineLevel="0" collapsed="false">
      <c r="B530" s="2" t="n">
        <v>529</v>
      </c>
      <c r="C530" s="2" t="n">
        <v>0.170513391990882</v>
      </c>
      <c r="D530" s="2" t="n">
        <v>0.170592949653583</v>
      </c>
      <c r="E530" s="2" t="n">
        <v>0.170430889706287</v>
      </c>
    </row>
    <row r="531" customFormat="false" ht="13.8" hidden="false" customHeight="false" outlineLevel="0" collapsed="false">
      <c r="B531" s="2" t="n">
        <v>530</v>
      </c>
      <c r="C531" s="2" t="n">
        <v>0.170515102141934</v>
      </c>
      <c r="D531" s="2" t="n">
        <v>0.170594660600319</v>
      </c>
      <c r="E531" s="2" t="n">
        <v>0.170432599032309</v>
      </c>
    </row>
    <row r="532" customFormat="false" ht="13.8" hidden="false" customHeight="false" outlineLevel="0" collapsed="false">
      <c r="B532" s="2" t="n">
        <v>531</v>
      </c>
      <c r="C532" s="2" t="n">
        <v>0.170634308375463</v>
      </c>
      <c r="D532" s="2" t="n">
        <v>0.170596371564165</v>
      </c>
      <c r="E532" s="2" t="n">
        <v>0.170434308375424</v>
      </c>
    </row>
    <row r="533" customFormat="false" ht="13.8" hidden="false" customHeight="false" outlineLevel="0" collapsed="false">
      <c r="B533" s="2" t="n">
        <v>532</v>
      </c>
      <c r="C533" s="2" t="n">
        <v>0.170518522495342</v>
      </c>
      <c r="D533" s="2" t="n">
        <v>0.170598082545121</v>
      </c>
      <c r="E533" s="2" t="n">
        <v>0.170436017735632</v>
      </c>
    </row>
    <row r="534" customFormat="false" ht="13.8" hidden="false" customHeight="false" outlineLevel="0" collapsed="false">
      <c r="B534" s="2" t="n">
        <v>533</v>
      </c>
      <c r="C534" s="2" t="n">
        <v>0.170637727112972</v>
      </c>
      <c r="D534" s="2" t="n">
        <v>0.170599793543187</v>
      </c>
      <c r="E534" s="2" t="n">
        <v>0.170437727112935</v>
      </c>
    </row>
    <row r="535" customFormat="false" ht="13.8" hidden="false" customHeight="false" outlineLevel="0" collapsed="false">
      <c r="B535" s="2" t="n">
        <v>534</v>
      </c>
      <c r="C535" s="2" t="n">
        <v>0.170639436507522</v>
      </c>
      <c r="D535" s="2" t="n">
        <v>0.170601504559032</v>
      </c>
      <c r="E535" s="2" t="n">
        <v>0.170439436507491</v>
      </c>
    </row>
    <row r="536" customFormat="false" ht="13.8" hidden="false" customHeight="false" outlineLevel="0" collapsed="false">
      <c r="B536" s="2" t="n">
        <v>535</v>
      </c>
      <c r="C536" s="2" t="n">
        <v>0.170523653154031</v>
      </c>
      <c r="D536" s="2" t="n">
        <v>0.170641145916659</v>
      </c>
      <c r="E536" s="2" t="n">
        <v>0.170441145919142</v>
      </c>
    </row>
    <row r="537" customFormat="false" ht="13.8" hidden="false" customHeight="false" outlineLevel="0" collapsed="false">
      <c r="B537" s="2" t="n">
        <v>536</v>
      </c>
      <c r="C537" s="2" t="n">
        <v>0.170642855347905</v>
      </c>
      <c r="D537" s="2" t="n">
        <v>0.170604926642052</v>
      </c>
      <c r="E537" s="2" t="n">
        <v>0.170442855347886</v>
      </c>
    </row>
    <row r="538" customFormat="false" ht="13.8" hidden="false" customHeight="false" outlineLevel="0" collapsed="false">
      <c r="B538" s="2" t="n">
        <v>537</v>
      </c>
      <c r="C538" s="2" t="n">
        <v>0.170644564793738</v>
      </c>
      <c r="D538" s="2" t="n">
        <v>0.170644564792458</v>
      </c>
      <c r="E538" s="2" t="n">
        <v>0.170444564793726</v>
      </c>
    </row>
    <row r="539" customFormat="false" ht="13.8" hidden="false" customHeight="false" outlineLevel="0" collapsed="false">
      <c r="B539" s="2" t="n">
        <v>538</v>
      </c>
      <c r="C539" s="2" t="n">
        <v>0.170646274256554</v>
      </c>
      <c r="D539" s="2" t="n">
        <v>0.170646274255516</v>
      </c>
      <c r="E539" s="2" t="n">
        <v>0.170446274256544</v>
      </c>
    </row>
    <row r="540" customFormat="false" ht="13.8" hidden="false" customHeight="false" outlineLevel="0" collapsed="false">
      <c r="B540" s="2" t="n">
        <v>539</v>
      </c>
      <c r="C540" s="2" t="n">
        <v>0.427737771748524</v>
      </c>
      <c r="D540" s="2" t="n">
        <v>0.427737790925562</v>
      </c>
      <c r="E540" s="2" t="n">
        <v>0.427537801591239</v>
      </c>
    </row>
    <row r="541" customFormat="false" ht="13.8" hidden="false" customHeight="false" outlineLevel="0" collapsed="false">
      <c r="B541" s="2" t="n">
        <v>540</v>
      </c>
      <c r="C541" s="2" t="n">
        <v>0.427742042670312</v>
      </c>
      <c r="D541" s="2" t="n">
        <v>0.427742061847492</v>
      </c>
      <c r="E541" s="2" t="n">
        <v>0.427542072012035</v>
      </c>
    </row>
    <row r="542" customFormat="false" ht="13.8" hidden="false" customHeight="false" outlineLevel="0" collapsed="false">
      <c r="B542" s="2" t="n">
        <v>541</v>
      </c>
      <c r="C542" s="2" t="n">
        <v>0.427746313634721</v>
      </c>
      <c r="D542" s="2" t="n">
        <v>0.427746332811889</v>
      </c>
      <c r="E542" s="2" t="n">
        <v>0.427546342475535</v>
      </c>
    </row>
    <row r="543" customFormat="false" ht="13.8" hidden="false" customHeight="false" outlineLevel="0" collapsed="false">
      <c r="B543" s="2" t="n">
        <v>542</v>
      </c>
      <c r="C543" s="2" t="n">
        <v>0.427750584641695</v>
      </c>
      <c r="D543" s="2" t="n">
        <v>0.427750603885048</v>
      </c>
      <c r="E543" s="2" t="n">
        <v>0.427550612981674</v>
      </c>
    </row>
    <row r="544" customFormat="false" ht="13.8" hidden="false" customHeight="false" outlineLevel="0" collapsed="false">
      <c r="B544" s="2" t="n">
        <v>543</v>
      </c>
      <c r="C544" s="2" t="n">
        <v>0.42775485569129</v>
      </c>
      <c r="D544" s="2" t="n">
        <v>0.427754875083621</v>
      </c>
      <c r="E544" s="2" t="n">
        <v>0.427554883530519</v>
      </c>
    </row>
    <row r="545" customFormat="false" ht="13.8" hidden="false" customHeight="false" outlineLevel="0" collapsed="false">
      <c r="B545" s="2" t="n">
        <v>544</v>
      </c>
      <c r="C545" s="2" t="n">
        <v>0.427759126783505</v>
      </c>
      <c r="D545" s="2" t="n">
        <v>0.427759146324906</v>
      </c>
      <c r="E545" s="2" t="n">
        <v>0.42755915412207</v>
      </c>
    </row>
    <row r="546" customFormat="false" ht="13.8" hidden="false" customHeight="false" outlineLevel="0" collapsed="false">
      <c r="B546" s="2" t="n">
        <v>545</v>
      </c>
      <c r="C546" s="2" t="n">
        <v>0.427763397918343</v>
      </c>
      <c r="D546" s="2" t="n">
        <v>0.427763417608905</v>
      </c>
      <c r="E546" s="2" t="n">
        <v>0.427563424756328</v>
      </c>
    </row>
    <row r="547" customFormat="false" ht="13.8" hidden="false" customHeight="false" outlineLevel="0" collapsed="false">
      <c r="B547" s="2" t="n">
        <v>546</v>
      </c>
      <c r="C547" s="2" t="n">
        <v>0.427767669095796</v>
      </c>
      <c r="D547" s="2" t="n">
        <v>0.427767688935597</v>
      </c>
      <c r="E547" s="2" t="n">
        <v>0.427567695433287</v>
      </c>
    </row>
    <row r="548" customFormat="false" ht="13.8" hidden="false" customHeight="false" outlineLevel="0" collapsed="false">
      <c r="B548" s="2" t="n">
        <v>547</v>
      </c>
      <c r="C548" s="2" t="n">
        <v>0.42777194031587</v>
      </c>
      <c r="D548" s="2" t="n">
        <v>0.427771960305003</v>
      </c>
      <c r="E548" s="2" t="n">
        <v>0.427571966152954</v>
      </c>
    </row>
    <row r="549" customFormat="false" ht="13.8" hidden="false" customHeight="false" outlineLevel="0" collapsed="false">
      <c r="B549" s="2" t="n">
        <v>548</v>
      </c>
      <c r="C549" s="2" t="n">
        <v>0.42777621157865</v>
      </c>
      <c r="D549" s="2" t="n">
        <v>0.427776220915752</v>
      </c>
      <c r="E549" s="2" t="n">
        <v>0.427576236915328</v>
      </c>
    </row>
    <row r="550" customFormat="false" ht="13.8" hidden="false" customHeight="false" outlineLevel="0" collapsed="false">
      <c r="B550" s="2" t="n">
        <v>549</v>
      </c>
      <c r="C550" s="2" t="n">
        <v>0.427780483033265</v>
      </c>
      <c r="D550" s="2" t="n">
        <v>0.427780503171957</v>
      </c>
      <c r="E550" s="2" t="n">
        <v>0.42758050772041</v>
      </c>
    </row>
    <row r="551" customFormat="false" ht="13.8" hidden="false" customHeight="false" outlineLevel="0" collapsed="false">
      <c r="B551" s="2" t="n">
        <v>550</v>
      </c>
      <c r="C551" s="2" t="n">
        <v>0.427784754530595</v>
      </c>
      <c r="D551" s="2" t="n">
        <v>0.427784766568416</v>
      </c>
      <c r="E551" s="2" t="n">
        <v>0.427584778568205</v>
      </c>
    </row>
    <row r="552" customFormat="false" ht="13.8" hidden="false" customHeight="false" outlineLevel="0" collapsed="false">
      <c r="B552" s="2" t="n">
        <v>551</v>
      </c>
      <c r="C552" s="2" t="n">
        <v>0.427789026070636</v>
      </c>
      <c r="D552" s="2" t="n">
        <v>0.427789046209807</v>
      </c>
      <c r="E552" s="2" t="n">
        <v>0.427589049458709</v>
      </c>
    </row>
    <row r="553" customFormat="false" ht="13.8" hidden="false" customHeight="false" outlineLevel="0" collapsed="false">
      <c r="B553" s="2" t="n">
        <v>552</v>
      </c>
      <c r="C553" s="2" t="n">
        <v>0.42779329765337</v>
      </c>
      <c r="D553" s="2" t="n">
        <v>0.427793312392013</v>
      </c>
      <c r="E553" s="2" t="n">
        <v>0.427593320391923</v>
      </c>
    </row>
    <row r="554" customFormat="false" ht="13.8" hidden="false" customHeight="false" outlineLevel="0" collapsed="false">
      <c r="B554" s="2" t="n">
        <v>553</v>
      </c>
      <c r="C554" s="2" t="n">
        <v>0.427797567994651</v>
      </c>
      <c r="D554" s="2" t="n">
        <v>0.427797585367906</v>
      </c>
      <c r="E554" s="2" t="n">
        <v>0.427597591367846</v>
      </c>
    </row>
    <row r="555" customFormat="false" ht="13.8" hidden="false" customHeight="false" outlineLevel="0" collapsed="false">
      <c r="B555" s="2" t="n">
        <v>554</v>
      </c>
      <c r="C555" s="2" t="n">
        <v>0.427801839700608</v>
      </c>
      <c r="D555" s="2" t="n">
        <v>0.427801861011356</v>
      </c>
      <c r="E555" s="2" t="n">
        <v>0.427601862386469</v>
      </c>
    </row>
    <row r="556" customFormat="false" ht="13.8" hidden="false" customHeight="false" outlineLevel="0" collapsed="false">
      <c r="B556" s="2" t="n">
        <v>555</v>
      </c>
      <c r="C556" s="2" t="n">
        <v>0.427806111449283</v>
      </c>
      <c r="D556" s="2" t="n">
        <v>0.427806132760244</v>
      </c>
      <c r="E556" s="2" t="n">
        <v>0.427606133447804</v>
      </c>
    </row>
    <row r="557" customFormat="false" ht="13.8" hidden="false" customHeight="false" outlineLevel="0" collapsed="false">
      <c r="B557" s="2" t="n">
        <v>556</v>
      </c>
      <c r="C557" s="2" t="n">
        <v>0.427810383240676</v>
      </c>
      <c r="D557" s="2" t="n">
        <v>0.427810404551849</v>
      </c>
      <c r="E557" s="2" t="n">
        <v>0.427610404551849</v>
      </c>
    </row>
    <row r="558" customFormat="false" ht="13.8" hidden="false" customHeight="false" outlineLevel="0" collapsed="false">
      <c r="B558" s="2" t="n">
        <v>557</v>
      </c>
      <c r="C558" s="2" t="n">
        <v>0.427814655074787</v>
      </c>
      <c r="D558" s="2" t="n">
        <v>0.427814675698606</v>
      </c>
      <c r="E558" s="2" t="n">
        <v>0.427614675698606</v>
      </c>
    </row>
    <row r="559" customFormat="false" ht="13.8" hidden="false" customHeight="false" outlineLevel="0" collapsed="false">
      <c r="B559" s="2" t="n">
        <v>558</v>
      </c>
      <c r="C559" s="2" t="n">
        <v>0.427818926951617</v>
      </c>
      <c r="D559" s="2" t="n">
        <v>0.427818946888075</v>
      </c>
      <c r="E559" s="2" t="n">
        <v>0.427618946888075</v>
      </c>
    </row>
    <row r="560" customFormat="false" ht="13.8" hidden="false" customHeight="false" outlineLevel="0" collapsed="false">
      <c r="B560" s="2" t="n">
        <v>559</v>
      </c>
      <c r="C560" s="2" t="n">
        <v>0.427823198871166</v>
      </c>
      <c r="D560" s="2" t="n">
        <v>0.427823218120256</v>
      </c>
      <c r="E560" s="2" t="n">
        <v>0.427623218120256</v>
      </c>
    </row>
    <row r="561" customFormat="false" ht="13.8" hidden="false" customHeight="false" outlineLevel="0" collapsed="false">
      <c r="B561" s="2" t="n">
        <v>560</v>
      </c>
      <c r="C561" s="2" t="n">
        <v>0.427827471437912</v>
      </c>
      <c r="D561" s="2" t="n">
        <v>0.427827495351197</v>
      </c>
      <c r="E561" s="2" t="n">
        <v>0.427627489999628</v>
      </c>
    </row>
    <row r="562" customFormat="false" ht="13.8" hidden="false" customHeight="false" outlineLevel="0" collapsed="false">
      <c r="B562" s="2" t="n">
        <v>561</v>
      </c>
      <c r="C562" s="2" t="n">
        <v>0.427831742838423</v>
      </c>
      <c r="D562" s="2" t="n">
        <v>0.427831760712757</v>
      </c>
      <c r="E562" s="2" t="n">
        <v>0.427631760712757</v>
      </c>
    </row>
    <row r="563" customFormat="false" ht="13.8" hidden="false" customHeight="false" outlineLevel="0" collapsed="false">
      <c r="B563" s="2" t="n">
        <v>562</v>
      </c>
      <c r="C563" s="2" t="n">
        <v>0.427836014886132</v>
      </c>
      <c r="D563" s="2" t="n">
        <v>0.427836032073078</v>
      </c>
      <c r="E563" s="2" t="n">
        <v>0.427636032073078</v>
      </c>
    </row>
    <row r="564" customFormat="false" ht="13.8" hidden="false" customHeight="false" outlineLevel="0" collapsed="false">
      <c r="B564" s="2" t="n">
        <v>563</v>
      </c>
      <c r="C564" s="2" t="n">
        <v>0.427840286976562</v>
      </c>
      <c r="D564" s="2" t="n">
        <v>0.427840303476113</v>
      </c>
      <c r="E564" s="2" t="n">
        <v>0.427640303476113</v>
      </c>
    </row>
    <row r="565" customFormat="false" ht="13.8" hidden="false" customHeight="false" outlineLevel="0" collapsed="false">
      <c r="B565" s="2" t="n">
        <v>564</v>
      </c>
      <c r="C565" s="2" t="n">
        <v>0.427844560318693</v>
      </c>
      <c r="D565" s="2" t="n">
        <v>0.427844586834194</v>
      </c>
      <c r="E565" s="2" t="n">
        <v>0.427644576130843</v>
      </c>
    </row>
    <row r="566" customFormat="false" ht="13.8" hidden="false" customHeight="false" outlineLevel="0" collapsed="false">
      <c r="B566" s="2" t="n">
        <v>565</v>
      </c>
      <c r="C566" s="2" t="n">
        <v>0.427848831285587</v>
      </c>
      <c r="D566" s="2" t="n">
        <v>0.427848846410326</v>
      </c>
      <c r="E566" s="2" t="n">
        <v>0.427648846410326</v>
      </c>
    </row>
    <row r="567" customFormat="false" ht="13.8" hidden="false" customHeight="false" outlineLevel="0" collapsed="false">
      <c r="B567" s="2" t="n">
        <v>566</v>
      </c>
      <c r="C567" s="2" t="n">
        <v>0.427853103504182</v>
      </c>
      <c r="D567" s="2" t="n">
        <v>0.427853117941506</v>
      </c>
      <c r="E567" s="2" t="n">
        <v>0.427653117941506</v>
      </c>
    </row>
    <row r="568" customFormat="false" ht="13.8" hidden="false" customHeight="false" outlineLevel="0" collapsed="false">
      <c r="B568" s="2" t="n">
        <v>567</v>
      </c>
      <c r="C568" s="2" t="n">
        <v>0.4278573757655</v>
      </c>
      <c r="D568" s="2" t="n">
        <v>0.427857389515401</v>
      </c>
      <c r="E568" s="2" t="n">
        <v>0.427657389515401</v>
      </c>
    </row>
    <row r="569" customFormat="false" ht="13.8" hidden="false" customHeight="false" outlineLevel="0" collapsed="false">
      <c r="B569" s="2" t="n">
        <v>568</v>
      </c>
      <c r="C569" s="2" t="n">
        <v>0.427861648069541</v>
      </c>
      <c r="D569" s="2" t="n">
        <v>0.427861661132012</v>
      </c>
      <c r="E569" s="2" t="n">
        <v>0.427661661132012</v>
      </c>
    </row>
    <row r="570" customFormat="false" ht="13.8" hidden="false" customHeight="false" outlineLevel="0" collapsed="false">
      <c r="B570" s="2" t="n">
        <v>569</v>
      </c>
      <c r="C570" s="2" t="n">
        <v>0.427865920416306</v>
      </c>
      <c r="D570" s="2" t="n">
        <v>0.42786593279134</v>
      </c>
      <c r="E570" s="2" t="n">
        <v>0.42766593279134</v>
      </c>
    </row>
    <row r="571" customFormat="false" ht="13.8" hidden="false" customHeight="false" outlineLevel="0" collapsed="false">
      <c r="B571" s="2" t="n">
        <v>570</v>
      </c>
      <c r="C571" s="2" t="n">
        <v>0.427870192805794</v>
      </c>
      <c r="D571" s="2" t="n">
        <v>0.427870204493385</v>
      </c>
      <c r="E571" s="2" t="n">
        <v>0.427670204493385</v>
      </c>
    </row>
    <row r="572" customFormat="false" ht="13.8" hidden="false" customHeight="false" outlineLevel="0" collapsed="false">
      <c r="B572" s="2" t="n">
        <v>571</v>
      </c>
      <c r="C572" s="2" t="n">
        <v>0.427874465238007</v>
      </c>
      <c r="D572" s="2" t="n">
        <v>0.427874476238147</v>
      </c>
      <c r="E572" s="2" t="n">
        <v>0.427674476238147</v>
      </c>
    </row>
    <row r="573" customFormat="false" ht="13.8" hidden="false" customHeight="false" outlineLevel="0" collapsed="false">
      <c r="B573" s="2" t="n">
        <v>572</v>
      </c>
      <c r="C573" s="2" t="n">
        <v>0.427878737712944</v>
      </c>
      <c r="D573" s="2" t="n">
        <v>0.427878748025627</v>
      </c>
      <c r="E573" s="2" t="n">
        <v>0.427678748025627</v>
      </c>
    </row>
    <row r="574" customFormat="false" ht="13.8" hidden="false" customHeight="false" outlineLevel="0" collapsed="false">
      <c r="B574" s="2" t="n">
        <v>573</v>
      </c>
      <c r="C574" s="2" t="n">
        <v>0.427883010230607</v>
      </c>
      <c r="D574" s="2" t="n">
        <v>0.427883019855826</v>
      </c>
      <c r="E574" s="2" t="n">
        <v>0.427683019855826</v>
      </c>
    </row>
    <row r="575" customFormat="false" ht="13.8" hidden="false" customHeight="false" outlineLevel="0" collapsed="false">
      <c r="B575" s="2" t="n">
        <v>574</v>
      </c>
      <c r="C575" s="2" t="n">
        <v>0.427887282790995</v>
      </c>
      <c r="D575" s="2" t="n">
        <v>0.427887291728743</v>
      </c>
      <c r="E575" s="2" t="n">
        <v>0.427687291728743</v>
      </c>
    </row>
    <row r="576" customFormat="false" ht="13.8" hidden="false" customHeight="false" outlineLevel="0" collapsed="false">
      <c r="B576" s="2" t="n">
        <v>575</v>
      </c>
      <c r="C576" s="2" t="n">
        <v>0.427891555394109</v>
      </c>
      <c r="D576" s="2" t="n">
        <v>0.42789156364438</v>
      </c>
      <c r="E576" s="2" t="n">
        <v>0.42769156364438</v>
      </c>
    </row>
    <row r="577" customFormat="false" ht="13.8" hidden="false" customHeight="false" outlineLevel="0" collapsed="false">
      <c r="B577" s="2" t="n">
        <v>576</v>
      </c>
      <c r="C577" s="2" t="n">
        <v>0.42789582803995</v>
      </c>
      <c r="D577" s="2" t="n">
        <v>0.427895835602736</v>
      </c>
      <c r="E577" s="2" t="n">
        <v>0.427695835602736</v>
      </c>
    </row>
    <row r="578" customFormat="false" ht="13.8" hidden="false" customHeight="false" outlineLevel="0" collapsed="false">
      <c r="B578" s="2" t="n">
        <v>577</v>
      </c>
      <c r="C578" s="2" t="n">
        <v>0.427900100728518</v>
      </c>
      <c r="D578" s="2" t="n">
        <v>0.427900107603812</v>
      </c>
      <c r="E578" s="2" t="n">
        <v>0.427700107603812</v>
      </c>
    </row>
    <row r="579" customFormat="false" ht="13.8" hidden="false" customHeight="false" outlineLevel="0" collapsed="false">
      <c r="B579" s="2" t="n">
        <v>578</v>
      </c>
      <c r="C579" s="2" t="n">
        <v>0.427904373459813</v>
      </c>
      <c r="D579" s="2" t="n">
        <v>0.427904379647608</v>
      </c>
      <c r="E579" s="2" t="n">
        <v>0.427704379647608</v>
      </c>
    </row>
    <row r="580" customFormat="false" ht="13.8" hidden="false" customHeight="false" outlineLevel="0" collapsed="false">
      <c r="B580" s="2" t="n">
        <v>579</v>
      </c>
      <c r="C580" s="2" t="n">
        <v>0.427908646233835</v>
      </c>
      <c r="D580" s="2" t="n">
        <v>0.427908651734125</v>
      </c>
      <c r="E580" s="2" t="n">
        <v>0.427708651734125</v>
      </c>
    </row>
    <row r="581" customFormat="false" ht="13.8" hidden="false" customHeight="false" outlineLevel="0" collapsed="false">
      <c r="B581" s="2" t="n">
        <v>580</v>
      </c>
      <c r="C581" s="2" t="n">
        <v>0.427912919050586</v>
      </c>
      <c r="D581" s="2" t="n">
        <v>0.427912923863364</v>
      </c>
      <c r="E581" s="2" t="n">
        <v>0.427712923863364</v>
      </c>
    </row>
    <row r="582" customFormat="false" ht="13.8" hidden="false" customHeight="false" outlineLevel="0" collapsed="false">
      <c r="B582" s="2" t="n">
        <v>581</v>
      </c>
      <c r="C582" s="2" t="n">
        <v>0.427917191910066</v>
      </c>
      <c r="D582" s="2" t="n">
        <v>0.427917196035324</v>
      </c>
      <c r="E582" s="2" t="n">
        <v>0.427717196035324</v>
      </c>
    </row>
    <row r="583" customFormat="false" ht="13.8" hidden="false" customHeight="false" outlineLevel="0" collapsed="false">
      <c r="B583" s="2" t="n">
        <v>582</v>
      </c>
      <c r="C583" s="2" t="n">
        <v>0.4279214687418</v>
      </c>
      <c r="D583" s="2" t="n">
        <v>0.427921506968571</v>
      </c>
      <c r="E583" s="2" t="n">
        <v>0.427721472179559</v>
      </c>
    </row>
    <row r="584" customFormat="false" ht="13.8" hidden="false" customHeight="false" outlineLevel="0" collapsed="false">
      <c r="B584" s="2" t="n">
        <v>583</v>
      </c>
      <c r="C584" s="2" t="n">
        <v>0.427925741837898</v>
      </c>
      <c r="D584" s="2" t="n">
        <v>0.427925780715353</v>
      </c>
      <c r="E584" s="2" t="n">
        <v>0.427725744588116</v>
      </c>
    </row>
    <row r="585" customFormat="false" ht="13.8" hidden="false" customHeight="false" outlineLevel="0" collapsed="false">
      <c r="B585" s="2" t="n">
        <v>584</v>
      </c>
      <c r="C585" s="2" t="n">
        <v>0.427930014976727</v>
      </c>
      <c r="D585" s="2" t="n">
        <v>0.427930054504872</v>
      </c>
      <c r="E585" s="2" t="n">
        <v>0.4277300170394</v>
      </c>
    </row>
    <row r="586" customFormat="false" ht="13.8" hidden="false" customHeight="false" outlineLevel="0" collapsed="false">
      <c r="B586" s="2" t="n">
        <v>585</v>
      </c>
      <c r="C586" s="2" t="n">
        <v>0.427934288158276</v>
      </c>
      <c r="D586" s="2" t="n">
        <v>0.42793432833713</v>
      </c>
      <c r="E586" s="2" t="n">
        <v>0.42773428953342</v>
      </c>
    </row>
    <row r="587" customFormat="false" ht="13.8" hidden="false" customHeight="false" outlineLevel="0" collapsed="false">
      <c r="B587" s="2" t="n">
        <v>586</v>
      </c>
      <c r="C587" s="2" t="n">
        <v>0.427938561382566</v>
      </c>
      <c r="D587" s="2" t="n">
        <v>0.427938602212127</v>
      </c>
      <c r="E587" s="2" t="n">
        <v>0.427738562070156</v>
      </c>
    </row>
    <row r="588" customFormat="false" ht="13.8" hidden="false" customHeight="false" outlineLevel="0" collapsed="false">
      <c r="B588" s="2" t="n">
        <v>587</v>
      </c>
      <c r="C588" s="2" t="n">
        <v>0.427942834649587</v>
      </c>
      <c r="D588" s="2" t="n">
        <v>0.427942876129863</v>
      </c>
      <c r="E588" s="2" t="n">
        <v>0.42774283464962</v>
      </c>
    </row>
    <row r="589" customFormat="false" ht="13.8" hidden="false" customHeight="false" outlineLevel="0" collapsed="false">
      <c r="B589" s="2" t="n">
        <v>588</v>
      </c>
      <c r="C589" s="2" t="n">
        <v>0.427947107271766</v>
      </c>
      <c r="D589" s="2" t="n">
        <v>0.427947150090338</v>
      </c>
      <c r="E589" s="2" t="n">
        <v>0.427747107271818</v>
      </c>
    </row>
    <row r="590" customFormat="false" ht="13.8" hidden="false" customHeight="false" outlineLevel="0" collapsed="false">
      <c r="B590" s="2" t="n">
        <v>589</v>
      </c>
      <c r="C590" s="2" t="n">
        <v>0.427951379936696</v>
      </c>
      <c r="D590" s="2" t="n">
        <v>0.427951424093553</v>
      </c>
      <c r="E590" s="2" t="n">
        <v>0.427751379936718</v>
      </c>
    </row>
    <row r="591" customFormat="false" ht="13.8" hidden="false" customHeight="false" outlineLevel="0" collapsed="false">
      <c r="B591" s="2" t="n">
        <v>590</v>
      </c>
      <c r="C591" s="2" t="n">
        <v>0.427955653505635</v>
      </c>
      <c r="D591" s="2" t="n">
        <v>0.42795570236416</v>
      </c>
      <c r="E591" s="2" t="n">
        <v>0.427755664129995</v>
      </c>
    </row>
    <row r="592" customFormat="false" ht="13.8" hidden="false" customHeight="false" outlineLevel="0" collapsed="false">
      <c r="B592" s="2" t="n">
        <v>591</v>
      </c>
      <c r="C592" s="2" t="n">
        <v>0.427959925394706</v>
      </c>
      <c r="D592" s="2" t="n">
        <v>0.427959972228206</v>
      </c>
      <c r="E592" s="2" t="n">
        <v>0.427759925394732</v>
      </c>
    </row>
    <row r="593" customFormat="false" ht="13.8" hidden="false" customHeight="false" outlineLevel="0" collapsed="false">
      <c r="B593" s="2" t="n">
        <v>592</v>
      </c>
      <c r="C593" s="2" t="n">
        <v>0.427964202746944</v>
      </c>
      <c r="D593" s="2" t="n">
        <v>0.427964250446405</v>
      </c>
      <c r="E593" s="2" t="n">
        <v>0.427764209908754</v>
      </c>
    </row>
    <row r="594" customFormat="false" ht="13.8" hidden="false" customHeight="false" outlineLevel="0" collapsed="false">
      <c r="B594" s="2" t="n">
        <v>593</v>
      </c>
      <c r="C594" s="2" t="n">
        <v>0.427968471023615</v>
      </c>
      <c r="D594" s="2" t="n">
        <v>0.427968520533824</v>
      </c>
      <c r="E594" s="2" t="n">
        <v>0.42776847102367</v>
      </c>
    </row>
    <row r="595" customFormat="false" ht="13.8" hidden="false" customHeight="false" outlineLevel="0" collapsed="false">
      <c r="B595" s="2" t="n">
        <v>594</v>
      </c>
      <c r="C595" s="2" t="n">
        <v>0.427972743902182</v>
      </c>
      <c r="D595" s="2" t="n">
        <v>0.427972794750746</v>
      </c>
      <c r="E595" s="2" t="n">
        <v>0.427772743902213</v>
      </c>
    </row>
    <row r="596" customFormat="false" ht="13.8" hidden="false" customHeight="false" outlineLevel="0" collapsed="false">
      <c r="B596" s="2" t="n">
        <v>595</v>
      </c>
      <c r="C596" s="2" t="n">
        <v>0.427977016823461</v>
      </c>
      <c r="D596" s="2" t="n">
        <v>0.42797706901041</v>
      </c>
      <c r="E596" s="2" t="n">
        <v>0.427777016823501</v>
      </c>
    </row>
    <row r="597" customFormat="false" ht="13.8" hidden="false" customHeight="false" outlineLevel="0" collapsed="false">
      <c r="B597" s="2" t="n">
        <v>596</v>
      </c>
      <c r="C597" s="2" t="n">
        <v>0.427981289787462</v>
      </c>
      <c r="D597" s="2" t="n">
        <v>0.427981343312818</v>
      </c>
      <c r="E597" s="2" t="n">
        <v>0.427781289787527</v>
      </c>
    </row>
    <row r="598" customFormat="false" ht="13.8" hidden="false" customHeight="false" outlineLevel="0" collapsed="false">
      <c r="B598" s="2" t="n">
        <v>597</v>
      </c>
      <c r="C598" s="2" t="n">
        <v>0.427985562794222</v>
      </c>
      <c r="D598" s="2" t="n">
        <v>0.427985617657969</v>
      </c>
      <c r="E598" s="2" t="n">
        <v>0.427785562794255</v>
      </c>
    </row>
    <row r="599" customFormat="false" ht="13.8" hidden="false" customHeight="false" outlineLevel="0" collapsed="false">
      <c r="B599" s="2" t="n">
        <v>598</v>
      </c>
      <c r="C599" s="2" t="n">
        <v>0.427989835843661</v>
      </c>
      <c r="D599" s="2" t="n">
        <v>0.427989893632817</v>
      </c>
      <c r="E599" s="2" t="n">
        <v>0.427789835843732</v>
      </c>
    </row>
    <row r="600" customFormat="false" ht="13.8" hidden="false" customHeight="false" outlineLevel="0" collapsed="false">
      <c r="B600" s="2" t="n">
        <v>599</v>
      </c>
      <c r="C600" s="2" t="n">
        <v>0.427994108935872</v>
      </c>
      <c r="D600" s="2" t="n">
        <v>0.427994168101203</v>
      </c>
      <c r="E600" s="2" t="n">
        <v>0.427794108935901</v>
      </c>
    </row>
    <row r="601" customFormat="false" ht="13.8" hidden="false" customHeight="false" outlineLevel="0" collapsed="false">
      <c r="B601" s="2" t="n">
        <v>600</v>
      </c>
      <c r="C601" s="2" t="n">
        <v>0.427998382070793</v>
      </c>
      <c r="D601" s="2" t="n">
        <v>0.427998442612323</v>
      </c>
      <c r="E601" s="2" t="n">
        <v>0.427798382070822</v>
      </c>
    </row>
    <row r="602" customFormat="false" ht="13.8" hidden="false" customHeight="false" outlineLevel="0" collapsed="false">
      <c r="B602" s="2" t="n">
        <v>601</v>
      </c>
      <c r="C602" s="2" t="n">
        <v>0.428002655248434</v>
      </c>
      <c r="D602" s="2" t="n">
        <v>0.428002717166185</v>
      </c>
      <c r="E602" s="2" t="n">
        <v>0.427802655248486</v>
      </c>
    </row>
    <row r="603" customFormat="false" ht="13.8" hidden="false" customHeight="false" outlineLevel="0" collapsed="false">
      <c r="B603" s="2" t="n">
        <v>602</v>
      </c>
      <c r="C603" s="2" t="n">
        <v>0.428006952608101</v>
      </c>
      <c r="D603" s="2" t="n">
        <v>0.428006994059622</v>
      </c>
      <c r="E603" s="2" t="n">
        <v>0.427806942171695</v>
      </c>
    </row>
    <row r="604" customFormat="false" ht="13.8" hidden="false" customHeight="false" outlineLevel="0" collapsed="false">
      <c r="B604" s="2" t="n">
        <v>603</v>
      </c>
      <c r="C604" s="2" t="n">
        <v>0.428011282889458</v>
      </c>
      <c r="D604" s="2" t="n">
        <v>0.428011288649555</v>
      </c>
      <c r="E604" s="2" t="n">
        <v>0.427811280949379</v>
      </c>
    </row>
    <row r="605" customFormat="false" ht="13.8" hidden="false" customHeight="false" outlineLevel="0" collapsed="false">
      <c r="B605" s="2" t="n">
        <v>604</v>
      </c>
      <c r="C605" s="2" t="n">
        <v>0.4280155624018</v>
      </c>
      <c r="D605" s="2" t="n">
        <v>0.428015563804865</v>
      </c>
      <c r="E605" s="2" t="n">
        <v>0.427815562573163</v>
      </c>
    </row>
    <row r="606" customFormat="false" ht="13.8" hidden="false" customHeight="false" outlineLevel="0" collapsed="false">
      <c r="B606" s="2" t="n">
        <v>605</v>
      </c>
      <c r="C606" s="2" t="n">
        <v>0.000199999999634388</v>
      </c>
      <c r="D606" s="2" t="n">
        <v>0.000199999998423434</v>
      </c>
      <c r="E606" s="2" t="n">
        <v>0</v>
      </c>
    </row>
    <row r="607" customFormat="false" ht="13.8" hidden="false" customHeight="false" outlineLevel="0" collapsed="false">
      <c r="B607" s="2" t="n">
        <v>606</v>
      </c>
      <c r="C607" s="2" t="n">
        <v>0.000199999999504077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607</v>
      </c>
      <c r="C608" s="2" t="n">
        <v>0.000199999999373766</v>
      </c>
      <c r="D608" s="2" t="n">
        <v>0.000199999997299599</v>
      </c>
      <c r="E608" s="2" t="n">
        <v>0</v>
      </c>
    </row>
    <row r="609" customFormat="false" ht="13.8" hidden="false" customHeight="false" outlineLevel="0" collapsed="false">
      <c r="B609" s="2" t="n">
        <v>608</v>
      </c>
      <c r="C609" s="2" t="n">
        <v>0.000199999999243455</v>
      </c>
      <c r="D609" s="2" t="n">
        <v>9.90243994118733E-009</v>
      </c>
      <c r="E609" s="2" t="n">
        <v>0</v>
      </c>
    </row>
    <row r="610" customFormat="false" ht="13.8" hidden="false" customHeight="false" outlineLevel="0" collapsed="false">
      <c r="B610" s="2" t="n">
        <v>609</v>
      </c>
      <c r="C610" s="2" t="n">
        <v>8.16797252934482E-014</v>
      </c>
      <c r="D610" s="2" t="n">
        <v>0</v>
      </c>
      <c r="E610" s="2" t="n">
        <v>8.16797252934482E-014</v>
      </c>
    </row>
    <row r="611" customFormat="false" ht="13.8" hidden="false" customHeight="false" outlineLevel="0" collapsed="false">
      <c r="B611" s="2" t="n">
        <v>610</v>
      </c>
      <c r="C611" s="2" t="n">
        <v>0.000199999999003465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611</v>
      </c>
      <c r="C612" s="2" t="n">
        <v>8.81576056421059E-009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612</v>
      </c>
      <c r="C613" s="2" t="n">
        <v>3.9575224496773E-009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613</v>
      </c>
      <c r="C614" s="2" t="n">
        <v>0</v>
      </c>
      <c r="D614" s="2" t="n">
        <v>4.92349848669841E-009</v>
      </c>
      <c r="E614" s="2" t="n">
        <v>0</v>
      </c>
    </row>
    <row r="615" customFormat="false" ht="13.8" hidden="false" customHeight="false" outlineLevel="0" collapsed="false">
      <c r="B615" s="2" t="n">
        <v>614</v>
      </c>
      <c r="C615" s="2" t="n">
        <v>0.000199999998591585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615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616</v>
      </c>
      <c r="C617" s="2" t="n">
        <v>0.000199999998425896</v>
      </c>
      <c r="D617" s="2" t="n">
        <v>2.36115959585582E-011</v>
      </c>
      <c r="E617" s="2" t="n">
        <v>0</v>
      </c>
    </row>
    <row r="618" customFormat="false" ht="13.8" hidden="false" customHeight="false" outlineLevel="0" collapsed="false">
      <c r="B618" s="2" t="n">
        <v>617</v>
      </c>
      <c r="C618" s="2" t="n">
        <v>0</v>
      </c>
      <c r="D618" s="2" t="n">
        <v>4.99290502621303E-009</v>
      </c>
      <c r="E618" s="2" t="n">
        <v>0</v>
      </c>
    </row>
    <row r="619" customFormat="false" ht="13.8" hidden="false" customHeight="false" outlineLevel="0" collapsed="false">
      <c r="B619" s="2" t="n">
        <v>618</v>
      </c>
      <c r="C619" s="2" t="n">
        <v>1.88416498303764E-009</v>
      </c>
      <c r="D619" s="2" t="n">
        <v>9.92195739694643E-009</v>
      </c>
      <c r="E619" s="2" t="n">
        <v>0</v>
      </c>
    </row>
    <row r="620" customFormat="false" ht="13.8" hidden="false" customHeight="false" outlineLevel="0" collapsed="false">
      <c r="B620" s="2" t="n">
        <v>619</v>
      </c>
      <c r="C620" s="2" t="n">
        <v>3.01275882556321E-009</v>
      </c>
      <c r="D620" s="2" t="n">
        <v>4.72236630926649E-011</v>
      </c>
      <c r="E620" s="2" t="n">
        <v>0</v>
      </c>
    </row>
    <row r="621" customFormat="false" ht="13.8" hidden="false" customHeight="false" outlineLevel="0" collapsed="false">
      <c r="B621" s="2" t="n">
        <v>620</v>
      </c>
      <c r="C621" s="2" t="n">
        <v>4.51916083776613E-009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621</v>
      </c>
      <c r="C622" s="2" t="n">
        <v>1.52630693128571E-008</v>
      </c>
      <c r="D622" s="2" t="n">
        <v>2.361159616918E-011</v>
      </c>
      <c r="E622" s="2" t="n">
        <v>0</v>
      </c>
    </row>
    <row r="623" customFormat="false" ht="13.8" hidden="false" customHeight="false" outlineLevel="0" collapsed="false">
      <c r="B623" s="2" t="n">
        <v>622</v>
      </c>
      <c r="C623" s="2" t="n">
        <v>0.000199999998180701</v>
      </c>
      <c r="D623" s="2" t="n">
        <v>4.94498105193589E-009</v>
      </c>
      <c r="E623" s="2" t="n">
        <v>0</v>
      </c>
    </row>
    <row r="624" customFormat="false" ht="13.8" hidden="false" customHeight="false" outlineLevel="0" collapsed="false">
      <c r="B624" s="2" t="n">
        <v>623</v>
      </c>
      <c r="C624" s="2" t="n">
        <v>9.03845710390781E-009</v>
      </c>
      <c r="D624" s="2" t="n">
        <v>2.36115958599905E-011</v>
      </c>
      <c r="E624" s="2" t="n">
        <v>0</v>
      </c>
    </row>
    <row r="625" customFormat="false" ht="13.8" hidden="false" customHeight="false" outlineLevel="0" collapsed="false">
      <c r="B625" s="2" t="n">
        <v>624</v>
      </c>
      <c r="C625" s="2" t="n">
        <v>0.000199999998248249</v>
      </c>
      <c r="D625" s="2" t="n">
        <v>2.36115962665546E-011</v>
      </c>
      <c r="E625" s="2" t="n">
        <v>0</v>
      </c>
    </row>
    <row r="626" customFormat="false" ht="13.8" hidden="false" customHeight="false" outlineLevel="0" collapsed="false">
      <c r="B626" s="2" t="n">
        <v>625</v>
      </c>
      <c r="C626" s="2" t="n">
        <v>1.34257998406771E-008</v>
      </c>
      <c r="D626" s="2" t="n">
        <v>4.92180637495096E-009</v>
      </c>
      <c r="E626" s="2" t="n">
        <v>0</v>
      </c>
    </row>
    <row r="627" customFormat="false" ht="13.8" hidden="false" customHeight="false" outlineLevel="0" collapsed="false">
      <c r="B627" s="2" t="n">
        <v>626</v>
      </c>
      <c r="C627" s="2" t="n">
        <v>0.000199999998472989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627</v>
      </c>
      <c r="C628" s="2" t="n">
        <v>3.76898760938612E-008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628</v>
      </c>
      <c r="C629" s="2" t="n">
        <v>0.000199999998854918</v>
      </c>
      <c r="D629" s="2" t="n">
        <v>0</v>
      </c>
      <c r="E629" s="2" t="n">
        <v>1.30659474818521E-016</v>
      </c>
    </row>
    <row r="630" customFormat="false" ht="13.8" hidden="false" customHeight="false" outlineLevel="0" collapsed="false">
      <c r="B630" s="2" t="n">
        <v>629</v>
      </c>
      <c r="C630" s="2" t="n">
        <v>0</v>
      </c>
      <c r="D630" s="2" t="n">
        <v>1.66362818943951E-016</v>
      </c>
      <c r="E630" s="2" t="n">
        <v>3.76796389676372E-009</v>
      </c>
    </row>
    <row r="631" customFormat="false" ht="13.8" hidden="false" customHeight="false" outlineLevel="0" collapsed="false">
      <c r="B631" s="2" t="n">
        <v>630</v>
      </c>
      <c r="C631" s="2" t="n">
        <v>0.000199999999067426</v>
      </c>
      <c r="D631" s="2" t="n">
        <v>4.9960286230058E-009</v>
      </c>
      <c r="E631" s="2" t="n">
        <v>4.7223429003541E-011</v>
      </c>
    </row>
    <row r="632" customFormat="false" ht="13.8" hidden="false" customHeight="false" outlineLevel="0" collapsed="false">
      <c r="B632" s="2" t="n">
        <v>631</v>
      </c>
      <c r="C632" s="2" t="n">
        <v>0</v>
      </c>
      <c r="D632" s="2" t="n">
        <v>9.99622151975374E-009</v>
      </c>
      <c r="E632" s="2" t="n">
        <v>4.99910895300222E-009</v>
      </c>
    </row>
    <row r="633" customFormat="false" ht="13.8" hidden="false" customHeight="false" outlineLevel="0" collapsed="false">
      <c r="B633" s="2" t="n">
        <v>632</v>
      </c>
      <c r="C633" s="2" t="n">
        <v>9.99926051339657E-009</v>
      </c>
      <c r="D633" s="2" t="n">
        <v>0.000200009996314415</v>
      </c>
      <c r="E633" s="2" t="n">
        <v>9.99923120704963E-009</v>
      </c>
    </row>
    <row r="634" customFormat="false" ht="13.8" hidden="false" customHeight="false" outlineLevel="0" collapsed="false">
      <c r="B634" s="2" t="n">
        <v>633</v>
      </c>
      <c r="C634" s="2" t="n">
        <v>0</v>
      </c>
      <c r="D634" s="2" t="n">
        <v>1.99967573183665E-008</v>
      </c>
      <c r="E634" s="2" t="n">
        <v>4.53954560302108E-009</v>
      </c>
    </row>
    <row r="635" customFormat="false" ht="13.8" hidden="false" customHeight="false" outlineLevel="0" collapsed="false">
      <c r="B635" s="2" t="n">
        <v>634</v>
      </c>
      <c r="C635" s="2" t="n">
        <v>0.000200020094151379</v>
      </c>
      <c r="D635" s="2" t="n">
        <v>2.44753602228688E-008</v>
      </c>
      <c r="E635" s="2" t="n">
        <v>2.00941250104258E-008</v>
      </c>
    </row>
    <row r="636" customFormat="false" ht="13.8" hidden="false" customHeight="false" outlineLevel="0" collapsed="false">
      <c r="B636" s="2" t="n">
        <v>635</v>
      </c>
      <c r="C636" s="2" t="n">
        <v>0</v>
      </c>
      <c r="D636" s="2" t="n">
        <v>0.000199999996838398</v>
      </c>
      <c r="E636" s="2" t="n">
        <v>7.56598493635203E-009</v>
      </c>
    </row>
    <row r="637" customFormat="false" ht="13.8" hidden="false" customHeight="false" outlineLevel="0" collapsed="false">
      <c r="B637" s="2" t="n">
        <v>636</v>
      </c>
      <c r="C637" s="2" t="n">
        <v>0.000200030000384218</v>
      </c>
      <c r="D637" s="2" t="n">
        <v>3.49985289848264E-008</v>
      </c>
      <c r="E637" s="2" t="n">
        <v>3.00003622812504E-008</v>
      </c>
    </row>
    <row r="638" customFormat="false" ht="13.8" hidden="false" customHeight="false" outlineLevel="0" collapsed="false">
      <c r="B638" s="2" t="n">
        <v>637</v>
      </c>
      <c r="C638" s="2" t="n">
        <v>0</v>
      </c>
      <c r="D638" s="2" t="n">
        <v>3.99992195476322E-008</v>
      </c>
      <c r="E638" s="2" t="n">
        <v>3.50007818936828E-008</v>
      </c>
    </row>
    <row r="639" customFormat="false" ht="13.8" hidden="false" customHeight="false" outlineLevel="0" collapsed="false">
      <c r="B639" s="2" t="n">
        <v>638</v>
      </c>
      <c r="C639" s="2" t="n">
        <v>0.000200040001327762</v>
      </c>
      <c r="D639" s="2" t="n">
        <v>0.000200039999763451</v>
      </c>
      <c r="E639" s="2" t="n">
        <v>4.00013122008736E-008</v>
      </c>
    </row>
    <row r="640" customFormat="false" ht="13.8" hidden="false" customHeight="false" outlineLevel="0" collapsed="false">
      <c r="B640" s="2" t="n">
        <v>639</v>
      </c>
      <c r="C640" s="2" t="n">
        <v>0.000200045001903918</v>
      </c>
      <c r="D640" s="2" t="n">
        <v>0.000200045000757377</v>
      </c>
      <c r="E640" s="2" t="n">
        <v>4.50018925125517E-008</v>
      </c>
    </row>
    <row r="641" customFormat="false" ht="13.8" hidden="false" customHeight="false" outlineLevel="0" collapsed="false">
      <c r="B641" s="2" t="n">
        <v>640</v>
      </c>
      <c r="C641" s="2" t="n">
        <v>0.00131733853494926</v>
      </c>
      <c r="D641" s="2" t="n">
        <v>0.00131729968651839</v>
      </c>
      <c r="E641" s="2" t="n">
        <v>0.00111734568218026</v>
      </c>
    </row>
    <row r="642" customFormat="false" ht="13.8" hidden="false" customHeight="false" outlineLevel="0" collapsed="false">
      <c r="B642" s="2" t="n">
        <v>641</v>
      </c>
      <c r="C642" s="2" t="n">
        <v>0.00131734535831009</v>
      </c>
      <c r="D642" s="2" t="n">
        <v>0.0013173078601409</v>
      </c>
      <c r="E642" s="2" t="n">
        <v>0.00111735185582911</v>
      </c>
    </row>
    <row r="643" customFormat="false" ht="13.8" hidden="false" customHeight="false" outlineLevel="0" collapsed="false">
      <c r="B643" s="2" t="n">
        <v>642</v>
      </c>
      <c r="C643" s="2" t="n">
        <v>0.00131735218162191</v>
      </c>
      <c r="D643" s="2" t="n">
        <v>0.00131731603333822</v>
      </c>
      <c r="E643" s="2" t="n">
        <v>0.00111735802941827</v>
      </c>
    </row>
    <row r="644" customFormat="false" ht="13.8" hidden="false" customHeight="false" outlineLevel="0" collapsed="false">
      <c r="B644" s="2" t="n">
        <v>643</v>
      </c>
      <c r="C644" s="2" t="n">
        <v>0.00131735900500205</v>
      </c>
      <c r="D644" s="2" t="n">
        <v>0.00131732420661728</v>
      </c>
      <c r="E644" s="2" t="n">
        <v>0.00111736420306916</v>
      </c>
    </row>
    <row r="645" customFormat="false" ht="13.8" hidden="false" customHeight="false" outlineLevel="0" collapsed="false">
      <c r="B645" s="2" t="n">
        <v>644</v>
      </c>
      <c r="C645" s="2" t="n">
        <v>0.00131736582845036</v>
      </c>
      <c r="D645" s="2" t="n">
        <v>0.00131733237997807</v>
      </c>
      <c r="E645" s="2" t="n">
        <v>0.00111737037678179</v>
      </c>
    </row>
    <row r="646" customFormat="false" ht="13.8" hidden="false" customHeight="false" outlineLevel="0" collapsed="false">
      <c r="B646" s="2" t="n">
        <v>645</v>
      </c>
      <c r="C646" s="2" t="n">
        <v>0.00131737265196692</v>
      </c>
      <c r="D646" s="2" t="n">
        <v>0.0013173405534206</v>
      </c>
      <c r="E646" s="2" t="n">
        <v>0.00111737655055615</v>
      </c>
    </row>
    <row r="647" customFormat="false" ht="13.8" hidden="false" customHeight="false" outlineLevel="0" collapsed="false">
      <c r="B647" s="2" t="n">
        <v>646</v>
      </c>
      <c r="C647" s="2" t="n">
        <v>0.00131737947555799</v>
      </c>
      <c r="D647" s="2" t="n">
        <v>0.0013173487269721</v>
      </c>
      <c r="E647" s="2" t="n">
        <v>0.00111738272439879</v>
      </c>
    </row>
    <row r="648" customFormat="false" ht="13.8" hidden="false" customHeight="false" outlineLevel="0" collapsed="false">
      <c r="B648" s="2" t="n">
        <v>647</v>
      </c>
      <c r="C648" s="2" t="n">
        <v>0.00131738629921728</v>
      </c>
      <c r="D648" s="2" t="n">
        <v>0.00131735690060535</v>
      </c>
      <c r="E648" s="2" t="n">
        <v>0.00111738889830316</v>
      </c>
    </row>
    <row r="649" customFormat="false" ht="13.8" hidden="false" customHeight="false" outlineLevel="0" collapsed="false">
      <c r="B649" s="2" t="n">
        <v>648</v>
      </c>
      <c r="C649" s="2" t="n">
        <v>0.00131739312294477</v>
      </c>
      <c r="D649" s="2" t="n">
        <v>0.00131736507432033</v>
      </c>
      <c r="E649" s="2" t="n">
        <v>0.00111739507226927</v>
      </c>
    </row>
    <row r="650" customFormat="false" ht="13.8" hidden="false" customHeight="false" outlineLevel="0" collapsed="false">
      <c r="B650" s="2" t="n">
        <v>649</v>
      </c>
      <c r="C650" s="2" t="n">
        <v>0.00131740097142057</v>
      </c>
      <c r="D650" s="2" t="n">
        <v>0.00131737324811704</v>
      </c>
      <c r="E650" s="2" t="n">
        <v>0.00111740124629712</v>
      </c>
    </row>
    <row r="651" customFormat="false" ht="13.8" hidden="false" customHeight="false" outlineLevel="0" collapsed="false">
      <c r="B651" s="2" t="n">
        <v>650</v>
      </c>
      <c r="C651" s="2" t="n">
        <v>0.001317406732811</v>
      </c>
      <c r="D651" s="2" t="n">
        <v>0.00131738142193126</v>
      </c>
      <c r="E651" s="2" t="n">
        <v>0.00111740742037132</v>
      </c>
    </row>
    <row r="652" customFormat="false" ht="13.8" hidden="false" customHeight="false" outlineLevel="0" collapsed="false">
      <c r="B652" s="2" t="n">
        <v>651</v>
      </c>
      <c r="C652" s="2" t="n">
        <v>0.00131741359450727</v>
      </c>
      <c r="D652" s="2" t="n">
        <v>0.00131738959582722</v>
      </c>
      <c r="E652" s="2" t="n">
        <v>0.00111741359450727</v>
      </c>
    </row>
    <row r="653" customFormat="false" ht="13.8" hidden="false" customHeight="false" outlineLevel="0" collapsed="false">
      <c r="B653" s="2" t="n">
        <v>652</v>
      </c>
      <c r="C653" s="2" t="n">
        <v>0.00131741151843481</v>
      </c>
      <c r="D653" s="2" t="n">
        <v>0.00131739776980492</v>
      </c>
      <c r="E653" s="2" t="n">
        <v>0.00111741976870495</v>
      </c>
    </row>
    <row r="654" customFormat="false" ht="13.8" hidden="false" customHeight="false" outlineLevel="0" collapsed="false">
      <c r="B654" s="2" t="n">
        <v>653</v>
      </c>
      <c r="C654" s="2" t="n">
        <v>0.00131741838017894</v>
      </c>
      <c r="D654" s="2" t="n">
        <v>0.00131740594386436</v>
      </c>
      <c r="E654" s="2" t="n">
        <v>0.00111742594296438</v>
      </c>
    </row>
    <row r="655" customFormat="false" ht="13.8" hidden="false" customHeight="false" outlineLevel="0" collapsed="false">
      <c r="B655" s="2" t="n">
        <v>654</v>
      </c>
      <c r="C655" s="2" t="n">
        <v>0.0013174252419917</v>
      </c>
      <c r="D655" s="2" t="n">
        <v>0.00131742592949015</v>
      </c>
      <c r="E655" s="2" t="n">
        <v>0.00111743211728556</v>
      </c>
    </row>
    <row r="656" customFormat="false" ht="13.8" hidden="false" customHeight="false" outlineLevel="0" collapsed="false">
      <c r="B656" s="2" t="n">
        <v>655</v>
      </c>
      <c r="C656" s="2" t="n">
        <v>0.00131743210387307</v>
      </c>
      <c r="D656" s="2" t="n">
        <v>0.00131743279137838</v>
      </c>
      <c r="E656" s="2" t="n">
        <v>0.00111743829166847</v>
      </c>
    </row>
    <row r="657" customFormat="false" ht="13.8" hidden="false" customHeight="false" outlineLevel="0" collapsed="false">
      <c r="B657" s="2" t="n">
        <v>656</v>
      </c>
      <c r="C657" s="2" t="n">
        <v>0.00131743896582305</v>
      </c>
      <c r="D657" s="2" t="n">
        <v>0.00131743965333525</v>
      </c>
      <c r="E657" s="2" t="n">
        <v>0.00111744446611313</v>
      </c>
    </row>
    <row r="658" customFormat="false" ht="13.8" hidden="false" customHeight="false" outlineLevel="0" collapsed="false">
      <c r="B658" s="2" t="n">
        <v>657</v>
      </c>
      <c r="C658" s="2" t="n">
        <v>0.00131744582784165</v>
      </c>
      <c r="D658" s="2" t="n">
        <v>0.00131744651536073</v>
      </c>
      <c r="E658" s="2" t="n">
        <v>0.00111745064061954</v>
      </c>
    </row>
    <row r="659" customFormat="false" ht="13.8" hidden="false" customHeight="false" outlineLevel="0" collapsed="false">
      <c r="B659" s="2" t="n">
        <v>658</v>
      </c>
      <c r="C659" s="2" t="n">
        <v>0.00131745268992888</v>
      </c>
      <c r="D659" s="2" t="n">
        <v>0.00131744681538769</v>
      </c>
      <c r="E659" s="2" t="n">
        <v>0.00111745681518769</v>
      </c>
    </row>
    <row r="660" customFormat="false" ht="13.8" hidden="false" customHeight="false" outlineLevel="0" collapsed="false">
      <c r="B660" s="2" t="n">
        <v>659</v>
      </c>
      <c r="C660" s="2" t="n">
        <v>0.00131745955208473</v>
      </c>
      <c r="D660" s="2" t="n">
        <v>0.00131746023961755</v>
      </c>
      <c r="E660" s="2" t="n">
        <v>0.00111746298981759</v>
      </c>
    </row>
    <row r="661" customFormat="false" ht="13.8" hidden="false" customHeight="false" outlineLevel="0" collapsed="false">
      <c r="B661" s="2" t="n">
        <v>660</v>
      </c>
      <c r="C661" s="2" t="n">
        <v>0.0013174664143092</v>
      </c>
      <c r="D661" s="2" t="n">
        <v>0.00131746710184889</v>
      </c>
      <c r="E661" s="2" t="n">
        <v>0.00111746916450923</v>
      </c>
    </row>
    <row r="662" customFormat="false" ht="13.8" hidden="false" customHeight="false" outlineLevel="0" collapsed="false">
      <c r="B662" s="2" t="n">
        <v>661</v>
      </c>
      <c r="C662" s="2" t="n">
        <v>0.00131747327660229</v>
      </c>
      <c r="D662" s="2" t="n">
        <v>0.00131747396414886</v>
      </c>
      <c r="E662" s="2" t="n">
        <v>0.00111747533926263</v>
      </c>
    </row>
    <row r="663" customFormat="false" ht="13.8" hidden="false" customHeight="false" outlineLevel="0" collapsed="false">
      <c r="B663" s="2" t="n">
        <v>662</v>
      </c>
      <c r="C663" s="2" t="n">
        <v>0.001317480138964</v>
      </c>
      <c r="D663" s="2" t="n">
        <v>0.00131747951407777</v>
      </c>
      <c r="E663" s="2" t="n">
        <v>0.00111748151407777</v>
      </c>
    </row>
    <row r="664" customFormat="false" ht="13.8" hidden="false" customHeight="false" outlineLevel="0" collapsed="false">
      <c r="B664" s="2" t="n">
        <v>663</v>
      </c>
      <c r="C664" s="2" t="n">
        <v>0.00131748700139433</v>
      </c>
      <c r="D664" s="2" t="n">
        <v>0.00131748768895466</v>
      </c>
      <c r="E664" s="2" t="n">
        <v>0.00111748768895466</v>
      </c>
    </row>
    <row r="665" customFormat="false" ht="13.8" hidden="false" customHeight="false" outlineLevel="0" collapsed="false">
      <c r="B665" s="2" t="n">
        <v>664</v>
      </c>
      <c r="C665" s="2" t="n">
        <v>0.0013174938638933</v>
      </c>
      <c r="D665" s="2" t="n">
        <v>0.0013174938638933</v>
      </c>
      <c r="E665" s="2" t="n">
        <v>0.0011174938638933</v>
      </c>
    </row>
    <row r="666" customFormat="false" ht="13.8" hidden="false" customHeight="false" outlineLevel="0" collapsed="false">
      <c r="B666" s="2" t="n">
        <v>665</v>
      </c>
      <c r="C666" s="2" t="n">
        <v>0.00131750034112964</v>
      </c>
      <c r="D666" s="2" t="n">
        <v>0.00131750301688742</v>
      </c>
      <c r="E666" s="2" t="n">
        <v>0.0011175003411297</v>
      </c>
    </row>
    <row r="667" customFormat="false" ht="13.8" hidden="false" customHeight="false" outlineLevel="0" collapsed="false">
      <c r="B667" s="2" t="n">
        <v>666</v>
      </c>
      <c r="C667" s="2" t="n">
        <v>0.0013175059797517</v>
      </c>
      <c r="D667" s="2" t="n">
        <v>0.00131751068096875</v>
      </c>
      <c r="E667" s="2" t="n">
        <v>0.00111750666731212</v>
      </c>
    </row>
    <row r="668" customFormat="false" ht="13.8" hidden="false" customHeight="false" outlineLevel="0" collapsed="false">
      <c r="B668" s="2" t="n">
        <v>667</v>
      </c>
      <c r="C668" s="2" t="n">
        <v>0.00131751299355763</v>
      </c>
      <c r="D668" s="2" t="n">
        <v>0.00131751834512674</v>
      </c>
      <c r="E668" s="2" t="n">
        <v>0.00111751299355784</v>
      </c>
    </row>
    <row r="669" customFormat="false" ht="13.8" hidden="false" customHeight="false" outlineLevel="0" collapsed="false">
      <c r="B669" s="2" t="n">
        <v>668</v>
      </c>
      <c r="C669" s="2" t="n">
        <v>0.00131751931986654</v>
      </c>
      <c r="D669" s="2" t="n">
        <v>0.00131752600936135</v>
      </c>
      <c r="E669" s="2" t="n">
        <v>0.00111751931986678</v>
      </c>
    </row>
    <row r="670" customFormat="false" ht="13.8" hidden="false" customHeight="false" outlineLevel="0" collapsed="false">
      <c r="B670" s="2" t="n">
        <v>669</v>
      </c>
      <c r="C670" s="2" t="n">
        <v>0.00131752564623858</v>
      </c>
      <c r="D670" s="2" t="n">
        <v>0.00131753367367262</v>
      </c>
      <c r="E670" s="2" t="n">
        <v>0.00111752564623913</v>
      </c>
    </row>
    <row r="671" customFormat="false" ht="13.8" hidden="false" customHeight="false" outlineLevel="0" collapsed="false">
      <c r="B671" s="2" t="n">
        <v>670</v>
      </c>
      <c r="C671" s="2" t="n">
        <v>0.00131753128511368</v>
      </c>
      <c r="D671" s="2" t="n">
        <v>0.00131754133806052</v>
      </c>
      <c r="E671" s="2" t="n">
        <v>0.00111753197267459</v>
      </c>
    </row>
    <row r="672" customFormat="false" ht="13.8" hidden="false" customHeight="false" outlineLevel="0" collapsed="false">
      <c r="B672" s="2" t="n">
        <v>671</v>
      </c>
      <c r="C672" s="2" t="n">
        <v>0.0013175382991726</v>
      </c>
      <c r="D672" s="2" t="n">
        <v>0.00131754900252505</v>
      </c>
      <c r="E672" s="2" t="n">
        <v>0.00111753829917345</v>
      </c>
    </row>
    <row r="673" customFormat="false" ht="13.8" hidden="false" customHeight="false" outlineLevel="0" collapsed="false">
      <c r="B673" s="2" t="n">
        <v>672</v>
      </c>
      <c r="C673" s="2" t="n">
        <v>0.0005</v>
      </c>
      <c r="D673" s="2" t="n">
        <v>0.0005</v>
      </c>
      <c r="E673" s="2" t="n">
        <v>0.0005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2025-12-10T18:23:25Z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