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olar" sheetId="1" state="visible" r:id="rId3"/>
    <sheet name="demand" sheetId="2" state="visible" r:id="rId4"/>
    <sheet name="investment" sheetId="3" state="visible" r:id="rId5"/>
    <sheet name="profit" sheetId="4" state="visible" r:id="rId6"/>
    <sheet name="solgen" sheetId="5" state="visible" r:id="rId7"/>
    <sheet name="import" sheetId="6" state="visible" r:id="rId8"/>
    <sheet name="export" sheetId="7" state="visible" r:id="rId9"/>
    <sheet name="charge" sheetId="8" state="visible" r:id="rId10"/>
    <sheet name="discharge" sheetId="9" state="visible" r:id="rId11"/>
    <sheet name="soc" sheetId="10" state="visible" r:id="rId12"/>
    <sheet name="p_micro" sheetId="11" state="visible" r:id="rId13"/>
    <sheet name="NG1" sheetId="12" state="visible" r:id="rId14"/>
    <sheet name="NG2" sheetId="13" state="visible" r:id="rId15"/>
    <sheet name="NG3" sheetId="14" state="visible" r:id="rId16"/>
    <sheet name="Input par" sheetId="15" state="visible" r:id="rId17"/>
    <sheet name="p_nano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<sst xmlns="http://schemas.openxmlformats.org/spreadsheetml/2006/main" count="92" uniqueCount="58">
  <si>
    <t xml:space="preserve">1</t>
  </si>
  <si>
    <t xml:space="preserve">2</t>
  </si>
  <si>
    <t xml:space="preserve">3</t>
  </si>
  <si>
    <t xml:space="preserve">In %</t>
  </si>
  <si>
    <t xml:space="preserve">NG=</t>
  </si>
  <si>
    <t xml:space="preserve">Nanogrid 1</t>
  </si>
  <si>
    <t xml:space="preserve">PV hours</t>
  </si>
  <si>
    <t xml:space="preserve">For plot</t>
  </si>
  <si>
    <t xml:space="preserve">timestep</t>
  </si>
  <si>
    <t xml:space="preserve">solar 1</t>
  </si>
  <si>
    <t xml:space="preserve">demand 1</t>
  </si>
  <si>
    <t xml:space="preserve">solgen 1</t>
  </si>
  <si>
    <t xml:space="preserve">import 1</t>
  </si>
  <si>
    <t xml:space="preserve">export 1</t>
  </si>
  <si>
    <t xml:space="preserve">charge 1</t>
  </si>
  <si>
    <t xml:space="preserve">discha 1</t>
  </si>
  <si>
    <t xml:space="preserve">SoC 1</t>
  </si>
  <si>
    <t xml:space="preserve">p_micro</t>
  </si>
  <si>
    <t xml:space="preserve">Nanogrid 2</t>
  </si>
  <si>
    <t xml:space="preserve">Nanogrid 3</t>
  </si>
  <si>
    <t xml:space="preserve">* spec. solar investment 730 euro/kWp for 20 years lifetime (from my paper) -&gt; 0.1 euro/kW per day</t>
  </si>
  <si>
    <t xml:space="preserve">* spec. solar investment 540 euro/kWh for 20 years lifetime (from Leas master) -&gt; 0.074 euro/kW per day</t>
  </si>
  <si>
    <r>
      <rPr>
        <sz val="8"/>
        <color rgb="FF000000"/>
        <rFont val="Consolas"/>
        <family val="3"/>
        <charset val="1"/>
      </rPr>
      <t xml:space="preserve">c_S(i)</t>
    </r>
    <r>
      <rPr>
        <sz val="8"/>
        <color rgb="FF007400"/>
        <rFont val="Consolas"/>
        <family val="3"/>
        <charset val="1"/>
      </rPr>
      <t xml:space="preserve"> /1 </t>
    </r>
    <r>
      <rPr>
        <sz val="8"/>
        <color rgb="FF005078"/>
        <rFont val="Consolas"/>
        <family val="3"/>
        <charset val="1"/>
      </rPr>
      <t xml:space="preserve">0.7</t>
    </r>
  </si>
  <si>
    <r>
      <rPr>
        <sz val="8"/>
        <color rgb="FF007400"/>
        <rFont val="Consolas"/>
        <family val="3"/>
        <charset val="1"/>
      </rPr>
      <t xml:space="preserve">2 </t>
    </r>
    <r>
      <rPr>
        <sz val="8"/>
        <color rgb="FF005078"/>
        <rFont val="Consolas"/>
        <family val="3"/>
        <charset val="1"/>
      </rPr>
      <t xml:space="preserve">0.7</t>
    </r>
  </si>
  <si>
    <r>
      <rPr>
        <sz val="8"/>
        <color rgb="FF007400"/>
        <rFont val="Consolas"/>
        <family val="3"/>
        <charset val="1"/>
      </rPr>
      <t xml:space="preserve">3 </t>
    </r>
    <r>
      <rPr>
        <sz val="8"/>
        <color rgb="FF005078"/>
        <rFont val="Consolas"/>
        <family val="3"/>
        <charset val="1"/>
      </rPr>
      <t xml:space="preserve">0.7</t>
    </r>
  </si>
  <si>
    <t xml:space="preserve">/</t>
  </si>
  <si>
    <t xml:space="preserve">* spec. battery investment 192 euro/kWh for 5 years lifetime (from my paper) -&gt; 0.1 euro/kWh per day</t>
  </si>
  <si>
    <t xml:space="preserve">* spec. battery investment 1900 euro/kWh for 5 years lifetime (from my paper) -&gt; 1.04 euro/kWh per day</t>
  </si>
  <si>
    <r>
      <rPr>
        <sz val="8"/>
        <color rgb="FF000000"/>
        <rFont val="Consolas"/>
        <family val="3"/>
        <charset val="1"/>
      </rPr>
      <t xml:space="preserve">c_B(i)</t>
    </r>
    <r>
      <rPr>
        <sz val="8"/>
        <color rgb="FF007400"/>
        <rFont val="Consolas"/>
        <family val="3"/>
        <charset val="1"/>
      </rPr>
      <t xml:space="preserve"> / 1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</si>
  <si>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7400"/>
        <rFont val="Consolas"/>
        <family val="3"/>
        <charset val="1"/>
      </rPr>
      <t xml:space="preserve">2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</si>
  <si>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7400"/>
        <rFont val="Consolas"/>
        <family val="3"/>
        <charset val="1"/>
      </rPr>
      <t xml:space="preserve">3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</si>
  <si>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0000"/>
        <rFont val="Consolas"/>
        <family val="3"/>
        <charset val="1"/>
      </rPr>
      <t xml:space="preserve">c_bat</t>
    </r>
    <r>
      <rPr>
        <sz val="8"/>
        <color rgb="FF007400"/>
        <rFont val="Consolas"/>
        <family val="3"/>
        <charset val="1"/>
      </rPr>
      <t xml:space="preserve"> / 0.005 /</t>
    </r>
  </si>
  <si>
    <r>
      <rPr>
        <sz val="8"/>
        <color rgb="FF000000"/>
        <rFont val="Consolas"/>
        <family val="3"/>
        <charset val="1"/>
      </rPr>
      <t xml:space="preserve">c_pv</t>
    </r>
    <r>
      <rPr>
        <sz val="8"/>
        <color rgb="FF007400"/>
        <rFont val="Consolas"/>
        <family val="3"/>
        <charset val="1"/>
      </rPr>
      <t xml:space="preserve"> / 0.0001 /</t>
    </r>
  </si>
  <si>
    <r>
      <rPr>
        <sz val="8"/>
        <color rgb="FF000000"/>
        <rFont val="Consolas"/>
        <family val="3"/>
        <charset val="1"/>
      </rPr>
      <t xml:space="preserve">sigma</t>
    </r>
    <r>
      <rPr>
        <sz val="8"/>
        <color rgb="FF007400"/>
        <rFont val="Consolas"/>
        <family val="3"/>
        <charset val="1"/>
      </rPr>
      <t xml:space="preserve"> / 0.001 /</t>
    </r>
  </si>
  <si>
    <r>
      <rPr>
        <sz val="8"/>
        <color rgb="FF000000"/>
        <rFont val="Consolas"/>
        <family val="3"/>
        <charset val="1"/>
      </rPr>
      <t xml:space="preserve">u_bat</t>
    </r>
    <r>
      <rPr>
        <sz val="8"/>
        <color rgb="FF007400"/>
        <rFont val="Consolas"/>
        <family val="3"/>
        <charset val="1"/>
      </rPr>
      <t xml:space="preserve"> / 0.9 /</t>
    </r>
  </si>
  <si>
    <r>
      <rPr>
        <sz val="8"/>
        <color rgb="FF000000"/>
        <rFont val="Consolas"/>
        <family val="3"/>
        <charset val="1"/>
      </rPr>
      <t xml:space="preserve">u_ie</t>
    </r>
    <r>
      <rPr>
        <sz val="8"/>
        <color rgb="FF007400"/>
        <rFont val="Consolas"/>
        <family val="3"/>
        <charset val="1"/>
      </rPr>
      <t xml:space="preserve"> / 0.75 /</t>
    </r>
  </si>
  <si>
    <r>
      <rPr>
        <sz val="8"/>
        <color rgb="FF000000"/>
        <rFont val="Consolas"/>
        <family val="3"/>
        <charset val="1"/>
      </rPr>
      <t xml:space="preserve">v_B</t>
    </r>
    <r>
      <rPr>
        <sz val="8"/>
        <color rgb="FF007400"/>
        <rFont val="Consolas"/>
        <family val="3"/>
        <charset val="1"/>
      </rPr>
      <t xml:space="preserve"> / 0.5 /</t>
    </r>
  </si>
  <si>
    <r>
      <rPr>
        <sz val="8"/>
        <color rgb="FF000000"/>
        <rFont val="Consolas"/>
        <family val="3"/>
        <charset val="1"/>
      </rPr>
      <t xml:space="preserve">z_B</t>
    </r>
    <r>
      <rPr>
        <sz val="8"/>
        <color rgb="FF007400"/>
        <rFont val="Consolas"/>
        <family val="3"/>
        <charset val="1"/>
      </rPr>
      <t xml:space="preserve"> / 0.7 /</t>
    </r>
  </si>
  <si>
    <t xml:space="preserve">*a_bat / 0.6 /</t>
  </si>
  <si>
    <r>
      <rPr>
        <sz val="8"/>
        <color rgb="FF000000"/>
        <rFont val="Consolas"/>
        <family val="3"/>
        <charset val="1"/>
      </rPr>
      <t xml:space="preserve">w</t>
    </r>
    <r>
      <rPr>
        <sz val="8"/>
        <color rgb="FF007400"/>
        <rFont val="Consolas"/>
        <family val="3"/>
        <charset val="1"/>
      </rPr>
      <t xml:space="preserve"> / 10 /</t>
    </r>
  </si>
  <si>
    <r>
      <rPr>
        <sz val="8"/>
        <color rgb="FF000000"/>
        <rFont val="Consolas"/>
        <family val="3"/>
        <charset val="1"/>
      </rPr>
      <t xml:space="preserve">p_nano</t>
    </r>
    <r>
      <rPr>
        <sz val="8"/>
        <color rgb="FF007400"/>
        <rFont val="Consolas"/>
        <family val="3"/>
        <charset val="1"/>
      </rPr>
      <t xml:space="preserve"> / 2 /</t>
    </r>
  </si>
  <si>
    <r>
      <rPr>
        <sz val="8"/>
        <color rgb="FF000000"/>
        <rFont val="Consolas"/>
        <family val="3"/>
        <charset val="1"/>
      </rPr>
      <t xml:space="preserve">p_micro</t>
    </r>
    <r>
      <rPr>
        <sz val="8"/>
        <color rgb="FF007400"/>
        <rFont val="Consolas"/>
        <family val="3"/>
        <charset val="1"/>
      </rPr>
      <t xml:space="preserve"> / 1 /</t>
    </r>
  </si>
  <si>
    <r>
      <rPr>
        <sz val="8"/>
        <color rgb="FF000000"/>
        <rFont val="Consolas"/>
        <family val="3"/>
        <charset val="1"/>
      </rPr>
      <t xml:space="preserve">ts</t>
    </r>
    <r>
      <rPr>
        <sz val="8"/>
        <color rgb="FF007400"/>
        <rFont val="Consolas"/>
        <family val="3"/>
        <charset val="1"/>
      </rPr>
      <t xml:space="preserve"> / 1 /</t>
    </r>
  </si>
  <si>
    <r>
      <rPr>
        <sz val="8"/>
        <color rgb="FF000000"/>
        <rFont val="Consolas"/>
        <family val="3"/>
        <charset val="1"/>
      </rPr>
      <t xml:space="preserve">Num_of_ts</t>
    </r>
    <r>
      <rPr>
        <sz val="8"/>
        <color rgb="FF007400"/>
        <rFont val="Consolas"/>
        <family val="3"/>
        <charset val="1"/>
      </rPr>
      <t xml:space="preserve"> / 168 /</t>
    </r>
  </si>
  <si>
    <t xml:space="preserve">e_solar(t)</t>
  </si>
  <si>
    <t xml:space="preserve">$ondelim</t>
  </si>
  <si>
    <r>
      <rPr>
        <sz val="8"/>
        <color rgb="FF6B006B"/>
        <rFont val="Consolas"/>
        <family val="3"/>
        <charset val="1"/>
      </rPr>
      <t xml:space="preserve">$include</t>
    </r>
    <r>
      <rPr>
        <i val="true"/>
        <sz val="8"/>
        <color rgb="FF0000DA"/>
        <rFont val="Consolas"/>
        <family val="3"/>
        <charset val="1"/>
      </rPr>
      <t xml:space="preserve"> Raqaypampa_PV_hourly_week10.csv</t>
    </r>
  </si>
  <si>
    <t xml:space="preserve">*$include NanoE_PVlow_1kW_1w10min.csv</t>
  </si>
  <si>
    <t xml:space="preserve">*$include PV3days_adj.csv</t>
  </si>
  <si>
    <t xml:space="preserve">$offdelim</t>
  </si>
  <si>
    <t xml:space="preserve">* Several parameters that are calculated after the model run</t>
  </si>
  <si>
    <t xml:space="preserve">indiprofit(i)</t>
  </si>
  <si>
    <t xml:space="preserve">negprofit</t>
  </si>
  <si>
    <t xml:space="preserve">;</t>
  </si>
  <si>
    <r>
      <rPr>
        <b val="true"/>
        <sz val="8"/>
        <color rgb="FF0000B3"/>
        <rFont val="Consolas"/>
        <family val="3"/>
        <charset val="1"/>
      </rPr>
      <t xml:space="preserve">Table </t>
    </r>
    <r>
      <rPr>
        <sz val="8"/>
        <color rgb="FF000000"/>
        <rFont val="Consolas"/>
        <family val="3"/>
        <charset val="1"/>
      </rPr>
      <t xml:space="preserve">e_dem(t,i)</t>
    </r>
  </si>
  <si>
    <r>
      <rPr>
        <sz val="8"/>
        <color rgb="FF6B006B"/>
        <rFont val="Consolas"/>
        <family val="3"/>
        <charset val="1"/>
      </rPr>
      <t xml:space="preserve">$include</t>
    </r>
    <r>
      <rPr>
        <i val="true"/>
        <sz val="8"/>
        <color rgb="FF0000DA"/>
        <rFont val="Consolas"/>
        <family val="3"/>
        <charset val="1"/>
      </rPr>
      <t xml:space="preserve"> Raqaypampa_demand_hourly_week10_3NG.csv</t>
    </r>
  </si>
  <si>
    <t xml:space="preserve">*$include NanoE_demand_5NGs_1w10min.csv</t>
  </si>
  <si>
    <t xml:space="preserve">*$include Dem3days_adj.csv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</si>
</sst>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"/>
    <numFmt numFmtId="167" formatCode="@"/>
    <numFmt numFmtId="168" formatCode="General"/>
    <numFmt numFmtId="169" formatCode="0.0000000"/>
    <numFmt numFmtId="170" formatCode="0.00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BFBFBF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i val="true"/>
      <sz val="8"/>
      <color rgb="FF787878"/>
      <name val="Consolas"/>
      <family val="3"/>
      <charset val="1"/>
    </font>
    <font>
      <sz val="8"/>
      <color rgb="FF000000"/>
      <name val="Consolas"/>
      <family val="3"/>
      <charset val="1"/>
    </font>
    <font>
      <sz val="8"/>
      <color rgb="FF007400"/>
      <name val="Consolas"/>
      <family val="3"/>
      <charset val="1"/>
    </font>
    <font>
      <sz val="8"/>
      <color rgb="FF005078"/>
      <name val="Consolas"/>
      <family val="3"/>
      <charset val="1"/>
    </font>
    <font>
      <sz val="8"/>
      <color rgb="FF6B006B"/>
      <name val="Consolas"/>
      <family val="3"/>
      <charset val="1"/>
    </font>
    <font>
      <i val="true"/>
      <sz val="8"/>
      <color rgb="FF0000DA"/>
      <name val="Consolas"/>
      <family val="3"/>
      <charset val="1"/>
    </font>
    <font>
      <b val="true"/>
      <sz val="8"/>
      <color rgb="FF0000B3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DA"/>
      <rgbColor rgb="FFFFFF00"/>
      <rgbColor rgb="FFFF00FF"/>
      <rgbColor rgb="FF00FFFF"/>
      <rgbColor rgb="FF800000"/>
      <rgbColor rgb="FF007400"/>
      <rgbColor rgb="FF0000B3"/>
      <rgbColor rgb="FF808000"/>
      <rgbColor rgb="FF800080"/>
      <rgbColor rgb="FF008080"/>
      <rgbColor rgb="FFBFBFBF"/>
      <rgbColor rgb="FF787878"/>
      <rgbColor rgb="FF5B9BD5"/>
      <rgbColor rgb="FF993366"/>
      <rgbColor rgb="FFFFFFCC"/>
      <rgbColor rgb="FFCCFFFF"/>
      <rgbColor rgb="FF6B006B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95959"/>
      <rgbColor rgb="FF70AD47"/>
      <rgbColor rgb="FF00507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NG1!$K$4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NG1!$K$5:$K$172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NG1!$L$4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NG1!$L$5:$L$172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95682124"/>
        <c:axId val="26547850"/>
      </c:barChart>
      <c:lineChart>
        <c:grouping val="stacked"/>
        <c:varyColors val="0"/>
        <c:ser>
          <c:idx val="5"/>
          <c:order val="5"/>
          <c:tx>
            <c:strRef>
              <c:f>NG1!$F$4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NG1!$G$4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NG1!$G$5:$G$172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682124"/>
        <c:axId val="26547850"/>
      </c:lineChart>
      <c:catAx>
        <c:axId val="956821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26547850"/>
        <c:crosses val="autoZero"/>
        <c:auto val="1"/>
        <c:lblAlgn val="ctr"/>
        <c:lblOffset val="100"/>
        <c:noMultiLvlLbl val="0"/>
      </c:catAx>
      <c:valAx>
        <c:axId val="2654785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9568212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SoC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NG1!$M$4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NG1!$M$5:$M$172</c:f>
              <c:numCache>
                <c:formatCode>General</c:formatCode>
                <c:ptCount val="168"/>
                <c:pt idx="0">
                  <c:v>65.4470856453318</c:v>
                </c:pt>
                <c:pt idx="1">
                  <c:v>60.3432663886295</c:v>
                </c:pt>
                <c:pt idx="2">
                  <c:v>55.8079248245468</c:v>
                </c:pt>
                <c:pt idx="3">
                  <c:v>48.2192052344633</c:v>
                </c:pt>
                <c:pt idx="4">
                  <c:v>42.5327535030768</c:v>
                </c:pt>
                <c:pt idx="5">
                  <c:v>35.3206641500829</c:v>
                </c:pt>
                <c:pt idx="6">
                  <c:v>28.8701182902498</c:v>
                </c:pt>
                <c:pt idx="7">
                  <c:v>29.0365063846509</c:v>
                </c:pt>
                <c:pt idx="8">
                  <c:v>29.036216019587</c:v>
                </c:pt>
                <c:pt idx="9">
                  <c:v>29.0359256574268</c:v>
                </c:pt>
                <c:pt idx="10">
                  <c:v>29.0356352981703</c:v>
                </c:pt>
                <c:pt idx="11">
                  <c:v>29.0353449418173</c:v>
                </c:pt>
                <c:pt idx="12">
                  <c:v>29.0350545883679</c:v>
                </c:pt>
                <c:pt idx="13">
                  <c:v>48.979021713616</c:v>
                </c:pt>
                <c:pt idx="14">
                  <c:v>69.3533492433928</c:v>
                </c:pt>
                <c:pt idx="15">
                  <c:v>78.7713492934807</c:v>
                </c:pt>
                <c:pt idx="16">
                  <c:v>81.5290815751769</c:v>
                </c:pt>
                <c:pt idx="17">
                  <c:v>77.6739817505003</c:v>
                </c:pt>
                <c:pt idx="18">
                  <c:v>70.0970193280807</c:v>
                </c:pt>
                <c:pt idx="19">
                  <c:v>60.6635878967722</c:v>
                </c:pt>
                <c:pt idx="20">
                  <c:v>50.513847050453</c:v>
                </c:pt>
                <c:pt idx="21">
                  <c:v>41.4713806889961</c:v>
                </c:pt>
                <c:pt idx="22">
                  <c:v>34.5039155892284</c:v>
                </c:pt>
                <c:pt idx="23">
                  <c:v>28.0290702265239</c:v>
                </c:pt>
                <c:pt idx="24">
                  <c:v>22.0125733634113</c:v>
                </c:pt>
                <c:pt idx="25">
                  <c:v>17.6993093576576</c:v>
                </c:pt>
                <c:pt idx="26">
                  <c:v>13.5335844057642</c:v>
                </c:pt>
                <c:pt idx="27">
                  <c:v>8.64973635607417</c:v>
                </c:pt>
                <c:pt idx="28">
                  <c:v>4.4863647652808</c:v>
                </c:pt>
                <c:pt idx="29">
                  <c:v>0.385617015577318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13.6799656644303</c:v>
                </c:pt>
                <c:pt idx="37">
                  <c:v>41.7743065149336</c:v>
                </c:pt>
                <c:pt idx="38">
                  <c:v>64.1098838136406</c:v>
                </c:pt>
                <c:pt idx="39">
                  <c:v>76.1026033523669</c:v>
                </c:pt>
                <c:pt idx="40">
                  <c:v>82.2425594880569</c:v>
                </c:pt>
                <c:pt idx="41">
                  <c:v>79.1820020799221</c:v>
                </c:pt>
                <c:pt idx="42">
                  <c:v>72.0042424995445</c:v>
                </c:pt>
                <c:pt idx="43">
                  <c:v>62.3373777928421</c:v>
                </c:pt>
                <c:pt idx="44">
                  <c:v>52.0238808533754</c:v>
                </c:pt>
                <c:pt idx="45">
                  <c:v>45.0167010907301</c:v>
                </c:pt>
                <c:pt idx="46">
                  <c:v>36.2445595591277</c:v>
                </c:pt>
                <c:pt idx="47">
                  <c:v>31.0948904701699</c:v>
                </c:pt>
                <c:pt idx="48">
                  <c:v>27.4995344588268</c:v>
                </c:pt>
                <c:pt idx="49">
                  <c:v>23.3656470466374</c:v>
                </c:pt>
                <c:pt idx="50">
                  <c:v>18.5415159607929</c:v>
                </c:pt>
                <c:pt idx="51">
                  <c:v>13.6126649679193</c:v>
                </c:pt>
                <c:pt idx="52">
                  <c:v>9.00178685414368</c:v>
                </c:pt>
                <c:pt idx="53">
                  <c:v>2.28717148563358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28.3030042714546</c:v>
                </c:pt>
                <c:pt idx="61">
                  <c:v>57.2904317234998</c:v>
                </c:pt>
                <c:pt idx="62">
                  <c:v>80.716018721418</c:v>
                </c:pt>
                <c:pt idx="63">
                  <c:v>92.0301475885298</c:v>
                </c:pt>
                <c:pt idx="64">
                  <c:v>88.005165994826</c:v>
                </c:pt>
                <c:pt idx="65">
                  <c:v>81.385286338106</c:v>
                </c:pt>
                <c:pt idx="66">
                  <c:v>73.1655835711005</c:v>
                </c:pt>
                <c:pt idx="67">
                  <c:v>61.7769198826975</c:v>
                </c:pt>
                <c:pt idx="68">
                  <c:v>50.3603909558137</c:v>
                </c:pt>
                <c:pt idx="69">
                  <c:v>37.1843573324904</c:v>
                </c:pt>
                <c:pt idx="70">
                  <c:v>30.3513305086837</c:v>
                </c:pt>
                <c:pt idx="71">
                  <c:v>23.8876827060311</c:v>
                </c:pt>
                <c:pt idx="72">
                  <c:v>20.3567020075955</c:v>
                </c:pt>
                <c:pt idx="73">
                  <c:v>16.3766655335469</c:v>
                </c:pt>
                <c:pt idx="74">
                  <c:v>12.9133756396733</c:v>
                </c:pt>
                <c:pt idx="75">
                  <c:v>9.51578304759167</c:v>
                </c:pt>
                <c:pt idx="76">
                  <c:v>4.91979123482827</c:v>
                </c:pt>
                <c:pt idx="77">
                  <c:v>1.91205345239183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27.8693868492237</c:v>
                </c:pt>
                <c:pt idx="84">
                  <c:v>58.1348580473221</c:v>
                </c:pt>
                <c:pt idx="85">
                  <c:v>80.3077002605278</c:v>
                </c:pt>
                <c:pt idx="86">
                  <c:v>92.2125448861488</c:v>
                </c:pt>
                <c:pt idx="87">
                  <c:v>96.4303428081865</c:v>
                </c:pt>
                <c:pt idx="88">
                  <c:v>92.171753471358</c:v>
                </c:pt>
                <c:pt idx="89">
                  <c:v>85.4846060586691</c:v>
                </c:pt>
                <c:pt idx="90">
                  <c:v>76.8179810144033</c:v>
                </c:pt>
                <c:pt idx="91">
                  <c:v>64.9848705921298</c:v>
                </c:pt>
                <c:pt idx="92">
                  <c:v>51.1242315105407</c:v>
                </c:pt>
                <c:pt idx="93">
                  <c:v>42.5025903958454</c:v>
                </c:pt>
                <c:pt idx="94">
                  <c:v>35.9807263292908</c:v>
                </c:pt>
                <c:pt idx="95">
                  <c:v>29.4401113421056</c:v>
                </c:pt>
                <c:pt idx="96">
                  <c:v>23.95332312122</c:v>
                </c:pt>
                <c:pt idx="97">
                  <c:v>18.7797663781119</c:v>
                </c:pt>
                <c:pt idx="98">
                  <c:v>14.9544335671881</c:v>
                </c:pt>
                <c:pt idx="99">
                  <c:v>10.7257648198892</c:v>
                </c:pt>
                <c:pt idx="100">
                  <c:v>6.29613412632297</c:v>
                </c:pt>
                <c:pt idx="101">
                  <c:v>1.16582237039764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30.4390196191838</c:v>
                </c:pt>
                <c:pt idx="108">
                  <c:v>62.7374738657461</c:v>
                </c:pt>
                <c:pt idx="109">
                  <c:v>84.1832713009461</c:v>
                </c:pt>
                <c:pt idx="110">
                  <c:v>91.0825579914693</c:v>
                </c:pt>
                <c:pt idx="111">
                  <c:v>98.4259453393633</c:v>
                </c:pt>
                <c:pt idx="112">
                  <c:v>100</c:v>
                </c:pt>
                <c:pt idx="113">
                  <c:v>96.4029070745841</c:v>
                </c:pt>
                <c:pt idx="114">
                  <c:v>89.4646164475951</c:v>
                </c:pt>
                <c:pt idx="115">
                  <c:v>79.6330750991408</c:v>
                </c:pt>
                <c:pt idx="116">
                  <c:v>69.5528423403095</c:v>
                </c:pt>
                <c:pt idx="117">
                  <c:v>60.2879908269372</c:v>
                </c:pt>
                <c:pt idx="118">
                  <c:v>53.0455293804725</c:v>
                </c:pt>
                <c:pt idx="119">
                  <c:v>49.1597881473172</c:v>
                </c:pt>
                <c:pt idx="120">
                  <c:v>44.9009171470617</c:v>
                </c:pt>
                <c:pt idx="121">
                  <c:v>42.1703363585853</c:v>
                </c:pt>
                <c:pt idx="122">
                  <c:v>36.5042002792414</c:v>
                </c:pt>
                <c:pt idx="123">
                  <c:v>28.7991932711153</c:v>
                </c:pt>
                <c:pt idx="124">
                  <c:v>21.9653306726214</c:v>
                </c:pt>
                <c:pt idx="125">
                  <c:v>15.3677434403087</c:v>
                </c:pt>
                <c:pt idx="126">
                  <c:v>9.1927471531608</c:v>
                </c:pt>
                <c:pt idx="127">
                  <c:v>6.80467584508154</c:v>
                </c:pt>
                <c:pt idx="128">
                  <c:v>14.0168179389606</c:v>
                </c:pt>
                <c:pt idx="129">
                  <c:v>27.0914439834603</c:v>
                </c:pt>
                <c:pt idx="130">
                  <c:v>45.6554543154673</c:v>
                </c:pt>
                <c:pt idx="131">
                  <c:v>68.3221173576868</c:v>
                </c:pt>
                <c:pt idx="132">
                  <c:v>87.5733735307958</c:v>
                </c:pt>
                <c:pt idx="133">
                  <c:v>99.6944381524284</c:v>
                </c:pt>
                <c:pt idx="134">
                  <c:v>100</c:v>
                </c:pt>
                <c:pt idx="135">
                  <c:v>96.5337522491854</c:v>
                </c:pt>
                <c:pt idx="136">
                  <c:v>90.3910368270027</c:v>
                </c:pt>
                <c:pt idx="137">
                  <c:v>83.3286767287906</c:v>
                </c:pt>
                <c:pt idx="138">
                  <c:v>73.3062521845068</c:v>
                </c:pt>
                <c:pt idx="139">
                  <c:v>63.5957900158032</c:v>
                </c:pt>
                <c:pt idx="140">
                  <c:v>54.0058627232368</c:v>
                </c:pt>
                <c:pt idx="141">
                  <c:v>43.5724344904247</c:v>
                </c:pt>
                <c:pt idx="142">
                  <c:v>35.0057451777028</c:v>
                </c:pt>
                <c:pt idx="143">
                  <c:v>29.4234004672314</c:v>
                </c:pt>
                <c:pt idx="144">
                  <c:v>24.7739701841847</c:v>
                </c:pt>
                <c:pt idx="145">
                  <c:v>19.0472794534331</c:v>
                </c:pt>
                <c:pt idx="146">
                  <c:v>15.0052165975402</c:v>
                </c:pt>
                <c:pt idx="147">
                  <c:v>10.043575029554</c:v>
                </c:pt>
                <c:pt idx="148">
                  <c:v>6.4031717742698</c:v>
                </c:pt>
                <c:pt idx="149">
                  <c:v>1.48186204834895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15.0731400026213</c:v>
                </c:pt>
                <c:pt idx="156">
                  <c:v>38.25223401395</c:v>
                </c:pt>
                <c:pt idx="157">
                  <c:v>52.4215913856556</c:v>
                </c:pt>
                <c:pt idx="158">
                  <c:v>62.2383920306241</c:v>
                </c:pt>
                <c:pt idx="159">
                  <c:v>64.9152602179641</c:v>
                </c:pt>
                <c:pt idx="160">
                  <c:v>60.4619339257617</c:v>
                </c:pt>
                <c:pt idx="161">
                  <c:v>52.9652740133108</c:v>
                </c:pt>
                <c:pt idx="162">
                  <c:v>43.3860784199748</c:v>
                </c:pt>
                <c:pt idx="163">
                  <c:v>31.6365916815481</c:v>
                </c:pt>
                <c:pt idx="164">
                  <c:v>20.5117858715766</c:v>
                </c:pt>
                <c:pt idx="165">
                  <c:v>9.34835907708762</c:v>
                </c:pt>
                <c:pt idx="166">
                  <c:v>0</c:v>
                </c:pt>
                <c:pt idx="167">
                  <c:v>70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782181"/>
        <c:axId val="40439397"/>
      </c:lineChart>
      <c:catAx>
        <c:axId val="867821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0439397"/>
        <c:crosses val="autoZero"/>
        <c:auto val="1"/>
        <c:lblAlgn val="ctr"/>
        <c:lblOffset val="100"/>
        <c:noMultiLvlLbl val="0"/>
      </c:catAx>
      <c:valAx>
        <c:axId val="40439397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SoC 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867821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p_micro in the MCP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NG1!$N$5:$N$172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5607"/>
        <c:axId val="96626743"/>
      </c:lineChart>
      <c:catAx>
        <c:axId val="7756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 of the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96626743"/>
        <c:crosses val="autoZero"/>
        <c:auto val="1"/>
        <c:lblAlgn val="ctr"/>
        <c:lblOffset val="100"/>
        <c:noMultiLvlLbl val="0"/>
      </c:catAx>
      <c:valAx>
        <c:axId val="9662674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p_micro in Euro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756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gapWidth val="150"/>
        <c:overlap val="100"/>
        <c:axId val="5254197"/>
        <c:axId val="9623019"/>
      </c:barChart>
      <c:catAx>
        <c:axId val="52541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9623019"/>
        <c:crosses val="autoZero"/>
        <c:auto val="1"/>
        <c:lblAlgn val="ctr"/>
        <c:lblOffset val="100"/>
        <c:noMultiLvlLbl val="0"/>
      </c:catAx>
      <c:valAx>
        <c:axId val="962301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2541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NG2!$G$4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NG2!$H$4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NG2!$I$4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NG2!$J$4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NG2!$K$4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630304"/>
        <c:axId val="35857698"/>
      </c:barChart>
      <c:lineChart>
        <c:grouping val="stacked"/>
        <c:varyColors val="0"/>
        <c:ser>
          <c:idx val="5"/>
          <c:order val="5"/>
          <c:tx>
            <c:strRef>
              <c:f>NG2!$E$4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NG2!$F$4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0304"/>
        <c:axId val="35857698"/>
      </c:lineChart>
      <c:catAx>
        <c:axId val="6303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35857698"/>
        <c:crosses val="autoZero"/>
        <c:auto val="1"/>
        <c:lblAlgn val="ctr"/>
        <c:lblOffset val="100"/>
        <c:noMultiLvlLbl val="0"/>
      </c:catAx>
      <c:valAx>
        <c:axId val="3585769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303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SoC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NG2!$L$4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NG2!$L$5:$L$172</c:f>
              <c:numCache>
                <c:formatCode>General</c:formatCode>
                <c:ptCount val="168"/>
                <c:pt idx="0">
                  <c:v>69.2803447712511</c:v>
                </c:pt>
                <c:pt idx="1">
                  <c:v>60.6437892228179</c:v>
                </c:pt>
                <c:pt idx="2">
                  <c:v>52.0073200399402</c:v>
                </c:pt>
                <c:pt idx="3">
                  <c:v>43.3709372217544</c:v>
                </c:pt>
                <c:pt idx="4">
                  <c:v>34.7346407673967</c:v>
                </c:pt>
                <c:pt idx="5">
                  <c:v>32.5937576045784</c:v>
                </c:pt>
                <c:pt idx="6">
                  <c:v>33.1148367236179</c:v>
                </c:pt>
                <c:pt idx="7">
                  <c:v>33.1145055752507</c:v>
                </c:pt>
                <c:pt idx="8">
                  <c:v>33.1141744301949</c:v>
                </c:pt>
                <c:pt idx="9">
                  <c:v>33.1138432884506</c:v>
                </c:pt>
                <c:pt idx="10">
                  <c:v>33.1135121500177</c:v>
                </c:pt>
                <c:pt idx="11">
                  <c:v>33.1131810148962</c:v>
                </c:pt>
                <c:pt idx="12">
                  <c:v>34.5616077349083</c:v>
                </c:pt>
                <c:pt idx="13">
                  <c:v>56.521285378826</c:v>
                </c:pt>
                <c:pt idx="14">
                  <c:v>73.3950753330883</c:v>
                </c:pt>
                <c:pt idx="15">
                  <c:v>83.3669811348997</c:v>
                </c:pt>
                <c:pt idx="16">
                  <c:v>88.9935575752973</c:v>
                </c:pt>
                <c:pt idx="17">
                  <c:v>90.7929213642435</c:v>
                </c:pt>
                <c:pt idx="18">
                  <c:v>90.7920134350298</c:v>
                </c:pt>
                <c:pt idx="19">
                  <c:v>85.753518913654</c:v>
                </c:pt>
                <c:pt idx="20">
                  <c:v>77.1167986334794</c:v>
                </c:pt>
                <c:pt idx="21">
                  <c:v>68.4801647205076</c:v>
                </c:pt>
                <c:pt idx="22">
                  <c:v>59.843617173875</c:v>
                </c:pt>
                <c:pt idx="23">
                  <c:v>51.3510870384676</c:v>
                </c:pt>
                <c:pt idx="24">
                  <c:v>42.7147107826118</c:v>
                </c:pt>
                <c:pt idx="25">
                  <c:v>34.0784208905185</c:v>
                </c:pt>
                <c:pt idx="26">
                  <c:v>25.4422173613242</c:v>
                </c:pt>
                <c:pt idx="27">
                  <c:v>16.8061001941651</c:v>
                </c:pt>
                <c:pt idx="28">
                  <c:v>8.17006938817776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1.23060431452352</c:v>
                </c:pt>
                <c:pt idx="36">
                  <c:v>25.9455378530893</c:v>
                </c:pt>
                <c:pt idx="37">
                  <c:v>48.3199160355058</c:v>
                </c:pt>
                <c:pt idx="38">
                  <c:v>66.1303699495565</c:v>
                </c:pt>
                <c:pt idx="39">
                  <c:v>78.2681481742537</c:v>
                </c:pt>
                <c:pt idx="40">
                  <c:v>85.5324634521746</c:v>
                </c:pt>
                <c:pt idx="41">
                  <c:v>87.9068785987312</c:v>
                </c:pt>
                <c:pt idx="42">
                  <c:v>87.9059995299452</c:v>
                </c:pt>
                <c:pt idx="43">
                  <c:v>82.0039475942098</c:v>
                </c:pt>
                <c:pt idx="44">
                  <c:v>73.3672648097485</c:v>
                </c:pt>
                <c:pt idx="45">
                  <c:v>64.730668392115</c:v>
                </c:pt>
                <c:pt idx="46">
                  <c:v>56.0941583404456</c:v>
                </c:pt>
                <c:pt idx="47">
                  <c:v>50.0484934773724</c:v>
                </c:pt>
                <c:pt idx="48">
                  <c:v>45.8739926656947</c:v>
                </c:pt>
                <c:pt idx="49">
                  <c:v>37.2376711807826</c:v>
                </c:pt>
                <c:pt idx="50">
                  <c:v>28.6014360590853</c:v>
                </c:pt>
                <c:pt idx="51">
                  <c:v>19.9652872997393</c:v>
                </c:pt>
                <c:pt idx="52">
                  <c:v>11.3292249018809</c:v>
                </c:pt>
                <c:pt idx="53">
                  <c:v>3.07771197539503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14.2310836481103</c:v>
                </c:pt>
                <c:pt idx="60">
                  <c:v>38.8466687756737</c:v>
                </c:pt>
                <c:pt idx="61">
                  <c:v>61.6154982547708</c:v>
                </c:pt>
                <c:pt idx="62">
                  <c:v>80.7358656440441</c:v>
                </c:pt>
                <c:pt idx="63">
                  <c:v>91.5054694096387</c:v>
                </c:pt>
                <c:pt idx="64">
                  <c:v>93.1189628746396</c:v>
                </c:pt>
                <c:pt idx="65">
                  <c:v>92.3397926455367</c:v>
                </c:pt>
                <c:pt idx="66">
                  <c:v>83.7030065026248</c:v>
                </c:pt>
                <c:pt idx="67">
                  <c:v>75.0663067275743</c:v>
                </c:pt>
                <c:pt idx="68">
                  <c:v>66.4296933195216</c:v>
                </c:pt>
                <c:pt idx="69">
                  <c:v>57.793166277603</c:v>
                </c:pt>
                <c:pt idx="70">
                  <c:v>49.1567256009548</c:v>
                </c:pt>
                <c:pt idx="71">
                  <c:v>40.5203712887133</c:v>
                </c:pt>
                <c:pt idx="72">
                  <c:v>35.4823794837589</c:v>
                </c:pt>
                <c:pt idx="73">
                  <c:v>26.8461619149787</c:v>
                </c:pt>
                <c:pt idx="74">
                  <c:v>18.2100307083741</c:v>
                </c:pt>
                <c:pt idx="75">
                  <c:v>9.57398586308158</c:v>
                </c:pt>
                <c:pt idx="76">
                  <c:v>0.938027378237508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16.2190113403584</c:v>
                </c:pt>
                <c:pt idx="84">
                  <c:v>38.7997122237106</c:v>
                </c:pt>
                <c:pt idx="85">
                  <c:v>57.2230529092424</c:v>
                </c:pt>
                <c:pt idx="86">
                  <c:v>68.7672973048936</c:v>
                </c:pt>
                <c:pt idx="87">
                  <c:v>75.1806706906167</c:v>
                </c:pt>
                <c:pt idx="88">
                  <c:v>76.7885724764239</c:v>
                </c:pt>
                <c:pt idx="89">
                  <c:v>77.2960122579148</c:v>
                </c:pt>
                <c:pt idx="90">
                  <c:v>77.2952392977922</c:v>
                </c:pt>
                <c:pt idx="91">
                  <c:v>68.6586036004138</c:v>
                </c:pt>
                <c:pt idx="92">
                  <c:v>60.0220542693924</c:v>
                </c:pt>
                <c:pt idx="93">
                  <c:v>51.3855913038642</c:v>
                </c:pt>
                <c:pt idx="94">
                  <c:v>42.7492147029658</c:v>
                </c:pt>
                <c:pt idx="95">
                  <c:v>40.3019594330729</c:v>
                </c:pt>
                <c:pt idx="96">
                  <c:v>34.5443145834883</c:v>
                </c:pt>
                <c:pt idx="97">
                  <c:v>25.908106395357</c:v>
                </c:pt>
                <c:pt idx="98">
                  <c:v>17.2719845693076</c:v>
                </c:pt>
                <c:pt idx="99">
                  <c:v>8.63594910447648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10.4318360268858</c:v>
                </c:pt>
                <c:pt idx="107">
                  <c:v>34.04285655776</c:v>
                </c:pt>
                <c:pt idx="108">
                  <c:v>58.7757219683172</c:v>
                </c:pt>
                <c:pt idx="109">
                  <c:v>76.5233296369979</c:v>
                </c:pt>
                <c:pt idx="110">
                  <c:v>84.4814123442425</c:v>
                </c:pt>
                <c:pt idx="111">
                  <c:v>92.8993769438403</c:v>
                </c:pt>
                <c:pt idx="112">
                  <c:v>98.003414520564</c:v>
                </c:pt>
                <c:pt idx="113">
                  <c:v>100</c:v>
                </c:pt>
                <c:pt idx="114">
                  <c:v>91.8149628594771</c:v>
                </c:pt>
                <c:pt idx="115">
                  <c:v>83.1781819648631</c:v>
                </c:pt>
                <c:pt idx="116">
                  <c:v>74.541487438058</c:v>
                </c:pt>
                <c:pt idx="117">
                  <c:v>65.9048792781982</c:v>
                </c:pt>
                <c:pt idx="118">
                  <c:v>57.2683574844201</c:v>
                </c:pt>
                <c:pt idx="119">
                  <c:v>48.6319220558598</c:v>
                </c:pt>
                <c:pt idx="120">
                  <c:v>40.7152282204027</c:v>
                </c:pt>
                <c:pt idx="121">
                  <c:v>32.0789583231351</c:v>
                </c:pt>
                <c:pt idx="122">
                  <c:v>23.4427747885664</c:v>
                </c:pt>
                <c:pt idx="123">
                  <c:v>14.8066776158331</c:v>
                </c:pt>
                <c:pt idx="124">
                  <c:v>6.17066680407157</c:v>
                </c:pt>
                <c:pt idx="125">
                  <c:v>0</c:v>
                </c:pt>
                <c:pt idx="126">
                  <c:v>0.197008898155222</c:v>
                </c:pt>
                <c:pt idx="127">
                  <c:v>2.84526864425208</c:v>
                </c:pt>
                <c:pt idx="128">
                  <c:v>11.0239869285979</c:v>
                </c:pt>
                <c:pt idx="129">
                  <c:v>23.0901849117828</c:v>
                </c:pt>
                <c:pt idx="130">
                  <c:v>38.9708270110836</c:v>
                </c:pt>
                <c:pt idx="131">
                  <c:v>57.7533945979175</c:v>
                </c:pt>
                <c:pt idx="132">
                  <c:v>73.6551520491946</c:v>
                </c:pt>
                <c:pt idx="133">
                  <c:v>84.8840092327802</c:v>
                </c:pt>
                <c:pt idx="134">
                  <c:v>88.5420392459951</c:v>
                </c:pt>
                <c:pt idx="135">
                  <c:v>89.5969449775876</c:v>
                </c:pt>
                <c:pt idx="136">
                  <c:v>90.2408172030447</c:v>
                </c:pt>
                <c:pt idx="137">
                  <c:v>90.3079065998489</c:v>
                </c:pt>
                <c:pt idx="138">
                  <c:v>81.6711407757974</c:v>
                </c:pt>
                <c:pt idx="139">
                  <c:v>73.0344613194042</c:v>
                </c:pt>
                <c:pt idx="140">
                  <c:v>64.3978682298056</c:v>
                </c:pt>
                <c:pt idx="141">
                  <c:v>55.7613615061379</c:v>
                </c:pt>
                <c:pt idx="142">
                  <c:v>47.1249411475374</c:v>
                </c:pt>
                <c:pt idx="143">
                  <c:v>38.4886071531405</c:v>
                </c:pt>
                <c:pt idx="144">
                  <c:v>38.2003601755694</c:v>
                </c:pt>
                <c:pt idx="145">
                  <c:v>29.5641154269822</c:v>
                </c:pt>
                <c:pt idx="146">
                  <c:v>20.9279570408425</c:v>
                </c:pt>
                <c:pt idx="147">
                  <c:v>12.2918850162867</c:v>
                </c:pt>
                <c:pt idx="148">
                  <c:v>3.65589935245107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9.43018723904727</c:v>
                </c:pt>
                <c:pt idx="157">
                  <c:v>21.6129708882392</c:v>
                </c:pt>
                <c:pt idx="158">
                  <c:v>31.7480901968107</c:v>
                </c:pt>
                <c:pt idx="159">
                  <c:v>37.1563225127267</c:v>
                </c:pt>
                <c:pt idx="160">
                  <c:v>38.2268866466995</c:v>
                </c:pt>
                <c:pt idx="161">
                  <c:v>38.7187020972522</c:v>
                </c:pt>
                <c:pt idx="162">
                  <c:v>34.5443145834883</c:v>
                </c:pt>
                <c:pt idx="163">
                  <c:v>25.908106395357</c:v>
                </c:pt>
                <c:pt idx="164">
                  <c:v>17.2719845693076</c:v>
                </c:pt>
                <c:pt idx="165">
                  <c:v>8.63594910447648</c:v>
                </c:pt>
                <c:pt idx="166">
                  <c:v>0</c:v>
                </c:pt>
                <c:pt idx="167">
                  <c:v>70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573646"/>
        <c:axId val="61508334"/>
      </c:lineChart>
      <c:catAx>
        <c:axId val="295736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1508334"/>
        <c:crosses val="autoZero"/>
        <c:auto val="1"/>
        <c:lblAlgn val="ctr"/>
        <c:lblOffset val="100"/>
        <c:noMultiLvlLbl val="0"/>
      </c:catAx>
      <c:valAx>
        <c:axId val="61508334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295736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p_micro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NG1!$N$5:$N$172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823520"/>
        <c:axId val="9620475"/>
      </c:lineChart>
      <c:catAx>
        <c:axId val="918235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9620475"/>
        <c:crosses val="autoZero"/>
        <c:auto val="1"/>
        <c:lblAlgn val="ctr"/>
        <c:lblOffset val="100"/>
        <c:noMultiLvlLbl val="0"/>
      </c:catAx>
      <c:valAx>
        <c:axId val="962047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918235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NG3!$G$4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NG3!$H$4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NG3!$I$4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NG3!$J$4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NG3!$K$4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66687030"/>
        <c:axId val="51738728"/>
      </c:barChart>
      <c:lineChart>
        <c:grouping val="stacked"/>
        <c:varyColors val="0"/>
        <c:ser>
          <c:idx val="5"/>
          <c:order val="5"/>
          <c:tx>
            <c:strRef>
              <c:f>NG3!$E$4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NG3!$F$4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687030"/>
        <c:axId val="51738728"/>
      </c:lineChart>
      <c:catAx>
        <c:axId val="666870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1738728"/>
        <c:crosses val="autoZero"/>
        <c:auto val="1"/>
        <c:lblAlgn val="ctr"/>
        <c:lblOffset val="100"/>
        <c:noMultiLvlLbl val="0"/>
      </c:catAx>
      <c:valAx>
        <c:axId val="517387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66870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SoC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NG3!$L$4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NG3!$L$5:$L$172</c:f>
              <c:numCache>
                <c:formatCode>General</c:formatCode>
                <c:ptCount val="168"/>
                <c:pt idx="0">
                  <c:v>66.948082456703</c:v>
                </c:pt>
                <c:pt idx="1">
                  <c:v>63.2851359903137</c:v>
                </c:pt>
                <c:pt idx="2">
                  <c:v>59.8837990552587</c:v>
                </c:pt>
                <c:pt idx="3">
                  <c:v>56.7441030423005</c:v>
                </c:pt>
                <c:pt idx="4">
                  <c:v>53.517224787774</c:v>
                </c:pt>
                <c:pt idx="5">
                  <c:v>50.4007532730664</c:v>
                </c:pt>
                <c:pt idx="6">
                  <c:v>47.5469230965509</c:v>
                </c:pt>
                <c:pt idx="7">
                  <c:v>47.54644762732</c:v>
                </c:pt>
                <c:pt idx="8">
                  <c:v>47.5459721628437</c:v>
                </c:pt>
                <c:pt idx="9">
                  <c:v>47.5454967031221</c:v>
                </c:pt>
                <c:pt idx="10">
                  <c:v>47.5450212481551</c:v>
                </c:pt>
                <c:pt idx="11">
                  <c:v>47.5445457979426</c:v>
                </c:pt>
                <c:pt idx="12">
                  <c:v>62.9080333307216</c:v>
                </c:pt>
                <c:pt idx="13">
                  <c:v>83.5051456915039</c:v>
                </c:pt>
                <c:pt idx="14">
                  <c:v>99.9999999999995</c:v>
                </c:pt>
                <c:pt idx="15">
                  <c:v>99.1393375298916</c:v>
                </c:pt>
                <c:pt idx="16">
                  <c:v>94.5366794470711</c:v>
                </c:pt>
                <c:pt idx="17">
                  <c:v>72.7313011871678</c:v>
                </c:pt>
                <c:pt idx="18">
                  <c:v>50.5650426535816</c:v>
                </c:pt>
                <c:pt idx="19">
                  <c:v>42.1936164350657</c:v>
                </c:pt>
                <c:pt idx="20">
                  <c:v>35.1302317410265</c:v>
                </c:pt>
                <c:pt idx="21">
                  <c:v>28.0669176808342</c:v>
                </c:pt>
                <c:pt idx="22">
                  <c:v>24.4392318787609</c:v>
                </c:pt>
                <c:pt idx="23">
                  <c:v>22.5816689450372</c:v>
                </c:pt>
                <c:pt idx="24">
                  <c:v>17.9556271716759</c:v>
                </c:pt>
                <c:pt idx="25">
                  <c:v>14.4719228816221</c:v>
                </c:pt>
                <c:pt idx="26">
                  <c:v>10.8095011768285</c:v>
                </c:pt>
                <c:pt idx="27">
                  <c:v>7.14711609625201</c:v>
                </c:pt>
                <c:pt idx="28">
                  <c:v>4.89734972745276</c:v>
                </c:pt>
                <c:pt idx="29">
                  <c:v>0.307616663277714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4.7499552111511</c:v>
                </c:pt>
                <c:pt idx="36">
                  <c:v>18.7817172428075</c:v>
                </c:pt>
                <c:pt idx="37">
                  <c:v>41.1786222416597</c:v>
                </c:pt>
                <c:pt idx="38">
                  <c:v>59.0853306168552</c:v>
                </c:pt>
                <c:pt idx="39">
                  <c:v>69.7275628846966</c:v>
                </c:pt>
                <c:pt idx="40">
                  <c:v>52.678580719944</c:v>
                </c:pt>
                <c:pt idx="41">
                  <c:v>45.2846516895167</c:v>
                </c:pt>
                <c:pt idx="42">
                  <c:v>43.072926329311</c:v>
                </c:pt>
                <c:pt idx="43">
                  <c:v>36.9250890090034</c:v>
                </c:pt>
                <c:pt idx="44">
                  <c:v>33.2755197172991</c:v>
                </c:pt>
                <c:pt idx="45">
                  <c:v>28.9763626379105</c:v>
                </c:pt>
                <c:pt idx="46">
                  <c:v>25.32687283347</c:v>
                </c:pt>
                <c:pt idx="47">
                  <c:v>21.3852997441153</c:v>
                </c:pt>
                <c:pt idx="48">
                  <c:v>18.0715954459512</c:v>
                </c:pt>
                <c:pt idx="49">
                  <c:v>14.409137744432</c:v>
                </c:pt>
                <c:pt idx="50">
                  <c:v>12.1069909764139</c:v>
                </c:pt>
                <c:pt idx="51">
                  <c:v>10.057722168566</c:v>
                </c:pt>
                <c:pt idx="52">
                  <c:v>8.16979017885473</c:v>
                </c:pt>
                <c:pt idx="53">
                  <c:v>3.33383353103868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11.5850191901267</c:v>
                </c:pt>
                <c:pt idx="61">
                  <c:v>34.4779135801305</c:v>
                </c:pt>
                <c:pt idx="62">
                  <c:v>52.6135155983648</c:v>
                </c:pt>
                <c:pt idx="63">
                  <c:v>57.7149215385912</c:v>
                </c:pt>
                <c:pt idx="64">
                  <c:v>53.6791432482112</c:v>
                </c:pt>
                <c:pt idx="65">
                  <c:v>47.2161330740381</c:v>
                </c:pt>
                <c:pt idx="66">
                  <c:v>41.8285534875148</c:v>
                </c:pt>
                <c:pt idx="67">
                  <c:v>34.7651593645443</c:v>
                </c:pt>
                <c:pt idx="68">
                  <c:v>27.7018489550758</c:v>
                </c:pt>
                <c:pt idx="69">
                  <c:v>25.1684752223029</c:v>
                </c:pt>
                <c:pt idx="70">
                  <c:v>22.029126362583</c:v>
                </c:pt>
                <c:pt idx="71">
                  <c:v>19.5873819771479</c:v>
                </c:pt>
                <c:pt idx="72">
                  <c:v>17.4944485495547</c:v>
                </c:pt>
                <c:pt idx="73">
                  <c:v>13.8319966195045</c:v>
                </c:pt>
                <c:pt idx="74">
                  <c:v>10.1695813139736</c:v>
                </c:pt>
                <c:pt idx="75">
                  <c:v>6.50720263259567</c:v>
                </c:pt>
                <c:pt idx="76">
                  <c:v>2.84486057500459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5.25256934079135</c:v>
                </c:pt>
                <c:pt idx="84">
                  <c:v>27.9089060886301</c:v>
                </c:pt>
                <c:pt idx="85">
                  <c:v>45.3407420814527</c:v>
                </c:pt>
                <c:pt idx="86">
                  <c:v>54.1276693439877</c:v>
                </c:pt>
                <c:pt idx="87">
                  <c:v>56.4666840159442</c:v>
                </c:pt>
                <c:pt idx="88">
                  <c:v>51.8989544757164</c:v>
                </c:pt>
                <c:pt idx="89">
                  <c:v>44.3090109625007</c:v>
                </c:pt>
                <c:pt idx="90">
                  <c:v>37.2456051145162</c:v>
                </c:pt>
                <c:pt idx="91">
                  <c:v>33.3126308010058</c:v>
                </c:pt>
                <c:pt idx="92">
                  <c:v>29.990089266364</c:v>
                </c:pt>
                <c:pt idx="93">
                  <c:v>27.1994787309018</c:v>
                </c:pt>
                <c:pt idx="94">
                  <c:v>25.2808624525402</c:v>
                </c:pt>
                <c:pt idx="95">
                  <c:v>21.6270506215179</c:v>
                </c:pt>
                <c:pt idx="96">
                  <c:v>18.0430190339506</c:v>
                </c:pt>
                <c:pt idx="97">
                  <c:v>14.1058777647175</c:v>
                </c:pt>
                <c:pt idx="98">
                  <c:v>10.4434597203751</c:v>
                </c:pt>
                <c:pt idx="99">
                  <c:v>6.7810783002131</c:v>
                </c:pt>
                <c:pt idx="100">
                  <c:v>3.11873350386535</c:v>
                </c:pt>
                <c:pt idx="101">
                  <c:v>0</c:v>
                </c:pt>
                <c:pt idx="102">
                  <c:v>0.0318281231039939</c:v>
                </c:pt>
                <c:pt idx="103">
                  <c:v>0.0318278048227616</c:v>
                </c:pt>
                <c:pt idx="104">
                  <c:v>0.0318274865447133</c:v>
                </c:pt>
                <c:pt idx="105">
                  <c:v>0.0318271682698471</c:v>
                </c:pt>
                <c:pt idx="106">
                  <c:v>17.4939556943366</c:v>
                </c:pt>
                <c:pt idx="107">
                  <c:v>44.2877256978527</c:v>
                </c:pt>
                <c:pt idx="108">
                  <c:v>69.6485230094742</c:v>
                </c:pt>
                <c:pt idx="109">
                  <c:v>87.7919039970636</c:v>
                </c:pt>
                <c:pt idx="110">
                  <c:v>94.4485968705959</c:v>
                </c:pt>
                <c:pt idx="111">
                  <c:v>99.3065772319727</c:v>
                </c:pt>
                <c:pt idx="112">
                  <c:v>100</c:v>
                </c:pt>
                <c:pt idx="113">
                  <c:v>95.0830183233313</c:v>
                </c:pt>
                <c:pt idx="114">
                  <c:v>88.0442795532167</c:v>
                </c:pt>
                <c:pt idx="115">
                  <c:v>80.9804363525463</c:v>
                </c:pt>
                <c:pt idx="116">
                  <c:v>76.2273661187307</c:v>
                </c:pt>
                <c:pt idx="117">
                  <c:v>72.5643268595048</c:v>
                </c:pt>
                <c:pt idx="118">
                  <c:v>70.5013765335475</c:v>
                </c:pt>
                <c:pt idx="119">
                  <c:v>66.8689074053021</c:v>
                </c:pt>
                <c:pt idx="120">
                  <c:v>64.9978432300726</c:v>
                </c:pt>
                <c:pt idx="121">
                  <c:v>61.3349162660755</c:v>
                </c:pt>
                <c:pt idx="122">
                  <c:v>57.6720259313481</c:v>
                </c:pt>
                <c:pt idx="123">
                  <c:v>54.009172225524</c:v>
                </c:pt>
                <c:pt idx="124">
                  <c:v>50.346355148237</c:v>
                </c:pt>
                <c:pt idx="125">
                  <c:v>48.4855400862874</c:v>
                </c:pt>
                <c:pt idx="126">
                  <c:v>45.1327930831623</c:v>
                </c:pt>
                <c:pt idx="127">
                  <c:v>43.8784291552422</c:v>
                </c:pt>
                <c:pt idx="128">
                  <c:v>49.7361793804503</c:v>
                </c:pt>
                <c:pt idx="129">
                  <c:v>60.4709014121718</c:v>
                </c:pt>
                <c:pt idx="130">
                  <c:v>71.6498870015438</c:v>
                </c:pt>
                <c:pt idx="131">
                  <c:v>84.2029412050666</c:v>
                </c:pt>
                <c:pt idx="132">
                  <c:v>92.8377734001622</c:v>
                </c:pt>
                <c:pt idx="133">
                  <c:v>86.4719933831176</c:v>
                </c:pt>
                <c:pt idx="134">
                  <c:v>84.7988346578061</c:v>
                </c:pt>
                <c:pt idx="135">
                  <c:v>77.3360624692261</c:v>
                </c:pt>
                <c:pt idx="136">
                  <c:v>57.8006574201978</c:v>
                </c:pt>
                <c:pt idx="137">
                  <c:v>40.9219832497891</c:v>
                </c:pt>
                <c:pt idx="138">
                  <c:v>33.8585572098977</c:v>
                </c:pt>
                <c:pt idx="139">
                  <c:v>26.1368970524628</c:v>
                </c:pt>
                <c:pt idx="140">
                  <c:v>23.5076413743712</c:v>
                </c:pt>
                <c:pt idx="141">
                  <c:v>20.3857450493239</c:v>
                </c:pt>
                <c:pt idx="142">
                  <c:v>18.4715558898826</c:v>
                </c:pt>
                <c:pt idx="143">
                  <c:v>15.9034026073721</c:v>
                </c:pt>
                <c:pt idx="144">
                  <c:v>14.0502840135246</c:v>
                </c:pt>
                <c:pt idx="145">
                  <c:v>11.4124312383963</c:v>
                </c:pt>
                <c:pt idx="146">
                  <c:v>8.79204076812985</c:v>
                </c:pt>
                <c:pt idx="147">
                  <c:v>5.70080447017339</c:v>
                </c:pt>
                <c:pt idx="148">
                  <c:v>3.25922336795721</c:v>
                </c:pt>
                <c:pt idx="149">
                  <c:v>0.067179389341914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5.53046251089293</c:v>
                </c:pt>
                <c:pt idx="154">
                  <c:v>22.9981827326465</c:v>
                </c:pt>
                <c:pt idx="155">
                  <c:v>38.3024691243677</c:v>
                </c:pt>
                <c:pt idx="156">
                  <c:v>52.1032005889034</c:v>
                </c:pt>
                <c:pt idx="157">
                  <c:v>59.0926488900975</c:v>
                </c:pt>
                <c:pt idx="158">
                  <c:v>64.5682583794534</c:v>
                </c:pt>
                <c:pt idx="159">
                  <c:v>48.4388460161153</c:v>
                </c:pt>
                <c:pt idx="160">
                  <c:v>30.235308135691</c:v>
                </c:pt>
                <c:pt idx="161">
                  <c:v>22.0135976189776</c:v>
                </c:pt>
                <c:pt idx="162">
                  <c:v>12.9621933246969</c:v>
                </c:pt>
                <c:pt idx="163">
                  <c:v>8.65886034166228</c:v>
                </c:pt>
                <c:pt idx="164">
                  <c:v>4.99649676749411</c:v>
                </c:pt>
                <c:pt idx="165">
                  <c:v>3.10861539003681</c:v>
                </c:pt>
                <c:pt idx="166">
                  <c:v>0</c:v>
                </c:pt>
                <c:pt idx="167">
                  <c:v>70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724547"/>
        <c:axId val="50960000"/>
      </c:lineChart>
      <c:catAx>
        <c:axId val="7572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0960000"/>
        <c:crosses val="autoZero"/>
        <c:auto val="1"/>
        <c:lblAlgn val="ctr"/>
        <c:lblOffset val="100"/>
        <c:noMultiLvlLbl val="0"/>
      </c:catAx>
      <c:valAx>
        <c:axId val="50960000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57245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NG1!$K$4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NG1!$K$5:$K$172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NG1!$L$4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NG1!$L$5:$L$172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15532098"/>
        <c:axId val="47807304"/>
      </c:barChart>
      <c:lineChart>
        <c:grouping val="stacked"/>
        <c:varyColors val="0"/>
        <c:ser>
          <c:idx val="5"/>
          <c:order val="5"/>
          <c:tx>
            <c:strRef>
              <c:f>NG1!$F$4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NG1!$G$4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NG1!$G$5:$G$172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532098"/>
        <c:axId val="47807304"/>
      </c:lineChart>
      <c:catAx>
        <c:axId val="155320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7807304"/>
        <c:crosses val="autoZero"/>
        <c:auto val="1"/>
        <c:lblAlgn val="ctr"/>
        <c:lblOffset val="100"/>
        <c:noMultiLvlLbl val="0"/>
      </c:catAx>
      <c:valAx>
        <c:axId val="4780730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55320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NG2!$G$4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NG2!$H$4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NG2!$I$4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NG2!$J$4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NG2!$K$4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18282596"/>
        <c:axId val="48172116"/>
      </c:barChart>
      <c:lineChart>
        <c:grouping val="stacked"/>
        <c:varyColors val="0"/>
        <c:ser>
          <c:idx val="5"/>
          <c:order val="5"/>
          <c:tx>
            <c:strRef>
              <c:f>NG2!$E$4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NG2!$F$4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282596"/>
        <c:axId val="48172116"/>
      </c:lineChart>
      <c:catAx>
        <c:axId val="182825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8172116"/>
        <c:crosses val="autoZero"/>
        <c:auto val="1"/>
        <c:lblAlgn val="ctr"/>
        <c:lblOffset val="100"/>
        <c:noMultiLvlLbl val="0"/>
      </c:catAx>
      <c:valAx>
        <c:axId val="4817211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82825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NG3!$G$4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NG3!$H$4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NG3!$I$4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NG3!$J$4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NG3!$K$4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56973959"/>
        <c:axId val="24631198"/>
      </c:barChart>
      <c:lineChart>
        <c:grouping val="stacked"/>
        <c:varyColors val="0"/>
        <c:ser>
          <c:idx val="5"/>
          <c:order val="5"/>
          <c:tx>
            <c:strRef>
              <c:f>NG3!$E$4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NG3!$F$4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973959"/>
        <c:axId val="24631198"/>
      </c:lineChart>
      <c:catAx>
        <c:axId val="569739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24631198"/>
        <c:crosses val="autoZero"/>
        <c:auto val="1"/>
        <c:lblAlgn val="ctr"/>
        <c:lblOffset val="100"/>
        <c:noMultiLvlLbl val="0"/>
      </c:catAx>
      <c:valAx>
        <c:axId val="2463119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69739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p_micro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NG1!$N$5:$N$166</c:f>
              <c:numCache>
                <c:formatCode>0.000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654066"/>
        <c:axId val="50943976"/>
      </c:lineChart>
      <c:catAx>
        <c:axId val="786540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0943976"/>
        <c:crosses val="autoZero"/>
        <c:auto val="1"/>
        <c:lblAlgn val="ctr"/>
        <c:lblOffset val="100"/>
        <c:noMultiLvlLbl val="0"/>
      </c:catAx>
      <c:valAx>
        <c:axId val="5094397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86540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21960</xdr:colOff>
      <xdr:row>4</xdr:row>
      <xdr:rowOff>18000</xdr:rowOff>
    </xdr:from>
    <xdr:to>
      <xdr:col>32</xdr:col>
      <xdr:colOff>588240</xdr:colOff>
      <xdr:row>29</xdr:row>
      <xdr:rowOff>100080</xdr:rowOff>
    </xdr:to>
    <xdr:graphicFrame>
      <xdr:nvGraphicFramePr>
        <xdr:cNvPr id="0" name="Chart 1"/>
        <xdr:cNvGraphicFramePr/>
      </xdr:nvGraphicFramePr>
      <xdr:xfrm>
        <a:off x="10496160" y="718920"/>
        <a:ext cx="12181680" cy="44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609480</xdr:colOff>
      <xdr:row>44</xdr:row>
      <xdr:rowOff>136080</xdr:rowOff>
    </xdr:from>
    <xdr:to>
      <xdr:col>32</xdr:col>
      <xdr:colOff>589680</xdr:colOff>
      <xdr:row>54</xdr:row>
      <xdr:rowOff>12600</xdr:rowOff>
    </xdr:to>
    <xdr:graphicFrame>
      <xdr:nvGraphicFramePr>
        <xdr:cNvPr id="1" name="Chart 2"/>
        <xdr:cNvGraphicFramePr/>
      </xdr:nvGraphicFramePr>
      <xdr:xfrm>
        <a:off x="10400400" y="7847640"/>
        <a:ext cx="12278880" cy="1629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609480</xdr:colOff>
      <xdr:row>54</xdr:row>
      <xdr:rowOff>21960</xdr:rowOff>
    </xdr:from>
    <xdr:to>
      <xdr:col>32</xdr:col>
      <xdr:colOff>601200</xdr:colOff>
      <xdr:row>71</xdr:row>
      <xdr:rowOff>81360</xdr:rowOff>
    </xdr:to>
    <xdr:graphicFrame>
      <xdr:nvGraphicFramePr>
        <xdr:cNvPr id="2" name="Chart 3"/>
        <xdr:cNvGraphicFramePr/>
      </xdr:nvGraphicFramePr>
      <xdr:xfrm>
        <a:off x="10400400" y="9486000"/>
        <a:ext cx="12290400" cy="3038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19080</xdr:colOff>
      <xdr:row>29</xdr:row>
      <xdr:rowOff>100800</xdr:rowOff>
    </xdr:from>
    <xdr:to>
      <xdr:col>32</xdr:col>
      <xdr:colOff>585360</xdr:colOff>
      <xdr:row>44</xdr:row>
      <xdr:rowOff>126720</xdr:rowOff>
    </xdr:to>
    <xdr:graphicFrame>
      <xdr:nvGraphicFramePr>
        <xdr:cNvPr id="3" name="Chart 4"/>
        <xdr:cNvGraphicFramePr/>
      </xdr:nvGraphicFramePr>
      <xdr:xfrm>
        <a:off x="10493280" y="5183280"/>
        <a:ext cx="12181680" cy="265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31</xdr:col>
      <xdr:colOff>566280</xdr:colOff>
      <xdr:row>29</xdr:row>
      <xdr:rowOff>82080</xdr:rowOff>
    </xdr:to>
    <xdr:graphicFrame>
      <xdr:nvGraphicFramePr>
        <xdr:cNvPr id="4" name="Chart 6"/>
        <xdr:cNvGraphicFramePr/>
      </xdr:nvGraphicFramePr>
      <xdr:xfrm>
        <a:off x="9711000" y="700920"/>
        <a:ext cx="12181680" cy="44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600120</xdr:colOff>
      <xdr:row>29</xdr:row>
      <xdr:rowOff>85680</xdr:rowOff>
    </xdr:from>
    <xdr:to>
      <xdr:col>31</xdr:col>
      <xdr:colOff>580320</xdr:colOff>
      <xdr:row>41</xdr:row>
      <xdr:rowOff>69840</xdr:rowOff>
    </xdr:to>
    <xdr:graphicFrame>
      <xdr:nvGraphicFramePr>
        <xdr:cNvPr id="5" name="Chart 8"/>
        <xdr:cNvGraphicFramePr/>
      </xdr:nvGraphicFramePr>
      <xdr:xfrm>
        <a:off x="9627840" y="5168160"/>
        <a:ext cx="12278880" cy="2087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601920</xdr:colOff>
      <xdr:row>41</xdr:row>
      <xdr:rowOff>76320</xdr:rowOff>
    </xdr:from>
    <xdr:to>
      <xdr:col>31</xdr:col>
      <xdr:colOff>590040</xdr:colOff>
      <xdr:row>56</xdr:row>
      <xdr:rowOff>113760</xdr:rowOff>
    </xdr:to>
    <xdr:graphicFrame>
      <xdr:nvGraphicFramePr>
        <xdr:cNvPr id="6" name="Chart 1"/>
        <xdr:cNvGraphicFramePr/>
      </xdr:nvGraphicFramePr>
      <xdr:xfrm>
        <a:off x="9629640" y="7261920"/>
        <a:ext cx="1228680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31</xdr:col>
      <xdr:colOff>566280</xdr:colOff>
      <xdr:row>29</xdr:row>
      <xdr:rowOff>82080</xdr:rowOff>
    </xdr:to>
    <xdr:graphicFrame>
      <xdr:nvGraphicFramePr>
        <xdr:cNvPr id="7" name="Chart 1"/>
        <xdr:cNvGraphicFramePr/>
      </xdr:nvGraphicFramePr>
      <xdr:xfrm>
        <a:off x="9711000" y="700920"/>
        <a:ext cx="12181680" cy="44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29</xdr:row>
      <xdr:rowOff>95400</xdr:rowOff>
    </xdr:from>
    <xdr:to>
      <xdr:col>31</xdr:col>
      <xdr:colOff>590040</xdr:colOff>
      <xdr:row>42</xdr:row>
      <xdr:rowOff>108000</xdr:rowOff>
    </xdr:to>
    <xdr:graphicFrame>
      <xdr:nvGraphicFramePr>
        <xdr:cNvPr id="8" name="Chart 2"/>
        <xdr:cNvGraphicFramePr/>
      </xdr:nvGraphicFramePr>
      <xdr:xfrm>
        <a:off x="9711000" y="5177880"/>
        <a:ext cx="12205440" cy="229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</xdr:row>
      <xdr:rowOff>0</xdr:rowOff>
    </xdr:from>
    <xdr:to>
      <xdr:col>31</xdr:col>
      <xdr:colOff>566280</xdr:colOff>
      <xdr:row>26</xdr:row>
      <xdr:rowOff>82080</xdr:rowOff>
    </xdr:to>
    <xdr:graphicFrame>
      <xdr:nvGraphicFramePr>
        <xdr:cNvPr id="9" name="Chart 5"/>
        <xdr:cNvGraphicFramePr/>
      </xdr:nvGraphicFramePr>
      <xdr:xfrm>
        <a:off x="9565560" y="175320"/>
        <a:ext cx="12181680" cy="44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27</xdr:row>
      <xdr:rowOff>0</xdr:rowOff>
    </xdr:from>
    <xdr:to>
      <xdr:col>31</xdr:col>
      <xdr:colOff>566280</xdr:colOff>
      <xdr:row>52</xdr:row>
      <xdr:rowOff>84240</xdr:rowOff>
    </xdr:to>
    <xdr:graphicFrame>
      <xdr:nvGraphicFramePr>
        <xdr:cNvPr id="10" name="Chart 6"/>
        <xdr:cNvGraphicFramePr/>
      </xdr:nvGraphicFramePr>
      <xdr:xfrm>
        <a:off x="9565560" y="4732200"/>
        <a:ext cx="12181680" cy="446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53</xdr:row>
      <xdr:rowOff>0</xdr:rowOff>
    </xdr:from>
    <xdr:to>
      <xdr:col>31</xdr:col>
      <xdr:colOff>566280</xdr:colOff>
      <xdr:row>78</xdr:row>
      <xdr:rowOff>84240</xdr:rowOff>
    </xdr:to>
    <xdr:graphicFrame>
      <xdr:nvGraphicFramePr>
        <xdr:cNvPr id="11" name="Chart 7"/>
        <xdr:cNvGraphicFramePr/>
      </xdr:nvGraphicFramePr>
      <xdr:xfrm>
        <a:off x="9565560" y="9288720"/>
        <a:ext cx="12181680" cy="446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79</xdr:row>
      <xdr:rowOff>0</xdr:rowOff>
    </xdr:from>
    <xdr:to>
      <xdr:col>31</xdr:col>
      <xdr:colOff>597600</xdr:colOff>
      <xdr:row>96</xdr:row>
      <xdr:rowOff>68760</xdr:rowOff>
    </xdr:to>
    <xdr:graphicFrame>
      <xdr:nvGraphicFramePr>
        <xdr:cNvPr id="12" name="Chart 8"/>
        <xdr:cNvGraphicFramePr/>
      </xdr:nvGraphicFramePr>
      <xdr:xfrm>
        <a:off x="9565560" y="13845600"/>
        <a:ext cx="12213000" cy="3048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0</xdr:colOff>
      <xdr:row>1</xdr:row>
      <xdr:rowOff>0</xdr:rowOff>
    </xdr:from>
    <xdr:to>
      <xdr:col>51</xdr:col>
      <xdr:colOff>74520</xdr:colOff>
      <xdr:row>104</xdr:row>
      <xdr:rowOff>122040</xdr:rowOff>
    </xdr:to>
    <xdr:pic>
      <xdr:nvPicPr>
        <xdr:cNvPr id="13" name="Picture 9" descr=""/>
        <xdr:cNvPicPr/>
      </xdr:nvPicPr>
      <xdr:blipFill>
        <a:blip r:embed="rId5"/>
        <a:stretch/>
      </xdr:blipFill>
      <xdr:spPr>
        <a:xfrm>
          <a:off x="22547520" y="175320"/>
          <a:ext cx="12373200" cy="18173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9"/>
  <sheetViews>
    <sheetView showFormulas="false" showGridLines="true" showRowColHeaders="true" showZeros="true" rightToLeft="false" tabSelected="false" showOutlineSymbols="true" defaultGridColor="true" view="normal" topLeftCell="A158" colorId="64" zoomScale="100" zoomScaleNormal="100" zoomScalePageLayoutView="100" workbookViewId="0">
      <selection pane="topLeft" activeCell="C2" activeCellId="1" sqref="B12:F14 C2"/>
    </sheetView>
  </sheetViews>
  <sheetFormatPr defaultColWidth="8.54296875" defaultRowHeight="13.8" zeroHeight="false" outlineLevelRow="0" outlineLevelCol="0"/>
  <cols>
    <col collapsed="false" customWidth="true" hidden="false" outlineLevel="0" max="2" min="2" style="1" width="8.85"/>
  </cols>
  <sheetData>
    <row r="2" customFormat="false" ht="13.8" hidden="false" customHeight="false" outlineLevel="0" collapsed="false">
      <c r="B2" s="1" t="n">
        <v>1</v>
      </c>
      <c r="C2" s="2" t="n">
        <v>0</v>
      </c>
    </row>
    <row r="3" customFormat="false" ht="13.8" hidden="false" customHeight="false" outlineLevel="0" collapsed="false">
      <c r="B3" s="1" t="n">
        <v>2</v>
      </c>
      <c r="C3" s="2" t="n">
        <v>0</v>
      </c>
    </row>
    <row r="4" customFormat="false" ht="13.8" hidden="false" customHeight="false" outlineLevel="0" collapsed="false">
      <c r="B4" s="1" t="n">
        <v>3</v>
      </c>
      <c r="C4" s="2" t="n">
        <v>0</v>
      </c>
    </row>
    <row r="5" customFormat="false" ht="13.8" hidden="false" customHeight="false" outlineLevel="0" collapsed="false">
      <c r="B5" s="1" t="n">
        <v>4</v>
      </c>
      <c r="C5" s="2" t="n">
        <v>0</v>
      </c>
    </row>
    <row r="6" customFormat="false" ht="13.8" hidden="false" customHeight="false" outlineLevel="0" collapsed="false">
      <c r="B6" s="1" t="n">
        <v>5</v>
      </c>
      <c r="C6" s="2" t="n">
        <v>0</v>
      </c>
    </row>
    <row r="7" customFormat="false" ht="13.8" hidden="false" customHeight="false" outlineLevel="0" collapsed="false">
      <c r="B7" s="1" t="n">
        <v>6</v>
      </c>
      <c r="C7" s="2" t="n">
        <v>0.00043125</v>
      </c>
    </row>
    <row r="8" customFormat="false" ht="13.8" hidden="false" customHeight="false" outlineLevel="0" collapsed="false">
      <c r="B8" s="1" t="n">
        <v>7</v>
      </c>
      <c r="C8" s="2" t="n">
        <v>0.0150625</v>
      </c>
    </row>
    <row r="9" customFormat="false" ht="13.8" hidden="false" customHeight="false" outlineLevel="0" collapsed="false">
      <c r="B9" s="1" t="n">
        <v>8</v>
      </c>
      <c r="C9" s="2" t="n">
        <v>0.09876</v>
      </c>
    </row>
    <row r="10" customFormat="false" ht="13.8" hidden="false" customHeight="false" outlineLevel="0" collapsed="false">
      <c r="B10" s="1" t="n">
        <v>9</v>
      </c>
      <c r="C10" s="2" t="n">
        <v>0.218195</v>
      </c>
    </row>
    <row r="11" customFormat="false" ht="13.8" hidden="false" customHeight="false" outlineLevel="0" collapsed="false">
      <c r="B11" s="1" t="n">
        <v>10</v>
      </c>
      <c r="C11" s="2" t="n">
        <v>0.37700375</v>
      </c>
    </row>
    <row r="12" customFormat="false" ht="13.8" hidden="false" customHeight="false" outlineLevel="0" collapsed="false">
      <c r="B12" s="1" t="n">
        <v>11</v>
      </c>
      <c r="C12" s="2" t="n">
        <v>0.608435</v>
      </c>
    </row>
    <row r="13" customFormat="false" ht="13.8" hidden="false" customHeight="false" outlineLevel="0" collapsed="false">
      <c r="B13" s="1" t="n">
        <v>12</v>
      </c>
      <c r="C13" s="2" t="n">
        <v>0.64258875</v>
      </c>
    </row>
    <row r="14" customFormat="false" ht="13.8" hidden="false" customHeight="false" outlineLevel="0" collapsed="false">
      <c r="B14" s="1" t="n">
        <v>13</v>
      </c>
      <c r="C14" s="2" t="n">
        <v>0.65564</v>
      </c>
    </row>
    <row r="15" customFormat="false" ht="13.8" hidden="false" customHeight="false" outlineLevel="0" collapsed="false">
      <c r="B15" s="1" t="n">
        <v>14</v>
      </c>
      <c r="C15" s="2" t="n">
        <v>0.6343875</v>
      </c>
    </row>
    <row r="16" customFormat="false" ht="13.8" hidden="false" customHeight="false" outlineLevel="0" collapsed="false">
      <c r="B16" s="1" t="n">
        <v>15</v>
      </c>
      <c r="C16" s="2" t="n">
        <v>0.48747125</v>
      </c>
    </row>
    <row r="17" customFormat="false" ht="13.8" hidden="false" customHeight="false" outlineLevel="0" collapsed="false">
      <c r="B17" s="1" t="n">
        <v>16</v>
      </c>
      <c r="C17" s="2" t="n">
        <v>0.2880925</v>
      </c>
    </row>
    <row r="18" customFormat="false" ht="13.8" hidden="false" customHeight="false" outlineLevel="0" collapsed="false">
      <c r="B18" s="1" t="n">
        <v>17</v>
      </c>
      <c r="C18" s="2" t="n">
        <v>0.16256625</v>
      </c>
    </row>
    <row r="19" customFormat="false" ht="13.8" hidden="false" customHeight="false" outlineLevel="0" collapsed="false">
      <c r="B19" s="1" t="n">
        <v>18</v>
      </c>
      <c r="C19" s="2" t="n">
        <v>0.05200625</v>
      </c>
    </row>
    <row r="20" customFormat="false" ht="13.8" hidden="false" customHeight="false" outlineLevel="0" collapsed="false">
      <c r="B20" s="1" t="n">
        <v>19</v>
      </c>
      <c r="C20" s="2" t="n">
        <v>0</v>
      </c>
    </row>
    <row r="21" customFormat="false" ht="13.8" hidden="false" customHeight="false" outlineLevel="0" collapsed="false">
      <c r="B21" s="1" t="n">
        <v>20</v>
      </c>
      <c r="C21" s="2" t="n">
        <v>0</v>
      </c>
    </row>
    <row r="22" customFormat="false" ht="13.8" hidden="false" customHeight="false" outlineLevel="0" collapsed="false">
      <c r="B22" s="1" t="n">
        <v>21</v>
      </c>
      <c r="C22" s="2" t="n">
        <v>0</v>
      </c>
    </row>
    <row r="23" customFormat="false" ht="13.8" hidden="false" customHeight="false" outlineLevel="0" collapsed="false">
      <c r="B23" s="1" t="n">
        <v>22</v>
      </c>
      <c r="C23" s="2" t="n">
        <v>0</v>
      </c>
    </row>
    <row r="24" customFormat="false" ht="13.8" hidden="false" customHeight="false" outlineLevel="0" collapsed="false">
      <c r="B24" s="1" t="n">
        <v>23</v>
      </c>
      <c r="C24" s="2" t="n">
        <v>0</v>
      </c>
    </row>
    <row r="25" customFormat="false" ht="13.8" hidden="false" customHeight="false" outlineLevel="0" collapsed="false">
      <c r="B25" s="1" t="n">
        <v>24</v>
      </c>
      <c r="C25" s="2" t="n">
        <v>0</v>
      </c>
    </row>
    <row r="26" customFormat="false" ht="13.8" hidden="false" customHeight="false" outlineLevel="0" collapsed="false">
      <c r="B26" s="1" t="n">
        <v>25</v>
      </c>
      <c r="C26" s="2" t="n">
        <v>0</v>
      </c>
    </row>
    <row r="27" customFormat="false" ht="13.8" hidden="false" customHeight="false" outlineLevel="0" collapsed="false">
      <c r="B27" s="1" t="n">
        <v>26</v>
      </c>
      <c r="C27" s="2" t="n">
        <v>0</v>
      </c>
    </row>
    <row r="28" customFormat="false" ht="13.8" hidden="false" customHeight="false" outlineLevel="0" collapsed="false">
      <c r="B28" s="1" t="n">
        <v>27</v>
      </c>
      <c r="C28" s="2" t="n">
        <v>0</v>
      </c>
    </row>
    <row r="29" customFormat="false" ht="13.8" hidden="false" customHeight="false" outlineLevel="0" collapsed="false">
      <c r="B29" s="1" t="n">
        <v>28</v>
      </c>
      <c r="C29" s="2" t="n">
        <v>0</v>
      </c>
    </row>
    <row r="30" customFormat="false" ht="13.8" hidden="false" customHeight="false" outlineLevel="0" collapsed="false">
      <c r="B30" s="1" t="n">
        <v>29</v>
      </c>
      <c r="C30" s="2" t="n">
        <v>0</v>
      </c>
    </row>
    <row r="31" customFormat="false" ht="13.8" hidden="false" customHeight="false" outlineLevel="0" collapsed="false">
      <c r="B31" s="1" t="n">
        <v>30</v>
      </c>
      <c r="C31" s="2" t="n">
        <v>0.01090125</v>
      </c>
    </row>
    <row r="32" customFormat="false" ht="13.8" hidden="false" customHeight="false" outlineLevel="0" collapsed="false">
      <c r="B32" s="1" t="n">
        <v>31</v>
      </c>
      <c r="C32" s="2" t="n">
        <v>0.07188</v>
      </c>
    </row>
    <row r="33" customFormat="false" ht="13.8" hidden="false" customHeight="false" outlineLevel="0" collapsed="false">
      <c r="B33" s="1" t="n">
        <v>32</v>
      </c>
      <c r="C33" s="2" t="n">
        <v>0.224965</v>
      </c>
    </row>
    <row r="34" customFormat="false" ht="13.8" hidden="false" customHeight="false" outlineLevel="0" collapsed="false">
      <c r="B34" s="1" t="n">
        <v>33</v>
      </c>
      <c r="C34" s="2" t="n">
        <v>0.42381875</v>
      </c>
    </row>
    <row r="35" customFormat="false" ht="13.8" hidden="false" customHeight="false" outlineLevel="0" collapsed="false">
      <c r="B35" s="1" t="n">
        <v>34</v>
      </c>
      <c r="C35" s="2" t="n">
        <v>0.5717675</v>
      </c>
    </row>
    <row r="36" customFormat="false" ht="13.8" hidden="false" customHeight="false" outlineLevel="0" collapsed="false">
      <c r="B36" s="1" t="n">
        <v>35</v>
      </c>
      <c r="C36" s="2" t="n">
        <v>0.663685</v>
      </c>
    </row>
    <row r="37" customFormat="false" ht="13.8" hidden="false" customHeight="false" outlineLevel="0" collapsed="false">
      <c r="B37" s="1" t="n">
        <v>36</v>
      </c>
      <c r="C37" s="2" t="n">
        <v>0.70941625</v>
      </c>
    </row>
    <row r="38" customFormat="false" ht="13.8" hidden="false" customHeight="false" outlineLevel="0" collapsed="false">
      <c r="B38" s="1" t="n">
        <v>37</v>
      </c>
      <c r="C38" s="2" t="n">
        <v>0.7139725</v>
      </c>
    </row>
    <row r="39" customFormat="false" ht="13.8" hidden="false" customHeight="false" outlineLevel="0" collapsed="false">
      <c r="B39" s="1" t="n">
        <v>38</v>
      </c>
      <c r="C39" s="2" t="n">
        <v>0.646365</v>
      </c>
    </row>
    <row r="40" customFormat="false" ht="13.8" hidden="false" customHeight="false" outlineLevel="0" collapsed="false">
      <c r="B40" s="1" t="n">
        <v>39</v>
      </c>
      <c r="C40" s="2" t="n">
        <v>0.5145275</v>
      </c>
    </row>
    <row r="41" customFormat="false" ht="13.8" hidden="false" customHeight="false" outlineLevel="0" collapsed="false">
      <c r="B41" s="1" t="n">
        <v>40</v>
      </c>
      <c r="C41" s="2" t="n">
        <v>0.35065875</v>
      </c>
    </row>
    <row r="42" customFormat="false" ht="13.8" hidden="false" customHeight="false" outlineLevel="0" collapsed="false">
      <c r="B42" s="1" t="n">
        <v>41</v>
      </c>
      <c r="C42" s="2" t="n">
        <v>0.20987625</v>
      </c>
    </row>
    <row r="43" customFormat="false" ht="13.8" hidden="false" customHeight="false" outlineLevel="0" collapsed="false">
      <c r="B43" s="1" t="n">
        <v>42</v>
      </c>
      <c r="C43" s="2" t="n">
        <v>0.0686175</v>
      </c>
    </row>
    <row r="44" customFormat="false" ht="13.8" hidden="false" customHeight="false" outlineLevel="0" collapsed="false">
      <c r="B44" s="1" t="n">
        <v>43</v>
      </c>
      <c r="C44" s="2" t="n">
        <v>1.875E-005</v>
      </c>
    </row>
    <row r="45" customFormat="false" ht="13.8" hidden="false" customHeight="false" outlineLevel="0" collapsed="false">
      <c r="B45" s="1" t="n">
        <v>44</v>
      </c>
      <c r="C45" s="2" t="n">
        <v>0</v>
      </c>
    </row>
    <row r="46" customFormat="false" ht="13.8" hidden="false" customHeight="false" outlineLevel="0" collapsed="false">
      <c r="B46" s="1" t="n">
        <v>45</v>
      </c>
      <c r="C46" s="2" t="n">
        <v>0</v>
      </c>
    </row>
    <row r="47" customFormat="false" ht="13.8" hidden="false" customHeight="false" outlineLevel="0" collapsed="false">
      <c r="B47" s="1" t="n">
        <v>46</v>
      </c>
      <c r="C47" s="2" t="n">
        <v>0</v>
      </c>
    </row>
    <row r="48" customFormat="false" ht="13.8" hidden="false" customHeight="false" outlineLevel="0" collapsed="false">
      <c r="B48" s="1" t="n">
        <v>47</v>
      </c>
      <c r="C48" s="2" t="n">
        <v>0</v>
      </c>
    </row>
    <row r="49" customFormat="false" ht="13.8" hidden="false" customHeight="false" outlineLevel="0" collapsed="false">
      <c r="B49" s="1" t="n">
        <v>48</v>
      </c>
      <c r="C49" s="2" t="n">
        <v>0</v>
      </c>
    </row>
    <row r="50" customFormat="false" ht="13.8" hidden="false" customHeight="false" outlineLevel="0" collapsed="false">
      <c r="B50" s="1" t="n">
        <v>49</v>
      </c>
      <c r="C50" s="2" t="n">
        <v>0</v>
      </c>
    </row>
    <row r="51" customFormat="false" ht="13.8" hidden="false" customHeight="false" outlineLevel="0" collapsed="false">
      <c r="B51" s="1" t="n">
        <v>50</v>
      </c>
      <c r="C51" s="2" t="n">
        <v>0</v>
      </c>
    </row>
    <row r="52" customFormat="false" ht="13.8" hidden="false" customHeight="false" outlineLevel="0" collapsed="false">
      <c r="B52" s="1" t="n">
        <v>51</v>
      </c>
      <c r="C52" s="2" t="n">
        <v>0</v>
      </c>
    </row>
    <row r="53" customFormat="false" ht="13.8" hidden="false" customHeight="false" outlineLevel="0" collapsed="false">
      <c r="B53" s="1" t="n">
        <v>52</v>
      </c>
      <c r="C53" s="2" t="n">
        <v>0</v>
      </c>
    </row>
    <row r="54" customFormat="false" ht="13.8" hidden="false" customHeight="false" outlineLevel="0" collapsed="false">
      <c r="B54" s="1" t="n">
        <v>53</v>
      </c>
      <c r="C54" s="2" t="n">
        <v>0</v>
      </c>
    </row>
    <row r="55" customFormat="false" ht="13.8" hidden="false" customHeight="false" outlineLevel="0" collapsed="false">
      <c r="B55" s="1" t="n">
        <v>54</v>
      </c>
      <c r="C55" s="2" t="n">
        <v>0.00899625</v>
      </c>
    </row>
    <row r="56" customFormat="false" ht="13.8" hidden="false" customHeight="false" outlineLevel="0" collapsed="false">
      <c r="B56" s="1" t="n">
        <v>55</v>
      </c>
      <c r="C56" s="2" t="n">
        <v>0.06943625</v>
      </c>
    </row>
    <row r="57" customFormat="false" ht="13.8" hidden="false" customHeight="false" outlineLevel="0" collapsed="false">
      <c r="B57" s="1" t="n">
        <v>56</v>
      </c>
      <c r="C57" s="2" t="n">
        <v>0.2199175</v>
      </c>
    </row>
    <row r="58" customFormat="false" ht="13.8" hidden="false" customHeight="false" outlineLevel="0" collapsed="false">
      <c r="B58" s="1" t="n">
        <v>57</v>
      </c>
      <c r="C58" s="2" t="n">
        <v>0.41185625</v>
      </c>
    </row>
    <row r="59" customFormat="false" ht="13.8" hidden="false" customHeight="false" outlineLevel="0" collapsed="false">
      <c r="B59" s="1" t="n">
        <v>58</v>
      </c>
      <c r="C59" s="2" t="n">
        <v>0.56898875</v>
      </c>
    </row>
    <row r="60" customFormat="false" ht="13.8" hidden="false" customHeight="false" outlineLevel="0" collapsed="false">
      <c r="B60" s="1" t="n">
        <v>59</v>
      </c>
      <c r="C60" s="2" t="n">
        <v>0.669415</v>
      </c>
    </row>
    <row r="61" customFormat="false" ht="13.8" hidden="false" customHeight="false" outlineLevel="0" collapsed="false">
      <c r="B61" s="1" t="n">
        <v>60</v>
      </c>
      <c r="C61" s="2" t="n">
        <v>0.7169125</v>
      </c>
    </row>
    <row r="62" customFormat="false" ht="13.8" hidden="false" customHeight="false" outlineLevel="0" collapsed="false">
      <c r="B62" s="1" t="n">
        <v>61</v>
      </c>
      <c r="C62" s="2" t="n">
        <v>0.71110625</v>
      </c>
    </row>
    <row r="63" customFormat="false" ht="13.8" hidden="false" customHeight="false" outlineLevel="0" collapsed="false">
      <c r="B63" s="1" t="n">
        <v>62</v>
      </c>
      <c r="C63" s="2" t="n">
        <v>0.65776375</v>
      </c>
    </row>
    <row r="64" customFormat="false" ht="13.8" hidden="false" customHeight="false" outlineLevel="0" collapsed="false">
      <c r="B64" s="1" t="n">
        <v>63</v>
      </c>
      <c r="C64" s="2" t="n">
        <v>0.5523725</v>
      </c>
    </row>
    <row r="65" customFormat="false" ht="13.8" hidden="false" customHeight="false" outlineLevel="0" collapsed="false">
      <c r="B65" s="1" t="n">
        <v>64</v>
      </c>
      <c r="C65" s="2" t="n">
        <v>0.31113875</v>
      </c>
    </row>
    <row r="66" customFormat="false" ht="13.8" hidden="false" customHeight="false" outlineLevel="0" collapsed="false">
      <c r="B66" s="1" t="n">
        <v>65</v>
      </c>
      <c r="C66" s="2" t="n">
        <v>0.0466375</v>
      </c>
    </row>
    <row r="67" customFormat="false" ht="13.8" hidden="false" customHeight="false" outlineLevel="0" collapsed="false">
      <c r="B67" s="1" t="n">
        <v>66</v>
      </c>
      <c r="C67" s="2" t="n">
        <v>0.01546875</v>
      </c>
    </row>
    <row r="68" customFormat="false" ht="13.8" hidden="false" customHeight="false" outlineLevel="0" collapsed="false">
      <c r="B68" s="1" t="n">
        <v>67</v>
      </c>
      <c r="C68" s="2" t="n">
        <v>0</v>
      </c>
    </row>
    <row r="69" customFormat="false" ht="13.8" hidden="false" customHeight="false" outlineLevel="0" collapsed="false">
      <c r="B69" s="1" t="n">
        <v>68</v>
      </c>
      <c r="C69" s="2" t="n">
        <v>0</v>
      </c>
    </row>
    <row r="70" customFormat="false" ht="13.8" hidden="false" customHeight="false" outlineLevel="0" collapsed="false">
      <c r="B70" s="1" t="n">
        <v>69</v>
      </c>
      <c r="C70" s="2" t="n">
        <v>0</v>
      </c>
    </row>
    <row r="71" customFormat="false" ht="13.8" hidden="false" customHeight="false" outlineLevel="0" collapsed="false">
      <c r="B71" s="1" t="n">
        <v>70</v>
      </c>
      <c r="C71" s="2" t="n">
        <v>0</v>
      </c>
    </row>
    <row r="72" customFormat="false" ht="13.8" hidden="false" customHeight="false" outlineLevel="0" collapsed="false">
      <c r="B72" s="1" t="n">
        <v>71</v>
      </c>
      <c r="C72" s="2" t="n">
        <v>0</v>
      </c>
    </row>
    <row r="73" customFormat="false" ht="13.8" hidden="false" customHeight="false" outlineLevel="0" collapsed="false">
      <c r="B73" s="1" t="n">
        <v>72</v>
      </c>
      <c r="C73" s="2" t="n">
        <v>0</v>
      </c>
    </row>
    <row r="74" customFormat="false" ht="13.8" hidden="false" customHeight="false" outlineLevel="0" collapsed="false">
      <c r="B74" s="1" t="n">
        <v>73</v>
      </c>
      <c r="C74" s="2" t="n">
        <v>0</v>
      </c>
    </row>
    <row r="75" customFormat="false" ht="13.8" hidden="false" customHeight="false" outlineLevel="0" collapsed="false">
      <c r="B75" s="1" t="n">
        <v>74</v>
      </c>
      <c r="C75" s="2" t="n">
        <v>0</v>
      </c>
    </row>
    <row r="76" customFormat="false" ht="13.8" hidden="false" customHeight="false" outlineLevel="0" collapsed="false">
      <c r="B76" s="1" t="n">
        <v>75</v>
      </c>
      <c r="C76" s="2" t="n">
        <v>0</v>
      </c>
    </row>
    <row r="77" customFormat="false" ht="13.8" hidden="false" customHeight="false" outlineLevel="0" collapsed="false">
      <c r="B77" s="1" t="n">
        <v>76</v>
      </c>
      <c r="C77" s="2" t="n">
        <v>0</v>
      </c>
    </row>
    <row r="78" customFormat="false" ht="13.8" hidden="false" customHeight="false" outlineLevel="0" collapsed="false">
      <c r="B78" s="1" t="n">
        <v>77</v>
      </c>
      <c r="C78" s="2" t="n">
        <v>0</v>
      </c>
    </row>
    <row r="79" customFormat="false" ht="13.8" hidden="false" customHeight="false" outlineLevel="0" collapsed="false">
      <c r="B79" s="1" t="n">
        <v>78</v>
      </c>
      <c r="C79" s="2" t="n">
        <v>0.01173</v>
      </c>
    </row>
    <row r="80" customFormat="false" ht="13.8" hidden="false" customHeight="false" outlineLevel="0" collapsed="false">
      <c r="B80" s="1" t="n">
        <v>79</v>
      </c>
      <c r="C80" s="2" t="n">
        <v>0.06974375</v>
      </c>
    </row>
    <row r="81" customFormat="false" ht="13.8" hidden="false" customHeight="false" outlineLevel="0" collapsed="false">
      <c r="B81" s="1" t="n">
        <v>80</v>
      </c>
      <c r="C81" s="2" t="n">
        <v>0.2133125</v>
      </c>
    </row>
    <row r="82" customFormat="false" ht="13.8" hidden="false" customHeight="false" outlineLevel="0" collapsed="false">
      <c r="B82" s="1" t="n">
        <v>81</v>
      </c>
      <c r="C82" s="2" t="n">
        <v>0.3973875</v>
      </c>
    </row>
    <row r="83" customFormat="false" ht="13.8" hidden="false" customHeight="false" outlineLevel="0" collapsed="false">
      <c r="B83" s="1" t="n">
        <v>82</v>
      </c>
      <c r="C83" s="2" t="n">
        <v>0.53887125</v>
      </c>
    </row>
    <row r="84" customFormat="false" ht="13.8" hidden="false" customHeight="false" outlineLevel="0" collapsed="false">
      <c r="B84" s="1" t="n">
        <v>83</v>
      </c>
      <c r="C84" s="2" t="n">
        <v>0.64062625</v>
      </c>
    </row>
    <row r="85" customFormat="false" ht="13.8" hidden="false" customHeight="false" outlineLevel="0" collapsed="false">
      <c r="B85" s="1" t="n">
        <v>84</v>
      </c>
      <c r="C85" s="2" t="n">
        <v>0.6609125</v>
      </c>
    </row>
    <row r="86" customFormat="false" ht="13.8" hidden="false" customHeight="false" outlineLevel="0" collapsed="false">
      <c r="B86" s="1" t="n">
        <v>85</v>
      </c>
      <c r="C86" s="2" t="n">
        <v>0.6523225</v>
      </c>
    </row>
    <row r="87" customFormat="false" ht="13.8" hidden="false" customHeight="false" outlineLevel="0" collapsed="false">
      <c r="B87" s="1" t="n">
        <v>86</v>
      </c>
      <c r="C87" s="2" t="n">
        <v>0.53223</v>
      </c>
    </row>
    <row r="88" customFormat="false" ht="13.8" hidden="false" customHeight="false" outlineLevel="0" collapsed="false">
      <c r="B88" s="1" t="n">
        <v>87</v>
      </c>
      <c r="C88" s="2" t="n">
        <v>0.33351</v>
      </c>
    </row>
    <row r="89" customFormat="false" ht="13.8" hidden="false" customHeight="false" outlineLevel="0" collapsed="false">
      <c r="B89" s="1" t="n">
        <v>88</v>
      </c>
      <c r="C89" s="2" t="n">
        <v>0.18529125</v>
      </c>
    </row>
    <row r="90" customFormat="false" ht="13.8" hidden="false" customHeight="false" outlineLevel="0" collapsed="false">
      <c r="B90" s="1" t="n">
        <v>89</v>
      </c>
      <c r="C90" s="2" t="n">
        <v>0.04647125</v>
      </c>
    </row>
    <row r="91" customFormat="false" ht="13.8" hidden="false" customHeight="false" outlineLevel="0" collapsed="false">
      <c r="B91" s="1" t="n">
        <v>90</v>
      </c>
      <c r="C91" s="2" t="n">
        <v>0.01468125</v>
      </c>
    </row>
    <row r="92" customFormat="false" ht="13.8" hidden="false" customHeight="false" outlineLevel="0" collapsed="false">
      <c r="B92" s="1" t="n">
        <v>91</v>
      </c>
      <c r="C92" s="2" t="n">
        <v>0</v>
      </c>
    </row>
    <row r="93" customFormat="false" ht="13.8" hidden="false" customHeight="false" outlineLevel="0" collapsed="false">
      <c r="B93" s="1" t="n">
        <v>92</v>
      </c>
      <c r="C93" s="2" t="n">
        <v>0</v>
      </c>
    </row>
    <row r="94" customFormat="false" ht="13.8" hidden="false" customHeight="false" outlineLevel="0" collapsed="false">
      <c r="B94" s="1" t="n">
        <v>93</v>
      </c>
      <c r="C94" s="2" t="n">
        <v>0</v>
      </c>
    </row>
    <row r="95" customFormat="false" ht="13.8" hidden="false" customHeight="false" outlineLevel="0" collapsed="false">
      <c r="B95" s="1" t="n">
        <v>94</v>
      </c>
      <c r="C95" s="2" t="n">
        <v>0</v>
      </c>
    </row>
    <row r="96" customFormat="false" ht="13.8" hidden="false" customHeight="false" outlineLevel="0" collapsed="false">
      <c r="B96" s="1" t="n">
        <v>95</v>
      </c>
      <c r="C96" s="2" t="n">
        <v>0</v>
      </c>
    </row>
    <row r="97" customFormat="false" ht="13.8" hidden="false" customHeight="false" outlineLevel="0" collapsed="false">
      <c r="B97" s="1" t="n">
        <v>96</v>
      </c>
      <c r="C97" s="2" t="n">
        <v>0</v>
      </c>
    </row>
    <row r="98" customFormat="false" ht="13.8" hidden="false" customHeight="false" outlineLevel="0" collapsed="false">
      <c r="B98" s="1" t="n">
        <v>97</v>
      </c>
      <c r="C98" s="2" t="n">
        <v>0</v>
      </c>
    </row>
    <row r="99" customFormat="false" ht="13.8" hidden="false" customHeight="false" outlineLevel="0" collapsed="false">
      <c r="B99" s="1" t="n">
        <v>98</v>
      </c>
      <c r="C99" s="2" t="n">
        <v>0</v>
      </c>
    </row>
    <row r="100" customFormat="false" ht="13.8" hidden="false" customHeight="false" outlineLevel="0" collapsed="false">
      <c r="B100" s="1" t="n">
        <v>99</v>
      </c>
      <c r="C100" s="2" t="n">
        <v>0</v>
      </c>
    </row>
    <row r="101" customFormat="false" ht="13.8" hidden="false" customHeight="false" outlineLevel="0" collapsed="false">
      <c r="B101" s="1" t="n">
        <v>100</v>
      </c>
      <c r="C101" s="2" t="n">
        <v>0</v>
      </c>
    </row>
    <row r="102" customFormat="false" ht="13.8" hidden="false" customHeight="false" outlineLevel="0" collapsed="false">
      <c r="B102" s="1" t="n">
        <v>101</v>
      </c>
      <c r="C102" s="2" t="n">
        <v>0</v>
      </c>
    </row>
    <row r="103" customFormat="false" ht="13.8" hidden="false" customHeight="false" outlineLevel="0" collapsed="false">
      <c r="B103" s="1" t="n">
        <v>102</v>
      </c>
      <c r="C103" s="2" t="n">
        <v>0.01012125</v>
      </c>
    </row>
    <row r="104" customFormat="false" ht="13.8" hidden="false" customHeight="false" outlineLevel="0" collapsed="false">
      <c r="B104" s="1" t="n">
        <v>103</v>
      </c>
      <c r="C104" s="2" t="n">
        <v>0.0689225</v>
      </c>
    </row>
    <row r="105" customFormat="false" ht="13.8" hidden="false" customHeight="false" outlineLevel="0" collapsed="false">
      <c r="B105" s="1" t="n">
        <v>104</v>
      </c>
      <c r="C105" s="2" t="n">
        <v>0.2189025</v>
      </c>
    </row>
    <row r="106" customFormat="false" ht="13.8" hidden="false" customHeight="false" outlineLevel="0" collapsed="false">
      <c r="B106" s="1" t="n">
        <v>105</v>
      </c>
      <c r="C106" s="2" t="n">
        <v>0.41062375</v>
      </c>
    </row>
    <row r="107" customFormat="false" ht="13.8" hidden="false" customHeight="false" outlineLevel="0" collapsed="false">
      <c r="B107" s="1" t="n">
        <v>106</v>
      </c>
      <c r="C107" s="2" t="n">
        <v>0.546965</v>
      </c>
    </row>
    <row r="108" customFormat="false" ht="13.8" hidden="false" customHeight="false" outlineLevel="0" collapsed="false">
      <c r="B108" s="1" t="n">
        <v>107</v>
      </c>
      <c r="C108" s="2" t="n">
        <v>0.62939375</v>
      </c>
    </row>
    <row r="109" customFormat="false" ht="13.8" hidden="false" customHeight="false" outlineLevel="0" collapsed="false">
      <c r="B109" s="1" t="n">
        <v>108</v>
      </c>
      <c r="C109" s="2" t="n">
        <v>0.682085</v>
      </c>
    </row>
    <row r="110" customFormat="false" ht="13.8" hidden="false" customHeight="false" outlineLevel="0" collapsed="false">
      <c r="B110" s="1" t="n">
        <v>109</v>
      </c>
      <c r="C110" s="2" t="n">
        <v>0.7145</v>
      </c>
    </row>
    <row r="111" customFormat="false" ht="13.8" hidden="false" customHeight="false" outlineLevel="0" collapsed="false">
      <c r="B111" s="1" t="n">
        <v>110</v>
      </c>
      <c r="C111" s="2" t="n">
        <v>0.512715</v>
      </c>
    </row>
    <row r="112" customFormat="false" ht="13.8" hidden="false" customHeight="false" outlineLevel="0" collapsed="false">
      <c r="B112" s="1" t="n">
        <v>111</v>
      </c>
      <c r="C112" s="2" t="n">
        <v>0.2299175</v>
      </c>
    </row>
    <row r="113" customFormat="false" ht="13.8" hidden="false" customHeight="false" outlineLevel="0" collapsed="false">
      <c r="B113" s="1" t="n">
        <v>112</v>
      </c>
      <c r="C113" s="2" t="n">
        <v>0.243205</v>
      </c>
    </row>
    <row r="114" customFormat="false" ht="13.8" hidden="false" customHeight="false" outlineLevel="0" collapsed="false">
      <c r="B114" s="1" t="n">
        <v>113</v>
      </c>
      <c r="C114" s="2" t="n">
        <v>0.14747375</v>
      </c>
    </row>
    <row r="115" customFormat="false" ht="13.8" hidden="false" customHeight="false" outlineLevel="0" collapsed="false">
      <c r="B115" s="1" t="n">
        <v>114</v>
      </c>
      <c r="C115" s="2" t="n">
        <v>0.05770625</v>
      </c>
    </row>
    <row r="116" customFormat="false" ht="13.8" hidden="false" customHeight="false" outlineLevel="0" collapsed="false">
      <c r="B116" s="1" t="n">
        <v>115</v>
      </c>
      <c r="C116" s="2" t="n">
        <v>0.00046875</v>
      </c>
    </row>
    <row r="117" customFormat="false" ht="13.8" hidden="false" customHeight="false" outlineLevel="0" collapsed="false">
      <c r="B117" s="1" t="n">
        <v>116</v>
      </c>
      <c r="C117" s="2" t="n">
        <v>0</v>
      </c>
    </row>
    <row r="118" customFormat="false" ht="13.8" hidden="false" customHeight="false" outlineLevel="0" collapsed="false">
      <c r="B118" s="1" t="n">
        <v>117</v>
      </c>
      <c r="C118" s="2" t="n">
        <v>0</v>
      </c>
    </row>
    <row r="119" customFormat="false" ht="13.8" hidden="false" customHeight="false" outlineLevel="0" collapsed="false">
      <c r="B119" s="1" t="n">
        <v>118</v>
      </c>
      <c r="C119" s="2" t="n">
        <v>0</v>
      </c>
    </row>
    <row r="120" customFormat="false" ht="13.8" hidden="false" customHeight="false" outlineLevel="0" collapsed="false">
      <c r="B120" s="1" t="n">
        <v>119</v>
      </c>
      <c r="C120" s="2" t="n">
        <v>0</v>
      </c>
    </row>
    <row r="121" customFormat="false" ht="13.8" hidden="false" customHeight="false" outlineLevel="0" collapsed="false">
      <c r="B121" s="1" t="n">
        <v>120</v>
      </c>
      <c r="C121" s="2" t="n">
        <v>0</v>
      </c>
    </row>
    <row r="122" customFormat="false" ht="13.8" hidden="false" customHeight="false" outlineLevel="0" collapsed="false">
      <c r="B122" s="1" t="n">
        <v>121</v>
      </c>
      <c r="C122" s="2" t="n">
        <v>0</v>
      </c>
    </row>
    <row r="123" customFormat="false" ht="13.8" hidden="false" customHeight="false" outlineLevel="0" collapsed="false">
      <c r="B123" s="1" t="n">
        <v>122</v>
      </c>
      <c r="C123" s="2" t="n">
        <v>0</v>
      </c>
    </row>
    <row r="124" customFormat="false" ht="13.8" hidden="false" customHeight="false" outlineLevel="0" collapsed="false">
      <c r="B124" s="1" t="n">
        <v>123</v>
      </c>
      <c r="C124" s="2" t="n">
        <v>0</v>
      </c>
    </row>
    <row r="125" customFormat="false" ht="13.8" hidden="false" customHeight="false" outlineLevel="0" collapsed="false">
      <c r="B125" s="1" t="n">
        <v>124</v>
      </c>
      <c r="C125" s="2" t="n">
        <v>0</v>
      </c>
    </row>
    <row r="126" customFormat="false" ht="13.8" hidden="false" customHeight="false" outlineLevel="0" collapsed="false">
      <c r="B126" s="1" t="n">
        <v>125</v>
      </c>
      <c r="C126" s="2" t="n">
        <v>0</v>
      </c>
    </row>
    <row r="127" customFormat="false" ht="13.8" hidden="false" customHeight="false" outlineLevel="0" collapsed="false">
      <c r="B127" s="1" t="n">
        <v>126</v>
      </c>
      <c r="C127" s="2" t="n">
        <v>0.00043125</v>
      </c>
    </row>
    <row r="128" customFormat="false" ht="13.8" hidden="false" customHeight="false" outlineLevel="0" collapsed="false">
      <c r="B128" s="1" t="n">
        <v>127</v>
      </c>
      <c r="C128" s="2" t="n">
        <v>0.00569125</v>
      </c>
    </row>
    <row r="129" customFormat="false" ht="13.8" hidden="false" customHeight="false" outlineLevel="0" collapsed="false">
      <c r="B129" s="1" t="n">
        <v>128</v>
      </c>
      <c r="C129" s="2" t="n">
        <v>0.07650375</v>
      </c>
    </row>
    <row r="130" customFormat="false" ht="13.8" hidden="false" customHeight="false" outlineLevel="0" collapsed="false">
      <c r="B130" s="1" t="n">
        <v>129</v>
      </c>
      <c r="C130" s="2" t="n">
        <v>0.23627</v>
      </c>
    </row>
    <row r="131" customFormat="false" ht="13.8" hidden="false" customHeight="false" outlineLevel="0" collapsed="false">
      <c r="B131" s="1" t="n">
        <v>130</v>
      </c>
      <c r="C131" s="2" t="n">
        <v>0.348575</v>
      </c>
    </row>
    <row r="132" customFormat="false" ht="13.8" hidden="false" customHeight="false" outlineLevel="0" collapsed="false">
      <c r="B132" s="1" t="n">
        <v>131</v>
      </c>
      <c r="C132" s="2" t="n">
        <v>0.45877125</v>
      </c>
    </row>
    <row r="133" customFormat="false" ht="13.8" hidden="false" customHeight="false" outlineLevel="0" collapsed="false">
      <c r="B133" s="1" t="n">
        <v>132</v>
      </c>
      <c r="C133" s="2" t="n">
        <v>0.5426075</v>
      </c>
    </row>
    <row r="134" customFormat="false" ht="13.8" hidden="false" customHeight="false" outlineLevel="0" collapsed="false">
      <c r="B134" s="1" t="n">
        <v>133</v>
      </c>
      <c r="C134" s="2" t="n">
        <v>0.45939125</v>
      </c>
    </row>
    <row r="135" customFormat="false" ht="13.8" hidden="false" customHeight="false" outlineLevel="0" collapsed="false">
      <c r="B135" s="1" t="n">
        <v>134</v>
      </c>
      <c r="C135" s="2" t="n">
        <v>0.32440375</v>
      </c>
    </row>
    <row r="136" customFormat="false" ht="13.8" hidden="false" customHeight="false" outlineLevel="0" collapsed="false">
      <c r="B136" s="1" t="n">
        <v>135</v>
      </c>
      <c r="C136" s="2" t="n">
        <v>0.10569875</v>
      </c>
    </row>
    <row r="137" customFormat="false" ht="13.8" hidden="false" customHeight="false" outlineLevel="0" collapsed="false">
      <c r="B137" s="1" t="n">
        <v>136</v>
      </c>
      <c r="C137" s="2" t="n">
        <v>0.0305</v>
      </c>
    </row>
    <row r="138" customFormat="false" ht="13.8" hidden="false" customHeight="false" outlineLevel="0" collapsed="false">
      <c r="B138" s="1" t="n">
        <v>137</v>
      </c>
      <c r="C138" s="2" t="n">
        <v>0.01862625</v>
      </c>
    </row>
    <row r="139" customFormat="false" ht="13.8" hidden="false" customHeight="false" outlineLevel="0" collapsed="false">
      <c r="B139" s="1" t="n">
        <v>138</v>
      </c>
      <c r="C139" s="2" t="n">
        <v>0.0087</v>
      </c>
    </row>
    <row r="140" customFormat="false" ht="13.8" hidden="false" customHeight="false" outlineLevel="0" collapsed="false">
      <c r="B140" s="1" t="n">
        <v>139</v>
      </c>
      <c r="C140" s="2" t="n">
        <v>0</v>
      </c>
    </row>
    <row r="141" customFormat="false" ht="13.8" hidden="false" customHeight="false" outlineLevel="0" collapsed="false">
      <c r="B141" s="1" t="n">
        <v>140</v>
      </c>
      <c r="C141" s="2" t="n">
        <v>0</v>
      </c>
    </row>
    <row r="142" customFormat="false" ht="13.8" hidden="false" customHeight="false" outlineLevel="0" collapsed="false">
      <c r="B142" s="1" t="n">
        <v>141</v>
      </c>
      <c r="C142" s="2" t="n">
        <v>0</v>
      </c>
    </row>
    <row r="143" customFormat="false" ht="13.8" hidden="false" customHeight="false" outlineLevel="0" collapsed="false">
      <c r="B143" s="1" t="n">
        <v>142</v>
      </c>
      <c r="C143" s="2" t="n">
        <v>0</v>
      </c>
    </row>
    <row r="144" customFormat="false" ht="13.8" hidden="false" customHeight="false" outlineLevel="0" collapsed="false">
      <c r="B144" s="1" t="n">
        <v>143</v>
      </c>
      <c r="C144" s="2" t="n">
        <v>0</v>
      </c>
    </row>
    <row r="145" customFormat="false" ht="13.8" hidden="false" customHeight="false" outlineLevel="0" collapsed="false">
      <c r="B145" s="1" t="n">
        <v>144</v>
      </c>
      <c r="C145" s="2" t="n">
        <v>0</v>
      </c>
    </row>
    <row r="146" customFormat="false" ht="13.8" hidden="false" customHeight="false" outlineLevel="0" collapsed="false">
      <c r="B146" s="1" t="n">
        <v>145</v>
      </c>
      <c r="C146" s="2" t="n">
        <v>0</v>
      </c>
    </row>
    <row r="147" customFormat="false" ht="13.8" hidden="false" customHeight="false" outlineLevel="0" collapsed="false">
      <c r="B147" s="1" t="n">
        <v>146</v>
      </c>
      <c r="C147" s="2" t="n">
        <v>0</v>
      </c>
    </row>
    <row r="148" customFormat="false" ht="13.8" hidden="false" customHeight="false" outlineLevel="0" collapsed="false">
      <c r="B148" s="1" t="n">
        <v>147</v>
      </c>
      <c r="C148" s="2" t="n">
        <v>0</v>
      </c>
    </row>
    <row r="149" customFormat="false" ht="13.8" hidden="false" customHeight="false" outlineLevel="0" collapsed="false">
      <c r="B149" s="1" t="n">
        <v>148</v>
      </c>
      <c r="C149" s="2" t="n">
        <v>0</v>
      </c>
    </row>
    <row r="150" customFormat="false" ht="13.8" hidden="false" customHeight="false" outlineLevel="0" collapsed="false">
      <c r="B150" s="1" t="n">
        <v>149</v>
      </c>
      <c r="C150" s="2" t="n">
        <v>0</v>
      </c>
    </row>
    <row r="151" customFormat="false" ht="13.8" hidden="false" customHeight="false" outlineLevel="0" collapsed="false">
      <c r="B151" s="1" t="n">
        <v>150</v>
      </c>
      <c r="C151" s="2" t="n">
        <v>0.00875625</v>
      </c>
    </row>
    <row r="152" customFormat="false" ht="13.8" hidden="false" customHeight="false" outlineLevel="0" collapsed="false">
      <c r="B152" s="1" t="n">
        <v>151</v>
      </c>
      <c r="C152" s="2" t="n">
        <v>0.06694</v>
      </c>
    </row>
    <row r="153" customFormat="false" ht="13.8" hidden="false" customHeight="false" outlineLevel="0" collapsed="false">
      <c r="B153" s="1" t="n">
        <v>152</v>
      </c>
      <c r="C153" s="2" t="n">
        <v>0.21421875</v>
      </c>
    </row>
    <row r="154" customFormat="false" ht="13.8" hidden="false" customHeight="false" outlineLevel="0" collapsed="false">
      <c r="B154" s="1" t="n">
        <v>153</v>
      </c>
      <c r="C154" s="2" t="n">
        <v>0.4014125</v>
      </c>
    </row>
    <row r="155" customFormat="false" ht="13.8" hidden="false" customHeight="false" outlineLevel="0" collapsed="false">
      <c r="B155" s="1" t="n">
        <v>154</v>
      </c>
      <c r="C155" s="2" t="n">
        <v>0.553545</v>
      </c>
    </row>
    <row r="156" customFormat="false" ht="13.8" hidden="false" customHeight="false" outlineLevel="0" collapsed="false">
      <c r="B156" s="1" t="n">
        <v>155</v>
      </c>
      <c r="C156" s="2" t="n">
        <v>0.6607</v>
      </c>
    </row>
    <row r="157" customFormat="false" ht="13.8" hidden="false" customHeight="false" outlineLevel="0" collapsed="false">
      <c r="B157" s="1" t="n">
        <v>156</v>
      </c>
      <c r="C157" s="2" t="n">
        <v>0.6881575</v>
      </c>
    </row>
    <row r="158" customFormat="false" ht="13.8" hidden="false" customHeight="false" outlineLevel="0" collapsed="false">
      <c r="B158" s="1" t="n">
        <v>157</v>
      </c>
      <c r="C158" s="2" t="n">
        <v>0.546555</v>
      </c>
    </row>
    <row r="159" customFormat="false" ht="13.8" hidden="false" customHeight="false" outlineLevel="0" collapsed="false">
      <c r="B159" s="1" t="n">
        <v>158</v>
      </c>
      <c r="C159" s="2" t="n">
        <v>0.3519425</v>
      </c>
    </row>
    <row r="160" customFormat="false" ht="13.8" hidden="false" customHeight="false" outlineLevel="0" collapsed="false">
      <c r="B160" s="1" t="n">
        <v>159</v>
      </c>
      <c r="C160" s="2" t="n">
        <v>0.2927925</v>
      </c>
    </row>
    <row r="161" customFormat="false" ht="13.8" hidden="false" customHeight="false" outlineLevel="0" collapsed="false">
      <c r="B161" s="1" t="n">
        <v>160</v>
      </c>
      <c r="C161" s="2" t="n">
        <v>0.15624375</v>
      </c>
    </row>
    <row r="162" customFormat="false" ht="13.8" hidden="false" customHeight="false" outlineLevel="0" collapsed="false">
      <c r="B162" s="1" t="n">
        <v>161</v>
      </c>
      <c r="C162" s="2" t="n">
        <v>0.0309375</v>
      </c>
    </row>
    <row r="163" customFormat="false" ht="13.8" hidden="false" customHeight="false" outlineLevel="0" collapsed="false">
      <c r="B163" s="1" t="n">
        <v>162</v>
      </c>
      <c r="C163" s="2" t="n">
        <v>0.01421875</v>
      </c>
    </row>
    <row r="164" customFormat="false" ht="13.8" hidden="false" customHeight="false" outlineLevel="0" collapsed="false">
      <c r="B164" s="1" t="n">
        <v>163</v>
      </c>
      <c r="C164" s="2" t="n">
        <v>0</v>
      </c>
    </row>
    <row r="165" customFormat="false" ht="13.8" hidden="false" customHeight="false" outlineLevel="0" collapsed="false">
      <c r="B165" s="1" t="n">
        <v>164</v>
      </c>
      <c r="C165" s="2" t="n">
        <v>0</v>
      </c>
    </row>
    <row r="166" customFormat="false" ht="13.8" hidden="false" customHeight="false" outlineLevel="0" collapsed="false">
      <c r="B166" s="1" t="n">
        <v>165</v>
      </c>
      <c r="C166" s="2" t="n">
        <v>0</v>
      </c>
    </row>
    <row r="167" customFormat="false" ht="13.8" hidden="false" customHeight="false" outlineLevel="0" collapsed="false">
      <c r="B167" s="1" t="n">
        <v>166</v>
      </c>
      <c r="C167" s="2" t="n">
        <v>0</v>
      </c>
    </row>
    <row r="168" customFormat="false" ht="13.8" hidden="false" customHeight="false" outlineLevel="0" collapsed="false">
      <c r="B168" s="1" t="n">
        <v>167</v>
      </c>
      <c r="C168" s="2" t="n">
        <v>0</v>
      </c>
    </row>
    <row r="169" customFormat="false" ht="13.8" hidden="false" customHeight="false" outlineLevel="0" collapsed="false">
      <c r="B169" s="1" t="n">
        <v>168</v>
      </c>
      <c r="C169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70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1" sqref="B12:F14 C3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2" t="n">
        <v>1</v>
      </c>
      <c r="C3" s="2" t="n">
        <v>0.0480098666666667</v>
      </c>
      <c r="D3" s="2" t="n">
        <v>0</v>
      </c>
      <c r="E3" s="2" t="n">
        <v>0.0933338666666667</v>
      </c>
    </row>
    <row r="4" customFormat="false" ht="13.8" hidden="false" customHeight="false" outlineLevel="0" collapsed="false">
      <c r="B4" s="2" t="n">
        <v>2</v>
      </c>
      <c r="C4" s="2" t="n">
        <v>0.193541933333333</v>
      </c>
      <c r="D4" s="2" t="n">
        <v>0</v>
      </c>
      <c r="E4" s="2" t="n">
        <v>0.044</v>
      </c>
    </row>
    <row r="5" customFormat="false" ht="13.8" hidden="false" customHeight="false" outlineLevel="0" collapsed="false">
      <c r="B5" s="2" t="n">
        <v>3</v>
      </c>
      <c r="C5" s="2" t="n">
        <v>0.220741066666667</v>
      </c>
      <c r="D5" s="2" t="n">
        <v>0</v>
      </c>
      <c r="E5" s="2" t="n">
        <v>0.0560002</v>
      </c>
    </row>
    <row r="6" customFormat="false" ht="13.8" hidden="false" customHeight="false" outlineLevel="0" collapsed="false">
      <c r="B6" s="2" t="n">
        <v>4</v>
      </c>
      <c r="C6" s="2" t="n">
        <v>0.2126704</v>
      </c>
      <c r="D6" s="2" t="n">
        <v>0.133333333333333</v>
      </c>
      <c r="E6" s="2" t="n">
        <v>0.0400008</v>
      </c>
    </row>
    <row r="7" customFormat="false" ht="13.8" hidden="false" customHeight="false" outlineLevel="0" collapsed="false">
      <c r="B7" s="2" t="n">
        <v>5</v>
      </c>
      <c r="C7" s="2" t="n">
        <v>0.217001733333333</v>
      </c>
      <c r="D7" s="2" t="n">
        <v>0.4</v>
      </c>
      <c r="E7" s="2" t="n">
        <v>0.096</v>
      </c>
    </row>
    <row r="8" customFormat="false" ht="13.8" hidden="false" customHeight="false" outlineLevel="0" collapsed="false">
      <c r="B8" s="2" t="n">
        <v>6</v>
      </c>
      <c r="C8" s="2" t="n">
        <v>0.1589342</v>
      </c>
      <c r="D8" s="2" t="n">
        <v>0.4</v>
      </c>
      <c r="E8" s="2" t="n">
        <v>0.044</v>
      </c>
    </row>
    <row r="9" customFormat="false" ht="13.8" hidden="false" customHeight="false" outlineLevel="0" collapsed="false">
      <c r="B9" s="2" t="n">
        <v>7</v>
      </c>
      <c r="C9" s="2" t="n">
        <v>0.216133866666667</v>
      </c>
      <c r="D9" s="2" t="n">
        <v>0.4</v>
      </c>
      <c r="E9" s="2" t="n">
        <v>0.096</v>
      </c>
    </row>
    <row r="10" customFormat="false" ht="13.8" hidden="false" customHeight="false" outlineLevel="0" collapsed="false">
      <c r="B10" s="2" t="n">
        <v>8</v>
      </c>
      <c r="C10" s="2" t="n">
        <v>0.164467333333333</v>
      </c>
      <c r="D10" s="2" t="n">
        <v>0.4</v>
      </c>
      <c r="E10" s="2" t="n">
        <v>0.044</v>
      </c>
    </row>
    <row r="11" customFormat="false" ht="13.8" hidden="false" customHeight="false" outlineLevel="0" collapsed="false">
      <c r="B11" s="2" t="n">
        <v>9</v>
      </c>
      <c r="C11" s="2" t="n">
        <v>0.221000466666667</v>
      </c>
      <c r="D11" s="2" t="n">
        <v>0.4</v>
      </c>
      <c r="E11" s="2" t="n">
        <v>0.096</v>
      </c>
    </row>
    <row r="12" customFormat="false" ht="13.8" hidden="false" customHeight="false" outlineLevel="0" collapsed="false">
      <c r="B12" s="2" t="n">
        <v>10</v>
      </c>
      <c r="C12" s="2" t="n">
        <v>0.160201066666667</v>
      </c>
      <c r="D12" s="2" t="n">
        <v>0.4</v>
      </c>
      <c r="E12" s="2" t="n">
        <v>0.044</v>
      </c>
    </row>
    <row r="13" customFormat="false" ht="13.8" hidden="false" customHeight="false" outlineLevel="0" collapsed="false">
      <c r="B13" s="2" t="n">
        <v>11</v>
      </c>
      <c r="C13" s="2" t="n">
        <v>0.0846671333333333</v>
      </c>
      <c r="D13" s="2" t="n">
        <v>0.4</v>
      </c>
      <c r="E13" s="2" t="n">
        <v>0.0533340666666667</v>
      </c>
    </row>
    <row r="14" customFormat="false" ht="13.8" hidden="false" customHeight="false" outlineLevel="0" collapsed="false">
      <c r="B14" s="2" t="n">
        <v>12</v>
      </c>
      <c r="C14" s="2" t="n">
        <v>0.2064</v>
      </c>
      <c r="D14" s="2" t="n">
        <v>0.4</v>
      </c>
      <c r="E14" s="2" t="n">
        <v>0.0666673333333333</v>
      </c>
    </row>
    <row r="15" customFormat="false" ht="13.8" hidden="false" customHeight="false" outlineLevel="0" collapsed="false">
      <c r="B15" s="2" t="n">
        <v>13</v>
      </c>
      <c r="C15" s="2" t="n">
        <v>0.292200466666667</v>
      </c>
      <c r="D15" s="2" t="n">
        <v>0.4</v>
      </c>
      <c r="E15" s="2" t="n">
        <v>0.07</v>
      </c>
    </row>
    <row r="16" customFormat="false" ht="13.8" hidden="false" customHeight="false" outlineLevel="0" collapsed="false">
      <c r="B16" s="2" t="n">
        <v>14</v>
      </c>
      <c r="C16" s="2" t="n">
        <v>0.335866733333333</v>
      </c>
      <c r="D16" s="2" t="n">
        <v>0.4</v>
      </c>
      <c r="E16" s="2" t="n">
        <v>0.0566667333333333</v>
      </c>
    </row>
    <row r="17" customFormat="false" ht="13.8" hidden="false" customHeight="false" outlineLevel="0" collapsed="false">
      <c r="B17" s="2" t="n">
        <v>15</v>
      </c>
      <c r="C17" s="2" t="n">
        <v>0.189266733333333</v>
      </c>
      <c r="D17" s="2" t="n">
        <v>0.4</v>
      </c>
      <c r="E17" s="2" t="n">
        <v>0.083</v>
      </c>
    </row>
    <row r="18" customFormat="false" ht="13.8" hidden="false" customHeight="false" outlineLevel="0" collapsed="false">
      <c r="B18" s="2" t="n">
        <v>16</v>
      </c>
      <c r="C18" s="2" t="n">
        <v>0.307600533333333</v>
      </c>
      <c r="D18" s="2" t="n">
        <v>0.4</v>
      </c>
      <c r="E18" s="2" t="n">
        <v>0.0303334666666667</v>
      </c>
    </row>
    <row r="19" customFormat="false" ht="13.8" hidden="false" customHeight="false" outlineLevel="0" collapsed="false">
      <c r="B19" s="2" t="n">
        <v>17</v>
      </c>
      <c r="C19" s="2" t="n">
        <v>0.172800866666667</v>
      </c>
      <c r="D19" s="2" t="n">
        <v>0.4</v>
      </c>
      <c r="E19" s="2" t="n">
        <v>1E-006</v>
      </c>
    </row>
    <row r="20" customFormat="false" ht="13.8" hidden="false" customHeight="false" outlineLevel="0" collapsed="false">
      <c r="B20" s="2" t="n">
        <v>18</v>
      </c>
      <c r="C20" s="2" t="n">
        <v>0.2914676</v>
      </c>
      <c r="D20" s="2" t="n">
        <v>0.4</v>
      </c>
      <c r="E20" s="2" t="n">
        <v>0.135</v>
      </c>
    </row>
    <row r="21" customFormat="false" ht="13.8" hidden="false" customHeight="false" outlineLevel="0" collapsed="false">
      <c r="B21" s="2" t="n">
        <v>19</v>
      </c>
      <c r="C21" s="2" t="n">
        <v>0.163934066666667</v>
      </c>
      <c r="D21" s="2" t="n">
        <v>0.4</v>
      </c>
      <c r="E21" s="2" t="n">
        <v>0.005</v>
      </c>
    </row>
    <row r="22" customFormat="false" ht="13.8" hidden="false" customHeight="false" outlineLevel="0" collapsed="false">
      <c r="B22" s="2" t="n">
        <v>20</v>
      </c>
      <c r="C22" s="2" t="n">
        <v>0.2147346</v>
      </c>
      <c r="D22" s="2" t="n">
        <v>0.4</v>
      </c>
      <c r="E22" s="2" t="n">
        <v>0.106667133333333</v>
      </c>
    </row>
    <row r="23" customFormat="false" ht="13.8" hidden="false" customHeight="false" outlineLevel="0" collapsed="false">
      <c r="B23" s="2" t="n">
        <v>21</v>
      </c>
      <c r="C23" s="2" t="n">
        <v>0.257201733333333</v>
      </c>
      <c r="D23" s="2" t="n">
        <v>0.4</v>
      </c>
      <c r="E23" s="2" t="n">
        <v>0.044</v>
      </c>
    </row>
    <row r="24" customFormat="false" ht="13.8" hidden="false" customHeight="false" outlineLevel="0" collapsed="false">
      <c r="B24" s="2" t="n">
        <v>22</v>
      </c>
      <c r="C24" s="2" t="n">
        <v>0.281133466666667</v>
      </c>
      <c r="D24" s="2" t="n">
        <v>0</v>
      </c>
      <c r="E24" s="2" t="n">
        <v>0.096</v>
      </c>
    </row>
    <row r="25" customFormat="false" ht="13.8" hidden="false" customHeight="false" outlineLevel="0" collapsed="false">
      <c r="B25" s="2" t="n">
        <v>23</v>
      </c>
      <c r="C25" s="2" t="n">
        <v>0.152267466666667</v>
      </c>
      <c r="D25" s="2" t="n">
        <v>0</v>
      </c>
      <c r="E25" s="2" t="n">
        <v>0.044</v>
      </c>
    </row>
    <row r="26" customFormat="false" ht="13.8" hidden="false" customHeight="false" outlineLevel="0" collapsed="false">
      <c r="B26" s="2" t="n">
        <v>24</v>
      </c>
      <c r="C26" s="2" t="n">
        <v>0.382734133333333</v>
      </c>
      <c r="D26" s="2" t="n">
        <v>0</v>
      </c>
      <c r="E26" s="2" t="n">
        <v>0.0560002</v>
      </c>
    </row>
    <row r="27" customFormat="false" ht="13.8" hidden="false" customHeight="false" outlineLevel="0" collapsed="false">
      <c r="B27" s="2" t="n">
        <v>25</v>
      </c>
      <c r="C27" s="2" t="n">
        <v>0.1504674</v>
      </c>
      <c r="D27" s="2" t="n">
        <v>0</v>
      </c>
      <c r="E27" s="2" t="n">
        <v>0.109</v>
      </c>
    </row>
    <row r="28" customFormat="false" ht="13.8" hidden="false" customHeight="false" outlineLevel="0" collapsed="false">
      <c r="B28" s="2" t="n">
        <v>26</v>
      </c>
      <c r="C28" s="2" t="n">
        <v>0.407667866666667</v>
      </c>
      <c r="D28" s="2" t="n">
        <v>0</v>
      </c>
      <c r="E28" s="2" t="n">
        <v>0.031</v>
      </c>
    </row>
    <row r="29" customFormat="false" ht="13.8" hidden="false" customHeight="false" outlineLevel="0" collapsed="false">
      <c r="B29" s="2" t="n">
        <v>27</v>
      </c>
      <c r="C29" s="2" t="n">
        <v>0.160868666666667</v>
      </c>
      <c r="D29" s="2" t="n">
        <v>0</v>
      </c>
      <c r="E29" s="2" t="n">
        <v>0.109</v>
      </c>
    </row>
    <row r="30" customFormat="false" ht="13.8" hidden="false" customHeight="false" outlineLevel="0" collapsed="false">
      <c r="B30" s="2" t="n">
        <v>28</v>
      </c>
      <c r="C30" s="2" t="n">
        <v>0.3845374</v>
      </c>
      <c r="D30" s="2" t="n">
        <v>0</v>
      </c>
      <c r="E30" s="2" t="n">
        <v>0.031</v>
      </c>
    </row>
    <row r="31" customFormat="false" ht="13.8" hidden="false" customHeight="false" outlineLevel="0" collapsed="false">
      <c r="B31" s="2" t="n">
        <v>29</v>
      </c>
      <c r="C31" s="2" t="n">
        <v>0.1332708</v>
      </c>
      <c r="D31" s="2" t="n">
        <v>0</v>
      </c>
      <c r="E31" s="2" t="n">
        <v>0.109</v>
      </c>
    </row>
    <row r="32" customFormat="false" ht="13.8" hidden="false" customHeight="false" outlineLevel="0" collapsed="false">
      <c r="B32" s="2" t="n">
        <v>30</v>
      </c>
      <c r="C32" s="2" t="n">
        <v>0.378405533333333</v>
      </c>
      <c r="D32" s="2" t="n">
        <v>0</v>
      </c>
      <c r="E32" s="2" t="n">
        <v>0.0310001333333333</v>
      </c>
    </row>
    <row r="33" customFormat="false" ht="13.8" hidden="false" customHeight="false" outlineLevel="0" collapsed="false">
      <c r="B33" s="2" t="n">
        <v>31</v>
      </c>
      <c r="C33" s="2" t="n">
        <v>0.141004133333333</v>
      </c>
      <c r="D33" s="2" t="n">
        <v>0</v>
      </c>
      <c r="E33" s="2" t="n">
        <v>0.109001</v>
      </c>
    </row>
    <row r="34" customFormat="false" ht="13.8" hidden="false" customHeight="false" outlineLevel="0" collapsed="false">
      <c r="B34" s="2" t="n">
        <v>32</v>
      </c>
      <c r="C34" s="2" t="n">
        <v>0.282673066666667</v>
      </c>
      <c r="D34" s="2" t="n">
        <v>0</v>
      </c>
      <c r="E34" s="2" t="n">
        <v>0.031001</v>
      </c>
    </row>
    <row r="35" customFormat="false" ht="13.8" hidden="false" customHeight="false" outlineLevel="0" collapsed="false">
      <c r="B35" s="2" t="n">
        <v>33</v>
      </c>
      <c r="C35" s="2" t="n">
        <v>0.1280074</v>
      </c>
      <c r="D35" s="2" t="n">
        <v>0</v>
      </c>
      <c r="E35" s="2" t="n">
        <v>0.109001</v>
      </c>
    </row>
    <row r="36" customFormat="false" ht="13.8" hidden="false" customHeight="false" outlineLevel="0" collapsed="false">
      <c r="B36" s="2" t="n">
        <v>34</v>
      </c>
      <c r="C36" s="2" t="n">
        <v>0.369007</v>
      </c>
      <c r="D36" s="2" t="n">
        <v>0</v>
      </c>
      <c r="E36" s="2" t="n">
        <v>0.031001</v>
      </c>
    </row>
    <row r="37" customFormat="false" ht="13.8" hidden="false" customHeight="false" outlineLevel="0" collapsed="false">
      <c r="B37" s="2" t="n">
        <v>35</v>
      </c>
      <c r="C37" s="2" t="n">
        <v>0.1822076</v>
      </c>
      <c r="D37" s="2" t="n">
        <v>0</v>
      </c>
      <c r="E37" s="2" t="n">
        <v>0.109001</v>
      </c>
    </row>
    <row r="38" customFormat="false" ht="13.8" hidden="false" customHeight="false" outlineLevel="0" collapsed="false">
      <c r="B38" s="2" t="n">
        <v>36</v>
      </c>
      <c r="C38" s="2" t="n">
        <v>0.291008333333333</v>
      </c>
      <c r="D38" s="2" t="n">
        <v>0</v>
      </c>
      <c r="E38" s="2" t="n">
        <v>0.031001</v>
      </c>
    </row>
    <row r="39" customFormat="false" ht="13.8" hidden="false" customHeight="false" outlineLevel="0" collapsed="false">
      <c r="B39" s="2" t="n">
        <v>37</v>
      </c>
      <c r="C39" s="2" t="n">
        <v>0.298008</v>
      </c>
      <c r="D39" s="2" t="n">
        <v>0</v>
      </c>
      <c r="E39" s="2" t="n">
        <v>0.109001</v>
      </c>
    </row>
    <row r="40" customFormat="false" ht="13.8" hidden="false" customHeight="false" outlineLevel="0" collapsed="false">
      <c r="B40" s="2" t="n">
        <v>38</v>
      </c>
      <c r="C40" s="2" t="n">
        <v>0.273673933333333</v>
      </c>
      <c r="D40" s="2" t="n">
        <v>0</v>
      </c>
      <c r="E40" s="2" t="n">
        <v>2.2E-006</v>
      </c>
    </row>
    <row r="41" customFormat="false" ht="13.8" hidden="false" customHeight="false" outlineLevel="0" collapsed="false">
      <c r="B41" s="2" t="n">
        <v>39</v>
      </c>
      <c r="C41" s="2" t="n">
        <v>0.3010068</v>
      </c>
      <c r="D41" s="2" t="n">
        <v>0</v>
      </c>
      <c r="E41" s="2" t="n">
        <v>0.0566687333333333</v>
      </c>
    </row>
    <row r="42" customFormat="false" ht="13.8" hidden="false" customHeight="false" outlineLevel="0" collapsed="false">
      <c r="B42" s="2" t="n">
        <v>40</v>
      </c>
      <c r="C42" s="2" t="n">
        <v>0.265008</v>
      </c>
      <c r="D42" s="2" t="n">
        <v>0</v>
      </c>
      <c r="E42" s="2" t="n">
        <v>0.2005352</v>
      </c>
    </row>
    <row r="43" customFormat="false" ht="13.8" hidden="false" customHeight="false" outlineLevel="0" collapsed="false">
      <c r="B43" s="2" t="n">
        <v>41</v>
      </c>
      <c r="C43" s="2" t="n">
        <v>0.184341866666667</v>
      </c>
      <c r="D43" s="2" t="n">
        <v>0</v>
      </c>
      <c r="E43" s="2" t="n">
        <v>0.074001</v>
      </c>
    </row>
    <row r="44" customFormat="false" ht="13.8" hidden="false" customHeight="false" outlineLevel="0" collapsed="false">
      <c r="B44" s="2" t="n">
        <v>42</v>
      </c>
      <c r="C44" s="2" t="n">
        <v>0.1658084</v>
      </c>
      <c r="D44" s="2" t="n">
        <v>0</v>
      </c>
      <c r="E44" s="2" t="n">
        <v>0.2034678</v>
      </c>
    </row>
    <row r="45" customFormat="false" ht="13.8" hidden="false" customHeight="false" outlineLevel="0" collapsed="false">
      <c r="B45" s="2" t="n">
        <v>43</v>
      </c>
      <c r="C45" s="2" t="n">
        <v>0.311140933333333</v>
      </c>
      <c r="D45" s="2" t="n">
        <v>0</v>
      </c>
      <c r="E45" s="2" t="n">
        <v>0.1500016</v>
      </c>
    </row>
    <row r="46" customFormat="false" ht="13.8" hidden="false" customHeight="false" outlineLevel="0" collapsed="false">
      <c r="B46" s="2" t="n">
        <v>44</v>
      </c>
      <c r="C46" s="2" t="n">
        <v>0.244739666666667</v>
      </c>
      <c r="D46" s="2" t="n">
        <v>0</v>
      </c>
      <c r="E46" s="2" t="n">
        <v>0.400001</v>
      </c>
    </row>
    <row r="47" customFormat="false" ht="13.8" hidden="false" customHeight="false" outlineLevel="0" collapsed="false">
      <c r="B47" s="2" t="n">
        <v>45</v>
      </c>
      <c r="C47" s="2" t="n">
        <v>0.367004733333333</v>
      </c>
      <c r="D47" s="2" t="n">
        <v>0</v>
      </c>
      <c r="E47" s="2" t="n">
        <v>0.164001466666667</v>
      </c>
    </row>
    <row r="48" customFormat="false" ht="13.8" hidden="false" customHeight="false" outlineLevel="0" collapsed="false">
      <c r="B48" s="2" t="n">
        <v>46</v>
      </c>
      <c r="C48" s="2" t="n">
        <v>0.2610054</v>
      </c>
      <c r="D48" s="2" t="n">
        <v>0</v>
      </c>
      <c r="E48" s="2" t="n">
        <v>0.210001</v>
      </c>
    </row>
    <row r="49" customFormat="false" ht="13.8" hidden="false" customHeight="false" outlineLevel="0" collapsed="false">
      <c r="B49" s="2" t="n">
        <v>47</v>
      </c>
      <c r="C49" s="2" t="n">
        <v>0.196006533333333</v>
      </c>
      <c r="D49" s="2" t="n">
        <v>0</v>
      </c>
      <c r="E49" s="2" t="n">
        <v>0.080001</v>
      </c>
    </row>
    <row r="50" customFormat="false" ht="13.8" hidden="false" customHeight="false" outlineLevel="0" collapsed="false">
      <c r="B50" s="2" t="n">
        <v>48</v>
      </c>
      <c r="C50" s="2" t="n">
        <v>0.1662068</v>
      </c>
      <c r="D50" s="2" t="n">
        <v>0</v>
      </c>
      <c r="E50" s="2" t="n">
        <v>0.2040016</v>
      </c>
    </row>
    <row r="51" customFormat="false" ht="13.8" hidden="false" customHeight="false" outlineLevel="0" collapsed="false">
      <c r="B51" s="2" t="n">
        <v>49</v>
      </c>
      <c r="C51" s="2" t="n">
        <v>0.2823404</v>
      </c>
      <c r="D51" s="2" t="n">
        <v>0</v>
      </c>
      <c r="E51" s="2" t="n">
        <v>0.0700010666666667</v>
      </c>
    </row>
    <row r="52" customFormat="false" ht="13.8" hidden="false" customHeight="false" outlineLevel="0" collapsed="false">
      <c r="B52" s="2" t="n">
        <v>50</v>
      </c>
      <c r="C52" s="2" t="n">
        <v>0.2570072</v>
      </c>
      <c r="D52" s="2" t="n">
        <v>0</v>
      </c>
      <c r="E52" s="2" t="n">
        <v>0.200001</v>
      </c>
    </row>
    <row r="53" customFormat="false" ht="13.8" hidden="false" customHeight="false" outlineLevel="0" collapsed="false">
      <c r="B53" s="2" t="n">
        <v>51</v>
      </c>
      <c r="C53" s="2" t="n">
        <v>0.295674333333333</v>
      </c>
      <c r="D53" s="2" t="n">
        <v>0</v>
      </c>
      <c r="E53" s="2" t="n">
        <v>0.070001</v>
      </c>
    </row>
    <row r="54" customFormat="false" ht="13.8" hidden="false" customHeight="false" outlineLevel="0" collapsed="false">
      <c r="B54" s="2" t="n">
        <v>52</v>
      </c>
      <c r="C54" s="2" t="n">
        <v>0.292872666666667</v>
      </c>
      <c r="D54" s="2" t="n">
        <v>0</v>
      </c>
      <c r="E54" s="2" t="n">
        <v>0.200001</v>
      </c>
    </row>
    <row r="55" customFormat="false" ht="13.8" hidden="false" customHeight="false" outlineLevel="0" collapsed="false">
      <c r="B55" s="2" t="n">
        <v>53</v>
      </c>
      <c r="C55" s="2" t="n">
        <v>0.310673666666667</v>
      </c>
      <c r="D55" s="2" t="n">
        <v>0</v>
      </c>
      <c r="E55" s="2" t="n">
        <v>0.070001</v>
      </c>
    </row>
    <row r="56" customFormat="false" ht="13.8" hidden="false" customHeight="false" outlineLevel="0" collapsed="false">
      <c r="B56" s="2" t="n">
        <v>54</v>
      </c>
      <c r="C56" s="2" t="n">
        <v>0.257008266666667</v>
      </c>
      <c r="D56" s="2" t="n">
        <v>0</v>
      </c>
      <c r="E56" s="2" t="n">
        <v>0.480000333333333</v>
      </c>
    </row>
    <row r="57" customFormat="false" ht="13.8" hidden="false" customHeight="false" outlineLevel="0" collapsed="false">
      <c r="B57" s="2" t="n">
        <v>55</v>
      </c>
      <c r="C57" s="2" t="n">
        <v>0.283006733333333</v>
      </c>
      <c r="D57" s="2" t="n">
        <v>0</v>
      </c>
      <c r="E57" s="2" t="n">
        <v>0.0010018</v>
      </c>
    </row>
    <row r="58" customFormat="false" ht="13.8" hidden="false" customHeight="false" outlineLevel="0" collapsed="false">
      <c r="B58" s="2" t="n">
        <v>56</v>
      </c>
      <c r="C58" s="2" t="n">
        <v>0.257004933333333</v>
      </c>
      <c r="D58" s="2" t="n">
        <v>0</v>
      </c>
      <c r="E58" s="2" t="n">
        <v>0.109667466666667</v>
      </c>
    </row>
    <row r="59" customFormat="false" ht="13.8" hidden="false" customHeight="false" outlineLevel="0" collapsed="false">
      <c r="B59" s="2" t="n">
        <v>57</v>
      </c>
      <c r="C59" s="2" t="n">
        <v>0.202337666666667</v>
      </c>
      <c r="D59" s="2" t="n">
        <v>0</v>
      </c>
      <c r="E59" s="2" t="n">
        <v>0.1634006</v>
      </c>
    </row>
    <row r="60" customFormat="false" ht="13.8" hidden="false" customHeight="false" outlineLevel="0" collapsed="false">
      <c r="B60" s="2" t="n">
        <v>58</v>
      </c>
      <c r="C60" s="2" t="n">
        <v>0.296002933333333</v>
      </c>
      <c r="D60" s="2" t="n">
        <v>0</v>
      </c>
      <c r="E60" s="2" t="n">
        <v>0.00480113333333333</v>
      </c>
    </row>
    <row r="61" customFormat="false" ht="13.8" hidden="false" customHeight="false" outlineLevel="0" collapsed="false">
      <c r="B61" s="2" t="n">
        <v>59</v>
      </c>
      <c r="C61" s="2" t="n">
        <v>0.244001266666667</v>
      </c>
      <c r="D61" s="2" t="n">
        <v>0</v>
      </c>
      <c r="E61" s="2" t="n">
        <v>0.148001</v>
      </c>
    </row>
    <row r="62" customFormat="false" ht="13.8" hidden="false" customHeight="false" outlineLevel="0" collapsed="false">
      <c r="B62" s="2" t="n">
        <v>60</v>
      </c>
      <c r="C62" s="2" t="n">
        <v>0.296</v>
      </c>
      <c r="D62" s="2" t="n">
        <v>0</v>
      </c>
      <c r="E62" s="2" t="n">
        <v>0.128400733333333</v>
      </c>
    </row>
    <row r="63" customFormat="false" ht="13.8" hidden="false" customHeight="false" outlineLevel="0" collapsed="false">
      <c r="B63" s="2" t="n">
        <v>61</v>
      </c>
      <c r="C63" s="2" t="n">
        <v>0.244000666666667</v>
      </c>
      <c r="D63" s="2" t="n">
        <v>0</v>
      </c>
      <c r="E63" s="2" t="n">
        <v>0.156001</v>
      </c>
    </row>
    <row r="64" customFormat="false" ht="13.8" hidden="false" customHeight="false" outlineLevel="0" collapsed="false">
      <c r="B64" s="2" t="n">
        <v>62</v>
      </c>
      <c r="C64" s="2" t="n">
        <v>0.299666933333333</v>
      </c>
      <c r="D64" s="2" t="n">
        <v>0</v>
      </c>
      <c r="E64" s="2" t="n">
        <v>0.130001</v>
      </c>
    </row>
    <row r="65" customFormat="false" ht="13.8" hidden="false" customHeight="false" outlineLevel="0" collapsed="false">
      <c r="B65" s="2" t="n">
        <v>63</v>
      </c>
      <c r="C65" s="2" t="n">
        <v>0.249</v>
      </c>
      <c r="D65" s="2" t="n">
        <v>0</v>
      </c>
      <c r="E65" s="2" t="n">
        <v>0.482666733333333</v>
      </c>
    </row>
    <row r="66" customFormat="false" ht="13.8" hidden="false" customHeight="false" outlineLevel="0" collapsed="false">
      <c r="B66" s="2" t="n">
        <v>64</v>
      </c>
      <c r="C66" s="2" t="n">
        <v>0.301</v>
      </c>
      <c r="D66" s="2" t="n">
        <v>0</v>
      </c>
      <c r="E66" s="2" t="n">
        <v>0.48</v>
      </c>
    </row>
    <row r="67" customFormat="false" ht="13.8" hidden="false" customHeight="false" outlineLevel="0" collapsed="false">
      <c r="B67" s="2" t="n">
        <v>65</v>
      </c>
      <c r="C67" s="2" t="n">
        <v>0.249</v>
      </c>
      <c r="D67" s="2" t="n">
        <v>0</v>
      </c>
      <c r="E67" s="2" t="n">
        <v>0.506</v>
      </c>
    </row>
    <row r="68" customFormat="false" ht="13.8" hidden="false" customHeight="false" outlineLevel="0" collapsed="false">
      <c r="B68" s="2" t="n">
        <v>66</v>
      </c>
      <c r="C68" s="2" t="n">
        <v>0.296001</v>
      </c>
      <c r="D68" s="2" t="n">
        <v>0</v>
      </c>
      <c r="E68" s="2" t="n">
        <v>0.176667533333333</v>
      </c>
    </row>
    <row r="69" customFormat="false" ht="13.8" hidden="false" customHeight="false" outlineLevel="0" collapsed="false">
      <c r="B69" s="2" t="n">
        <v>67</v>
      </c>
      <c r="C69" s="2" t="n">
        <v>0.244001</v>
      </c>
      <c r="D69" s="2" t="n">
        <v>0</v>
      </c>
      <c r="E69" s="2" t="n">
        <v>0.008002</v>
      </c>
    </row>
    <row r="70" customFormat="false" ht="13.8" hidden="false" customHeight="false" outlineLevel="0" collapsed="false">
      <c r="B70" s="2" t="n">
        <v>68</v>
      </c>
      <c r="C70" s="2" t="n">
        <v>0.296001</v>
      </c>
      <c r="D70" s="2" t="n">
        <v>0</v>
      </c>
      <c r="E70" s="2" t="n">
        <v>0.3286686</v>
      </c>
    </row>
    <row r="71" customFormat="false" ht="13.8" hidden="false" customHeight="false" outlineLevel="0" collapsed="false">
      <c r="B71" s="2" t="n">
        <v>69</v>
      </c>
      <c r="C71" s="2" t="n">
        <v>0.244001</v>
      </c>
      <c r="D71" s="2" t="n">
        <v>0</v>
      </c>
      <c r="E71" s="2" t="n">
        <v>0.3466682</v>
      </c>
    </row>
    <row r="72" customFormat="false" ht="13.8" hidden="false" customHeight="false" outlineLevel="0" collapsed="false">
      <c r="B72" s="2" t="n">
        <v>70</v>
      </c>
      <c r="C72" s="2" t="n">
        <v>0.296001333333333</v>
      </c>
      <c r="D72" s="2" t="n">
        <v>0</v>
      </c>
      <c r="E72" s="2" t="n">
        <v>0.4675348</v>
      </c>
    </row>
    <row r="73" customFormat="false" ht="13.8" hidden="false" customHeight="false" outlineLevel="0" collapsed="false">
      <c r="B73" s="2" t="n">
        <v>71</v>
      </c>
      <c r="C73" s="2" t="n">
        <v>0.244002</v>
      </c>
      <c r="D73" s="2" t="n">
        <v>0</v>
      </c>
      <c r="E73" s="2" t="n">
        <v>0.535001</v>
      </c>
    </row>
    <row r="74" customFormat="false" ht="13.8" hidden="false" customHeight="false" outlineLevel="0" collapsed="false">
      <c r="B74" s="2" t="n">
        <v>72</v>
      </c>
      <c r="C74" s="2" t="n">
        <v>0.296002</v>
      </c>
      <c r="D74" s="2" t="n">
        <v>0</v>
      </c>
      <c r="E74" s="2" t="n">
        <v>0.5314016</v>
      </c>
    </row>
    <row r="75" customFormat="false" ht="13.8" hidden="false" customHeight="false" outlineLevel="0" collapsed="false">
      <c r="B75" s="2" t="n">
        <v>73</v>
      </c>
      <c r="C75" s="2" t="n">
        <v>0.282335666666667</v>
      </c>
      <c r="D75" s="2" t="n">
        <v>0</v>
      </c>
      <c r="E75" s="2" t="n">
        <v>0.456668533333333</v>
      </c>
    </row>
    <row r="76" customFormat="false" ht="13.8" hidden="false" customHeight="false" outlineLevel="0" collapsed="false">
      <c r="B76" s="2" t="n">
        <v>74</v>
      </c>
      <c r="C76" s="2" t="n">
        <v>0.347671266666667</v>
      </c>
      <c r="D76" s="2" t="n">
        <v>0</v>
      </c>
      <c r="E76" s="2" t="n">
        <v>0.4480006</v>
      </c>
    </row>
    <row r="77" customFormat="false" ht="13.8" hidden="false" customHeight="false" outlineLevel="0" collapsed="false">
      <c r="B77" s="2" t="n">
        <v>75</v>
      </c>
      <c r="C77" s="2" t="n">
        <v>0.311340733333333</v>
      </c>
      <c r="D77" s="2" t="n">
        <v>0</v>
      </c>
      <c r="E77" s="2" t="n">
        <v>0.422</v>
      </c>
    </row>
    <row r="78" customFormat="false" ht="13.8" hidden="false" customHeight="false" outlineLevel="0" collapsed="false">
      <c r="B78" s="2" t="n">
        <v>76</v>
      </c>
      <c r="C78" s="2" t="n">
        <v>0.1818114</v>
      </c>
      <c r="D78" s="2" t="n">
        <v>0</v>
      </c>
      <c r="E78" s="2" t="n">
        <v>0.368000266666667</v>
      </c>
    </row>
    <row r="79" customFormat="false" ht="13.8" hidden="false" customHeight="false" outlineLevel="0" collapsed="false">
      <c r="B79" s="2" t="n">
        <v>77</v>
      </c>
      <c r="C79" s="2" t="n">
        <v>0.4102792</v>
      </c>
      <c r="D79" s="2" t="n">
        <v>0</v>
      </c>
      <c r="E79" s="2" t="n">
        <v>0.222000133333333</v>
      </c>
    </row>
    <row r="80" customFormat="false" ht="13.8" hidden="false" customHeight="false" outlineLevel="0" collapsed="false">
      <c r="B80" s="2" t="n">
        <v>78</v>
      </c>
      <c r="C80" s="2" t="n">
        <v>0.258812133333333</v>
      </c>
      <c r="D80" s="2" t="n">
        <v>0.133333333333333</v>
      </c>
      <c r="E80" s="2" t="n">
        <v>0.148</v>
      </c>
    </row>
    <row r="81" customFormat="false" ht="13.8" hidden="false" customHeight="false" outlineLevel="0" collapsed="false">
      <c r="B81" s="2" t="n">
        <v>79</v>
      </c>
      <c r="C81" s="2" t="n">
        <v>0.526013333333333</v>
      </c>
      <c r="D81" s="2" t="n">
        <v>0.4</v>
      </c>
      <c r="E81" s="2" t="n">
        <v>0.122</v>
      </c>
    </row>
    <row r="82" customFormat="false" ht="13.8" hidden="false" customHeight="false" outlineLevel="0" collapsed="false">
      <c r="B82" s="2" t="n">
        <v>80</v>
      </c>
      <c r="C82" s="2" t="n">
        <v>0.2032846</v>
      </c>
      <c r="D82" s="2" t="n">
        <v>0.4</v>
      </c>
      <c r="E82" s="2" t="n">
        <v>0.148</v>
      </c>
    </row>
    <row r="83" customFormat="false" ht="13.8" hidden="false" customHeight="false" outlineLevel="0" collapsed="false">
      <c r="B83" s="2" t="n">
        <v>81</v>
      </c>
      <c r="C83" s="2" t="n">
        <v>0.428150266666667</v>
      </c>
      <c r="D83" s="2" t="n">
        <v>0.4</v>
      </c>
      <c r="E83" s="2" t="n">
        <v>0.122</v>
      </c>
    </row>
    <row r="84" customFormat="false" ht="13.8" hidden="false" customHeight="false" outlineLevel="0" collapsed="false">
      <c r="B84" s="2" t="n">
        <v>82</v>
      </c>
      <c r="C84" s="2" t="n">
        <v>0.254882733333333</v>
      </c>
      <c r="D84" s="2" t="n">
        <v>0.4</v>
      </c>
      <c r="E84" s="2" t="n">
        <v>0.148</v>
      </c>
    </row>
    <row r="85" customFormat="false" ht="13.8" hidden="false" customHeight="false" outlineLevel="0" collapsed="false">
      <c r="B85" s="2" t="n">
        <v>83</v>
      </c>
      <c r="C85" s="2" t="n">
        <v>0.398214466666667</v>
      </c>
      <c r="D85" s="2" t="n">
        <v>0.4</v>
      </c>
      <c r="E85" s="2" t="n">
        <v>0.122</v>
      </c>
    </row>
    <row r="86" customFormat="false" ht="13.8" hidden="false" customHeight="false" outlineLevel="0" collapsed="false">
      <c r="B86" s="2" t="n">
        <v>84</v>
      </c>
      <c r="C86" s="2" t="n">
        <v>0.423347666666667</v>
      </c>
      <c r="D86" s="2" t="n">
        <v>0.4</v>
      </c>
      <c r="E86" s="2" t="n">
        <v>0.148</v>
      </c>
    </row>
    <row r="87" customFormat="false" ht="13.8" hidden="false" customHeight="false" outlineLevel="0" collapsed="false">
      <c r="B87" s="2" t="n">
        <v>85</v>
      </c>
      <c r="C87" s="2" t="n">
        <v>0.360882933333333</v>
      </c>
      <c r="D87" s="2" t="n">
        <v>0.4</v>
      </c>
      <c r="E87" s="2" t="n">
        <v>0.122</v>
      </c>
    </row>
    <row r="88" customFormat="false" ht="13.8" hidden="false" customHeight="false" outlineLevel="0" collapsed="false">
      <c r="B88" s="2" t="n">
        <v>86</v>
      </c>
      <c r="C88" s="2" t="n">
        <v>0.3121492</v>
      </c>
      <c r="D88" s="2" t="n">
        <v>0.4</v>
      </c>
      <c r="E88" s="2" t="n">
        <v>0.148</v>
      </c>
    </row>
    <row r="89" customFormat="false" ht="13.8" hidden="false" customHeight="false" outlineLevel="0" collapsed="false">
      <c r="B89" s="2" t="n">
        <v>87</v>
      </c>
      <c r="C89" s="2" t="n">
        <v>0.288680533333333</v>
      </c>
      <c r="D89" s="2" t="n">
        <v>0.4</v>
      </c>
      <c r="E89" s="2" t="n">
        <v>0.122</v>
      </c>
    </row>
    <row r="90" customFormat="false" ht="13.8" hidden="false" customHeight="false" outlineLevel="0" collapsed="false">
      <c r="B90" s="2" t="n">
        <v>88</v>
      </c>
      <c r="C90" s="2" t="n">
        <v>0.3787456</v>
      </c>
      <c r="D90" s="2" t="n">
        <v>0.4</v>
      </c>
      <c r="E90" s="2" t="n">
        <v>0.148</v>
      </c>
    </row>
    <row r="91" customFormat="false" ht="13.8" hidden="false" customHeight="false" outlineLevel="0" collapsed="false">
      <c r="B91" s="2" t="n">
        <v>89</v>
      </c>
      <c r="C91" s="2" t="n">
        <v>0.3160794</v>
      </c>
      <c r="D91" s="2" t="n">
        <v>0.4</v>
      </c>
      <c r="E91" s="2" t="n">
        <v>0.0673338666666667</v>
      </c>
    </row>
    <row r="92" customFormat="false" ht="13.8" hidden="false" customHeight="false" outlineLevel="0" collapsed="false">
      <c r="B92" s="2" t="n">
        <v>90</v>
      </c>
      <c r="C92" s="2" t="n">
        <v>0.168082466666667</v>
      </c>
      <c r="D92" s="2" t="n">
        <v>0.4</v>
      </c>
      <c r="E92" s="2" t="n">
        <v>0.07</v>
      </c>
    </row>
    <row r="93" customFormat="false" ht="13.8" hidden="false" customHeight="false" outlineLevel="0" collapsed="false">
      <c r="B93" s="2" t="n">
        <v>91</v>
      </c>
      <c r="C93" s="2" t="n">
        <v>0.152014333333333</v>
      </c>
      <c r="D93" s="2" t="n">
        <v>0.4</v>
      </c>
      <c r="E93" s="2" t="n">
        <v>0.07</v>
      </c>
    </row>
    <row r="94" customFormat="false" ht="13.8" hidden="false" customHeight="false" outlineLevel="0" collapsed="false">
      <c r="B94" s="2" t="n">
        <v>92</v>
      </c>
      <c r="C94" s="2" t="n">
        <v>0.3966794</v>
      </c>
      <c r="D94" s="2" t="n">
        <v>0.4</v>
      </c>
      <c r="E94" s="2" t="n">
        <v>0.07</v>
      </c>
    </row>
    <row r="95" customFormat="false" ht="13.8" hidden="false" customHeight="false" outlineLevel="0" collapsed="false">
      <c r="B95" s="2" t="n">
        <v>93</v>
      </c>
      <c r="C95" s="2" t="n">
        <v>0.215207866666667</v>
      </c>
      <c r="D95" s="2" t="n">
        <v>0.4</v>
      </c>
      <c r="E95" s="2" t="n">
        <v>0.0020006</v>
      </c>
    </row>
    <row r="96" customFormat="false" ht="13.8" hidden="false" customHeight="false" outlineLevel="0" collapsed="false">
      <c r="B96" s="2" t="n">
        <v>94</v>
      </c>
      <c r="C96" s="2" t="n">
        <v>0.4427408</v>
      </c>
      <c r="D96" s="2" t="n">
        <v>0.4</v>
      </c>
      <c r="E96" s="2" t="n">
        <v>0.133666933333333</v>
      </c>
    </row>
    <row r="97" customFormat="false" ht="13.8" hidden="false" customHeight="false" outlineLevel="0" collapsed="false">
      <c r="B97" s="2" t="n">
        <v>95</v>
      </c>
      <c r="C97" s="2" t="n">
        <v>0.160209733333333</v>
      </c>
      <c r="D97" s="2" t="n">
        <v>0.4</v>
      </c>
      <c r="E97" s="2" t="n">
        <v>0.005</v>
      </c>
    </row>
    <row r="98" customFormat="false" ht="13.8" hidden="false" customHeight="false" outlineLevel="0" collapsed="false">
      <c r="B98" s="2" t="n">
        <v>96</v>
      </c>
      <c r="C98" s="2" t="n">
        <v>0.141677333333333</v>
      </c>
      <c r="D98" s="2" t="n">
        <v>0.373333333333333</v>
      </c>
      <c r="E98" s="2" t="n">
        <v>0.00133406666666667</v>
      </c>
    </row>
    <row r="99" customFormat="false" ht="13.8" hidden="false" customHeight="false" outlineLevel="0" collapsed="false">
      <c r="B99" s="2" t="n">
        <v>97</v>
      </c>
      <c r="C99" s="2" t="n">
        <v>0.124078933333333</v>
      </c>
      <c r="D99" s="2" t="n">
        <v>0.4</v>
      </c>
      <c r="E99" s="2" t="n">
        <v>0.0533340666666667</v>
      </c>
    </row>
    <row r="100" customFormat="false" ht="13.8" hidden="false" customHeight="false" outlineLevel="0" collapsed="false">
      <c r="B100" s="2" t="n">
        <v>98</v>
      </c>
      <c r="C100" s="2" t="n">
        <v>0.44234</v>
      </c>
      <c r="D100" s="2" t="n">
        <v>0.4</v>
      </c>
      <c r="E100" s="2" t="n">
        <v>0.083</v>
      </c>
    </row>
    <row r="101" customFormat="false" ht="13.8" hidden="false" customHeight="false" outlineLevel="0" collapsed="false">
      <c r="B101" s="2" t="n">
        <v>99</v>
      </c>
      <c r="C101" s="2" t="n">
        <v>0.159005466666667</v>
      </c>
      <c r="D101" s="2" t="n">
        <v>0.4</v>
      </c>
      <c r="E101" s="2" t="n">
        <v>0.057</v>
      </c>
    </row>
    <row r="102" customFormat="false" ht="13.8" hidden="false" customHeight="false" outlineLevel="0" collapsed="false">
      <c r="B102" s="2" t="n">
        <v>100</v>
      </c>
      <c r="C102" s="2" t="n">
        <v>0.1664714</v>
      </c>
      <c r="D102" s="2" t="n">
        <v>0.4</v>
      </c>
      <c r="E102" s="2" t="n">
        <v>0.160333466666667</v>
      </c>
    </row>
    <row r="103" customFormat="false" ht="13.8" hidden="false" customHeight="false" outlineLevel="0" collapsed="false">
      <c r="B103" s="2" t="n">
        <v>101</v>
      </c>
      <c r="C103" s="2" t="n">
        <v>0.211933933333333</v>
      </c>
      <c r="D103" s="2" t="n">
        <v>0.4</v>
      </c>
      <c r="E103" s="2" t="n">
        <v>0.005</v>
      </c>
    </row>
    <row r="104" customFormat="false" ht="13.8" hidden="false" customHeight="false" outlineLevel="0" collapsed="false">
      <c r="B104" s="2" t="n">
        <v>102</v>
      </c>
      <c r="C104" s="2" t="n">
        <v>0.0707345333333333</v>
      </c>
      <c r="D104" s="2" t="n">
        <v>0.4</v>
      </c>
      <c r="E104" s="2" t="n">
        <v>0.121333466666667</v>
      </c>
    </row>
    <row r="105" customFormat="false" ht="13.8" hidden="false" customHeight="false" outlineLevel="0" collapsed="false">
      <c r="B105" s="2" t="n">
        <v>103</v>
      </c>
      <c r="C105" s="2" t="n">
        <v>0.3085336</v>
      </c>
      <c r="D105" s="2" t="n">
        <v>0.4</v>
      </c>
      <c r="E105" s="2" t="n">
        <v>0.018</v>
      </c>
    </row>
    <row r="106" customFormat="false" ht="13.8" hidden="false" customHeight="false" outlineLevel="0" collapsed="false">
      <c r="B106" s="2" t="n">
        <v>104</v>
      </c>
      <c r="C106" s="2" t="n">
        <v>0.0482007333333333</v>
      </c>
      <c r="D106" s="2" t="n">
        <v>0.4</v>
      </c>
      <c r="E106" s="2" t="n">
        <v>0.122</v>
      </c>
    </row>
    <row r="107" customFormat="false" ht="13.8" hidden="false" customHeight="false" outlineLevel="0" collapsed="false">
      <c r="B107" s="2" t="n">
        <v>105</v>
      </c>
      <c r="C107" s="2" t="n">
        <v>0.1990016</v>
      </c>
      <c r="D107" s="2" t="n">
        <v>0.4</v>
      </c>
      <c r="E107" s="2" t="n">
        <v>0.018</v>
      </c>
    </row>
    <row r="108" customFormat="false" ht="13.8" hidden="false" customHeight="false" outlineLevel="0" collapsed="false">
      <c r="B108" s="2" t="n">
        <v>106</v>
      </c>
      <c r="C108" s="2" t="n">
        <v>0.0556667333333333</v>
      </c>
      <c r="D108" s="2" t="n">
        <v>0.4</v>
      </c>
      <c r="E108" s="2" t="n">
        <v>0.122</v>
      </c>
    </row>
    <row r="109" customFormat="false" ht="13.8" hidden="false" customHeight="false" outlineLevel="0" collapsed="false">
      <c r="B109" s="2" t="n">
        <v>107</v>
      </c>
      <c r="C109" s="2" t="n">
        <v>0.298200533333333</v>
      </c>
      <c r="D109" s="2" t="n">
        <v>0.4</v>
      </c>
      <c r="E109" s="2" t="n">
        <v>0.018</v>
      </c>
    </row>
    <row r="110" customFormat="false" ht="13.8" hidden="false" customHeight="false" outlineLevel="0" collapsed="false">
      <c r="B110" s="2" t="n">
        <v>108</v>
      </c>
      <c r="C110" s="2" t="n">
        <v>0.0646678666666667</v>
      </c>
      <c r="D110" s="2" t="n">
        <v>0.4</v>
      </c>
      <c r="E110" s="2" t="n">
        <v>0.122</v>
      </c>
    </row>
    <row r="111" customFormat="false" ht="13.8" hidden="false" customHeight="false" outlineLevel="0" collapsed="false">
      <c r="B111" s="2" t="n">
        <v>109</v>
      </c>
      <c r="C111" s="2" t="n">
        <v>0.256001</v>
      </c>
      <c r="D111" s="2" t="n">
        <v>0.4</v>
      </c>
      <c r="E111" s="2" t="n">
        <v>0.018</v>
      </c>
    </row>
    <row r="112" customFormat="false" ht="13.8" hidden="false" customHeight="false" outlineLevel="0" collapsed="false">
      <c r="B112" s="2" t="n">
        <v>110</v>
      </c>
      <c r="C112" s="2" t="n">
        <v>0.125534266666667</v>
      </c>
      <c r="D112" s="2" t="n">
        <v>0.4</v>
      </c>
      <c r="E112" s="2" t="n">
        <v>0.122</v>
      </c>
    </row>
    <row r="113" customFormat="false" ht="13.8" hidden="false" customHeight="false" outlineLevel="0" collapsed="false">
      <c r="B113" s="2" t="n">
        <v>111</v>
      </c>
      <c r="C113" s="2" t="n">
        <v>0.179534066666667</v>
      </c>
      <c r="D113" s="2" t="n">
        <v>0.4</v>
      </c>
      <c r="E113" s="2" t="n">
        <v>0.018</v>
      </c>
    </row>
    <row r="114" customFormat="false" ht="13.8" hidden="false" customHeight="false" outlineLevel="0" collapsed="false">
      <c r="B114" s="2" t="n">
        <v>112</v>
      </c>
      <c r="C114" s="2" t="n">
        <v>0.162934333333333</v>
      </c>
      <c r="D114" s="2" t="n">
        <v>0.4</v>
      </c>
      <c r="E114" s="2" t="n">
        <v>0.122</v>
      </c>
    </row>
    <row r="115" customFormat="false" ht="13.8" hidden="false" customHeight="false" outlineLevel="0" collapsed="false">
      <c r="B115" s="2" t="n">
        <v>113</v>
      </c>
      <c r="C115" s="2" t="n">
        <v>0.156</v>
      </c>
      <c r="D115" s="2" t="n">
        <v>0.4</v>
      </c>
      <c r="E115" s="2" t="n">
        <v>0.018</v>
      </c>
    </row>
    <row r="116" customFormat="false" ht="13.8" hidden="false" customHeight="false" outlineLevel="0" collapsed="false">
      <c r="B116" s="2" t="n">
        <v>114</v>
      </c>
      <c r="C116" s="2" t="n">
        <v>0.1522006</v>
      </c>
      <c r="D116" s="2" t="n">
        <v>0.4</v>
      </c>
      <c r="E116" s="2" t="n">
        <v>0.122</v>
      </c>
    </row>
    <row r="117" customFormat="false" ht="13.8" hidden="false" customHeight="false" outlineLevel="0" collapsed="false">
      <c r="B117" s="2" t="n">
        <v>115</v>
      </c>
      <c r="C117" s="2" t="n">
        <v>0.219333666666667</v>
      </c>
      <c r="D117" s="2" t="n">
        <v>0.4</v>
      </c>
      <c r="E117" s="2" t="n">
        <v>0.018</v>
      </c>
    </row>
    <row r="118" customFormat="false" ht="13.8" hidden="false" customHeight="false" outlineLevel="0" collapsed="false">
      <c r="B118" s="2" t="n">
        <v>116</v>
      </c>
      <c r="C118" s="2" t="n">
        <v>0.089667</v>
      </c>
      <c r="D118" s="2" t="n">
        <v>0.4</v>
      </c>
      <c r="E118" s="2" t="n">
        <v>0.0140008</v>
      </c>
    </row>
    <row r="119" customFormat="false" ht="13.8" hidden="false" customHeight="false" outlineLevel="0" collapsed="false">
      <c r="B119" s="2" t="n">
        <v>117</v>
      </c>
      <c r="C119" s="2" t="n">
        <v>0.221800066666667</v>
      </c>
      <c r="D119" s="2" t="n">
        <v>0.4</v>
      </c>
      <c r="E119" s="2" t="n">
        <v>0.122</v>
      </c>
    </row>
    <row r="120" customFormat="false" ht="13.8" hidden="false" customHeight="false" outlineLevel="0" collapsed="false">
      <c r="B120" s="2" t="n">
        <v>118</v>
      </c>
      <c r="C120" s="2" t="n">
        <v>0.085068</v>
      </c>
      <c r="D120" s="2" t="n">
        <v>0.4</v>
      </c>
      <c r="E120" s="2" t="n">
        <v>0.018</v>
      </c>
    </row>
    <row r="121" customFormat="false" ht="13.8" hidden="false" customHeight="false" outlineLevel="0" collapsed="false">
      <c r="B121" s="2" t="n">
        <v>119</v>
      </c>
      <c r="C121" s="2" t="n">
        <v>0.121134</v>
      </c>
      <c r="D121" s="2" t="n">
        <v>0.4</v>
      </c>
      <c r="E121" s="2" t="n">
        <v>0.1210002</v>
      </c>
    </row>
    <row r="122" customFormat="false" ht="13.8" hidden="false" customHeight="false" outlineLevel="0" collapsed="false">
      <c r="B122" s="2" t="n">
        <v>120</v>
      </c>
      <c r="C122" s="2" t="n">
        <v>0.2865342</v>
      </c>
      <c r="D122" s="2" t="n">
        <v>0.4</v>
      </c>
      <c r="E122" s="2" t="n">
        <v>0.134666733333333</v>
      </c>
    </row>
    <row r="123" customFormat="false" ht="13.8" hidden="false" customHeight="false" outlineLevel="0" collapsed="false">
      <c r="B123" s="2" t="n">
        <v>121</v>
      </c>
      <c r="C123" s="2" t="n">
        <v>0.04</v>
      </c>
      <c r="D123" s="2" t="n">
        <v>0.106666666666667</v>
      </c>
      <c r="E123" s="2" t="n">
        <v>0.005</v>
      </c>
    </row>
    <row r="124" customFormat="false" ht="13.8" hidden="false" customHeight="false" outlineLevel="0" collapsed="false">
      <c r="B124" s="2" t="n">
        <v>122</v>
      </c>
      <c r="C124" s="2" t="n">
        <v>0.377468266666667</v>
      </c>
      <c r="D124" s="2" t="n">
        <v>0</v>
      </c>
      <c r="E124" s="2" t="n">
        <v>0.134666733333333</v>
      </c>
    </row>
    <row r="125" customFormat="false" ht="13.8" hidden="false" customHeight="false" outlineLevel="0" collapsed="false">
      <c r="B125" s="2" t="n">
        <v>123</v>
      </c>
      <c r="C125" s="2" t="n">
        <v>0.0216707333333333</v>
      </c>
      <c r="D125" s="2" t="n">
        <v>0</v>
      </c>
      <c r="E125" s="2" t="n">
        <v>0.005</v>
      </c>
    </row>
    <row r="126" customFormat="false" ht="13.8" hidden="false" customHeight="false" outlineLevel="0" collapsed="false">
      <c r="B126" s="2" t="n">
        <v>124</v>
      </c>
      <c r="C126" s="2" t="n">
        <v>0.321004133333333</v>
      </c>
      <c r="D126" s="2" t="n">
        <v>0</v>
      </c>
      <c r="E126" s="2" t="n">
        <v>0.174</v>
      </c>
    </row>
    <row r="127" customFormat="false" ht="13.8" hidden="false" customHeight="false" outlineLevel="0" collapsed="false">
      <c r="B127" s="2" t="n">
        <v>125</v>
      </c>
      <c r="C127" s="2" t="n">
        <v>0.101005</v>
      </c>
      <c r="D127" s="2" t="n">
        <v>0</v>
      </c>
      <c r="E127" s="2" t="n">
        <v>0.018</v>
      </c>
    </row>
    <row r="128" customFormat="false" ht="13.8" hidden="false" customHeight="false" outlineLevel="0" collapsed="false">
      <c r="B128" s="2" t="n">
        <v>126</v>
      </c>
      <c r="C128" s="2" t="n">
        <v>0.3428714</v>
      </c>
      <c r="D128" s="2" t="n">
        <v>0</v>
      </c>
      <c r="E128" s="2" t="n">
        <v>0.0953348666666667</v>
      </c>
    </row>
    <row r="129" customFormat="false" ht="13.8" hidden="false" customHeight="false" outlineLevel="0" collapsed="false">
      <c r="B129" s="2" t="n">
        <v>127</v>
      </c>
      <c r="C129" s="2" t="n">
        <v>0.125672866666667</v>
      </c>
      <c r="D129" s="2" t="n">
        <v>0</v>
      </c>
      <c r="E129" s="2" t="n">
        <v>0.1340028</v>
      </c>
    </row>
    <row r="130" customFormat="false" ht="13.8" hidden="false" customHeight="false" outlineLevel="0" collapsed="false">
      <c r="B130" s="2" t="n">
        <v>128</v>
      </c>
      <c r="C130" s="2" t="n">
        <v>0.203207866666667</v>
      </c>
      <c r="D130" s="2" t="n">
        <v>0</v>
      </c>
      <c r="E130" s="2" t="n">
        <v>0.005003</v>
      </c>
    </row>
    <row r="131" customFormat="false" ht="13.8" hidden="false" customHeight="false" outlineLevel="0" collapsed="false">
      <c r="B131" s="2" t="n">
        <v>129</v>
      </c>
      <c r="C131" s="2" t="n">
        <v>0.3008074</v>
      </c>
      <c r="D131" s="2" t="n">
        <v>0</v>
      </c>
      <c r="E131" s="2" t="n">
        <v>0.135003</v>
      </c>
    </row>
    <row r="132" customFormat="false" ht="13.8" hidden="false" customHeight="false" outlineLevel="0" collapsed="false">
      <c r="B132" s="2" t="n">
        <v>130</v>
      </c>
      <c r="C132" s="2" t="n">
        <v>0.244541266666667</v>
      </c>
      <c r="D132" s="2" t="n">
        <v>0</v>
      </c>
      <c r="E132" s="2" t="n">
        <v>0.3063366</v>
      </c>
    </row>
    <row r="133" customFormat="false" ht="13.8" hidden="false" customHeight="false" outlineLevel="0" collapsed="false">
      <c r="B133" s="2" t="n">
        <v>131</v>
      </c>
      <c r="C133" s="2" t="n">
        <v>0.157341266666667</v>
      </c>
      <c r="D133" s="2" t="n">
        <v>0</v>
      </c>
      <c r="E133" s="2" t="n">
        <v>0.3540032</v>
      </c>
    </row>
    <row r="134" customFormat="false" ht="13.8" hidden="false" customHeight="false" outlineLevel="0" collapsed="false">
      <c r="B134" s="2" t="n">
        <v>132</v>
      </c>
      <c r="C134" s="2" t="n">
        <v>0.379874933333333</v>
      </c>
      <c r="D134" s="2" t="n">
        <v>0</v>
      </c>
      <c r="E134" s="2" t="n">
        <v>0.513669333333333</v>
      </c>
    </row>
    <row r="135" customFormat="false" ht="13.8" hidden="false" customHeight="false" outlineLevel="0" collapsed="false">
      <c r="B135" s="2" t="n">
        <v>133</v>
      </c>
      <c r="C135" s="2" t="n">
        <v>0.166009</v>
      </c>
      <c r="D135" s="2" t="n">
        <v>0</v>
      </c>
      <c r="E135" s="2" t="n">
        <v>0.400669533333333</v>
      </c>
    </row>
    <row r="136" customFormat="false" ht="13.8" hidden="false" customHeight="false" outlineLevel="0" collapsed="false">
      <c r="B136" s="2" t="n">
        <v>134</v>
      </c>
      <c r="C136" s="2" t="n">
        <v>0.374009</v>
      </c>
      <c r="D136" s="2" t="n">
        <v>0</v>
      </c>
      <c r="E136" s="2" t="n">
        <v>0.369003</v>
      </c>
    </row>
    <row r="137" customFormat="false" ht="13.8" hidden="false" customHeight="false" outlineLevel="0" collapsed="false">
      <c r="B137" s="2" t="n">
        <v>135</v>
      </c>
      <c r="C137" s="2" t="n">
        <v>0.166009</v>
      </c>
      <c r="D137" s="2" t="n">
        <v>0</v>
      </c>
      <c r="E137" s="2" t="n">
        <v>0.233669733333333</v>
      </c>
    </row>
    <row r="138" customFormat="false" ht="13.8" hidden="false" customHeight="false" outlineLevel="0" collapsed="false">
      <c r="B138" s="2" t="n">
        <v>136</v>
      </c>
      <c r="C138" s="2" t="n">
        <v>0.374009</v>
      </c>
      <c r="D138" s="2" t="n">
        <v>0</v>
      </c>
      <c r="E138" s="2" t="n">
        <v>0.1894034</v>
      </c>
    </row>
    <row r="139" customFormat="false" ht="13.8" hidden="false" customHeight="false" outlineLevel="0" collapsed="false">
      <c r="B139" s="2" t="n">
        <v>137</v>
      </c>
      <c r="C139" s="2" t="n">
        <v>0.171874933333333</v>
      </c>
      <c r="D139" s="2" t="n">
        <v>0</v>
      </c>
      <c r="E139" s="2" t="n">
        <v>0.087003</v>
      </c>
    </row>
    <row r="140" customFormat="false" ht="13.8" hidden="false" customHeight="false" outlineLevel="0" collapsed="false">
      <c r="B140" s="2" t="n">
        <v>138</v>
      </c>
      <c r="C140" s="2" t="n">
        <v>0.382007</v>
      </c>
      <c r="D140" s="2" t="n">
        <v>0</v>
      </c>
      <c r="E140" s="2" t="n">
        <v>0.4710022</v>
      </c>
    </row>
    <row r="141" customFormat="false" ht="13.8" hidden="false" customHeight="false" outlineLevel="0" collapsed="false">
      <c r="B141" s="2" t="n">
        <v>139</v>
      </c>
      <c r="C141" s="2" t="n">
        <v>0.1578738</v>
      </c>
      <c r="D141" s="2" t="n">
        <v>0</v>
      </c>
      <c r="E141" s="2" t="n">
        <v>0.410335466666667</v>
      </c>
    </row>
    <row r="142" customFormat="false" ht="13.8" hidden="false" customHeight="false" outlineLevel="0" collapsed="false">
      <c r="B142" s="2" t="n">
        <v>140</v>
      </c>
      <c r="C142" s="2" t="n">
        <v>0.415005</v>
      </c>
      <c r="D142" s="2" t="n">
        <v>0</v>
      </c>
      <c r="E142" s="2" t="n">
        <v>0.354669666666667</v>
      </c>
    </row>
    <row r="143" customFormat="false" ht="13.8" hidden="false" customHeight="false" outlineLevel="0" collapsed="false">
      <c r="B143" s="2" t="n">
        <v>141</v>
      </c>
      <c r="C143" s="2" t="n">
        <v>0.1576718</v>
      </c>
      <c r="D143" s="2" t="n">
        <v>0</v>
      </c>
      <c r="E143" s="2" t="n">
        <v>0.1448036</v>
      </c>
    </row>
    <row r="144" customFormat="false" ht="13.8" hidden="false" customHeight="false" outlineLevel="0" collapsed="false">
      <c r="B144" s="2" t="n">
        <v>142</v>
      </c>
      <c r="C144" s="2" t="n">
        <v>0.366672333333333</v>
      </c>
      <c r="D144" s="2" t="n">
        <v>0</v>
      </c>
      <c r="E144" s="2" t="n">
        <v>0.1740032</v>
      </c>
    </row>
    <row r="145" customFormat="false" ht="13.8" hidden="false" customHeight="false" outlineLevel="0" collapsed="false">
      <c r="B145" s="2" t="n">
        <v>143</v>
      </c>
      <c r="C145" s="2" t="n">
        <v>0.372005</v>
      </c>
      <c r="D145" s="2" t="n">
        <v>0</v>
      </c>
      <c r="E145" s="2" t="n">
        <v>0.096003</v>
      </c>
    </row>
    <row r="146" customFormat="false" ht="13.8" hidden="false" customHeight="false" outlineLevel="0" collapsed="false">
      <c r="B146" s="2" t="n">
        <v>144</v>
      </c>
      <c r="C146" s="2" t="n">
        <v>0.234673066666667</v>
      </c>
      <c r="D146" s="2" t="n">
        <v>0</v>
      </c>
      <c r="E146" s="2" t="n">
        <v>0.1756026</v>
      </c>
    </row>
    <row r="147" customFormat="false" ht="13.8" hidden="false" customHeight="false" outlineLevel="0" collapsed="false">
      <c r="B147" s="2" t="n">
        <v>145</v>
      </c>
      <c r="C147" s="2" t="n">
        <v>0.2020088</v>
      </c>
      <c r="D147" s="2" t="n">
        <v>0</v>
      </c>
      <c r="E147" s="2" t="n">
        <v>0.00633586666666667</v>
      </c>
    </row>
    <row r="148" customFormat="false" ht="13.8" hidden="false" customHeight="false" outlineLevel="0" collapsed="false">
      <c r="B148" s="2" t="n">
        <v>146</v>
      </c>
      <c r="C148" s="2" t="n">
        <v>0.164409</v>
      </c>
      <c r="D148" s="2" t="n">
        <v>0</v>
      </c>
      <c r="E148" s="2" t="n">
        <v>0.3615358</v>
      </c>
    </row>
    <row r="149" customFormat="false" ht="13.8" hidden="false" customHeight="false" outlineLevel="0" collapsed="false">
      <c r="B149" s="2" t="n">
        <v>147</v>
      </c>
      <c r="C149" s="2" t="n">
        <v>0.1766096</v>
      </c>
      <c r="D149" s="2" t="n">
        <v>0</v>
      </c>
      <c r="E149" s="2" t="n">
        <v>0.611668333333333</v>
      </c>
    </row>
    <row r="150" customFormat="false" ht="13.8" hidden="false" customHeight="false" outlineLevel="0" collapsed="false">
      <c r="B150" s="2" t="n">
        <v>148</v>
      </c>
      <c r="C150" s="2" t="n">
        <v>0.386873133333333</v>
      </c>
      <c r="D150" s="2" t="n">
        <v>0</v>
      </c>
      <c r="E150" s="2" t="n">
        <v>0.627668733333333</v>
      </c>
    </row>
    <row r="151" customFormat="false" ht="13.8" hidden="false" customHeight="false" outlineLevel="0" collapsed="false">
      <c r="B151" s="2" t="n">
        <v>149</v>
      </c>
      <c r="C151" s="2" t="n">
        <v>0.2036068</v>
      </c>
      <c r="D151" s="2" t="n">
        <v>0</v>
      </c>
      <c r="E151" s="2" t="n">
        <v>0.109003</v>
      </c>
    </row>
    <row r="152" customFormat="false" ht="13.8" hidden="false" customHeight="false" outlineLevel="0" collapsed="false">
      <c r="B152" s="2" t="n">
        <v>150</v>
      </c>
      <c r="C152" s="2" t="n">
        <v>0.385073533333333</v>
      </c>
      <c r="D152" s="2" t="n">
        <v>0</v>
      </c>
      <c r="E152" s="2" t="n">
        <v>0.161003133333333</v>
      </c>
    </row>
    <row r="153" customFormat="false" ht="13.8" hidden="false" customHeight="false" outlineLevel="0" collapsed="false">
      <c r="B153" s="2" t="n">
        <v>151</v>
      </c>
      <c r="C153" s="2" t="n">
        <v>0.1885402</v>
      </c>
      <c r="D153" s="2" t="n">
        <v>0</v>
      </c>
      <c r="E153" s="2" t="n">
        <v>0.109003533333333</v>
      </c>
    </row>
    <row r="154" customFormat="false" ht="13.8" hidden="false" customHeight="false" outlineLevel="0" collapsed="false">
      <c r="B154" s="2" t="n">
        <v>152</v>
      </c>
      <c r="C154" s="2" t="n">
        <v>0.402205066666667</v>
      </c>
      <c r="D154" s="2" t="n">
        <v>0</v>
      </c>
      <c r="E154" s="2" t="n">
        <v>0.161002866666667</v>
      </c>
    </row>
    <row r="155" customFormat="false" ht="13.8" hidden="false" customHeight="false" outlineLevel="0" collapsed="false">
      <c r="B155" s="2" t="n">
        <v>153</v>
      </c>
      <c r="C155" s="2" t="n">
        <v>0.127336866666667</v>
      </c>
      <c r="D155" s="2" t="n">
        <v>0</v>
      </c>
      <c r="E155" s="2" t="n">
        <v>0.1100694</v>
      </c>
    </row>
    <row r="156" customFormat="false" ht="13.8" hidden="false" customHeight="false" outlineLevel="0" collapsed="false">
      <c r="B156" s="2" t="n">
        <v>154</v>
      </c>
      <c r="C156" s="2" t="n">
        <v>0.258669</v>
      </c>
      <c r="D156" s="2" t="n">
        <v>0</v>
      </c>
      <c r="E156" s="2" t="n">
        <v>0.0346687333333333</v>
      </c>
    </row>
    <row r="157" customFormat="false" ht="13.8" hidden="false" customHeight="false" outlineLevel="0" collapsed="false">
      <c r="B157" s="2" t="n">
        <v>155</v>
      </c>
      <c r="C157" s="2" t="n">
        <v>0.298001</v>
      </c>
      <c r="D157" s="2" t="n">
        <v>0</v>
      </c>
      <c r="E157" s="2" t="n">
        <v>0.204002</v>
      </c>
    </row>
    <row r="158" customFormat="false" ht="13.8" hidden="false" customHeight="false" outlineLevel="0" collapsed="false">
      <c r="B158" s="2" t="n">
        <v>156</v>
      </c>
      <c r="C158" s="2" t="n">
        <v>0.2600008</v>
      </c>
      <c r="D158" s="2" t="n">
        <v>0</v>
      </c>
      <c r="E158" s="2" t="n">
        <v>0.0737359333333333</v>
      </c>
    </row>
    <row r="159" customFormat="false" ht="13.8" hidden="false" customHeight="false" outlineLevel="0" collapsed="false">
      <c r="B159" s="2" t="n">
        <v>157</v>
      </c>
      <c r="C159" s="2" t="n">
        <v>0.283</v>
      </c>
      <c r="D159" s="2" t="n">
        <v>0</v>
      </c>
      <c r="E159" s="2" t="n">
        <v>0.200004</v>
      </c>
    </row>
    <row r="160" customFormat="false" ht="13.8" hidden="false" customHeight="false" outlineLevel="0" collapsed="false">
      <c r="B160" s="2" t="n">
        <v>158</v>
      </c>
      <c r="C160" s="2" t="n">
        <v>0.387</v>
      </c>
      <c r="D160" s="2" t="n">
        <v>0</v>
      </c>
      <c r="E160" s="2" t="n">
        <v>0.0410046</v>
      </c>
    </row>
    <row r="161" customFormat="false" ht="13.8" hidden="false" customHeight="false" outlineLevel="0" collapsed="false">
      <c r="B161" s="2" t="n">
        <v>159</v>
      </c>
      <c r="C161" s="2" t="n">
        <v>0.203333666666667</v>
      </c>
      <c r="D161" s="2" t="n">
        <v>0</v>
      </c>
      <c r="E161" s="2" t="n">
        <v>0.00747053333333333</v>
      </c>
    </row>
    <row r="162" customFormat="false" ht="13.8" hidden="false" customHeight="false" outlineLevel="0" collapsed="false">
      <c r="B162" s="2" t="n">
        <v>160</v>
      </c>
      <c r="C162" s="2" t="n">
        <v>0.361</v>
      </c>
      <c r="D162" s="2" t="n">
        <v>0</v>
      </c>
      <c r="E162" s="2" t="n">
        <v>0.1868022</v>
      </c>
    </row>
    <row r="163" customFormat="false" ht="13.8" hidden="false" customHeight="false" outlineLevel="0" collapsed="false">
      <c r="B163" s="2" t="n">
        <v>161</v>
      </c>
      <c r="C163" s="2" t="n">
        <v>0.152333466666667</v>
      </c>
      <c r="D163" s="2" t="n">
        <v>0</v>
      </c>
      <c r="E163" s="2" t="n">
        <v>0.176668533333333</v>
      </c>
    </row>
    <row r="164" customFormat="false" ht="13.8" hidden="false" customHeight="false" outlineLevel="0" collapsed="false">
      <c r="B164" s="2" t="n">
        <v>162</v>
      </c>
      <c r="C164" s="2" t="n">
        <v>0.226667533333333</v>
      </c>
      <c r="D164" s="2" t="n">
        <v>0</v>
      </c>
      <c r="E164" s="2" t="n">
        <v>0.687601066666667</v>
      </c>
    </row>
    <row r="165" customFormat="false" ht="13.8" hidden="false" customHeight="false" outlineLevel="0" collapsed="false">
      <c r="B165" s="2" t="n">
        <v>163</v>
      </c>
      <c r="C165" s="2" t="n">
        <v>0.2740002</v>
      </c>
      <c r="D165" s="2" t="n">
        <v>0</v>
      </c>
      <c r="E165" s="2" t="n">
        <v>0.604002</v>
      </c>
    </row>
    <row r="166" customFormat="false" ht="13.8" hidden="false" customHeight="false" outlineLevel="0" collapsed="false">
      <c r="B166" s="2" t="n">
        <v>164</v>
      </c>
      <c r="C166" s="2" t="n">
        <v>0.275667266666667</v>
      </c>
      <c r="D166" s="2" t="n">
        <v>0</v>
      </c>
      <c r="E166" s="2" t="n">
        <v>0.696935466666667</v>
      </c>
    </row>
    <row r="167" customFormat="false" ht="13.8" hidden="false" customHeight="false" outlineLevel="0" collapsed="false">
      <c r="B167" s="2" t="n">
        <v>165</v>
      </c>
      <c r="C167" s="2" t="n">
        <v>0.277333466666667</v>
      </c>
      <c r="D167" s="2" t="n">
        <v>0</v>
      </c>
      <c r="E167" s="2" t="n">
        <v>0.258137</v>
      </c>
    </row>
    <row r="168" customFormat="false" ht="13.8" hidden="false" customHeight="false" outlineLevel="0" collapsed="false">
      <c r="B168" s="2" t="n">
        <v>166</v>
      </c>
      <c r="C168" s="2" t="n">
        <v>0.248334</v>
      </c>
      <c r="D168" s="2" t="n">
        <v>0</v>
      </c>
      <c r="E168" s="2" t="n">
        <v>0.2422036</v>
      </c>
    </row>
    <row r="169" customFormat="false" ht="13.8" hidden="false" customHeight="false" outlineLevel="0" collapsed="false">
      <c r="B169" s="2" t="n">
        <v>167</v>
      </c>
      <c r="C169" s="2" t="n">
        <v>0.246668933333333</v>
      </c>
      <c r="D169" s="2" t="n">
        <v>0</v>
      </c>
      <c r="E169" s="2" t="n">
        <v>0.151671</v>
      </c>
    </row>
    <row r="170" customFormat="false" ht="13.8" hidden="false" customHeight="false" outlineLevel="0" collapsed="false">
      <c r="B170" s="2" t="n">
        <v>168</v>
      </c>
      <c r="C170" s="2" t="n">
        <v>0.3523348</v>
      </c>
      <c r="D170" s="2" t="n">
        <v>0</v>
      </c>
      <c r="E170" s="2" t="n">
        <v>0.195004066666667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B12:F14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3" t="s">
        <v>0</v>
      </c>
      <c r="C2" s="2" t="n">
        <v>2.44496561938157</v>
      </c>
      <c r="E2" s="2" t="n">
        <v>4.11801720153294</v>
      </c>
    </row>
    <row r="3" customFormat="false" ht="13.8" hidden="false" customHeight="false" outlineLevel="0" collapsed="false">
      <c r="B3" s="3" t="s">
        <v>1</v>
      </c>
      <c r="C3" s="2" t="n">
        <v>1.97946314414739</v>
      </c>
      <c r="E3" s="2" t="n">
        <v>5.14649731669854</v>
      </c>
    </row>
    <row r="4" customFormat="false" ht="13.8" hidden="false" customHeight="false" outlineLevel="0" collapsed="false">
      <c r="B4" s="3" t="s">
        <v>2</v>
      </c>
      <c r="C4" s="2" t="n">
        <v>1.02653062408159</v>
      </c>
      <c r="E4" s="2" t="n">
        <v>2.12375465002639</v>
      </c>
    </row>
    <row r="5" customFormat="false" ht="13.8" hidden="false" customHeight="false" outlineLevel="0" collapsed="false"/>
    <row r="6" customFormat="false" ht="13.8" hidden="false" customHeight="false" outlineLevel="0" collapsed="false">
      <c r="C6" s="2" t="n">
        <f aca="false">(SUM(C2:C4)-5.778)*0.518</f>
        <v>-0.169407037217735</v>
      </c>
      <c r="E6" s="2" t="n">
        <f aca="false">(SUM(E2:E4)-10.405)*0.384</f>
        <v>0.377575360611023</v>
      </c>
    </row>
    <row r="7" customFormat="false" ht="13.8" hidden="false" customHeight="false" outlineLevel="0" collapsed="false">
      <c r="C7" s="2" t="n">
        <f aca="false">(SUM(C2:C4)-5.778)</f>
        <v>-0.32704061238945</v>
      </c>
      <c r="E7" s="2" t="n">
        <f aca="false">SUM(E2:E4)-10.405</f>
        <v>0.983269168257872</v>
      </c>
    </row>
    <row r="8" customFormat="false" ht="13.8" hidden="false" customHeight="false" outlineLevel="0" collapsed="false">
      <c r="C8" s="2" t="n">
        <f aca="false">(E6+C6)/7.06</f>
        <v>0.0294855982143468</v>
      </c>
    </row>
    <row r="9" customFormat="false" ht="13.8" hidden="false" customHeight="false" outlineLevel="0" collapsed="false">
      <c r="B9" s="2" t="s">
        <v>3</v>
      </c>
      <c r="C9" s="2" t="n">
        <f aca="false">C8*100</f>
        <v>2.94855982143468</v>
      </c>
      <c r="E9" s="2" t="n">
        <f aca="false">(E7/5.778+C7/10.405)*100</f>
        <v>13.8743555396157</v>
      </c>
    </row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>
      <c r="C13" s="2"/>
    </row>
    <row r="14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" activeCellId="1" sqref="B12:F14 I2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2" t="n">
        <v>-1.51198722227631E-008</v>
      </c>
      <c r="D2" s="3" t="s">
        <v>0</v>
      </c>
      <c r="E2" s="2" t="n">
        <v>-1.22281922887402E-008</v>
      </c>
      <c r="F2" s="2" t="n">
        <v>7.26255701032815</v>
      </c>
      <c r="H2" s="3" t="s">
        <v>0</v>
      </c>
      <c r="I2" s="2" t="n">
        <v>2.87332591849617</v>
      </c>
    </row>
    <row r="3" customFormat="false" ht="13.8" hidden="false" customHeight="false" outlineLevel="0" collapsed="false">
      <c r="D3" s="3" t="s">
        <v>1</v>
      </c>
      <c r="E3" s="2" t="n">
        <v>-1.49170005763876E-009</v>
      </c>
      <c r="H3" s="3" t="s">
        <v>1</v>
      </c>
      <c r="I3" s="2" t="n">
        <v>3.03166708987098</v>
      </c>
    </row>
    <row r="4" customFormat="false" ht="13.8" hidden="false" customHeight="false" outlineLevel="0" collapsed="false">
      <c r="D4" s="3" t="s">
        <v>2</v>
      </c>
      <c r="E4" s="2" t="n">
        <v>-1.39997988942158E-009</v>
      </c>
      <c r="H4" s="3" t="s">
        <v>2</v>
      </c>
      <c r="I4" s="2" t="n">
        <v>1.35756400196098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70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1" sqref="B12:F14 C3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2" t="n">
        <v>1</v>
      </c>
      <c r="C3" s="2" t="n">
        <v>0</v>
      </c>
      <c r="D3" s="2" t="n">
        <v>0</v>
      </c>
      <c r="E3" s="2" t="n">
        <v>0</v>
      </c>
    </row>
    <row r="4" customFormat="false" ht="13.8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</v>
      </c>
    </row>
    <row r="5" customFormat="false" ht="13.8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0</v>
      </c>
    </row>
    <row r="6" customFormat="false" ht="13.8" hidden="false" customHeight="false" outlineLevel="0" collapsed="false">
      <c r="B6" s="2" t="n">
        <v>4</v>
      </c>
      <c r="C6" s="2" t="n">
        <v>0</v>
      </c>
      <c r="D6" s="2" t="n">
        <v>0</v>
      </c>
      <c r="E6" s="2" t="n">
        <v>0</v>
      </c>
    </row>
    <row r="7" customFormat="false" ht="13.8" hidden="false" customHeight="false" outlineLevel="0" collapsed="false">
      <c r="B7" s="2" t="n">
        <v>5</v>
      </c>
      <c r="C7" s="2" t="n">
        <v>0</v>
      </c>
      <c r="D7" s="2" t="n">
        <v>0</v>
      </c>
      <c r="E7" s="2" t="n">
        <v>0</v>
      </c>
    </row>
    <row r="8" customFormat="false" ht="13.8" hidden="false" customHeight="false" outlineLevel="0" collapsed="false">
      <c r="B8" s="2" t="n">
        <v>6</v>
      </c>
      <c r="C8" s="2" t="n">
        <v>0.00105439142335578</v>
      </c>
      <c r="D8" s="2" t="n">
        <v>0.000853643480910794</v>
      </c>
      <c r="E8" s="2" t="n">
        <v>0.000442691331634168</v>
      </c>
    </row>
    <row r="9" customFormat="false" ht="13.8" hidden="false" customHeight="false" outlineLevel="0" collapsed="false">
      <c r="B9" s="2" t="n">
        <v>7</v>
      </c>
      <c r="C9" s="2" t="n">
        <v>0.0368272946419332</v>
      </c>
      <c r="D9" s="2" t="n">
        <v>0.02981566360872</v>
      </c>
      <c r="E9" s="2" t="n">
        <v>0.0154621175252281</v>
      </c>
    </row>
    <row r="10" customFormat="false" ht="13.8" hidden="false" customHeight="false" outlineLevel="0" collapsed="false">
      <c r="B10" s="2" t="n">
        <v>8</v>
      </c>
      <c r="C10" s="2" t="n">
        <v>0.241464804570124</v>
      </c>
      <c r="D10" s="2" t="n">
        <v>0.047753701660085</v>
      </c>
      <c r="E10" s="2" t="n">
        <v>0.101380164434298</v>
      </c>
    </row>
    <row r="11" customFormat="false" ht="13.8" hidden="false" customHeight="false" outlineLevel="0" collapsed="false">
      <c r="B11" s="2" t="n">
        <v>9</v>
      </c>
      <c r="C11" s="2" t="n">
        <v>0.304353900510061</v>
      </c>
      <c r="D11" s="2" t="n">
        <v>0.0791989526485475</v>
      </c>
      <c r="E11" s="2" t="n">
        <v>0.14063069234848</v>
      </c>
    </row>
    <row r="12" customFormat="false" ht="13.8" hidden="false" customHeight="false" outlineLevel="0" collapsed="false">
      <c r="B12" s="2" t="n">
        <v>10</v>
      </c>
      <c r="C12" s="2" t="n">
        <v>0.366282118844569</v>
      </c>
      <c r="D12" s="2" t="n">
        <v>0.143249649720153</v>
      </c>
      <c r="E12" s="2" t="n">
        <v>0.222901976348154</v>
      </c>
    </row>
    <row r="13" customFormat="false" ht="13.8" hidden="false" customHeight="false" outlineLevel="0" collapsed="false">
      <c r="B13" s="2" t="n">
        <v>11</v>
      </c>
      <c r="C13" s="2" t="n">
        <v>0.395245825019812</v>
      </c>
      <c r="D13" s="2" t="n">
        <v>0.265236089483271</v>
      </c>
      <c r="E13" s="2" t="n">
        <v>0.422345702803888</v>
      </c>
    </row>
    <row r="14" customFormat="false" ht="13.8" hidden="false" customHeight="false" outlineLevel="0" collapsed="false">
      <c r="B14" s="2" t="n">
        <v>12</v>
      </c>
      <c r="C14" s="2" t="n">
        <v>0.549420316803798</v>
      </c>
      <c r="D14" s="2" t="n">
        <v>0.493862841235649</v>
      </c>
      <c r="E14" s="2" t="n">
        <v>0.598788470543998</v>
      </c>
    </row>
    <row r="15" customFormat="false" ht="13.8" hidden="false" customHeight="false" outlineLevel="0" collapsed="false">
      <c r="B15" s="2" t="n">
        <v>13</v>
      </c>
      <c r="C15" s="2" t="n">
        <v>0.83595589823977</v>
      </c>
      <c r="D15" s="2" t="n">
        <v>0.922789599647229</v>
      </c>
      <c r="E15" s="2" t="n">
        <v>0.673034538372857</v>
      </c>
    </row>
    <row r="16" customFormat="false" ht="13.8" hidden="false" customHeight="false" outlineLevel="0" collapsed="false">
      <c r="B16" s="2" t="n">
        <v>14</v>
      </c>
      <c r="C16" s="2" t="n">
        <v>1.31940286287873</v>
      </c>
      <c r="D16" s="2" t="n">
        <v>1.2557466753578</v>
      </c>
      <c r="E16" s="2" t="n">
        <v>0.651218196284563</v>
      </c>
    </row>
    <row r="17" customFormat="false" ht="13.8" hidden="false" customHeight="false" outlineLevel="0" collapsed="false">
      <c r="B17" s="2" t="n">
        <v>15</v>
      </c>
      <c r="C17" s="2" t="n">
        <v>1.19185044668696</v>
      </c>
      <c r="D17" s="2" t="n">
        <v>0.964931373206459</v>
      </c>
      <c r="E17" s="2" t="n">
        <v>0.500404166484335</v>
      </c>
    </row>
    <row r="18" customFormat="false" ht="13.8" hidden="false" customHeight="false" outlineLevel="0" collapsed="false">
      <c r="B18" s="2" t="n">
        <v>16</v>
      </c>
      <c r="C18" s="2" t="n">
        <v>0.704376257701686</v>
      </c>
      <c r="D18" s="2" t="n">
        <v>0.570268485855282</v>
      </c>
      <c r="E18" s="2" t="n">
        <v>0.295735773818229</v>
      </c>
    </row>
    <row r="19" customFormat="false" ht="13.8" hidden="false" customHeight="false" outlineLevel="0" collapsed="false">
      <c r="B19" s="2" t="n">
        <v>17</v>
      </c>
      <c r="C19" s="2" t="n">
        <v>0.39746889212179</v>
      </c>
      <c r="D19" s="2" t="n">
        <v>0.321793900357251</v>
      </c>
      <c r="E19" s="2" t="n">
        <v>0.166879234067106</v>
      </c>
    </row>
    <row r="20" customFormat="false" ht="13.8" hidden="false" customHeight="false" outlineLevel="0" collapsed="false">
      <c r="B20" s="2" t="n">
        <v>18</v>
      </c>
      <c r="C20" s="2" t="n">
        <v>0.127153493242963</v>
      </c>
      <c r="D20" s="2" t="n">
        <v>0.102944455140315</v>
      </c>
      <c r="E20" s="2" t="n">
        <v>0.0533860082686453</v>
      </c>
    </row>
    <row r="21" customFormat="false" ht="13.8" hidden="false" customHeight="false" outlineLevel="0" collapsed="false">
      <c r="B21" s="2" t="n">
        <v>19</v>
      </c>
      <c r="C21" s="2" t="n">
        <v>0</v>
      </c>
      <c r="D21" s="2" t="n">
        <v>0</v>
      </c>
      <c r="E21" s="2" t="n">
        <v>0</v>
      </c>
    </row>
    <row r="22" customFormat="false" ht="13.8" hidden="false" customHeight="false" outlineLevel="0" collapsed="false">
      <c r="B22" s="2" t="n">
        <v>20</v>
      </c>
      <c r="C22" s="2" t="n">
        <v>0</v>
      </c>
      <c r="D22" s="2" t="n">
        <v>0</v>
      </c>
      <c r="E22" s="2" t="n">
        <v>0</v>
      </c>
    </row>
    <row r="23" customFormat="false" ht="13.8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0</v>
      </c>
    </row>
    <row r="24" customFormat="false" ht="13.8" hidden="false" customHeight="false" outlineLevel="0" collapsed="false">
      <c r="B24" s="2" t="n">
        <v>22</v>
      </c>
      <c r="C24" s="2" t="n">
        <v>0</v>
      </c>
      <c r="D24" s="2" t="n">
        <v>0</v>
      </c>
      <c r="E24" s="2" t="n">
        <v>0</v>
      </c>
    </row>
    <row r="25" customFormat="false" ht="13.8" hidden="false" customHeight="false" outlineLevel="0" collapsed="false">
      <c r="B25" s="2" t="n">
        <v>23</v>
      </c>
      <c r="C25" s="2" t="n">
        <v>0</v>
      </c>
      <c r="D25" s="2" t="n">
        <v>0</v>
      </c>
      <c r="E25" s="2" t="n">
        <v>0</v>
      </c>
    </row>
    <row r="26" customFormat="false" ht="13.8" hidden="false" customHeight="false" outlineLevel="0" collapsed="false">
      <c r="B26" s="2" t="n">
        <v>24</v>
      </c>
      <c r="C26" s="2" t="n">
        <v>0</v>
      </c>
      <c r="D26" s="2" t="n">
        <v>0</v>
      </c>
      <c r="E26" s="2" t="n">
        <v>0</v>
      </c>
    </row>
    <row r="27" customFormat="false" ht="13.8" hidden="false" customHeight="false" outlineLevel="0" collapsed="false">
      <c r="B27" s="2" t="n">
        <v>25</v>
      </c>
      <c r="C27" s="2" t="n">
        <v>0</v>
      </c>
      <c r="D27" s="2" t="n">
        <v>0</v>
      </c>
      <c r="E27" s="2" t="n">
        <v>0</v>
      </c>
    </row>
    <row r="28" customFormat="false" ht="13.8" hidden="false" customHeight="false" outlineLevel="0" collapsed="false">
      <c r="B28" s="2" t="n">
        <v>26</v>
      </c>
      <c r="C28" s="2" t="n">
        <v>0</v>
      </c>
      <c r="D28" s="2" t="n">
        <v>0</v>
      </c>
      <c r="E28" s="2" t="n">
        <v>0</v>
      </c>
    </row>
    <row r="29" customFormat="false" ht="13.8" hidden="false" customHeight="false" outlineLevel="0" collapsed="false">
      <c r="B29" s="2" t="n">
        <v>27</v>
      </c>
      <c r="C29" s="2" t="n">
        <v>0</v>
      </c>
      <c r="D29" s="2" t="n">
        <v>0</v>
      </c>
      <c r="E29" s="2" t="n">
        <v>0</v>
      </c>
    </row>
    <row r="30" customFormat="false" ht="13.8" hidden="false" customHeight="false" outlineLevel="0" collapsed="false">
      <c r="B30" s="2" t="n">
        <v>28</v>
      </c>
      <c r="C30" s="2" t="n">
        <v>0</v>
      </c>
      <c r="D30" s="2" t="n">
        <v>0</v>
      </c>
      <c r="E30" s="2" t="n">
        <v>0</v>
      </c>
    </row>
    <row r="31" customFormat="false" ht="13.8" hidden="false" customHeight="false" outlineLevel="0" collapsed="false">
      <c r="B31" s="2" t="n">
        <v>29</v>
      </c>
      <c r="C31" s="2" t="n">
        <v>0</v>
      </c>
      <c r="D31" s="2" t="n">
        <v>0</v>
      </c>
      <c r="E31" s="2" t="n">
        <v>0</v>
      </c>
    </row>
    <row r="32" customFormat="false" ht="13.8" hidden="false" customHeight="false" outlineLevel="0" collapsed="false">
      <c r="B32" s="2" t="n">
        <v>30</v>
      </c>
      <c r="C32" s="2" t="n">
        <v>0.0266531814582837</v>
      </c>
      <c r="D32" s="2" t="n">
        <v>0.021578622600137</v>
      </c>
      <c r="E32" s="2" t="n">
        <v>0.0111904669657714</v>
      </c>
    </row>
    <row r="33" customFormat="false" ht="13.8" hidden="false" customHeight="false" outlineLevel="0" collapsed="false">
      <c r="B33" s="2" t="n">
        <v>31</v>
      </c>
      <c r="C33" s="2" t="n">
        <v>0.175744128721148</v>
      </c>
      <c r="D33" s="2" t="n">
        <v>0.0467947573533264</v>
      </c>
      <c r="E33" s="2" t="n">
        <v>0.0737870212589869</v>
      </c>
    </row>
    <row r="34" customFormat="false" ht="13.8" hidden="false" customHeight="false" outlineLevel="0" collapsed="false">
      <c r="B34" s="2" t="n">
        <v>32</v>
      </c>
      <c r="C34" s="2" t="n">
        <v>0.235684510158943</v>
      </c>
      <c r="D34" s="2" t="n">
        <v>0</v>
      </c>
      <c r="E34" s="2" t="n">
        <v>0.0630851666666667</v>
      </c>
    </row>
    <row r="35" customFormat="false" ht="13.8" hidden="false" customHeight="false" outlineLevel="0" collapsed="false">
      <c r="B35" s="2" t="n">
        <v>33</v>
      </c>
      <c r="C35" s="2" t="n">
        <v>0.311643540415268</v>
      </c>
      <c r="D35" s="2" t="n">
        <v>0</v>
      </c>
      <c r="E35" s="2" t="n">
        <v>0.327253033333333</v>
      </c>
    </row>
    <row r="36" customFormat="false" ht="13.8" hidden="false" customHeight="false" outlineLevel="0" collapsed="false">
      <c r="B36" s="2" t="n">
        <v>34</v>
      </c>
      <c r="C36" s="2" t="n">
        <v>0.344233084237597</v>
      </c>
      <c r="D36" s="2" t="n">
        <v>0</v>
      </c>
      <c r="E36" s="2" t="n">
        <v>0.298186416666667</v>
      </c>
    </row>
    <row r="37" customFormat="false" ht="13.8" hidden="false" customHeight="false" outlineLevel="0" collapsed="false">
      <c r="B37" s="2" t="n">
        <v>35</v>
      </c>
      <c r="C37" s="2" t="n">
        <v>0.281690183333333</v>
      </c>
      <c r="D37" s="2" t="n">
        <v>0</v>
      </c>
      <c r="E37" s="2" t="n">
        <v>0.330752583333333</v>
      </c>
    </row>
    <row r="38" customFormat="false" ht="13.8" hidden="false" customHeight="false" outlineLevel="0" collapsed="false">
      <c r="B38" s="2" t="n">
        <v>36</v>
      </c>
      <c r="C38" s="2" t="n">
        <v>0.28275555</v>
      </c>
      <c r="D38" s="2" t="n">
        <v>0.070370020029033</v>
      </c>
      <c r="E38" s="2" t="n">
        <v>0.25968909407888</v>
      </c>
    </row>
    <row r="39" customFormat="false" ht="13.8" hidden="false" customHeight="false" outlineLevel="0" collapsed="false">
      <c r="B39" s="2" t="n">
        <v>37</v>
      </c>
      <c r="C39" s="2" t="n">
        <v>0.858412176916711</v>
      </c>
      <c r="D39" s="2" t="n">
        <v>1.41328224968477</v>
      </c>
      <c r="E39" s="2" t="n">
        <v>0.732914636002096</v>
      </c>
    </row>
    <row r="40" customFormat="false" ht="13.8" hidden="false" customHeight="false" outlineLevel="0" collapsed="false">
      <c r="B40" s="2" t="n">
        <v>38</v>
      </c>
      <c r="C40" s="2" t="n">
        <v>1.58034020257157</v>
      </c>
      <c r="D40" s="2" t="n">
        <v>1.27945569516683</v>
      </c>
      <c r="E40" s="2" t="n">
        <v>0.6635134668345</v>
      </c>
    </row>
    <row r="41" customFormat="false" ht="13.8" hidden="false" customHeight="false" outlineLevel="0" collapsed="false">
      <c r="B41" s="2" t="n">
        <v>39</v>
      </c>
      <c r="C41" s="2" t="n">
        <v>1.25800204772635</v>
      </c>
      <c r="D41" s="2" t="n">
        <v>1.0184882229003</v>
      </c>
      <c r="E41" s="2" t="n">
        <v>0.528178235682142</v>
      </c>
    </row>
    <row r="42" customFormat="false" ht="13.8" hidden="false" customHeight="false" outlineLevel="0" collapsed="false">
      <c r="B42" s="2" t="n">
        <v>40</v>
      </c>
      <c r="C42" s="2" t="n">
        <v>0.857348587885319</v>
      </c>
      <c r="D42" s="2" t="n">
        <v>0.694116071797794</v>
      </c>
      <c r="E42" s="2" t="n">
        <v>0.359961945477172</v>
      </c>
    </row>
    <row r="43" customFormat="false" ht="13.8" hidden="false" customHeight="false" outlineLevel="0" collapsed="false">
      <c r="B43" s="2" t="n">
        <v>41</v>
      </c>
      <c r="C43" s="2" t="n">
        <v>0.513140215574732</v>
      </c>
      <c r="D43" s="2" t="n">
        <v>0.415442301706864</v>
      </c>
      <c r="E43" s="2" t="n">
        <v>0.215444397892405</v>
      </c>
    </row>
    <row r="44" customFormat="false" ht="13.8" hidden="false" customHeight="false" outlineLevel="0" collapsed="false">
      <c r="B44" s="2" t="n">
        <v>42</v>
      </c>
      <c r="C44" s="2" t="n">
        <v>0.167767428387915</v>
      </c>
      <c r="D44" s="2" t="n">
        <v>0.135825812293534</v>
      </c>
      <c r="E44" s="2" t="n">
        <v>0.0704379650979189</v>
      </c>
    </row>
    <row r="45" customFormat="false" ht="13.8" hidden="false" customHeight="false" outlineLevel="0" collapsed="false">
      <c r="B45" s="2" t="n">
        <v>43</v>
      </c>
      <c r="C45" s="2" t="n">
        <v>4.58431053635368E-005</v>
      </c>
      <c r="D45" s="2" t="n">
        <v>0</v>
      </c>
      <c r="E45" s="2" t="n">
        <v>1.92474492016111E-005</v>
      </c>
    </row>
    <row r="46" customFormat="false" ht="13.8" hidden="false" customHeight="false" outlineLevel="0" collapsed="false">
      <c r="B46" s="2" t="n">
        <v>44</v>
      </c>
      <c r="C46" s="2" t="n">
        <v>0</v>
      </c>
      <c r="D46" s="2" t="n">
        <v>0</v>
      </c>
      <c r="E46" s="2" t="n">
        <v>0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0</v>
      </c>
      <c r="E47" s="2" t="n">
        <v>0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0</v>
      </c>
      <c r="E48" s="2" t="n">
        <v>0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0</v>
      </c>
      <c r="E49" s="2" t="n">
        <v>0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0</v>
      </c>
      <c r="E50" s="2" t="n">
        <v>0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0</v>
      </c>
      <c r="E51" s="2" t="n">
        <v>0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0</v>
      </c>
      <c r="E52" s="2" t="n">
        <v>0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0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0</v>
      </c>
      <c r="D54" s="2" t="n">
        <v>0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0</v>
      </c>
      <c r="D55" s="2" t="n">
        <v>0</v>
      </c>
      <c r="E55" s="2" t="n">
        <v>0</v>
      </c>
    </row>
    <row r="56" customFormat="false" ht="13.8" hidden="false" customHeight="false" outlineLevel="0" collapsed="false">
      <c r="B56" s="2" t="n">
        <v>54</v>
      </c>
      <c r="C56" s="2" t="n">
        <v>0.0219955219533619</v>
      </c>
      <c r="D56" s="2" t="n">
        <v>0.0178077453105364</v>
      </c>
      <c r="E56" s="2" t="n">
        <v>0.0092349261268943</v>
      </c>
    </row>
    <row r="57" customFormat="false" ht="13.8" hidden="false" customHeight="false" outlineLevel="0" collapsed="false">
      <c r="B57" s="2" t="n">
        <v>55</v>
      </c>
      <c r="C57" s="2" t="n">
        <v>0.169769243988784</v>
      </c>
      <c r="D57" s="2" t="n">
        <v>0.137446497742805</v>
      </c>
      <c r="E57" s="2" t="n">
        <v>0.0712784370463859</v>
      </c>
    </row>
    <row r="58" customFormat="false" ht="13.8" hidden="false" customHeight="false" outlineLevel="0" collapsed="false">
      <c r="B58" s="2" t="n">
        <v>56</v>
      </c>
      <c r="C58" s="2" t="n">
        <v>0.296739883233114</v>
      </c>
      <c r="D58" s="2" t="n">
        <v>0.0690524827301736</v>
      </c>
      <c r="E58" s="2" t="n">
        <v>0.163982616468328</v>
      </c>
    </row>
    <row r="59" customFormat="false" ht="13.8" hidden="false" customHeight="false" outlineLevel="0" collapsed="false">
      <c r="B59" s="2" t="n">
        <v>57</v>
      </c>
      <c r="C59" s="2" t="n">
        <v>0.29578777187367</v>
      </c>
      <c r="D59" s="2" t="n">
        <v>0</v>
      </c>
      <c r="E59" s="2" t="n">
        <v>0.238333966666667</v>
      </c>
    </row>
    <row r="60" customFormat="false" ht="13.8" hidden="false" customHeight="false" outlineLevel="0" collapsed="false">
      <c r="B60" s="2" t="n">
        <v>58</v>
      </c>
      <c r="C60" s="2" t="n">
        <v>0.364231945353249</v>
      </c>
      <c r="D60" s="2" t="n">
        <v>0</v>
      </c>
      <c r="E60" s="2" t="n">
        <v>0.235001316666667</v>
      </c>
    </row>
    <row r="61" customFormat="false" ht="13.8" hidden="false" customHeight="false" outlineLevel="0" collapsed="false">
      <c r="B61" s="2" t="n">
        <v>59</v>
      </c>
      <c r="C61" s="2" t="n">
        <v>0.277440316666667</v>
      </c>
      <c r="D61" s="2" t="n">
        <v>0</v>
      </c>
      <c r="E61" s="2" t="n">
        <v>0.240467866666667</v>
      </c>
    </row>
    <row r="62" customFormat="false" ht="13.8" hidden="false" customHeight="false" outlineLevel="0" collapsed="false">
      <c r="B62" s="2" t="n">
        <v>60</v>
      </c>
      <c r="C62" s="2" t="n">
        <v>0.246706916666667</v>
      </c>
      <c r="D62" s="2" t="n">
        <v>0.813780375652359</v>
      </c>
      <c r="E62" s="2" t="n">
        <v>0.22880115</v>
      </c>
    </row>
    <row r="63" customFormat="false" ht="13.8" hidden="false" customHeight="false" outlineLevel="0" collapsed="false">
      <c r="B63" s="2" t="n">
        <v>61</v>
      </c>
      <c r="C63" s="2" t="n">
        <v>1.55370062716567</v>
      </c>
      <c r="D63" s="2" t="n">
        <v>1.40760861344786</v>
      </c>
      <c r="E63" s="2" t="n">
        <v>0.40990997084085</v>
      </c>
    </row>
    <row r="64" customFormat="false" ht="13.8" hidden="false" customHeight="false" outlineLevel="0" collapsed="false">
      <c r="B64" s="2" t="n">
        <v>62</v>
      </c>
      <c r="C64" s="2" t="n">
        <v>1.6082097544255</v>
      </c>
      <c r="D64" s="2" t="n">
        <v>1.30201910068118</v>
      </c>
      <c r="E64" s="2" t="n">
        <v>0.67521463278575</v>
      </c>
    </row>
    <row r="65" customFormat="false" ht="13.8" hidden="false" customHeight="false" outlineLevel="0" collapsed="false">
      <c r="B65" s="2" t="n">
        <v>63</v>
      </c>
      <c r="C65" s="2" t="n">
        <v>1.35053177159185</v>
      </c>
      <c r="D65" s="2" t="n">
        <v>1.09340100559055</v>
      </c>
      <c r="E65" s="2" t="n">
        <v>0.567027287150511</v>
      </c>
    </row>
    <row r="66" customFormat="false" ht="13.8" hidden="false" customHeight="false" outlineLevel="0" collapsed="false">
      <c r="B66" s="2" t="n">
        <v>64</v>
      </c>
      <c r="C66" s="2" t="n">
        <v>0.760723546607359</v>
      </c>
      <c r="D66" s="2" t="n">
        <v>0.615887688341089</v>
      </c>
      <c r="E66" s="2" t="n">
        <v>0.319393455213467</v>
      </c>
    </row>
    <row r="67" customFormat="false" ht="13.8" hidden="false" customHeight="false" outlineLevel="0" collapsed="false">
      <c r="B67" s="2" t="n">
        <v>65</v>
      </c>
      <c r="C67" s="2" t="n">
        <v>0.114027084073908</v>
      </c>
      <c r="D67" s="2" t="n">
        <v>0.092317212385174</v>
      </c>
      <c r="E67" s="2" t="n">
        <v>0.0478748219806054</v>
      </c>
    </row>
    <row r="68" customFormat="false" ht="13.8" hidden="false" customHeight="false" outlineLevel="0" collapsed="false">
      <c r="B68" s="2" t="n">
        <v>66</v>
      </c>
      <c r="C68" s="2" t="n">
        <v>0.0378205619248089</v>
      </c>
      <c r="D68" s="2" t="n">
        <v>0.0306198205110301</v>
      </c>
      <c r="E68" s="2" t="n">
        <v>0.0158791455912622</v>
      </c>
    </row>
    <row r="69" customFormat="false" ht="13.8" hidden="false" customHeight="false" outlineLevel="0" collapsed="false">
      <c r="B69" s="2" t="n">
        <v>67</v>
      </c>
      <c r="C69" s="2" t="n">
        <v>0</v>
      </c>
      <c r="D69" s="2" t="n">
        <v>0</v>
      </c>
      <c r="E69" s="2" t="n">
        <v>0</v>
      </c>
    </row>
    <row r="70" customFormat="false" ht="13.8" hidden="false" customHeight="false" outlineLevel="0" collapsed="false">
      <c r="B70" s="2" t="n">
        <v>68</v>
      </c>
      <c r="C70" s="2" t="n">
        <v>0</v>
      </c>
      <c r="D70" s="2" t="n">
        <v>0</v>
      </c>
      <c r="E70" s="2" t="n">
        <v>0</v>
      </c>
    </row>
    <row r="71" customFormat="false" ht="13.8" hidden="false" customHeight="false" outlineLevel="0" collapsed="false">
      <c r="B71" s="2" t="n">
        <v>69</v>
      </c>
      <c r="C71" s="2" t="n">
        <v>0</v>
      </c>
      <c r="D71" s="2" t="n">
        <v>0</v>
      </c>
      <c r="E71" s="2" t="n">
        <v>0</v>
      </c>
    </row>
    <row r="72" customFormat="false" ht="13.8" hidden="false" customHeight="false" outlineLevel="0" collapsed="false">
      <c r="B72" s="2" t="n">
        <v>70</v>
      </c>
      <c r="C72" s="2" t="n">
        <v>0</v>
      </c>
      <c r="D72" s="2" t="n">
        <v>0</v>
      </c>
      <c r="E72" s="2" t="n">
        <v>0</v>
      </c>
    </row>
    <row r="73" customFormat="false" ht="13.8" hidden="false" customHeight="false" outlineLevel="0" collapsed="false">
      <c r="B73" s="2" t="n">
        <v>71</v>
      </c>
      <c r="C73" s="2" t="n">
        <v>0</v>
      </c>
      <c r="D73" s="2" t="n">
        <v>0</v>
      </c>
      <c r="E73" s="2" t="n">
        <v>0</v>
      </c>
    </row>
    <row r="74" customFormat="false" ht="13.8" hidden="false" customHeight="false" outlineLevel="0" collapsed="false">
      <c r="B74" s="2" t="n">
        <v>72</v>
      </c>
      <c r="C74" s="2" t="n">
        <v>0</v>
      </c>
      <c r="D74" s="2" t="n">
        <v>0</v>
      </c>
      <c r="E74" s="2" t="n">
        <v>0</v>
      </c>
    </row>
    <row r="75" customFormat="false" ht="13.8" hidden="false" customHeight="false" outlineLevel="0" collapsed="false">
      <c r="B75" s="2" t="n">
        <v>73</v>
      </c>
      <c r="C75" s="2" t="n">
        <v>0</v>
      </c>
      <c r="D75" s="2" t="n">
        <v>0</v>
      </c>
      <c r="E75" s="2" t="n">
        <v>0</v>
      </c>
    </row>
    <row r="76" customFormat="false" ht="13.8" hidden="false" customHeight="false" outlineLevel="0" collapsed="false">
      <c r="B76" s="2" t="n">
        <v>74</v>
      </c>
      <c r="C76" s="2" t="n">
        <v>0</v>
      </c>
      <c r="D76" s="2" t="n">
        <v>0</v>
      </c>
      <c r="E76" s="2" t="n">
        <v>0</v>
      </c>
    </row>
    <row r="77" customFormat="false" ht="13.8" hidden="false" customHeight="false" outlineLevel="0" collapsed="false">
      <c r="B77" s="2" t="n">
        <v>75</v>
      </c>
      <c r="C77" s="2" t="n">
        <v>0</v>
      </c>
      <c r="D77" s="2" t="n">
        <v>0</v>
      </c>
      <c r="E77" s="2" t="n">
        <v>0</v>
      </c>
    </row>
    <row r="78" customFormat="false" ht="13.8" hidden="false" customHeight="false" outlineLevel="0" collapsed="false">
      <c r="B78" s="2" t="n">
        <v>76</v>
      </c>
      <c r="C78" s="2" t="n">
        <v>0</v>
      </c>
      <c r="D78" s="2" t="n">
        <v>0</v>
      </c>
      <c r="E78" s="2" t="n">
        <v>0</v>
      </c>
    </row>
    <row r="79" customFormat="false" ht="13.8" hidden="false" customHeight="false" outlineLevel="0" collapsed="false">
      <c r="B79" s="2" t="n">
        <v>77</v>
      </c>
      <c r="C79" s="2" t="n">
        <v>0</v>
      </c>
      <c r="D79" s="2" t="n">
        <v>0</v>
      </c>
      <c r="E79" s="2" t="n">
        <v>0</v>
      </c>
    </row>
    <row r="80" customFormat="false" ht="13.8" hidden="false" customHeight="false" outlineLevel="0" collapsed="false">
      <c r="B80" s="2" t="n">
        <v>78</v>
      </c>
      <c r="C80" s="2" t="n">
        <v>0.0286794467153463</v>
      </c>
      <c r="D80" s="2" t="n">
        <v>0.0232191026808493</v>
      </c>
      <c r="E80" s="2" t="n">
        <v>0.0120412042204773</v>
      </c>
    </row>
    <row r="81" customFormat="false" ht="13.8" hidden="false" customHeight="false" outlineLevel="0" collapsed="false">
      <c r="B81" s="2" t="n">
        <v>79</v>
      </c>
      <c r="C81" s="2" t="n">
        <v>0.170521070916744</v>
      </c>
      <c r="D81" s="2" t="n">
        <v>0.0369254617360533</v>
      </c>
      <c r="E81" s="2" t="n">
        <v>0.0368334666666667</v>
      </c>
    </row>
    <row r="82" customFormat="false" ht="13.8" hidden="false" customHeight="false" outlineLevel="0" collapsed="false">
      <c r="B82" s="2" t="n">
        <v>80</v>
      </c>
      <c r="C82" s="2" t="n">
        <v>0.298590375119943</v>
      </c>
      <c r="D82" s="2" t="n">
        <v>0</v>
      </c>
      <c r="E82" s="2" t="n">
        <v>0.0387504</v>
      </c>
    </row>
    <row r="83" customFormat="false" ht="13.8" hidden="false" customHeight="false" outlineLevel="0" collapsed="false">
      <c r="B83" s="2" t="n">
        <v>81</v>
      </c>
      <c r="C83" s="2" t="n">
        <v>0.374509641635246</v>
      </c>
      <c r="D83" s="2" t="n">
        <v>0</v>
      </c>
      <c r="E83" s="2" t="n">
        <v>0.0851668833333333</v>
      </c>
    </row>
    <row r="84" customFormat="false" ht="13.8" hidden="false" customHeight="false" outlineLevel="0" collapsed="false">
      <c r="B84" s="2" t="n">
        <v>82</v>
      </c>
      <c r="C84" s="2" t="n">
        <v>0.456199874480133</v>
      </c>
      <c r="D84" s="2" t="n">
        <v>0</v>
      </c>
      <c r="E84" s="2" t="n">
        <v>0.135</v>
      </c>
    </row>
    <row r="85" customFormat="false" ht="13.8" hidden="false" customHeight="false" outlineLevel="0" collapsed="false">
      <c r="B85" s="2" t="n">
        <v>83</v>
      </c>
      <c r="C85" s="2" t="n">
        <v>0.273870216666667</v>
      </c>
      <c r="D85" s="2" t="n">
        <v>0</v>
      </c>
      <c r="E85" s="2" t="n">
        <v>0.135</v>
      </c>
    </row>
    <row r="86" customFormat="false" ht="13.8" hidden="false" customHeight="false" outlineLevel="0" collapsed="false">
      <c r="B86" s="2" t="n">
        <v>84</v>
      </c>
      <c r="C86" s="2" t="n">
        <v>1.5676879049031</v>
      </c>
      <c r="D86" s="2" t="n">
        <v>0.927456648251753</v>
      </c>
      <c r="E86" s="2" t="n">
        <v>0.258946317356574</v>
      </c>
    </row>
    <row r="87" customFormat="false" ht="13.8" hidden="false" customHeight="false" outlineLevel="0" collapsed="false">
      <c r="B87" s="2" t="n">
        <v>85</v>
      </c>
      <c r="C87" s="2" t="n">
        <v>1.59490608524904</v>
      </c>
      <c r="D87" s="2" t="n">
        <v>1.29124834684809</v>
      </c>
      <c r="E87" s="2" t="n">
        <v>0.669629023027466</v>
      </c>
    </row>
    <row r="88" customFormat="false" ht="13.8" hidden="false" customHeight="false" outlineLevel="0" collapsed="false">
      <c r="B88" s="2" t="n">
        <v>86</v>
      </c>
      <c r="C88" s="2" t="n">
        <v>1.30128405160346</v>
      </c>
      <c r="D88" s="2" t="n">
        <v>1.05352966920957</v>
      </c>
      <c r="E88" s="2" t="n">
        <v>0.546350394054947</v>
      </c>
    </row>
    <row r="89" customFormat="false" ht="13.8" hidden="false" customHeight="false" outlineLevel="0" collapsed="false">
      <c r="B89" s="2" t="n">
        <v>87</v>
      </c>
      <c r="C89" s="2" t="n">
        <v>0.815420483719949</v>
      </c>
      <c r="D89" s="2" t="n">
        <v>0.660170753204596</v>
      </c>
      <c r="E89" s="2" t="n">
        <v>0.342358228437453</v>
      </c>
    </row>
    <row r="90" customFormat="false" ht="13.8" hidden="false" customHeight="false" outlineLevel="0" collapsed="false">
      <c r="B90" s="2" t="n">
        <v>88</v>
      </c>
      <c r="C90" s="2" t="n">
        <v>0.453030735822236</v>
      </c>
      <c r="D90" s="2" t="n">
        <v>0.366777200308</v>
      </c>
      <c r="E90" s="2" t="n">
        <v>0.190207142499359</v>
      </c>
    </row>
    <row r="91" customFormat="false" ht="13.8" hidden="false" customHeight="false" outlineLevel="0" collapsed="false">
      <c r="B91" s="2" t="n">
        <v>89</v>
      </c>
      <c r="C91" s="2" t="n">
        <v>0.113620608539686</v>
      </c>
      <c r="D91" s="2" t="n">
        <v>0.0919881266374595</v>
      </c>
      <c r="E91" s="2" t="n">
        <v>0.0477041612643518</v>
      </c>
    </row>
    <row r="92" customFormat="false" ht="13.8" hidden="false" customHeight="false" outlineLevel="0" collapsed="false">
      <c r="B92" s="2" t="n">
        <v>90</v>
      </c>
      <c r="C92" s="2" t="n">
        <v>0.0358951514995459</v>
      </c>
      <c r="D92" s="2" t="n">
        <v>0.029060993285014</v>
      </c>
      <c r="E92" s="2" t="n">
        <v>0.015070752724798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0</v>
      </c>
      <c r="E93" s="2" t="n">
        <v>0</v>
      </c>
    </row>
    <row r="94" customFormat="false" ht="13.8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0</v>
      </c>
    </row>
    <row r="95" customFormat="false" ht="13.8" hidden="false" customHeight="false" outlineLevel="0" collapsed="false">
      <c r="B95" s="2" t="n">
        <v>93</v>
      </c>
      <c r="C95" s="2" t="n">
        <v>0</v>
      </c>
      <c r="D95" s="2" t="n">
        <v>0</v>
      </c>
      <c r="E95" s="2" t="n">
        <v>0</v>
      </c>
    </row>
    <row r="96" customFormat="false" ht="13.8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0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0</v>
      </c>
      <c r="E97" s="2" t="n">
        <v>0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0</v>
      </c>
      <c r="E98" s="2" t="n">
        <v>0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0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0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0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0</v>
      </c>
    </row>
    <row r="103" customFormat="false" ht="13.8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0</v>
      </c>
    </row>
    <row r="104" customFormat="false" ht="13.8" hidden="false" customHeight="false" outlineLevel="0" collapsed="false">
      <c r="B104" s="2" t="n">
        <v>102</v>
      </c>
      <c r="C104" s="2" t="n">
        <v>0.0247461082751662</v>
      </c>
      <c r="D104" s="2" t="n">
        <v>0.02</v>
      </c>
      <c r="E104" s="2" t="n">
        <v>0.010389773078986</v>
      </c>
    </row>
    <row r="105" customFormat="false" ht="13.8" hidden="false" customHeight="false" outlineLevel="0" collapsed="false">
      <c r="B105" s="2" t="n">
        <v>103</v>
      </c>
      <c r="C105" s="2" t="n">
        <v>0.168513142901827</v>
      </c>
      <c r="D105" s="2" t="n">
        <v>0</v>
      </c>
      <c r="E105" s="2" t="n">
        <v>0.0707510569382636</v>
      </c>
    </row>
    <row r="106" customFormat="false" ht="13.8" hidden="false" customHeight="false" outlineLevel="0" collapsed="false">
      <c r="B106" s="2" t="n">
        <v>104</v>
      </c>
      <c r="C106" s="2" t="n">
        <v>0.324209001504147</v>
      </c>
      <c r="D106" s="2" t="n">
        <v>0</v>
      </c>
      <c r="E106" s="2" t="n">
        <v>0.07</v>
      </c>
    </row>
    <row r="107" customFormat="false" ht="13.8" hidden="false" customHeight="false" outlineLevel="0" collapsed="false">
      <c r="B107" s="2" t="n">
        <v>105</v>
      </c>
      <c r="C107" s="2" t="n">
        <v>0.39691087442004</v>
      </c>
      <c r="D107" s="2" t="n">
        <v>0</v>
      </c>
      <c r="E107" s="2" t="n">
        <v>0.07</v>
      </c>
    </row>
    <row r="108" customFormat="false" ht="13.8" hidden="false" customHeight="false" outlineLevel="0" collapsed="false">
      <c r="B108" s="2" t="n">
        <v>106</v>
      </c>
      <c r="C108" s="2" t="n">
        <v>0.244774433333333</v>
      </c>
      <c r="D108" s="2" t="n">
        <v>0</v>
      </c>
      <c r="E108" s="2" t="n">
        <v>0.07</v>
      </c>
    </row>
    <row r="109" customFormat="false" ht="13.8" hidden="false" customHeight="false" outlineLevel="0" collapsed="false">
      <c r="B109" s="2" t="n">
        <v>107</v>
      </c>
      <c r="C109" s="2" t="n">
        <v>0.220924316666667</v>
      </c>
      <c r="D109" s="2" t="n">
        <v>0.596526845784522</v>
      </c>
      <c r="E109" s="2" t="n">
        <v>0.498058687028041</v>
      </c>
    </row>
    <row r="110" customFormat="false" ht="13.8" hidden="false" customHeight="false" outlineLevel="0" collapsed="false">
      <c r="B110" s="2" t="n">
        <v>108</v>
      </c>
      <c r="C110" s="2" t="n">
        <v>1.66634753766219</v>
      </c>
      <c r="D110" s="2" t="n">
        <v>1.35016211867577</v>
      </c>
      <c r="E110" s="2" t="n">
        <v>0.700181140726694</v>
      </c>
    </row>
    <row r="111" customFormat="false" ht="13.8" hidden="false" customHeight="false" outlineLevel="0" collapsed="false">
      <c r="B111" s="2" t="n">
        <v>109</v>
      </c>
      <c r="C111" s="2" t="n">
        <v>1.74692793504813</v>
      </c>
      <c r="D111" s="2" t="n">
        <v>1.41432641649331</v>
      </c>
      <c r="E111" s="2" t="n">
        <v>0.733456130906299</v>
      </c>
    </row>
    <row r="112" customFormat="false" ht="13.8" hidden="false" customHeight="false" outlineLevel="0" collapsed="false">
      <c r="B112" s="2" t="n">
        <v>110</v>
      </c>
      <c r="C112" s="2" t="n">
        <v>1.25357054754122</v>
      </c>
      <c r="D112" s="2" t="n">
        <v>1.01490044595153</v>
      </c>
      <c r="E112" s="2" t="n">
        <v>0.526317648925995</v>
      </c>
    </row>
    <row r="113" customFormat="false" ht="13.8" hidden="false" customHeight="false" outlineLevel="0" collapsed="false">
      <c r="B113" s="2" t="n">
        <v>111</v>
      </c>
      <c r="C113" s="2" t="n">
        <v>0.562140382794163</v>
      </c>
      <c r="D113" s="2" t="n">
        <v>0.455113217444508</v>
      </c>
      <c r="E113" s="2" t="n">
        <v>0.23601735476228</v>
      </c>
    </row>
    <row r="114" customFormat="false" ht="13.8" hidden="false" customHeight="false" outlineLevel="0" collapsed="false">
      <c r="B114" s="2" t="n">
        <v>112</v>
      </c>
      <c r="C114" s="2" t="n">
        <v>0.594627863461696</v>
      </c>
      <c r="D114" s="2" t="n">
        <v>0.481415333972366</v>
      </c>
      <c r="E114" s="2" t="n">
        <v>0.249657380429764</v>
      </c>
    </row>
    <row r="115" customFormat="false" ht="13.8" hidden="false" customHeight="false" outlineLevel="0" collapsed="false">
      <c r="B115" s="2" t="n">
        <v>113</v>
      </c>
      <c r="C115" s="2" t="n">
        <v>0.360568248511274</v>
      </c>
      <c r="D115" s="2" t="n">
        <v>0.291918852854206</v>
      </c>
      <c r="E115" s="2" t="n">
        <v>0.151386320623153</v>
      </c>
    </row>
    <row r="116" customFormat="false" ht="13.8" hidden="false" customHeight="false" outlineLevel="0" collapsed="false">
      <c r="B116" s="2" t="n">
        <v>114</v>
      </c>
      <c r="C116" s="2" t="n">
        <v>0.141089797273438</v>
      </c>
      <c r="D116" s="2" t="n">
        <v>0.114227395061955</v>
      </c>
      <c r="E116" s="2" t="n">
        <v>0.059237232825908</v>
      </c>
    </row>
    <row r="117" customFormat="false" ht="13.8" hidden="false" customHeight="false" outlineLevel="0" collapsed="false">
      <c r="B117" s="2" t="n">
        <v>115</v>
      </c>
      <c r="C117" s="2" t="n">
        <v>0.00114607763408464</v>
      </c>
      <c r="D117" s="2" t="n">
        <v>0.000927873348827973</v>
      </c>
      <c r="E117" s="2" t="n">
        <v>0.000481186230037696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</v>
      </c>
    </row>
    <row r="120" customFormat="false" ht="13.8" hidden="false" customHeight="false" outlineLevel="0" collapsed="false">
      <c r="B120" s="2" t="n">
        <v>118</v>
      </c>
      <c r="C120" s="2" t="n">
        <v>0</v>
      </c>
      <c r="D120" s="2" t="n">
        <v>0</v>
      </c>
      <c r="E120" s="2" t="n">
        <v>0</v>
      </c>
    </row>
    <row r="121" customFormat="false" ht="13.8" hidden="false" customHeight="false" outlineLevel="0" collapsed="false">
      <c r="B121" s="2" t="n">
        <v>119</v>
      </c>
      <c r="C121" s="2" t="n">
        <v>0</v>
      </c>
      <c r="D121" s="2" t="n">
        <v>0</v>
      </c>
      <c r="E121" s="2" t="n">
        <v>0</v>
      </c>
    </row>
    <row r="122" customFormat="false" ht="13.8" hidden="false" customHeight="false" outlineLevel="0" collapsed="false">
      <c r="B122" s="2" t="n">
        <v>120</v>
      </c>
      <c r="C122" s="2" t="n">
        <v>0</v>
      </c>
      <c r="D122" s="2" t="n">
        <v>0</v>
      </c>
      <c r="E122" s="2" t="n">
        <v>0</v>
      </c>
    </row>
    <row r="123" customFormat="false" ht="13.8" hidden="false" customHeight="false" outlineLevel="0" collapsed="false">
      <c r="B123" s="2" t="n">
        <v>121</v>
      </c>
      <c r="C123" s="2" t="n">
        <v>0</v>
      </c>
      <c r="D123" s="2" t="n">
        <v>0</v>
      </c>
      <c r="E123" s="2" t="n">
        <v>0</v>
      </c>
    </row>
    <row r="124" customFormat="false" ht="13.8" hidden="false" customHeight="false" outlineLevel="0" collapsed="false">
      <c r="B124" s="2" t="n">
        <v>122</v>
      </c>
      <c r="C124" s="2" t="n">
        <v>0</v>
      </c>
      <c r="D124" s="2" t="n">
        <v>0</v>
      </c>
      <c r="E124" s="2" t="n">
        <v>0</v>
      </c>
    </row>
    <row r="125" customFormat="false" ht="13.8" hidden="false" customHeight="false" outlineLevel="0" collapsed="false">
      <c r="B125" s="2" t="n">
        <v>123</v>
      </c>
      <c r="C125" s="2" t="n">
        <v>0</v>
      </c>
      <c r="D125" s="2" t="n">
        <v>0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0</v>
      </c>
      <c r="D126" s="2" t="n">
        <v>0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0.00105439142335784</v>
      </c>
      <c r="D128" s="2" t="n">
        <v>0.000853643480922447</v>
      </c>
      <c r="E128" s="2" t="n">
        <v>0.000442691331634637</v>
      </c>
    </row>
    <row r="129" customFormat="false" ht="13.8" hidden="false" customHeight="false" outlineLevel="0" collapsed="false">
      <c r="B129" s="2" t="n">
        <v>127</v>
      </c>
      <c r="C129" s="2" t="n">
        <v>0.0139149105813049</v>
      </c>
      <c r="D129" s="2" t="n">
        <v>0.0112656196191287</v>
      </c>
      <c r="E129" s="2" t="n">
        <v>0.00584224241430382</v>
      </c>
    </row>
    <row r="130" customFormat="false" ht="13.8" hidden="false" customHeight="false" outlineLevel="0" collapsed="false">
      <c r="B130" s="2" t="n">
        <v>128</v>
      </c>
      <c r="C130" s="2" t="n">
        <v>0.187049038503763</v>
      </c>
      <c r="D130" s="2" t="n">
        <v>0.151436353514066</v>
      </c>
      <c r="E130" s="2" t="n">
        <v>0.0785334422320817</v>
      </c>
    </row>
    <row r="131" customFormat="false" ht="13.8" hidden="false" customHeight="false" outlineLevel="0" collapsed="false">
      <c r="B131" s="2" t="n">
        <v>129</v>
      </c>
      <c r="C131" s="2" t="n">
        <v>0.577672026891284</v>
      </c>
      <c r="D131" s="2" t="n">
        <v>0.467687757067704</v>
      </c>
      <c r="E131" s="2" t="n">
        <v>0.242538390551758</v>
      </c>
    </row>
    <row r="132" customFormat="false" ht="13.8" hidden="false" customHeight="false" outlineLevel="0" collapsed="false">
      <c r="B132" s="2" t="n">
        <v>130</v>
      </c>
      <c r="C132" s="2" t="n">
        <v>0.852253890775932</v>
      </c>
      <c r="D132" s="2" t="n">
        <v>0.689991365471177</v>
      </c>
      <c r="E132" s="2" t="n">
        <v>0.357822912289241</v>
      </c>
    </row>
    <row r="133" customFormat="false" ht="13.8" hidden="false" customHeight="false" outlineLevel="0" collapsed="false">
      <c r="B133" s="2" t="n">
        <v>131</v>
      </c>
      <c r="C133" s="2" t="n">
        <v>1.12167993341071</v>
      </c>
      <c r="D133" s="2" t="n">
        <v>0.908120780969429</v>
      </c>
      <c r="E133" s="2" t="n">
        <v>0.470942737573193</v>
      </c>
    </row>
    <row r="134" customFormat="false" ht="13.8" hidden="false" customHeight="false" outlineLevel="0" collapsed="false">
      <c r="B134" s="2" t="n">
        <v>132</v>
      </c>
      <c r="C134" s="2" t="n">
        <v>1.32665668231859</v>
      </c>
      <c r="D134" s="2" t="n">
        <v>1.07407154798796</v>
      </c>
      <c r="E134" s="2" t="n">
        <v>0.557003215606353</v>
      </c>
    </row>
    <row r="135" customFormat="false" ht="13.8" hidden="false" customHeight="false" outlineLevel="0" collapsed="false">
      <c r="B135" s="2" t="n">
        <v>133</v>
      </c>
      <c r="C135" s="2" t="n">
        <v>1.12319581209473</v>
      </c>
      <c r="D135" s="2" t="n">
        <v>0.9093480481188</v>
      </c>
      <c r="E135" s="2" t="n">
        <v>0.471579186560123</v>
      </c>
    </row>
    <row r="136" customFormat="false" ht="13.8" hidden="false" customHeight="false" outlineLevel="0" collapsed="false">
      <c r="B136" s="2" t="n">
        <v>134</v>
      </c>
      <c r="C136" s="2" t="n">
        <v>0.793156015548455</v>
      </c>
      <c r="D136" s="2" t="n">
        <v>0.642145266948204</v>
      </c>
      <c r="E136" s="2" t="n">
        <v>0.333010383941909</v>
      </c>
    </row>
    <row r="137" customFormat="false" ht="13.8" hidden="false" customHeight="false" outlineLevel="0" collapsed="false">
      <c r="B137" s="2" t="n">
        <v>135</v>
      </c>
      <c r="C137" s="2" t="n">
        <v>0.258429809761608</v>
      </c>
      <c r="D137" s="2" t="n">
        <v>0.209226780007449</v>
      </c>
      <c r="E137" s="2" t="n">
        <v>0.108503003802144</v>
      </c>
    </row>
    <row r="138" customFormat="false" ht="13.8" hidden="false" customHeight="false" outlineLevel="0" collapsed="false">
      <c r="B138" s="2" t="n">
        <v>136</v>
      </c>
      <c r="C138" s="2" t="n">
        <v>0.0745714513911427</v>
      </c>
      <c r="D138" s="2" t="n">
        <v>0.0603736258964953</v>
      </c>
      <c r="E138" s="2" t="n">
        <v>0.0313091840344881</v>
      </c>
    </row>
    <row r="139" customFormat="false" ht="13.8" hidden="false" customHeight="false" outlineLevel="0" collapsed="false">
      <c r="B139" s="2" t="n">
        <v>137</v>
      </c>
      <c r="C139" s="2" t="n">
        <v>0.0455405408680107</v>
      </c>
      <c r="D139" s="2" t="n">
        <v>0.0368699753886752</v>
      </c>
      <c r="E139" s="2" t="n">
        <v>0.0191204160367993</v>
      </c>
    </row>
    <row r="140" customFormat="false" ht="13.8" hidden="false" customHeight="false" outlineLevel="0" collapsed="false">
      <c r="B140" s="2" t="n">
        <v>138</v>
      </c>
      <c r="C140" s="2" t="n">
        <v>0.0212712008886244</v>
      </c>
      <c r="D140" s="2" t="n">
        <v>0.0172213293540822</v>
      </c>
      <c r="E140" s="2" t="n">
        <v>0.00893081642950932</v>
      </c>
    </row>
    <row r="141" customFormat="false" ht="13.8" hidden="false" customHeight="false" outlineLevel="0" collapsed="false">
      <c r="B141" s="2" t="n">
        <v>139</v>
      </c>
      <c r="C141" s="2" t="n">
        <v>0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0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0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0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0</v>
      </c>
      <c r="D145" s="2" t="n">
        <v>0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0</v>
      </c>
      <c r="D146" s="2" t="n">
        <v>0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0</v>
      </c>
      <c r="D147" s="2" t="n">
        <v>0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0</v>
      </c>
      <c r="D148" s="2" t="n">
        <v>0</v>
      </c>
      <c r="E148" s="2" t="n">
        <v>0</v>
      </c>
    </row>
    <row r="149" customFormat="false" ht="13.8" hidden="false" customHeight="false" outlineLevel="0" collapsed="false">
      <c r="B149" s="2" t="n">
        <v>147</v>
      </c>
      <c r="C149" s="2" t="n">
        <v>0</v>
      </c>
      <c r="D149" s="2" t="n">
        <v>0</v>
      </c>
      <c r="E149" s="2" t="n">
        <v>0</v>
      </c>
    </row>
    <row r="150" customFormat="false" ht="13.8" hidden="false" customHeight="false" outlineLevel="0" collapsed="false">
      <c r="B150" s="2" t="n">
        <v>148</v>
      </c>
      <c r="C150" s="2" t="n">
        <v>0</v>
      </c>
      <c r="D150" s="2" t="n">
        <v>0</v>
      </c>
      <c r="E150" s="2" t="n">
        <v>0</v>
      </c>
    </row>
    <row r="151" customFormat="false" ht="13.8" hidden="false" customHeight="false" outlineLevel="0" collapsed="false">
      <c r="B151" s="2" t="n">
        <v>149</v>
      </c>
      <c r="C151" s="2" t="n">
        <v>0</v>
      </c>
      <c r="D151" s="2" t="n">
        <v>0</v>
      </c>
      <c r="E151" s="2" t="n">
        <v>0</v>
      </c>
    </row>
    <row r="152" customFormat="false" ht="13.8" hidden="false" customHeight="false" outlineLevel="0" collapsed="false">
      <c r="B152" s="2" t="n">
        <v>150</v>
      </c>
      <c r="C152" s="2" t="n">
        <v>0.0214087302047146</v>
      </c>
      <c r="D152" s="2" t="n">
        <v>0.0173326741559404</v>
      </c>
      <c r="E152" s="2" t="n">
        <v>0.00898855877711391</v>
      </c>
    </row>
    <row r="153" customFormat="false" ht="13.8" hidden="false" customHeight="false" outlineLevel="0" collapsed="false">
      <c r="B153" s="2" t="n">
        <v>151</v>
      </c>
      <c r="C153" s="2" t="n">
        <v>0.163665998561407</v>
      </c>
      <c r="D153" s="2" t="n">
        <v>0</v>
      </c>
      <c r="E153" s="2" t="n">
        <v>0.0687159599760214</v>
      </c>
    </row>
    <row r="154" customFormat="false" ht="13.8" hidden="false" customHeight="false" outlineLevel="0" collapsed="false">
      <c r="B154" s="2" t="n">
        <v>152</v>
      </c>
      <c r="C154" s="2" t="n">
        <v>0.2471411</v>
      </c>
      <c r="D154" s="2" t="n">
        <v>0</v>
      </c>
      <c r="E154" s="2" t="n">
        <v>0.08625165</v>
      </c>
    </row>
    <row r="155" customFormat="false" ht="13.8" hidden="false" customHeight="false" outlineLevel="0" collapsed="false">
      <c r="B155" s="2" t="n">
        <v>153</v>
      </c>
      <c r="C155" s="2" t="n">
        <v>0.24182335</v>
      </c>
      <c r="D155" s="2" t="n">
        <v>0</v>
      </c>
      <c r="E155" s="2" t="n">
        <v>0.1447695</v>
      </c>
    </row>
    <row r="156" customFormat="false" ht="13.8" hidden="false" customHeight="false" outlineLevel="0" collapsed="false">
      <c r="B156" s="2" t="n">
        <v>154</v>
      </c>
      <c r="C156" s="2" t="n">
        <v>0.289139616666667</v>
      </c>
      <c r="D156" s="2" t="n">
        <v>0</v>
      </c>
      <c r="E156" s="2" t="n">
        <v>0.499972588603394</v>
      </c>
    </row>
    <row r="157" customFormat="false" ht="13.8" hidden="false" customHeight="false" outlineLevel="0" collapsed="false">
      <c r="B157" s="2" t="n">
        <v>155</v>
      </c>
      <c r="C157" s="2" t="n">
        <v>0.270206666666667</v>
      </c>
      <c r="D157" s="2" t="n">
        <v>0</v>
      </c>
      <c r="E157" s="2" t="n">
        <v>0.678228783330709</v>
      </c>
    </row>
    <row r="158" customFormat="false" ht="13.8" hidden="false" customHeight="false" outlineLevel="0" collapsed="false">
      <c r="B158" s="2" t="n">
        <v>156</v>
      </c>
      <c r="C158" s="2" t="n">
        <v>0.990823125687876</v>
      </c>
      <c r="D158" s="2" t="n">
        <v>0</v>
      </c>
      <c r="E158" s="2" t="n">
        <v>0.70641474794143</v>
      </c>
    </row>
    <row r="159" customFormat="false" ht="13.8" hidden="false" customHeight="false" outlineLevel="0" collapsed="false">
      <c r="B159" s="2" t="n">
        <v>157</v>
      </c>
      <c r="C159" s="2" t="n">
        <v>1.3363081841011</v>
      </c>
      <c r="D159" s="2" t="n">
        <v>0.53924925913024</v>
      </c>
      <c r="E159" s="2" t="n">
        <v>0.561055445244916</v>
      </c>
    </row>
    <row r="160" customFormat="false" ht="13.8" hidden="false" customHeight="false" outlineLevel="0" collapsed="false">
      <c r="B160" s="2" t="n">
        <v>158</v>
      </c>
      <c r="C160" s="2" t="n">
        <v>0.8604873124992</v>
      </c>
      <c r="D160" s="2" t="n">
        <v>0.696657207609093</v>
      </c>
      <c r="E160" s="2" t="n">
        <v>0.361279754165837</v>
      </c>
    </row>
    <row r="161" customFormat="false" ht="13.8" hidden="false" customHeight="false" outlineLevel="0" collapsed="false">
      <c r="B161" s="2" t="n">
        <v>159</v>
      </c>
      <c r="C161" s="2" t="n">
        <v>0.71586759611278</v>
      </c>
      <c r="D161" s="2" t="n">
        <v>0.579571962632775</v>
      </c>
      <c r="E161" s="2" t="n">
        <v>0.30056046775141</v>
      </c>
    </row>
    <row r="162" customFormat="false" ht="13.8" hidden="false" customHeight="false" outlineLevel="0" collapsed="false">
      <c r="B162" s="2" t="n">
        <v>160</v>
      </c>
      <c r="C162" s="2" t="n">
        <v>0.38201059699325</v>
      </c>
      <c r="D162" s="2" t="n">
        <v>0.309278744628379</v>
      </c>
      <c r="E162" s="2" t="n">
        <v>0.160388994196349</v>
      </c>
    </row>
    <row r="163" customFormat="false" ht="13.8" hidden="false" customHeight="false" outlineLevel="0" collapsed="false">
      <c r="B163" s="2" t="n">
        <v>161</v>
      </c>
      <c r="C163" s="2" t="n">
        <v>0.0756411238496175</v>
      </c>
      <c r="D163" s="2" t="n">
        <v>0.06123964102206</v>
      </c>
      <c r="E163" s="2" t="n">
        <v>0.0317582911825243</v>
      </c>
    </row>
    <row r="164" customFormat="false" ht="13.8" hidden="false" customHeight="false" outlineLevel="0" collapsed="false">
      <c r="B164" s="2" t="n">
        <v>162</v>
      </c>
      <c r="C164" s="2" t="n">
        <v>0.0347643549005818</v>
      </c>
      <c r="D164" s="2" t="n">
        <v>0.0281454915808458</v>
      </c>
      <c r="E164" s="2" t="n">
        <v>0.0145959823111602</v>
      </c>
    </row>
    <row r="165" customFormat="false" ht="13.8" hidden="false" customHeight="false" outlineLevel="0" collapsed="false">
      <c r="B165" s="2" t="n">
        <v>163</v>
      </c>
      <c r="C165" s="2" t="n">
        <v>0</v>
      </c>
      <c r="D165" s="2" t="n">
        <v>0</v>
      </c>
      <c r="E165" s="2" t="n">
        <v>0</v>
      </c>
    </row>
    <row r="166" customFormat="false" ht="13.8" hidden="false" customHeight="false" outlineLevel="0" collapsed="false">
      <c r="B166" s="2" t="n">
        <v>164</v>
      </c>
      <c r="C166" s="2" t="n">
        <v>0</v>
      </c>
      <c r="D166" s="2" t="n">
        <v>0</v>
      </c>
      <c r="E166" s="2" t="n">
        <v>0</v>
      </c>
    </row>
    <row r="167" customFormat="false" ht="13.8" hidden="false" customHeight="false" outlineLevel="0" collapsed="false">
      <c r="B167" s="2" t="n">
        <v>165</v>
      </c>
      <c r="C167" s="2" t="n">
        <v>0</v>
      </c>
      <c r="D167" s="2" t="n">
        <v>0</v>
      </c>
      <c r="E167" s="2" t="n">
        <v>0</v>
      </c>
    </row>
    <row r="168" customFormat="false" ht="13.8" hidden="false" customHeight="false" outlineLevel="0" collapsed="false">
      <c r="B168" s="2" t="n">
        <v>166</v>
      </c>
      <c r="C168" s="2" t="n">
        <v>0</v>
      </c>
      <c r="D168" s="2" t="n">
        <v>0</v>
      </c>
      <c r="E168" s="2" t="n">
        <v>0</v>
      </c>
    </row>
    <row r="169" customFormat="false" ht="13.8" hidden="false" customHeight="false" outlineLevel="0" collapsed="false">
      <c r="B169" s="2" t="n">
        <v>167</v>
      </c>
      <c r="C169" s="2" t="n">
        <v>0</v>
      </c>
      <c r="D169" s="2" t="n">
        <v>0</v>
      </c>
      <c r="E169" s="2" t="n">
        <v>0</v>
      </c>
    </row>
    <row r="170" customFormat="false" ht="13.8" hidden="false" customHeight="false" outlineLevel="0" collapsed="false">
      <c r="B170" s="2" t="n">
        <v>168</v>
      </c>
      <c r="C170" s="2" t="n">
        <v>0</v>
      </c>
      <c r="D170" s="2" t="n">
        <v>0</v>
      </c>
      <c r="E170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70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1" sqref="B12:F14 C3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2" t="n">
        <v>1</v>
      </c>
      <c r="C3" s="2" t="n">
        <v>0</v>
      </c>
      <c r="D3" s="2" t="n">
        <v>0</v>
      </c>
      <c r="E3" s="2" t="n">
        <v>0</v>
      </c>
    </row>
    <row r="4" customFormat="false" ht="13.8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</v>
      </c>
    </row>
    <row r="5" customFormat="false" ht="13.8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0</v>
      </c>
    </row>
    <row r="6" customFormat="false" ht="13.8" hidden="false" customHeight="false" outlineLevel="0" collapsed="false">
      <c r="B6" s="2" t="n">
        <v>4</v>
      </c>
      <c r="C6" s="2" t="n">
        <v>0</v>
      </c>
      <c r="D6" s="2" t="n">
        <v>0</v>
      </c>
      <c r="E6" s="2" t="n">
        <v>0</v>
      </c>
    </row>
    <row r="7" customFormat="false" ht="13.8" hidden="false" customHeight="false" outlineLevel="0" collapsed="false">
      <c r="B7" s="2" t="n">
        <v>5</v>
      </c>
      <c r="C7" s="2" t="n">
        <v>0</v>
      </c>
      <c r="D7" s="2" t="n">
        <v>0</v>
      </c>
      <c r="E7" s="2" t="n">
        <v>0</v>
      </c>
    </row>
    <row r="8" customFormat="false" ht="13.8" hidden="false" customHeight="false" outlineLevel="0" collapsed="false">
      <c r="B8" s="2" t="n">
        <v>6</v>
      </c>
      <c r="C8" s="2" t="n">
        <v>0</v>
      </c>
      <c r="D8" s="2" t="n">
        <v>0</v>
      </c>
      <c r="E8" s="2" t="n">
        <v>0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</v>
      </c>
    </row>
    <row r="10" customFormat="false" ht="13.8" hidden="false" customHeight="false" outlineLevel="0" collapsed="false">
      <c r="B10" s="2" t="n">
        <v>8</v>
      </c>
      <c r="C10" s="2" t="n">
        <v>0</v>
      </c>
      <c r="D10" s="2" t="n">
        <v>0</v>
      </c>
      <c r="E10" s="2" t="n">
        <v>0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0</v>
      </c>
    </row>
    <row r="12" customFormat="false" ht="13.8" hidden="false" customHeight="false" outlineLevel="0" collapsed="false">
      <c r="B12" s="2" t="n">
        <v>10</v>
      </c>
      <c r="C12" s="2" t="n">
        <v>0</v>
      </c>
      <c r="D12" s="2" t="n">
        <v>0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0</v>
      </c>
      <c r="D13" s="2" t="n">
        <v>0</v>
      </c>
      <c r="E13" s="2" t="n">
        <v>0</v>
      </c>
    </row>
    <row r="14" customFormat="false" ht="13.8" hidden="false" customHeight="false" outlineLevel="0" collapsed="false">
      <c r="B14" s="2" t="n">
        <v>12</v>
      </c>
      <c r="C14" s="2" t="n">
        <v>0</v>
      </c>
      <c r="D14" s="2" t="n">
        <v>0</v>
      </c>
      <c r="E14" s="2" t="n">
        <v>0</v>
      </c>
    </row>
    <row r="15" customFormat="false" ht="13.8" hidden="false" customHeight="false" outlineLevel="0" collapsed="false">
      <c r="B15" s="2" t="n">
        <v>13</v>
      </c>
      <c r="C15" s="2" t="n">
        <v>0</v>
      </c>
      <c r="D15" s="2" t="n">
        <v>0</v>
      </c>
      <c r="E15" s="2" t="n">
        <v>0</v>
      </c>
    </row>
    <row r="16" customFormat="false" ht="13.8" hidden="false" customHeight="false" outlineLevel="0" collapsed="false">
      <c r="B16" s="2" t="n">
        <v>14</v>
      </c>
      <c r="C16" s="2" t="n">
        <v>0</v>
      </c>
      <c r="D16" s="2" t="n">
        <v>0</v>
      </c>
      <c r="E16" s="2" t="n">
        <v>0</v>
      </c>
    </row>
    <row r="17" customFormat="false" ht="13.8" hidden="false" customHeight="false" outlineLevel="0" collapsed="false">
      <c r="B17" s="2" t="n">
        <v>15</v>
      </c>
      <c r="C17" s="2" t="n">
        <v>0</v>
      </c>
      <c r="D17" s="2" t="n">
        <v>0</v>
      </c>
      <c r="E17" s="2" t="n">
        <v>0</v>
      </c>
    </row>
    <row r="18" customFormat="false" ht="13.8" hidden="false" customHeight="false" outlineLevel="0" collapsed="false">
      <c r="B18" s="2" t="n">
        <v>16</v>
      </c>
      <c r="C18" s="2" t="n">
        <v>0</v>
      </c>
      <c r="D18" s="2" t="n">
        <v>0</v>
      </c>
      <c r="E18" s="2" t="n">
        <v>0</v>
      </c>
    </row>
    <row r="19" customFormat="false" ht="13.8" hidden="false" customHeight="false" outlineLevel="0" collapsed="false">
      <c r="B19" s="2" t="n">
        <v>17</v>
      </c>
      <c r="C19" s="2" t="n">
        <v>0</v>
      </c>
      <c r="D19" s="2" t="n">
        <v>0</v>
      </c>
      <c r="E19" s="2" t="n">
        <v>0</v>
      </c>
    </row>
    <row r="20" customFormat="false" ht="13.8" hidden="false" customHeight="false" outlineLevel="0" collapsed="false">
      <c r="B20" s="2" t="n">
        <v>18</v>
      </c>
      <c r="C20" s="2" t="n">
        <v>0</v>
      </c>
      <c r="D20" s="2" t="n">
        <v>0</v>
      </c>
      <c r="E20" s="2" t="n">
        <v>0</v>
      </c>
    </row>
    <row r="21" customFormat="false" ht="13.8" hidden="false" customHeight="false" outlineLevel="0" collapsed="false">
      <c r="B21" s="2" t="n">
        <v>19</v>
      </c>
      <c r="C21" s="2" t="n">
        <v>0</v>
      </c>
      <c r="D21" s="2" t="n">
        <v>0</v>
      </c>
      <c r="E21" s="2" t="n">
        <v>0</v>
      </c>
    </row>
    <row r="22" customFormat="false" ht="13.8" hidden="false" customHeight="false" outlineLevel="0" collapsed="false">
      <c r="B22" s="2" t="n">
        <v>20</v>
      </c>
      <c r="C22" s="2" t="n">
        <v>0</v>
      </c>
      <c r="D22" s="2" t="n">
        <v>0</v>
      </c>
      <c r="E22" s="2" t="n">
        <v>0</v>
      </c>
    </row>
    <row r="23" customFormat="false" ht="13.8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0</v>
      </c>
    </row>
    <row r="24" customFormat="false" ht="13.8" hidden="false" customHeight="false" outlineLevel="0" collapsed="false">
      <c r="B24" s="2" t="n">
        <v>22</v>
      </c>
      <c r="C24" s="2" t="n">
        <v>0</v>
      </c>
      <c r="D24" s="2" t="n">
        <v>0</v>
      </c>
      <c r="E24" s="2" t="n">
        <v>0</v>
      </c>
    </row>
    <row r="25" customFormat="false" ht="13.8" hidden="false" customHeight="false" outlineLevel="0" collapsed="false">
      <c r="B25" s="2" t="n">
        <v>23</v>
      </c>
      <c r="C25" s="2" t="n">
        <v>0</v>
      </c>
      <c r="D25" s="2" t="n">
        <v>0</v>
      </c>
      <c r="E25" s="2" t="n">
        <v>0</v>
      </c>
    </row>
    <row r="26" customFormat="false" ht="13.8" hidden="false" customHeight="false" outlineLevel="0" collapsed="false">
      <c r="B26" s="2" t="n">
        <v>24</v>
      </c>
      <c r="C26" s="2" t="n">
        <v>0</v>
      </c>
      <c r="D26" s="2" t="n">
        <v>0</v>
      </c>
      <c r="E26" s="2" t="n">
        <v>0</v>
      </c>
    </row>
    <row r="27" customFormat="false" ht="13.8" hidden="false" customHeight="false" outlineLevel="0" collapsed="false">
      <c r="B27" s="2" t="n">
        <v>25</v>
      </c>
      <c r="C27" s="2" t="n">
        <v>0</v>
      </c>
      <c r="D27" s="2" t="n">
        <v>0</v>
      </c>
      <c r="E27" s="2" t="n">
        <v>0</v>
      </c>
    </row>
    <row r="28" customFormat="false" ht="13.8" hidden="false" customHeight="false" outlineLevel="0" collapsed="false">
      <c r="B28" s="2" t="n">
        <v>26</v>
      </c>
      <c r="C28" s="2" t="n">
        <v>0</v>
      </c>
      <c r="D28" s="2" t="n">
        <v>0</v>
      </c>
      <c r="E28" s="2" t="n">
        <v>0</v>
      </c>
    </row>
    <row r="29" customFormat="false" ht="13.8" hidden="false" customHeight="false" outlineLevel="0" collapsed="false">
      <c r="B29" s="2" t="n">
        <v>27</v>
      </c>
      <c r="C29" s="2" t="n">
        <v>0</v>
      </c>
      <c r="D29" s="2" t="n">
        <v>0</v>
      </c>
      <c r="E29" s="2" t="n">
        <v>0</v>
      </c>
    </row>
    <row r="30" customFormat="false" ht="13.8" hidden="false" customHeight="false" outlineLevel="0" collapsed="false">
      <c r="B30" s="2" t="n">
        <v>28</v>
      </c>
      <c r="C30" s="2" t="n">
        <v>0</v>
      </c>
      <c r="D30" s="2" t="n">
        <v>0</v>
      </c>
      <c r="E30" s="2" t="n">
        <v>0</v>
      </c>
    </row>
    <row r="31" customFormat="false" ht="13.8" hidden="false" customHeight="false" outlineLevel="0" collapsed="false">
      <c r="B31" s="2" t="n">
        <v>29</v>
      </c>
      <c r="C31" s="2" t="n">
        <v>0</v>
      </c>
      <c r="D31" s="2" t="n">
        <v>0</v>
      </c>
      <c r="E31" s="2" t="n">
        <v>0</v>
      </c>
    </row>
    <row r="32" customFormat="false" ht="13.8" hidden="false" customHeight="false" outlineLevel="0" collapsed="false">
      <c r="B32" s="2" t="n">
        <v>30</v>
      </c>
      <c r="C32" s="2" t="n">
        <v>0</v>
      </c>
      <c r="D32" s="2" t="n">
        <v>0</v>
      </c>
      <c r="E32" s="2" t="n">
        <v>0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0</v>
      </c>
      <c r="E33" s="2" t="n">
        <v>0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0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</v>
      </c>
      <c r="E35" s="2" t="n">
        <v>0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</v>
      </c>
      <c r="E36" s="2" t="n">
        <v>0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0</v>
      </c>
      <c r="E38" s="2" t="n">
        <v>0</v>
      </c>
    </row>
    <row r="39" customFormat="false" ht="13.8" hidden="false" customHeight="false" outlineLevel="0" collapsed="false">
      <c r="B39" s="2" t="n">
        <v>37</v>
      </c>
      <c r="C39" s="2" t="n">
        <v>0</v>
      </c>
      <c r="D39" s="2" t="n">
        <v>0</v>
      </c>
      <c r="E39" s="2" t="n">
        <v>0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0</v>
      </c>
      <c r="E40" s="2" t="n">
        <v>0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0</v>
      </c>
      <c r="E41" s="2" t="n">
        <v>0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0</v>
      </c>
      <c r="E42" s="2" t="n">
        <v>0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0</v>
      </c>
      <c r="E43" s="2" t="n">
        <v>0</v>
      </c>
    </row>
    <row r="44" customFormat="false" ht="13.8" hidden="false" customHeight="false" outlineLevel="0" collapsed="false">
      <c r="B44" s="2" t="n">
        <v>42</v>
      </c>
      <c r="C44" s="2" t="n">
        <v>0</v>
      </c>
      <c r="D44" s="2" t="n">
        <v>0</v>
      </c>
      <c r="E44" s="2" t="n">
        <v>0</v>
      </c>
    </row>
    <row r="45" customFormat="false" ht="13.8" hidden="false" customHeight="false" outlineLevel="0" collapsed="false">
      <c r="B45" s="2" t="n">
        <v>43</v>
      </c>
      <c r="C45" s="2" t="n">
        <v>0</v>
      </c>
      <c r="D45" s="2" t="n">
        <v>0</v>
      </c>
      <c r="E45" s="2" t="n">
        <v>0</v>
      </c>
    </row>
    <row r="46" customFormat="false" ht="13.8" hidden="false" customHeight="false" outlineLevel="0" collapsed="false">
      <c r="B46" s="2" t="n">
        <v>44</v>
      </c>
      <c r="C46" s="2" t="n">
        <v>0</v>
      </c>
      <c r="D46" s="2" t="n">
        <v>0</v>
      </c>
      <c r="E46" s="2" t="n">
        <v>0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0</v>
      </c>
      <c r="E47" s="2" t="n">
        <v>0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0</v>
      </c>
      <c r="E48" s="2" t="n">
        <v>0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0</v>
      </c>
      <c r="E49" s="2" t="n">
        <v>0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0</v>
      </c>
      <c r="E50" s="2" t="n">
        <v>0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0</v>
      </c>
      <c r="E51" s="2" t="n">
        <v>0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0</v>
      </c>
      <c r="E52" s="2" t="n">
        <v>0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0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0</v>
      </c>
      <c r="D54" s="2" t="n">
        <v>0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0</v>
      </c>
      <c r="D55" s="2" t="n">
        <v>0</v>
      </c>
      <c r="E55" s="2" t="n">
        <v>0</v>
      </c>
    </row>
    <row r="56" customFormat="false" ht="13.8" hidden="false" customHeight="false" outlineLevel="0" collapsed="false">
      <c r="B56" s="2" t="n">
        <v>54</v>
      </c>
      <c r="C56" s="2" t="n">
        <v>0</v>
      </c>
      <c r="D56" s="2" t="n">
        <v>0</v>
      </c>
      <c r="E56" s="2" t="n">
        <v>0</v>
      </c>
    </row>
    <row r="57" customFormat="false" ht="13.8" hidden="false" customHeight="false" outlineLevel="0" collapsed="false">
      <c r="B57" s="2" t="n">
        <v>55</v>
      </c>
      <c r="C57" s="2" t="n">
        <v>0</v>
      </c>
      <c r="D57" s="2" t="n">
        <v>0</v>
      </c>
      <c r="E57" s="2" t="n">
        <v>0</v>
      </c>
    </row>
    <row r="58" customFormat="false" ht="13.8" hidden="false" customHeight="false" outlineLevel="0" collapsed="false">
      <c r="B58" s="2" t="n">
        <v>56</v>
      </c>
      <c r="C58" s="2" t="n">
        <v>0</v>
      </c>
      <c r="D58" s="2" t="n">
        <v>0</v>
      </c>
      <c r="E58" s="2" t="n">
        <v>0</v>
      </c>
    </row>
    <row r="59" customFormat="false" ht="13.8" hidden="false" customHeight="false" outlineLevel="0" collapsed="false">
      <c r="B59" s="2" t="n">
        <v>57</v>
      </c>
      <c r="C59" s="2" t="n">
        <v>0</v>
      </c>
      <c r="D59" s="2" t="n">
        <v>0</v>
      </c>
      <c r="E59" s="2" t="n">
        <v>0</v>
      </c>
    </row>
    <row r="60" customFormat="false" ht="13.8" hidden="false" customHeight="false" outlineLevel="0" collapsed="false">
      <c r="B60" s="2" t="n">
        <v>58</v>
      </c>
      <c r="C60" s="2" t="n">
        <v>0</v>
      </c>
      <c r="D60" s="2" t="n">
        <v>0</v>
      </c>
      <c r="E60" s="2" t="n">
        <v>0</v>
      </c>
    </row>
    <row r="61" customFormat="false" ht="13.8" hidden="false" customHeight="false" outlineLevel="0" collapsed="false">
      <c r="B61" s="2" t="n">
        <v>59</v>
      </c>
      <c r="C61" s="2" t="n">
        <v>0</v>
      </c>
      <c r="D61" s="2" t="n">
        <v>0</v>
      </c>
      <c r="E61" s="2" t="n">
        <v>0</v>
      </c>
    </row>
    <row r="62" customFormat="false" ht="13.8" hidden="false" customHeight="false" outlineLevel="0" collapsed="false">
      <c r="B62" s="2" t="n">
        <v>60</v>
      </c>
      <c r="C62" s="2" t="n">
        <v>0</v>
      </c>
      <c r="D62" s="2" t="n">
        <v>0</v>
      </c>
      <c r="E62" s="2" t="n">
        <v>0</v>
      </c>
    </row>
    <row r="63" customFormat="false" ht="13.8" hidden="false" customHeight="false" outlineLevel="0" collapsed="false">
      <c r="B63" s="2" t="n">
        <v>61</v>
      </c>
      <c r="C63" s="2" t="n">
        <v>0</v>
      </c>
      <c r="D63" s="2" t="n">
        <v>0</v>
      </c>
      <c r="E63" s="2" t="n">
        <v>0</v>
      </c>
    </row>
    <row r="64" customFormat="false" ht="13.8" hidden="false" customHeight="false" outlineLevel="0" collapsed="false">
      <c r="B64" s="2" t="n">
        <v>62</v>
      </c>
      <c r="C64" s="2" t="n">
        <v>0</v>
      </c>
      <c r="D64" s="2" t="n">
        <v>0</v>
      </c>
      <c r="E64" s="2" t="n">
        <v>0</v>
      </c>
    </row>
    <row r="65" customFormat="false" ht="13.8" hidden="false" customHeight="false" outlineLevel="0" collapsed="false">
      <c r="B65" s="2" t="n">
        <v>63</v>
      </c>
      <c r="C65" s="2" t="n">
        <v>0</v>
      </c>
      <c r="D65" s="2" t="n">
        <v>0</v>
      </c>
      <c r="E65" s="2" t="n">
        <v>0</v>
      </c>
    </row>
    <row r="66" customFormat="false" ht="13.8" hidden="false" customHeight="false" outlineLevel="0" collapsed="false">
      <c r="B66" s="2" t="n">
        <v>64</v>
      </c>
      <c r="C66" s="2" t="n">
        <v>0</v>
      </c>
      <c r="D66" s="2" t="n">
        <v>0</v>
      </c>
      <c r="E66" s="2" t="n">
        <v>0</v>
      </c>
    </row>
    <row r="67" customFormat="false" ht="13.8" hidden="false" customHeight="false" outlineLevel="0" collapsed="false">
      <c r="B67" s="2" t="n">
        <v>65</v>
      </c>
      <c r="C67" s="2" t="n">
        <v>0</v>
      </c>
      <c r="D67" s="2" t="n">
        <v>0</v>
      </c>
      <c r="E67" s="2" t="n">
        <v>0</v>
      </c>
    </row>
    <row r="68" customFormat="false" ht="13.8" hidden="false" customHeight="false" outlineLevel="0" collapsed="false">
      <c r="B68" s="2" t="n">
        <v>66</v>
      </c>
      <c r="C68" s="2" t="n">
        <v>0</v>
      </c>
      <c r="D68" s="2" t="n">
        <v>0</v>
      </c>
      <c r="E68" s="2" t="n">
        <v>0</v>
      </c>
    </row>
    <row r="69" customFormat="false" ht="13.8" hidden="false" customHeight="false" outlineLevel="0" collapsed="false">
      <c r="B69" s="2" t="n">
        <v>67</v>
      </c>
      <c r="C69" s="2" t="n">
        <v>0</v>
      </c>
      <c r="D69" s="2" t="n">
        <v>0</v>
      </c>
      <c r="E69" s="2" t="n">
        <v>0</v>
      </c>
    </row>
    <row r="70" customFormat="false" ht="13.8" hidden="false" customHeight="false" outlineLevel="0" collapsed="false">
      <c r="B70" s="2" t="n">
        <v>68</v>
      </c>
      <c r="C70" s="2" t="n">
        <v>0</v>
      </c>
      <c r="D70" s="2" t="n">
        <v>0</v>
      </c>
      <c r="E70" s="2" t="n">
        <v>0</v>
      </c>
    </row>
    <row r="71" customFormat="false" ht="13.8" hidden="false" customHeight="false" outlineLevel="0" collapsed="false">
      <c r="B71" s="2" t="n">
        <v>69</v>
      </c>
      <c r="C71" s="2" t="n">
        <v>0</v>
      </c>
      <c r="D71" s="2" t="n">
        <v>0</v>
      </c>
      <c r="E71" s="2" t="n">
        <v>0</v>
      </c>
    </row>
    <row r="72" customFormat="false" ht="13.8" hidden="false" customHeight="false" outlineLevel="0" collapsed="false">
      <c r="B72" s="2" t="n">
        <v>70</v>
      </c>
      <c r="C72" s="2" t="n">
        <v>0</v>
      </c>
      <c r="D72" s="2" t="n">
        <v>0</v>
      </c>
      <c r="E72" s="2" t="n">
        <v>0</v>
      </c>
    </row>
    <row r="73" customFormat="false" ht="13.8" hidden="false" customHeight="false" outlineLevel="0" collapsed="false">
      <c r="B73" s="2" t="n">
        <v>71</v>
      </c>
      <c r="C73" s="2" t="n">
        <v>0</v>
      </c>
      <c r="D73" s="2" t="n">
        <v>0</v>
      </c>
      <c r="E73" s="2" t="n">
        <v>0</v>
      </c>
    </row>
    <row r="74" customFormat="false" ht="13.8" hidden="false" customHeight="false" outlineLevel="0" collapsed="false">
      <c r="B74" s="2" t="n">
        <v>72</v>
      </c>
      <c r="C74" s="2" t="n">
        <v>0</v>
      </c>
      <c r="D74" s="2" t="n">
        <v>0</v>
      </c>
      <c r="E74" s="2" t="n">
        <v>0</v>
      </c>
    </row>
    <row r="75" customFormat="false" ht="13.8" hidden="false" customHeight="false" outlineLevel="0" collapsed="false">
      <c r="B75" s="2" t="n">
        <v>73</v>
      </c>
      <c r="C75" s="2" t="n">
        <v>0</v>
      </c>
      <c r="D75" s="2" t="n">
        <v>0</v>
      </c>
      <c r="E75" s="2" t="n">
        <v>0</v>
      </c>
    </row>
    <row r="76" customFormat="false" ht="13.8" hidden="false" customHeight="false" outlineLevel="0" collapsed="false">
      <c r="B76" s="2" t="n">
        <v>74</v>
      </c>
      <c r="C76" s="2" t="n">
        <v>0</v>
      </c>
      <c r="D76" s="2" t="n">
        <v>0</v>
      </c>
      <c r="E76" s="2" t="n">
        <v>0</v>
      </c>
    </row>
    <row r="77" customFormat="false" ht="13.8" hidden="false" customHeight="false" outlineLevel="0" collapsed="false">
      <c r="B77" s="2" t="n">
        <v>75</v>
      </c>
      <c r="C77" s="2" t="n">
        <v>0</v>
      </c>
      <c r="D77" s="2" t="n">
        <v>0</v>
      </c>
      <c r="E77" s="2" t="n">
        <v>0</v>
      </c>
    </row>
    <row r="78" customFormat="false" ht="13.8" hidden="false" customHeight="false" outlineLevel="0" collapsed="false">
      <c r="B78" s="2" t="n">
        <v>76</v>
      </c>
      <c r="C78" s="2" t="n">
        <v>0</v>
      </c>
      <c r="D78" s="2" t="n">
        <v>0</v>
      </c>
      <c r="E78" s="2" t="n">
        <v>0</v>
      </c>
    </row>
    <row r="79" customFormat="false" ht="13.8" hidden="false" customHeight="false" outlineLevel="0" collapsed="false">
      <c r="B79" s="2" t="n">
        <v>77</v>
      </c>
      <c r="C79" s="2" t="n">
        <v>0</v>
      </c>
      <c r="D79" s="2" t="n">
        <v>0</v>
      </c>
      <c r="E79" s="2" t="n">
        <v>0</v>
      </c>
    </row>
    <row r="80" customFormat="false" ht="13.8" hidden="false" customHeight="false" outlineLevel="0" collapsed="false">
      <c r="B80" s="2" t="n">
        <v>78</v>
      </c>
      <c r="C80" s="2" t="n">
        <v>0</v>
      </c>
      <c r="D80" s="2" t="n">
        <v>0</v>
      </c>
      <c r="E80" s="2" t="n">
        <v>0</v>
      </c>
    </row>
    <row r="81" customFormat="false" ht="13.8" hidden="false" customHeight="false" outlineLevel="0" collapsed="false">
      <c r="B81" s="2" t="n">
        <v>79</v>
      </c>
      <c r="C81" s="2" t="n">
        <v>0</v>
      </c>
      <c r="D81" s="2" t="n">
        <v>0</v>
      </c>
      <c r="E81" s="2" t="n">
        <v>0</v>
      </c>
    </row>
    <row r="82" customFormat="false" ht="13.8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0</v>
      </c>
    </row>
    <row r="83" customFormat="false" ht="13.8" hidden="false" customHeight="false" outlineLevel="0" collapsed="false">
      <c r="B83" s="2" t="n">
        <v>81</v>
      </c>
      <c r="C83" s="2" t="n">
        <v>0</v>
      </c>
      <c r="D83" s="2" t="n">
        <v>0</v>
      </c>
      <c r="E83" s="2" t="n">
        <v>0</v>
      </c>
    </row>
    <row r="84" customFormat="false" ht="13.8" hidden="false" customHeight="false" outlineLevel="0" collapsed="false">
      <c r="B84" s="2" t="n">
        <v>82</v>
      </c>
      <c r="C84" s="2" t="n">
        <v>0</v>
      </c>
      <c r="D84" s="2" t="n">
        <v>0</v>
      </c>
      <c r="E84" s="2" t="n">
        <v>0</v>
      </c>
    </row>
    <row r="85" customFormat="false" ht="13.8" hidden="false" customHeight="false" outlineLevel="0" collapsed="false">
      <c r="B85" s="2" t="n">
        <v>83</v>
      </c>
      <c r="C85" s="2" t="n">
        <v>0</v>
      </c>
      <c r="D85" s="2" t="n">
        <v>0</v>
      </c>
      <c r="E85" s="2" t="n">
        <v>0</v>
      </c>
    </row>
    <row r="86" customFormat="false" ht="13.8" hidden="false" customHeight="false" outlineLevel="0" collapsed="false">
      <c r="B86" s="2" t="n">
        <v>84</v>
      </c>
      <c r="C86" s="2" t="n">
        <v>0</v>
      </c>
      <c r="D86" s="2" t="n">
        <v>0</v>
      </c>
      <c r="E86" s="2" t="n">
        <v>0</v>
      </c>
    </row>
    <row r="87" customFormat="false" ht="13.8" hidden="false" customHeight="false" outlineLevel="0" collapsed="false">
      <c r="B87" s="2" t="n">
        <v>85</v>
      </c>
      <c r="C87" s="2" t="n">
        <v>0</v>
      </c>
      <c r="D87" s="2" t="n">
        <v>0</v>
      </c>
      <c r="E87" s="2" t="n">
        <v>0</v>
      </c>
    </row>
    <row r="88" customFormat="false" ht="13.8" hidden="false" customHeight="false" outlineLevel="0" collapsed="false">
      <c r="B88" s="2" t="n">
        <v>86</v>
      </c>
      <c r="C88" s="2" t="n">
        <v>0</v>
      </c>
      <c r="D88" s="2" t="n">
        <v>0</v>
      </c>
      <c r="E88" s="2" t="n">
        <v>0</v>
      </c>
    </row>
    <row r="89" customFormat="false" ht="13.8" hidden="false" customHeight="false" outlineLevel="0" collapsed="false">
      <c r="B89" s="2" t="n">
        <v>87</v>
      </c>
      <c r="C89" s="2" t="n">
        <v>0</v>
      </c>
      <c r="D89" s="2" t="n">
        <v>0</v>
      </c>
      <c r="E89" s="2" t="n">
        <v>0</v>
      </c>
    </row>
    <row r="90" customFormat="false" ht="13.8" hidden="false" customHeight="false" outlineLevel="0" collapsed="false">
      <c r="B90" s="2" t="n">
        <v>88</v>
      </c>
      <c r="C90" s="2" t="n">
        <v>0</v>
      </c>
      <c r="D90" s="2" t="n">
        <v>0</v>
      </c>
      <c r="E90" s="2" t="n">
        <v>0</v>
      </c>
    </row>
    <row r="91" customFormat="false" ht="13.8" hidden="false" customHeight="false" outlineLevel="0" collapsed="false">
      <c r="B91" s="2" t="n">
        <v>89</v>
      </c>
      <c r="C91" s="2" t="n">
        <v>0</v>
      </c>
      <c r="D91" s="2" t="n">
        <v>0</v>
      </c>
      <c r="E91" s="2" t="n">
        <v>0</v>
      </c>
    </row>
    <row r="92" customFormat="false" ht="13.8" hidden="false" customHeight="false" outlineLevel="0" collapsed="false">
      <c r="B92" s="2" t="n">
        <v>90</v>
      </c>
      <c r="C92" s="2" t="n">
        <v>0</v>
      </c>
      <c r="D92" s="2" t="n">
        <v>0</v>
      </c>
      <c r="E92" s="2" t="n">
        <v>0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0</v>
      </c>
      <c r="E93" s="2" t="n">
        <v>0</v>
      </c>
    </row>
    <row r="94" customFormat="false" ht="13.8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0</v>
      </c>
    </row>
    <row r="95" customFormat="false" ht="13.8" hidden="false" customHeight="false" outlineLevel="0" collapsed="false">
      <c r="B95" s="2" t="n">
        <v>93</v>
      </c>
      <c r="C95" s="2" t="n">
        <v>0</v>
      </c>
      <c r="D95" s="2" t="n">
        <v>0</v>
      </c>
      <c r="E95" s="2" t="n">
        <v>0</v>
      </c>
    </row>
    <row r="96" customFormat="false" ht="13.8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0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0</v>
      </c>
      <c r="E97" s="2" t="n">
        <v>0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0</v>
      </c>
      <c r="E98" s="2" t="n">
        <v>0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0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0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0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0</v>
      </c>
    </row>
    <row r="103" customFormat="false" ht="13.8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0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0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0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0</v>
      </c>
    </row>
    <row r="110" customFormat="false" ht="13.8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</v>
      </c>
    </row>
    <row r="111" customFormat="false" ht="13.8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0</v>
      </c>
    </row>
    <row r="112" customFormat="false" ht="13.8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0</v>
      </c>
    </row>
    <row r="113" customFormat="false" ht="13.8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0</v>
      </c>
    </row>
    <row r="114" customFormat="false" ht="13.8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0</v>
      </c>
    </row>
    <row r="115" customFormat="false" ht="13.8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0</v>
      </c>
    </row>
    <row r="116" customFormat="false" ht="13.8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0</v>
      </c>
    </row>
    <row r="117" customFormat="false" ht="13.8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</v>
      </c>
    </row>
    <row r="120" customFormat="false" ht="13.8" hidden="false" customHeight="false" outlineLevel="0" collapsed="false">
      <c r="B120" s="2" t="n">
        <v>118</v>
      </c>
      <c r="C120" s="2" t="n">
        <v>0</v>
      </c>
      <c r="D120" s="2" t="n">
        <v>0</v>
      </c>
      <c r="E120" s="2" t="n">
        <v>0</v>
      </c>
    </row>
    <row r="121" customFormat="false" ht="13.8" hidden="false" customHeight="false" outlineLevel="0" collapsed="false">
      <c r="B121" s="2" t="n">
        <v>119</v>
      </c>
      <c r="C121" s="2" t="n">
        <v>0</v>
      </c>
      <c r="D121" s="2" t="n">
        <v>0</v>
      </c>
      <c r="E121" s="2" t="n">
        <v>0</v>
      </c>
    </row>
    <row r="122" customFormat="false" ht="13.8" hidden="false" customHeight="false" outlineLevel="0" collapsed="false">
      <c r="B122" s="2" t="n">
        <v>120</v>
      </c>
      <c r="C122" s="2" t="n">
        <v>0</v>
      </c>
      <c r="D122" s="2" t="n">
        <v>0</v>
      </c>
      <c r="E122" s="2" t="n">
        <v>0</v>
      </c>
    </row>
    <row r="123" customFormat="false" ht="13.8" hidden="false" customHeight="false" outlineLevel="0" collapsed="false">
      <c r="B123" s="2" t="n">
        <v>121</v>
      </c>
      <c r="C123" s="2" t="n">
        <v>0</v>
      </c>
      <c r="D123" s="2" t="n">
        <v>0</v>
      </c>
      <c r="E123" s="2" t="n">
        <v>0</v>
      </c>
    </row>
    <row r="124" customFormat="false" ht="13.8" hidden="false" customHeight="false" outlineLevel="0" collapsed="false">
      <c r="B124" s="2" t="n">
        <v>122</v>
      </c>
      <c r="C124" s="2" t="n">
        <v>0</v>
      </c>
      <c r="D124" s="2" t="n">
        <v>0</v>
      </c>
      <c r="E124" s="2" t="n">
        <v>0</v>
      </c>
    </row>
    <row r="125" customFormat="false" ht="13.8" hidden="false" customHeight="false" outlineLevel="0" collapsed="false">
      <c r="B125" s="2" t="n">
        <v>123</v>
      </c>
      <c r="C125" s="2" t="n">
        <v>0</v>
      </c>
      <c r="D125" s="2" t="n">
        <v>0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0</v>
      </c>
      <c r="D126" s="2" t="n">
        <v>0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0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</v>
      </c>
      <c r="D130" s="2" t="n">
        <v>0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0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0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0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0</v>
      </c>
      <c r="D136" s="2" t="n">
        <v>0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0</v>
      </c>
      <c r="D137" s="2" t="n">
        <v>0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0</v>
      </c>
      <c r="D138" s="2" t="n">
        <v>0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0</v>
      </c>
      <c r="D139" s="2" t="n">
        <v>0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0</v>
      </c>
      <c r="D140" s="2" t="n">
        <v>0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0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0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0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0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0</v>
      </c>
      <c r="D145" s="2" t="n">
        <v>0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0</v>
      </c>
      <c r="D146" s="2" t="n">
        <v>0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0</v>
      </c>
      <c r="D147" s="2" t="n">
        <v>0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0</v>
      </c>
      <c r="D148" s="2" t="n">
        <v>0</v>
      </c>
      <c r="E148" s="2" t="n">
        <v>0</v>
      </c>
    </row>
    <row r="149" customFormat="false" ht="13.8" hidden="false" customHeight="false" outlineLevel="0" collapsed="false">
      <c r="B149" s="2" t="n">
        <v>147</v>
      </c>
      <c r="C149" s="2" t="n">
        <v>0</v>
      </c>
      <c r="D149" s="2" t="n">
        <v>0</v>
      </c>
      <c r="E149" s="2" t="n">
        <v>0</v>
      </c>
    </row>
    <row r="150" customFormat="false" ht="13.8" hidden="false" customHeight="false" outlineLevel="0" collapsed="false">
      <c r="B150" s="2" t="n">
        <v>148</v>
      </c>
      <c r="C150" s="2" t="n">
        <v>0</v>
      </c>
      <c r="D150" s="2" t="n">
        <v>0</v>
      </c>
      <c r="E150" s="2" t="n">
        <v>0</v>
      </c>
    </row>
    <row r="151" customFormat="false" ht="13.8" hidden="false" customHeight="false" outlineLevel="0" collapsed="false">
      <c r="B151" s="2" t="n">
        <v>149</v>
      </c>
      <c r="C151" s="2" t="n">
        <v>0</v>
      </c>
      <c r="D151" s="2" t="n">
        <v>0</v>
      </c>
      <c r="E151" s="2" t="n">
        <v>0</v>
      </c>
    </row>
    <row r="152" customFormat="false" ht="13.8" hidden="false" customHeight="false" outlineLevel="0" collapsed="false">
      <c r="B152" s="2" t="n">
        <v>150</v>
      </c>
      <c r="C152" s="2" t="n">
        <v>0</v>
      </c>
      <c r="D152" s="2" t="n">
        <v>0</v>
      </c>
      <c r="E152" s="2" t="n">
        <v>0</v>
      </c>
    </row>
    <row r="153" customFormat="false" ht="13.8" hidden="false" customHeight="false" outlineLevel="0" collapsed="false">
      <c r="B153" s="2" t="n">
        <v>151</v>
      </c>
      <c r="C153" s="2" t="n">
        <v>0</v>
      </c>
      <c r="D153" s="2" t="n">
        <v>0</v>
      </c>
      <c r="E153" s="2" t="n">
        <v>0</v>
      </c>
    </row>
    <row r="154" customFormat="false" ht="13.8" hidden="false" customHeight="false" outlineLevel="0" collapsed="false">
      <c r="B154" s="2" t="n">
        <v>152</v>
      </c>
      <c r="C154" s="2" t="n">
        <v>0</v>
      </c>
      <c r="D154" s="2" t="n">
        <v>0</v>
      </c>
      <c r="E154" s="2" t="n">
        <v>0</v>
      </c>
    </row>
    <row r="155" customFormat="false" ht="13.8" hidden="false" customHeight="false" outlineLevel="0" collapsed="false">
      <c r="B155" s="2" t="n">
        <v>153</v>
      </c>
      <c r="C155" s="2" t="n">
        <v>0</v>
      </c>
      <c r="D155" s="2" t="n">
        <v>0</v>
      </c>
      <c r="E155" s="2" t="n">
        <v>0</v>
      </c>
    </row>
    <row r="156" customFormat="false" ht="13.8" hidden="false" customHeight="false" outlineLevel="0" collapsed="false">
      <c r="B156" s="2" t="n">
        <v>154</v>
      </c>
      <c r="C156" s="2" t="n">
        <v>0</v>
      </c>
      <c r="D156" s="2" t="n">
        <v>0</v>
      </c>
      <c r="E156" s="2" t="n">
        <v>0</v>
      </c>
    </row>
    <row r="157" customFormat="false" ht="13.8" hidden="false" customHeight="false" outlineLevel="0" collapsed="false">
      <c r="B157" s="2" t="n">
        <v>155</v>
      </c>
      <c r="C157" s="2" t="n">
        <v>0</v>
      </c>
      <c r="D157" s="2" t="n">
        <v>0</v>
      </c>
      <c r="E157" s="2" t="n">
        <v>0</v>
      </c>
    </row>
    <row r="158" customFormat="false" ht="13.8" hidden="false" customHeight="false" outlineLevel="0" collapsed="false">
      <c r="B158" s="2" t="n">
        <v>156</v>
      </c>
      <c r="C158" s="2" t="n">
        <v>0</v>
      </c>
      <c r="D158" s="2" t="n">
        <v>0</v>
      </c>
      <c r="E158" s="2" t="n">
        <v>0</v>
      </c>
    </row>
    <row r="159" customFormat="false" ht="13.8" hidden="false" customHeight="false" outlineLevel="0" collapsed="false">
      <c r="B159" s="2" t="n">
        <v>157</v>
      </c>
      <c r="C159" s="2" t="n">
        <v>0</v>
      </c>
      <c r="D159" s="2" t="n">
        <v>0</v>
      </c>
      <c r="E159" s="2" t="n">
        <v>0</v>
      </c>
    </row>
    <row r="160" customFormat="false" ht="13.8" hidden="false" customHeight="false" outlineLevel="0" collapsed="false">
      <c r="B160" s="2" t="n">
        <v>158</v>
      </c>
      <c r="C160" s="2" t="n">
        <v>0</v>
      </c>
      <c r="D160" s="2" t="n">
        <v>0</v>
      </c>
      <c r="E160" s="2" t="n">
        <v>0</v>
      </c>
    </row>
    <row r="161" customFormat="false" ht="13.8" hidden="false" customHeight="false" outlineLevel="0" collapsed="false">
      <c r="B161" s="2" t="n">
        <v>159</v>
      </c>
      <c r="C161" s="2" t="n">
        <v>0</v>
      </c>
      <c r="D161" s="2" t="n">
        <v>0</v>
      </c>
      <c r="E161" s="2" t="n">
        <v>0</v>
      </c>
    </row>
    <row r="162" customFormat="false" ht="13.8" hidden="false" customHeight="false" outlineLevel="0" collapsed="false">
      <c r="B162" s="2" t="n">
        <v>160</v>
      </c>
      <c r="C162" s="2" t="n">
        <v>0</v>
      </c>
      <c r="D162" s="2" t="n">
        <v>0</v>
      </c>
      <c r="E162" s="2" t="n">
        <v>0</v>
      </c>
    </row>
    <row r="163" customFormat="false" ht="13.8" hidden="false" customHeight="false" outlineLevel="0" collapsed="false">
      <c r="B163" s="2" t="n">
        <v>161</v>
      </c>
      <c r="C163" s="2" t="n">
        <v>0</v>
      </c>
      <c r="D163" s="2" t="n">
        <v>0</v>
      </c>
      <c r="E163" s="2" t="n">
        <v>0</v>
      </c>
    </row>
    <row r="164" customFormat="false" ht="13.8" hidden="false" customHeight="false" outlineLevel="0" collapsed="false">
      <c r="B164" s="2" t="n">
        <v>162</v>
      </c>
      <c r="C164" s="2" t="n">
        <v>0</v>
      </c>
      <c r="D164" s="2" t="n">
        <v>0</v>
      </c>
      <c r="E164" s="2" t="n">
        <v>0</v>
      </c>
    </row>
    <row r="165" customFormat="false" ht="13.8" hidden="false" customHeight="false" outlineLevel="0" collapsed="false">
      <c r="B165" s="2" t="n">
        <v>163</v>
      </c>
      <c r="C165" s="2" t="n">
        <v>0</v>
      </c>
      <c r="D165" s="2" t="n">
        <v>0</v>
      </c>
      <c r="E165" s="2" t="n">
        <v>0</v>
      </c>
    </row>
    <row r="166" customFormat="false" ht="13.8" hidden="false" customHeight="false" outlineLevel="0" collapsed="false">
      <c r="B166" s="2" t="n">
        <v>164</v>
      </c>
      <c r="C166" s="2" t="n">
        <v>0</v>
      </c>
      <c r="D166" s="2" t="n">
        <v>0</v>
      </c>
      <c r="E166" s="2" t="n">
        <v>0</v>
      </c>
    </row>
    <row r="167" customFormat="false" ht="13.8" hidden="false" customHeight="false" outlineLevel="0" collapsed="false">
      <c r="B167" s="2" t="n">
        <v>165</v>
      </c>
      <c r="C167" s="2" t="n">
        <v>0</v>
      </c>
      <c r="D167" s="2" t="n">
        <v>0</v>
      </c>
      <c r="E167" s="2" t="n">
        <v>0</v>
      </c>
    </row>
    <row r="168" customFormat="false" ht="13.8" hidden="false" customHeight="false" outlineLevel="0" collapsed="false">
      <c r="B168" s="2" t="n">
        <v>166</v>
      </c>
      <c r="C168" s="2" t="n">
        <v>0</v>
      </c>
      <c r="D168" s="2" t="n">
        <v>0</v>
      </c>
      <c r="E168" s="2" t="n">
        <v>0</v>
      </c>
    </row>
    <row r="169" customFormat="false" ht="13.8" hidden="false" customHeight="false" outlineLevel="0" collapsed="false">
      <c r="B169" s="2" t="n">
        <v>167</v>
      </c>
      <c r="C169" s="2" t="n">
        <v>0</v>
      </c>
      <c r="D169" s="2" t="n">
        <v>0</v>
      </c>
      <c r="E169" s="2" t="n">
        <v>0</v>
      </c>
    </row>
    <row r="170" customFormat="false" ht="13.8" hidden="false" customHeight="false" outlineLevel="0" collapsed="false">
      <c r="B170" s="2" t="n">
        <v>168</v>
      </c>
      <c r="C170" s="2" t="n">
        <v>0</v>
      </c>
      <c r="D170" s="2" t="n">
        <v>0</v>
      </c>
      <c r="E170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70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1" sqref="B12:F14 C3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2" t="n">
        <v>1</v>
      </c>
      <c r="C3" s="2" t="n">
        <v>0</v>
      </c>
      <c r="D3" s="2" t="n">
        <v>0</v>
      </c>
      <c r="E3" s="2" t="n">
        <v>0</v>
      </c>
    </row>
    <row r="4" customFormat="false" ht="13.8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</v>
      </c>
    </row>
    <row r="5" customFormat="false" ht="13.8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0</v>
      </c>
    </row>
    <row r="6" customFormat="false" ht="13.8" hidden="false" customHeight="false" outlineLevel="0" collapsed="false">
      <c r="B6" s="2" t="n">
        <v>4</v>
      </c>
      <c r="C6" s="2" t="n">
        <v>0</v>
      </c>
      <c r="D6" s="2" t="n">
        <v>0</v>
      </c>
      <c r="E6" s="2" t="n">
        <v>0</v>
      </c>
    </row>
    <row r="7" customFormat="false" ht="13.8" hidden="false" customHeight="false" outlineLevel="0" collapsed="false">
      <c r="B7" s="2" t="n">
        <v>5</v>
      </c>
      <c r="C7" s="2" t="n">
        <v>0</v>
      </c>
      <c r="D7" s="2" t="n">
        <v>0</v>
      </c>
      <c r="E7" s="2" t="n">
        <v>0</v>
      </c>
    </row>
    <row r="8" customFormat="false" ht="13.8" hidden="false" customHeight="false" outlineLevel="0" collapsed="false">
      <c r="B8" s="2" t="n">
        <v>6</v>
      </c>
      <c r="C8" s="2" t="n">
        <v>0</v>
      </c>
      <c r="D8" s="2" t="n">
        <v>0</v>
      </c>
      <c r="E8" s="2" t="n">
        <v>0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</v>
      </c>
    </row>
    <row r="10" customFormat="false" ht="13.8" hidden="false" customHeight="false" outlineLevel="0" collapsed="false">
      <c r="B10" s="2" t="n">
        <v>8</v>
      </c>
      <c r="C10" s="2" t="n">
        <v>0</v>
      </c>
      <c r="D10" s="2" t="n">
        <v>0</v>
      </c>
      <c r="E10" s="2" t="n">
        <v>0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0</v>
      </c>
    </row>
    <row r="12" customFormat="false" ht="13.8" hidden="false" customHeight="false" outlineLevel="0" collapsed="false">
      <c r="B12" s="2" t="n">
        <v>10</v>
      </c>
      <c r="C12" s="2" t="n">
        <v>0</v>
      </c>
      <c r="D12" s="2" t="n">
        <v>0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0</v>
      </c>
      <c r="D13" s="2" t="n">
        <v>0</v>
      </c>
      <c r="E13" s="2" t="n">
        <v>0</v>
      </c>
    </row>
    <row r="14" customFormat="false" ht="13.8" hidden="false" customHeight="false" outlineLevel="0" collapsed="false">
      <c r="B14" s="2" t="n">
        <v>12</v>
      </c>
      <c r="C14" s="2" t="n">
        <v>0</v>
      </c>
      <c r="D14" s="2" t="n">
        <v>0</v>
      </c>
      <c r="E14" s="2" t="n">
        <v>0</v>
      </c>
    </row>
    <row r="15" customFormat="false" ht="13.8" hidden="false" customHeight="false" outlineLevel="0" collapsed="false">
      <c r="B15" s="2" t="n">
        <v>13</v>
      </c>
      <c r="C15" s="2" t="n">
        <v>0</v>
      </c>
      <c r="D15" s="2" t="n">
        <v>0</v>
      </c>
      <c r="E15" s="2" t="n">
        <v>0</v>
      </c>
    </row>
    <row r="16" customFormat="false" ht="13.8" hidden="false" customHeight="false" outlineLevel="0" collapsed="false">
      <c r="B16" s="2" t="n">
        <v>14</v>
      </c>
      <c r="C16" s="2" t="n">
        <v>0</v>
      </c>
      <c r="D16" s="2" t="n">
        <v>0</v>
      </c>
      <c r="E16" s="2" t="n">
        <v>0</v>
      </c>
    </row>
    <row r="17" customFormat="false" ht="13.8" hidden="false" customHeight="false" outlineLevel="0" collapsed="false">
      <c r="B17" s="2" t="n">
        <v>15</v>
      </c>
      <c r="C17" s="2" t="n">
        <v>0</v>
      </c>
      <c r="D17" s="2" t="n">
        <v>0</v>
      </c>
      <c r="E17" s="2" t="n">
        <v>0</v>
      </c>
    </row>
    <row r="18" customFormat="false" ht="13.8" hidden="false" customHeight="false" outlineLevel="0" collapsed="false">
      <c r="B18" s="2" t="n">
        <v>16</v>
      </c>
      <c r="C18" s="2" t="n">
        <v>0</v>
      </c>
      <c r="D18" s="2" t="n">
        <v>0</v>
      </c>
      <c r="E18" s="2" t="n">
        <v>0</v>
      </c>
    </row>
    <row r="19" customFormat="false" ht="13.8" hidden="false" customHeight="false" outlineLevel="0" collapsed="false">
      <c r="B19" s="2" t="n">
        <v>17</v>
      </c>
      <c r="C19" s="2" t="n">
        <v>0</v>
      </c>
      <c r="D19" s="2" t="n">
        <v>0</v>
      </c>
      <c r="E19" s="2" t="n">
        <v>0</v>
      </c>
    </row>
    <row r="20" customFormat="false" ht="13.8" hidden="false" customHeight="false" outlineLevel="0" collapsed="false">
      <c r="B20" s="2" t="n">
        <v>18</v>
      </c>
      <c r="C20" s="2" t="n">
        <v>0</v>
      </c>
      <c r="D20" s="2" t="n">
        <v>0</v>
      </c>
      <c r="E20" s="2" t="n">
        <v>0</v>
      </c>
    </row>
    <row r="21" customFormat="false" ht="13.8" hidden="false" customHeight="false" outlineLevel="0" collapsed="false">
      <c r="B21" s="2" t="n">
        <v>19</v>
      </c>
      <c r="C21" s="2" t="n">
        <v>0</v>
      </c>
      <c r="D21" s="2" t="n">
        <v>0</v>
      </c>
      <c r="E21" s="2" t="n">
        <v>0</v>
      </c>
    </row>
    <row r="22" customFormat="false" ht="13.8" hidden="false" customHeight="false" outlineLevel="0" collapsed="false">
      <c r="B22" s="2" t="n">
        <v>20</v>
      </c>
      <c r="C22" s="2" t="n">
        <v>0</v>
      </c>
      <c r="D22" s="2" t="n">
        <v>0</v>
      </c>
      <c r="E22" s="2" t="n">
        <v>0</v>
      </c>
    </row>
    <row r="23" customFormat="false" ht="13.8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0</v>
      </c>
    </row>
    <row r="24" customFormat="false" ht="13.8" hidden="false" customHeight="false" outlineLevel="0" collapsed="false">
      <c r="B24" s="2" t="n">
        <v>22</v>
      </c>
      <c r="C24" s="2" t="n">
        <v>0</v>
      </c>
      <c r="D24" s="2" t="n">
        <v>0</v>
      </c>
      <c r="E24" s="2" t="n">
        <v>0</v>
      </c>
    </row>
    <row r="25" customFormat="false" ht="13.8" hidden="false" customHeight="false" outlineLevel="0" collapsed="false">
      <c r="B25" s="2" t="n">
        <v>23</v>
      </c>
      <c r="C25" s="2" t="n">
        <v>0</v>
      </c>
      <c r="D25" s="2" t="n">
        <v>0</v>
      </c>
      <c r="E25" s="2" t="n">
        <v>0</v>
      </c>
    </row>
    <row r="26" customFormat="false" ht="13.8" hidden="false" customHeight="false" outlineLevel="0" collapsed="false">
      <c r="B26" s="2" t="n">
        <v>24</v>
      </c>
      <c r="C26" s="2" t="n">
        <v>0</v>
      </c>
      <c r="D26" s="2" t="n">
        <v>0</v>
      </c>
      <c r="E26" s="2" t="n">
        <v>0</v>
      </c>
    </row>
    <row r="27" customFormat="false" ht="13.8" hidden="false" customHeight="false" outlineLevel="0" collapsed="false">
      <c r="B27" s="2" t="n">
        <v>25</v>
      </c>
      <c r="C27" s="2" t="n">
        <v>0</v>
      </c>
      <c r="D27" s="2" t="n">
        <v>0</v>
      </c>
      <c r="E27" s="2" t="n">
        <v>0</v>
      </c>
    </row>
    <row r="28" customFormat="false" ht="13.8" hidden="false" customHeight="false" outlineLevel="0" collapsed="false">
      <c r="B28" s="2" t="n">
        <v>26</v>
      </c>
      <c r="C28" s="2" t="n">
        <v>0</v>
      </c>
      <c r="D28" s="2" t="n">
        <v>0</v>
      </c>
      <c r="E28" s="2" t="n">
        <v>0</v>
      </c>
    </row>
    <row r="29" customFormat="false" ht="13.8" hidden="false" customHeight="false" outlineLevel="0" collapsed="false">
      <c r="B29" s="2" t="n">
        <v>27</v>
      </c>
      <c r="C29" s="2" t="n">
        <v>0</v>
      </c>
      <c r="D29" s="2" t="n">
        <v>0</v>
      </c>
      <c r="E29" s="2" t="n">
        <v>0</v>
      </c>
    </row>
    <row r="30" customFormat="false" ht="13.8" hidden="false" customHeight="false" outlineLevel="0" collapsed="false">
      <c r="B30" s="2" t="n">
        <v>28</v>
      </c>
      <c r="C30" s="2" t="n">
        <v>0</v>
      </c>
      <c r="D30" s="2" t="n">
        <v>0</v>
      </c>
      <c r="E30" s="2" t="n">
        <v>0</v>
      </c>
    </row>
    <row r="31" customFormat="false" ht="13.8" hidden="false" customHeight="false" outlineLevel="0" collapsed="false">
      <c r="B31" s="2" t="n">
        <v>29</v>
      </c>
      <c r="C31" s="2" t="n">
        <v>0</v>
      </c>
      <c r="D31" s="2" t="n">
        <v>0</v>
      </c>
      <c r="E31" s="2" t="n">
        <v>0</v>
      </c>
    </row>
    <row r="32" customFormat="false" ht="13.8" hidden="false" customHeight="false" outlineLevel="0" collapsed="false">
      <c r="B32" s="2" t="n">
        <v>30</v>
      </c>
      <c r="C32" s="2" t="n">
        <v>0</v>
      </c>
      <c r="D32" s="2" t="n">
        <v>0</v>
      </c>
      <c r="E32" s="2" t="n">
        <v>0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0</v>
      </c>
      <c r="E33" s="2" t="n">
        <v>0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0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</v>
      </c>
      <c r="E35" s="2" t="n">
        <v>0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</v>
      </c>
      <c r="E36" s="2" t="n">
        <v>0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0</v>
      </c>
      <c r="E38" s="2" t="n">
        <v>0</v>
      </c>
    </row>
    <row r="39" customFormat="false" ht="13.8" hidden="false" customHeight="false" outlineLevel="0" collapsed="false">
      <c r="B39" s="2" t="n">
        <v>37</v>
      </c>
      <c r="C39" s="2" t="n">
        <v>0</v>
      </c>
      <c r="D39" s="2" t="n">
        <v>0</v>
      </c>
      <c r="E39" s="2" t="n">
        <v>0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0</v>
      </c>
      <c r="E40" s="2" t="n">
        <v>0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0</v>
      </c>
      <c r="E41" s="2" t="n">
        <v>0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0</v>
      </c>
      <c r="E42" s="2" t="n">
        <v>0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0</v>
      </c>
      <c r="E43" s="2" t="n">
        <v>0</v>
      </c>
    </row>
    <row r="44" customFormat="false" ht="13.8" hidden="false" customHeight="false" outlineLevel="0" collapsed="false">
      <c r="B44" s="2" t="n">
        <v>42</v>
      </c>
      <c r="C44" s="2" t="n">
        <v>0</v>
      </c>
      <c r="D44" s="2" t="n">
        <v>0</v>
      </c>
      <c r="E44" s="2" t="n">
        <v>0</v>
      </c>
    </row>
    <row r="45" customFormat="false" ht="13.8" hidden="false" customHeight="false" outlineLevel="0" collapsed="false">
      <c r="B45" s="2" t="n">
        <v>43</v>
      </c>
      <c r="C45" s="2" t="n">
        <v>0</v>
      </c>
      <c r="D45" s="2" t="n">
        <v>0</v>
      </c>
      <c r="E45" s="2" t="n">
        <v>0</v>
      </c>
    </row>
    <row r="46" customFormat="false" ht="13.8" hidden="false" customHeight="false" outlineLevel="0" collapsed="false">
      <c r="B46" s="2" t="n">
        <v>44</v>
      </c>
      <c r="C46" s="2" t="n">
        <v>0</v>
      </c>
      <c r="D46" s="2" t="n">
        <v>0</v>
      </c>
      <c r="E46" s="2" t="n">
        <v>0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0</v>
      </c>
      <c r="E47" s="2" t="n">
        <v>0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0</v>
      </c>
      <c r="E48" s="2" t="n">
        <v>0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0</v>
      </c>
      <c r="E49" s="2" t="n">
        <v>0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0</v>
      </c>
      <c r="E50" s="2" t="n">
        <v>0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0</v>
      </c>
      <c r="E51" s="2" t="n">
        <v>0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0</v>
      </c>
      <c r="E52" s="2" t="n">
        <v>0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0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0</v>
      </c>
      <c r="D54" s="2" t="n">
        <v>0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0</v>
      </c>
      <c r="D55" s="2" t="n">
        <v>0</v>
      </c>
      <c r="E55" s="2" t="n">
        <v>0</v>
      </c>
    </row>
    <row r="56" customFormat="false" ht="13.8" hidden="false" customHeight="false" outlineLevel="0" collapsed="false">
      <c r="B56" s="2" t="n">
        <v>54</v>
      </c>
      <c r="C56" s="2" t="n">
        <v>0</v>
      </c>
      <c r="D56" s="2" t="n">
        <v>0</v>
      </c>
      <c r="E56" s="2" t="n">
        <v>0</v>
      </c>
    </row>
    <row r="57" customFormat="false" ht="13.8" hidden="false" customHeight="false" outlineLevel="0" collapsed="false">
      <c r="B57" s="2" t="n">
        <v>55</v>
      </c>
      <c r="C57" s="2" t="n">
        <v>0</v>
      </c>
      <c r="D57" s="2" t="n">
        <v>0</v>
      </c>
      <c r="E57" s="2" t="n">
        <v>0</v>
      </c>
    </row>
    <row r="58" customFormat="false" ht="13.8" hidden="false" customHeight="false" outlineLevel="0" collapsed="false">
      <c r="B58" s="2" t="n">
        <v>56</v>
      </c>
      <c r="C58" s="2" t="n">
        <v>0</v>
      </c>
      <c r="D58" s="2" t="n">
        <v>0</v>
      </c>
      <c r="E58" s="2" t="n">
        <v>0</v>
      </c>
    </row>
    <row r="59" customFormat="false" ht="13.8" hidden="false" customHeight="false" outlineLevel="0" collapsed="false">
      <c r="B59" s="2" t="n">
        <v>57</v>
      </c>
      <c r="C59" s="2" t="n">
        <v>0</v>
      </c>
      <c r="D59" s="2" t="n">
        <v>0</v>
      </c>
      <c r="E59" s="2" t="n">
        <v>0</v>
      </c>
    </row>
    <row r="60" customFormat="false" ht="13.8" hidden="false" customHeight="false" outlineLevel="0" collapsed="false">
      <c r="B60" s="2" t="n">
        <v>58</v>
      </c>
      <c r="C60" s="2" t="n">
        <v>0</v>
      </c>
      <c r="D60" s="2" t="n">
        <v>0</v>
      </c>
      <c r="E60" s="2" t="n">
        <v>0</v>
      </c>
    </row>
    <row r="61" customFormat="false" ht="13.8" hidden="false" customHeight="false" outlineLevel="0" collapsed="false">
      <c r="B61" s="2" t="n">
        <v>59</v>
      </c>
      <c r="C61" s="2" t="n">
        <v>0</v>
      </c>
      <c r="D61" s="2" t="n">
        <v>0</v>
      </c>
      <c r="E61" s="2" t="n">
        <v>0</v>
      </c>
    </row>
    <row r="62" customFormat="false" ht="13.8" hidden="false" customHeight="false" outlineLevel="0" collapsed="false">
      <c r="B62" s="2" t="n">
        <v>60</v>
      </c>
      <c r="C62" s="2" t="n">
        <v>0</v>
      </c>
      <c r="D62" s="2" t="n">
        <v>0</v>
      </c>
      <c r="E62" s="2" t="n">
        <v>0</v>
      </c>
    </row>
    <row r="63" customFormat="false" ht="13.8" hidden="false" customHeight="false" outlineLevel="0" collapsed="false">
      <c r="B63" s="2" t="n">
        <v>61</v>
      </c>
      <c r="C63" s="2" t="n">
        <v>0</v>
      </c>
      <c r="D63" s="2" t="n">
        <v>0</v>
      </c>
      <c r="E63" s="2" t="n">
        <v>0</v>
      </c>
    </row>
    <row r="64" customFormat="false" ht="13.8" hidden="false" customHeight="false" outlineLevel="0" collapsed="false">
      <c r="B64" s="2" t="n">
        <v>62</v>
      </c>
      <c r="C64" s="2" t="n">
        <v>0</v>
      </c>
      <c r="D64" s="2" t="n">
        <v>0</v>
      </c>
      <c r="E64" s="2" t="n">
        <v>0</v>
      </c>
    </row>
    <row r="65" customFormat="false" ht="13.8" hidden="false" customHeight="false" outlineLevel="0" collapsed="false">
      <c r="B65" s="2" t="n">
        <v>63</v>
      </c>
      <c r="C65" s="2" t="n">
        <v>0</v>
      </c>
      <c r="D65" s="2" t="n">
        <v>0</v>
      </c>
      <c r="E65" s="2" t="n">
        <v>0</v>
      </c>
    </row>
    <row r="66" customFormat="false" ht="13.8" hidden="false" customHeight="false" outlineLevel="0" collapsed="false">
      <c r="B66" s="2" t="n">
        <v>64</v>
      </c>
      <c r="C66" s="2" t="n">
        <v>0</v>
      </c>
      <c r="D66" s="2" t="n">
        <v>0</v>
      </c>
      <c r="E66" s="2" t="n">
        <v>0</v>
      </c>
    </row>
    <row r="67" customFormat="false" ht="13.8" hidden="false" customHeight="false" outlineLevel="0" collapsed="false">
      <c r="B67" s="2" t="n">
        <v>65</v>
      </c>
      <c r="C67" s="2" t="n">
        <v>0</v>
      </c>
      <c r="D67" s="2" t="n">
        <v>0</v>
      </c>
      <c r="E67" s="2" t="n">
        <v>0</v>
      </c>
    </row>
    <row r="68" customFormat="false" ht="13.8" hidden="false" customHeight="false" outlineLevel="0" collapsed="false">
      <c r="B68" s="2" t="n">
        <v>66</v>
      </c>
      <c r="C68" s="2" t="n">
        <v>0</v>
      </c>
      <c r="D68" s="2" t="n">
        <v>0</v>
      </c>
      <c r="E68" s="2" t="n">
        <v>0</v>
      </c>
    </row>
    <row r="69" customFormat="false" ht="13.8" hidden="false" customHeight="false" outlineLevel="0" collapsed="false">
      <c r="B69" s="2" t="n">
        <v>67</v>
      </c>
      <c r="C69" s="2" t="n">
        <v>0</v>
      </c>
      <c r="D69" s="2" t="n">
        <v>0</v>
      </c>
      <c r="E69" s="2" t="n">
        <v>0</v>
      </c>
    </row>
    <row r="70" customFormat="false" ht="13.8" hidden="false" customHeight="false" outlineLevel="0" collapsed="false">
      <c r="B70" s="2" t="n">
        <v>68</v>
      </c>
      <c r="C70" s="2" t="n">
        <v>0</v>
      </c>
      <c r="D70" s="2" t="n">
        <v>0</v>
      </c>
      <c r="E70" s="2" t="n">
        <v>0</v>
      </c>
    </row>
    <row r="71" customFormat="false" ht="13.8" hidden="false" customHeight="false" outlineLevel="0" collapsed="false">
      <c r="B71" s="2" t="n">
        <v>69</v>
      </c>
      <c r="C71" s="2" t="n">
        <v>0</v>
      </c>
      <c r="D71" s="2" t="n">
        <v>0</v>
      </c>
      <c r="E71" s="2" t="n">
        <v>0</v>
      </c>
    </row>
    <row r="72" customFormat="false" ht="13.8" hidden="false" customHeight="false" outlineLevel="0" collapsed="false">
      <c r="B72" s="2" t="n">
        <v>70</v>
      </c>
      <c r="C72" s="2" t="n">
        <v>0</v>
      </c>
      <c r="D72" s="2" t="n">
        <v>0</v>
      </c>
      <c r="E72" s="2" t="n">
        <v>0</v>
      </c>
    </row>
    <row r="73" customFormat="false" ht="13.8" hidden="false" customHeight="false" outlineLevel="0" collapsed="false">
      <c r="B73" s="2" t="n">
        <v>71</v>
      </c>
      <c r="C73" s="2" t="n">
        <v>0</v>
      </c>
      <c r="D73" s="2" t="n">
        <v>0</v>
      </c>
      <c r="E73" s="2" t="n">
        <v>0</v>
      </c>
    </row>
    <row r="74" customFormat="false" ht="13.8" hidden="false" customHeight="false" outlineLevel="0" collapsed="false">
      <c r="B74" s="2" t="n">
        <v>72</v>
      </c>
      <c r="C74" s="2" t="n">
        <v>0</v>
      </c>
      <c r="D74" s="2" t="n">
        <v>0</v>
      </c>
      <c r="E74" s="2" t="n">
        <v>0</v>
      </c>
    </row>
    <row r="75" customFormat="false" ht="13.8" hidden="false" customHeight="false" outlineLevel="0" collapsed="false">
      <c r="B75" s="2" t="n">
        <v>73</v>
      </c>
      <c r="C75" s="2" t="n">
        <v>0</v>
      </c>
      <c r="D75" s="2" t="n">
        <v>0</v>
      </c>
      <c r="E75" s="2" t="n">
        <v>0</v>
      </c>
    </row>
    <row r="76" customFormat="false" ht="13.8" hidden="false" customHeight="false" outlineLevel="0" collapsed="false">
      <c r="B76" s="2" t="n">
        <v>74</v>
      </c>
      <c r="C76" s="2" t="n">
        <v>0</v>
      </c>
      <c r="D76" s="2" t="n">
        <v>0</v>
      </c>
      <c r="E76" s="2" t="n">
        <v>0</v>
      </c>
    </row>
    <row r="77" customFormat="false" ht="13.8" hidden="false" customHeight="false" outlineLevel="0" collapsed="false">
      <c r="B77" s="2" t="n">
        <v>75</v>
      </c>
      <c r="C77" s="2" t="n">
        <v>0</v>
      </c>
      <c r="D77" s="2" t="n">
        <v>0</v>
      </c>
      <c r="E77" s="2" t="n">
        <v>0</v>
      </c>
    </row>
    <row r="78" customFormat="false" ht="13.8" hidden="false" customHeight="false" outlineLevel="0" collapsed="false">
      <c r="B78" s="2" t="n">
        <v>76</v>
      </c>
      <c r="C78" s="2" t="n">
        <v>0</v>
      </c>
      <c r="D78" s="2" t="n">
        <v>0</v>
      </c>
      <c r="E78" s="2" t="n">
        <v>0</v>
      </c>
    </row>
    <row r="79" customFormat="false" ht="13.8" hidden="false" customHeight="false" outlineLevel="0" collapsed="false">
      <c r="B79" s="2" t="n">
        <v>77</v>
      </c>
      <c r="C79" s="2" t="n">
        <v>0</v>
      </c>
      <c r="D79" s="2" t="n">
        <v>0</v>
      </c>
      <c r="E79" s="2" t="n">
        <v>0</v>
      </c>
    </row>
    <row r="80" customFormat="false" ht="13.8" hidden="false" customHeight="false" outlineLevel="0" collapsed="false">
      <c r="B80" s="2" t="n">
        <v>78</v>
      </c>
      <c r="C80" s="2" t="n">
        <v>0</v>
      </c>
      <c r="D80" s="2" t="n">
        <v>0</v>
      </c>
      <c r="E80" s="2" t="n">
        <v>0</v>
      </c>
    </row>
    <row r="81" customFormat="false" ht="13.8" hidden="false" customHeight="false" outlineLevel="0" collapsed="false">
      <c r="B81" s="2" t="n">
        <v>79</v>
      </c>
      <c r="C81" s="2" t="n">
        <v>0</v>
      </c>
      <c r="D81" s="2" t="n">
        <v>0</v>
      </c>
      <c r="E81" s="2" t="n">
        <v>0</v>
      </c>
    </row>
    <row r="82" customFormat="false" ht="13.8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0</v>
      </c>
    </row>
    <row r="83" customFormat="false" ht="13.8" hidden="false" customHeight="false" outlineLevel="0" collapsed="false">
      <c r="B83" s="2" t="n">
        <v>81</v>
      </c>
      <c r="C83" s="2" t="n">
        <v>0</v>
      </c>
      <c r="D83" s="2" t="n">
        <v>0</v>
      </c>
      <c r="E83" s="2" t="n">
        <v>0</v>
      </c>
    </row>
    <row r="84" customFormat="false" ht="13.8" hidden="false" customHeight="false" outlineLevel="0" collapsed="false">
      <c r="B84" s="2" t="n">
        <v>82</v>
      </c>
      <c r="C84" s="2" t="n">
        <v>0</v>
      </c>
      <c r="D84" s="2" t="n">
        <v>0</v>
      </c>
      <c r="E84" s="2" t="n">
        <v>0</v>
      </c>
    </row>
    <row r="85" customFormat="false" ht="13.8" hidden="false" customHeight="false" outlineLevel="0" collapsed="false">
      <c r="B85" s="2" t="n">
        <v>83</v>
      </c>
      <c r="C85" s="2" t="n">
        <v>0</v>
      </c>
      <c r="D85" s="2" t="n">
        <v>0</v>
      </c>
      <c r="E85" s="2" t="n">
        <v>0</v>
      </c>
    </row>
    <row r="86" customFormat="false" ht="13.8" hidden="false" customHeight="false" outlineLevel="0" collapsed="false">
      <c r="B86" s="2" t="n">
        <v>84</v>
      </c>
      <c r="C86" s="2" t="n">
        <v>0</v>
      </c>
      <c r="D86" s="2" t="n">
        <v>0</v>
      </c>
      <c r="E86" s="2" t="n">
        <v>0</v>
      </c>
    </row>
    <row r="87" customFormat="false" ht="13.8" hidden="false" customHeight="false" outlineLevel="0" collapsed="false">
      <c r="B87" s="2" t="n">
        <v>85</v>
      </c>
      <c r="C87" s="2" t="n">
        <v>0</v>
      </c>
      <c r="D87" s="2" t="n">
        <v>0</v>
      </c>
      <c r="E87" s="2" t="n">
        <v>0</v>
      </c>
    </row>
    <row r="88" customFormat="false" ht="13.8" hidden="false" customHeight="false" outlineLevel="0" collapsed="false">
      <c r="B88" s="2" t="n">
        <v>86</v>
      </c>
      <c r="C88" s="2" t="n">
        <v>0</v>
      </c>
      <c r="D88" s="2" t="n">
        <v>0</v>
      </c>
      <c r="E88" s="2" t="n">
        <v>0</v>
      </c>
    </row>
    <row r="89" customFormat="false" ht="13.8" hidden="false" customHeight="false" outlineLevel="0" collapsed="false">
      <c r="B89" s="2" t="n">
        <v>87</v>
      </c>
      <c r="C89" s="2" t="n">
        <v>0</v>
      </c>
      <c r="D89" s="2" t="n">
        <v>0</v>
      </c>
      <c r="E89" s="2" t="n">
        <v>0</v>
      </c>
    </row>
    <row r="90" customFormat="false" ht="13.8" hidden="false" customHeight="false" outlineLevel="0" collapsed="false">
      <c r="B90" s="2" t="n">
        <v>88</v>
      </c>
      <c r="C90" s="2" t="n">
        <v>0</v>
      </c>
      <c r="D90" s="2" t="n">
        <v>0</v>
      </c>
      <c r="E90" s="2" t="n">
        <v>0</v>
      </c>
    </row>
    <row r="91" customFormat="false" ht="13.8" hidden="false" customHeight="false" outlineLevel="0" collapsed="false">
      <c r="B91" s="2" t="n">
        <v>89</v>
      </c>
      <c r="C91" s="2" t="n">
        <v>0</v>
      </c>
      <c r="D91" s="2" t="n">
        <v>0</v>
      </c>
      <c r="E91" s="2" t="n">
        <v>0</v>
      </c>
    </row>
    <row r="92" customFormat="false" ht="13.8" hidden="false" customHeight="false" outlineLevel="0" collapsed="false">
      <c r="B92" s="2" t="n">
        <v>90</v>
      </c>
      <c r="C92" s="2" t="n">
        <v>0</v>
      </c>
      <c r="D92" s="2" t="n">
        <v>0</v>
      </c>
      <c r="E92" s="2" t="n">
        <v>0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0</v>
      </c>
      <c r="E93" s="2" t="n">
        <v>0</v>
      </c>
    </row>
    <row r="94" customFormat="false" ht="13.8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0</v>
      </c>
    </row>
    <row r="95" customFormat="false" ht="13.8" hidden="false" customHeight="false" outlineLevel="0" collapsed="false">
      <c r="B95" s="2" t="n">
        <v>93</v>
      </c>
      <c r="C95" s="2" t="n">
        <v>0</v>
      </c>
      <c r="D95" s="2" t="n">
        <v>0</v>
      </c>
      <c r="E95" s="2" t="n">
        <v>0</v>
      </c>
    </row>
    <row r="96" customFormat="false" ht="13.8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0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0</v>
      </c>
      <c r="E97" s="2" t="n">
        <v>0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0</v>
      </c>
      <c r="E98" s="2" t="n">
        <v>0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0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0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0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0</v>
      </c>
    </row>
    <row r="103" customFormat="false" ht="13.8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0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0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0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0</v>
      </c>
    </row>
    <row r="110" customFormat="false" ht="13.8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</v>
      </c>
    </row>
    <row r="111" customFormat="false" ht="13.8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0</v>
      </c>
    </row>
    <row r="112" customFormat="false" ht="13.8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0</v>
      </c>
    </row>
    <row r="113" customFormat="false" ht="13.8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0</v>
      </c>
    </row>
    <row r="114" customFormat="false" ht="13.8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0</v>
      </c>
    </row>
    <row r="115" customFormat="false" ht="13.8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0</v>
      </c>
    </row>
    <row r="116" customFormat="false" ht="13.8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0</v>
      </c>
    </row>
    <row r="117" customFormat="false" ht="13.8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</v>
      </c>
    </row>
    <row r="120" customFormat="false" ht="13.8" hidden="false" customHeight="false" outlineLevel="0" collapsed="false">
      <c r="B120" s="2" t="n">
        <v>118</v>
      </c>
      <c r="C120" s="2" t="n">
        <v>0</v>
      </c>
      <c r="D120" s="2" t="n">
        <v>0</v>
      </c>
      <c r="E120" s="2" t="n">
        <v>0</v>
      </c>
    </row>
    <row r="121" customFormat="false" ht="13.8" hidden="false" customHeight="false" outlineLevel="0" collapsed="false">
      <c r="B121" s="2" t="n">
        <v>119</v>
      </c>
      <c r="C121" s="2" t="n">
        <v>0</v>
      </c>
      <c r="D121" s="2" t="n">
        <v>0</v>
      </c>
      <c r="E121" s="2" t="n">
        <v>0</v>
      </c>
    </row>
    <row r="122" customFormat="false" ht="13.8" hidden="false" customHeight="false" outlineLevel="0" collapsed="false">
      <c r="B122" s="2" t="n">
        <v>120</v>
      </c>
      <c r="C122" s="2" t="n">
        <v>0</v>
      </c>
      <c r="D122" s="2" t="n">
        <v>0</v>
      </c>
      <c r="E122" s="2" t="n">
        <v>0</v>
      </c>
    </row>
    <row r="123" customFormat="false" ht="13.8" hidden="false" customHeight="false" outlineLevel="0" collapsed="false">
      <c r="B123" s="2" t="n">
        <v>121</v>
      </c>
      <c r="C123" s="2" t="n">
        <v>0</v>
      </c>
      <c r="D123" s="2" t="n">
        <v>0</v>
      </c>
      <c r="E123" s="2" t="n">
        <v>0</v>
      </c>
    </row>
    <row r="124" customFormat="false" ht="13.8" hidden="false" customHeight="false" outlineLevel="0" collapsed="false">
      <c r="B124" s="2" t="n">
        <v>122</v>
      </c>
      <c r="C124" s="2" t="n">
        <v>0</v>
      </c>
      <c r="D124" s="2" t="n">
        <v>0</v>
      </c>
      <c r="E124" s="2" t="n">
        <v>0</v>
      </c>
    </row>
    <row r="125" customFormat="false" ht="13.8" hidden="false" customHeight="false" outlineLevel="0" collapsed="false">
      <c r="B125" s="2" t="n">
        <v>123</v>
      </c>
      <c r="C125" s="2" t="n">
        <v>0</v>
      </c>
      <c r="D125" s="2" t="n">
        <v>0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0</v>
      </c>
      <c r="D126" s="2" t="n">
        <v>0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0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</v>
      </c>
      <c r="D130" s="2" t="n">
        <v>0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0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0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0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0</v>
      </c>
      <c r="D136" s="2" t="n">
        <v>0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0</v>
      </c>
      <c r="D137" s="2" t="n">
        <v>0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0</v>
      </c>
      <c r="D138" s="2" t="n">
        <v>0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0</v>
      </c>
      <c r="D139" s="2" t="n">
        <v>0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0</v>
      </c>
      <c r="D140" s="2" t="n">
        <v>0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0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0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0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0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0</v>
      </c>
      <c r="D145" s="2" t="n">
        <v>0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0</v>
      </c>
      <c r="D146" s="2" t="n">
        <v>0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0</v>
      </c>
      <c r="D147" s="2" t="n">
        <v>0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0</v>
      </c>
      <c r="D148" s="2" t="n">
        <v>0</v>
      </c>
      <c r="E148" s="2" t="n">
        <v>0</v>
      </c>
    </row>
    <row r="149" customFormat="false" ht="13.8" hidden="false" customHeight="false" outlineLevel="0" collapsed="false">
      <c r="B149" s="2" t="n">
        <v>147</v>
      </c>
      <c r="C149" s="2" t="n">
        <v>0</v>
      </c>
      <c r="D149" s="2" t="n">
        <v>0</v>
      </c>
      <c r="E149" s="2" t="n">
        <v>0</v>
      </c>
    </row>
    <row r="150" customFormat="false" ht="13.8" hidden="false" customHeight="false" outlineLevel="0" collapsed="false">
      <c r="B150" s="2" t="n">
        <v>148</v>
      </c>
      <c r="C150" s="2" t="n">
        <v>0</v>
      </c>
      <c r="D150" s="2" t="n">
        <v>0</v>
      </c>
      <c r="E150" s="2" t="n">
        <v>0</v>
      </c>
    </row>
    <row r="151" customFormat="false" ht="13.8" hidden="false" customHeight="false" outlineLevel="0" collapsed="false">
      <c r="B151" s="2" t="n">
        <v>149</v>
      </c>
      <c r="C151" s="2" t="n">
        <v>0</v>
      </c>
      <c r="D151" s="2" t="n">
        <v>0</v>
      </c>
      <c r="E151" s="2" t="n">
        <v>0</v>
      </c>
    </row>
    <row r="152" customFormat="false" ht="13.8" hidden="false" customHeight="false" outlineLevel="0" collapsed="false">
      <c r="B152" s="2" t="n">
        <v>150</v>
      </c>
      <c r="C152" s="2" t="n">
        <v>0</v>
      </c>
      <c r="D152" s="2" t="n">
        <v>0</v>
      </c>
      <c r="E152" s="2" t="n">
        <v>0</v>
      </c>
    </row>
    <row r="153" customFormat="false" ht="13.8" hidden="false" customHeight="false" outlineLevel="0" collapsed="false">
      <c r="B153" s="2" t="n">
        <v>151</v>
      </c>
      <c r="C153" s="2" t="n">
        <v>0</v>
      </c>
      <c r="D153" s="2" t="n">
        <v>0</v>
      </c>
      <c r="E153" s="2" t="n">
        <v>0</v>
      </c>
    </row>
    <row r="154" customFormat="false" ht="13.8" hidden="false" customHeight="false" outlineLevel="0" collapsed="false">
      <c r="B154" s="2" t="n">
        <v>152</v>
      </c>
      <c r="C154" s="2" t="n">
        <v>0</v>
      </c>
      <c r="D154" s="2" t="n">
        <v>0</v>
      </c>
      <c r="E154" s="2" t="n">
        <v>0</v>
      </c>
    </row>
    <row r="155" customFormat="false" ht="13.8" hidden="false" customHeight="false" outlineLevel="0" collapsed="false">
      <c r="B155" s="2" t="n">
        <v>153</v>
      </c>
      <c r="C155" s="2" t="n">
        <v>0</v>
      </c>
      <c r="D155" s="2" t="n">
        <v>0</v>
      </c>
      <c r="E155" s="2" t="n">
        <v>0</v>
      </c>
    </row>
    <row r="156" customFormat="false" ht="13.8" hidden="false" customHeight="false" outlineLevel="0" collapsed="false">
      <c r="B156" s="2" t="n">
        <v>154</v>
      </c>
      <c r="C156" s="2" t="n">
        <v>0</v>
      </c>
      <c r="D156" s="2" t="n">
        <v>0</v>
      </c>
      <c r="E156" s="2" t="n">
        <v>0</v>
      </c>
    </row>
    <row r="157" customFormat="false" ht="13.8" hidden="false" customHeight="false" outlineLevel="0" collapsed="false">
      <c r="B157" s="2" t="n">
        <v>155</v>
      </c>
      <c r="C157" s="2" t="n">
        <v>0</v>
      </c>
      <c r="D157" s="2" t="n">
        <v>0</v>
      </c>
      <c r="E157" s="2" t="n">
        <v>0</v>
      </c>
    </row>
    <row r="158" customFormat="false" ht="13.8" hidden="false" customHeight="false" outlineLevel="0" collapsed="false">
      <c r="B158" s="2" t="n">
        <v>156</v>
      </c>
      <c r="C158" s="2" t="n">
        <v>0</v>
      </c>
      <c r="D158" s="2" t="n">
        <v>0</v>
      </c>
      <c r="E158" s="2" t="n">
        <v>0</v>
      </c>
    </row>
    <row r="159" customFormat="false" ht="13.8" hidden="false" customHeight="false" outlineLevel="0" collapsed="false">
      <c r="B159" s="2" t="n">
        <v>157</v>
      </c>
      <c r="C159" s="2" t="n">
        <v>0</v>
      </c>
      <c r="D159" s="2" t="n">
        <v>0</v>
      </c>
      <c r="E159" s="2" t="n">
        <v>0</v>
      </c>
    </row>
    <row r="160" customFormat="false" ht="13.8" hidden="false" customHeight="false" outlineLevel="0" collapsed="false">
      <c r="B160" s="2" t="n">
        <v>158</v>
      </c>
      <c r="C160" s="2" t="n">
        <v>0</v>
      </c>
      <c r="D160" s="2" t="n">
        <v>0</v>
      </c>
      <c r="E160" s="2" t="n">
        <v>0</v>
      </c>
    </row>
    <row r="161" customFormat="false" ht="13.8" hidden="false" customHeight="false" outlineLevel="0" collapsed="false">
      <c r="B161" s="2" t="n">
        <v>159</v>
      </c>
      <c r="C161" s="2" t="n">
        <v>0</v>
      </c>
      <c r="D161" s="2" t="n">
        <v>0</v>
      </c>
      <c r="E161" s="2" t="n">
        <v>0</v>
      </c>
    </row>
    <row r="162" customFormat="false" ht="13.8" hidden="false" customHeight="false" outlineLevel="0" collapsed="false">
      <c r="B162" s="2" t="n">
        <v>160</v>
      </c>
      <c r="C162" s="2" t="n">
        <v>0</v>
      </c>
      <c r="D162" s="2" t="n">
        <v>0</v>
      </c>
      <c r="E162" s="2" t="n">
        <v>0</v>
      </c>
    </row>
    <row r="163" customFormat="false" ht="13.8" hidden="false" customHeight="false" outlineLevel="0" collapsed="false">
      <c r="B163" s="2" t="n">
        <v>161</v>
      </c>
      <c r="C163" s="2" t="n">
        <v>0</v>
      </c>
      <c r="D163" s="2" t="n">
        <v>0</v>
      </c>
      <c r="E163" s="2" t="n">
        <v>0</v>
      </c>
    </row>
    <row r="164" customFormat="false" ht="13.8" hidden="false" customHeight="false" outlineLevel="0" collapsed="false">
      <c r="B164" s="2" t="n">
        <v>162</v>
      </c>
      <c r="C164" s="2" t="n">
        <v>0</v>
      </c>
      <c r="D164" s="2" t="n">
        <v>0</v>
      </c>
      <c r="E164" s="2" t="n">
        <v>0</v>
      </c>
    </row>
    <row r="165" customFormat="false" ht="13.8" hidden="false" customHeight="false" outlineLevel="0" collapsed="false">
      <c r="B165" s="2" t="n">
        <v>163</v>
      </c>
      <c r="C165" s="2" t="n">
        <v>0</v>
      </c>
      <c r="D165" s="2" t="n">
        <v>0</v>
      </c>
      <c r="E165" s="2" t="n">
        <v>0</v>
      </c>
    </row>
    <row r="166" customFormat="false" ht="13.8" hidden="false" customHeight="false" outlineLevel="0" collapsed="false">
      <c r="B166" s="2" t="n">
        <v>164</v>
      </c>
      <c r="C166" s="2" t="n">
        <v>0</v>
      </c>
      <c r="D166" s="2" t="n">
        <v>0</v>
      </c>
      <c r="E166" s="2" t="n">
        <v>0</v>
      </c>
    </row>
    <row r="167" customFormat="false" ht="13.8" hidden="false" customHeight="false" outlineLevel="0" collapsed="false">
      <c r="B167" s="2" t="n">
        <v>165</v>
      </c>
      <c r="C167" s="2" t="n">
        <v>0</v>
      </c>
      <c r="D167" s="2" t="n">
        <v>0</v>
      </c>
      <c r="E167" s="2" t="n">
        <v>0</v>
      </c>
    </row>
    <row r="168" customFormat="false" ht="13.8" hidden="false" customHeight="false" outlineLevel="0" collapsed="false">
      <c r="B168" s="2" t="n">
        <v>166</v>
      </c>
      <c r="C168" s="2" t="n">
        <v>0</v>
      </c>
      <c r="D168" s="2" t="n">
        <v>0</v>
      </c>
      <c r="E168" s="2" t="n">
        <v>0</v>
      </c>
    </row>
    <row r="169" customFormat="false" ht="13.8" hidden="false" customHeight="false" outlineLevel="0" collapsed="false">
      <c r="B169" s="2" t="n">
        <v>167</v>
      </c>
      <c r="C169" s="2" t="n">
        <v>0</v>
      </c>
      <c r="D169" s="2" t="n">
        <v>0</v>
      </c>
      <c r="E169" s="2" t="n">
        <v>0</v>
      </c>
    </row>
    <row r="170" customFormat="false" ht="13.8" hidden="false" customHeight="false" outlineLevel="0" collapsed="false">
      <c r="B170" s="2" t="n">
        <v>168</v>
      </c>
      <c r="C170" s="2" t="n">
        <v>0</v>
      </c>
      <c r="D170" s="2" t="n">
        <v>0</v>
      </c>
      <c r="E170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70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1" sqref="B12:F14 C3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2" t="n">
        <v>1</v>
      </c>
      <c r="C3" s="2" t="n">
        <v>0</v>
      </c>
      <c r="D3" s="2" t="n">
        <v>0</v>
      </c>
      <c r="E3" s="2" t="n">
        <v>0</v>
      </c>
    </row>
    <row r="4" customFormat="false" ht="13.8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</v>
      </c>
    </row>
    <row r="5" customFormat="false" ht="13.8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0</v>
      </c>
    </row>
    <row r="6" customFormat="false" ht="13.8" hidden="false" customHeight="false" outlineLevel="0" collapsed="false">
      <c r="B6" s="2" t="n">
        <v>4</v>
      </c>
      <c r="C6" s="2" t="n">
        <v>0</v>
      </c>
      <c r="D6" s="2" t="n">
        <v>0</v>
      </c>
      <c r="E6" s="2" t="n">
        <v>0</v>
      </c>
    </row>
    <row r="7" customFormat="false" ht="13.8" hidden="false" customHeight="false" outlineLevel="0" collapsed="false">
      <c r="B7" s="2" t="n">
        <v>5</v>
      </c>
      <c r="C7" s="2" t="n">
        <v>0</v>
      </c>
      <c r="D7" s="2" t="n">
        <v>0</v>
      </c>
      <c r="E7" s="2" t="n">
        <v>0</v>
      </c>
    </row>
    <row r="8" customFormat="false" ht="13.8" hidden="false" customHeight="false" outlineLevel="0" collapsed="false">
      <c r="B8" s="2" t="n">
        <v>6</v>
      </c>
      <c r="C8" s="2" t="n">
        <v>0</v>
      </c>
      <c r="D8" s="2" t="n">
        <v>0</v>
      </c>
      <c r="E8" s="2" t="n">
        <v>0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0.0298156636087199</v>
      </c>
      <c r="E9" s="2" t="n">
        <v>0</v>
      </c>
    </row>
    <row r="10" customFormat="false" ht="13.8" hidden="false" customHeight="false" outlineLevel="0" collapsed="false">
      <c r="B10" s="2" t="n">
        <v>8</v>
      </c>
      <c r="C10" s="2" t="n">
        <v>0.00762642123679075</v>
      </c>
      <c r="D10" s="2" t="n">
        <v>0</v>
      </c>
      <c r="E10" s="2" t="n">
        <v>0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0</v>
      </c>
    </row>
    <row r="12" customFormat="false" ht="13.8" hidden="false" customHeight="false" outlineLevel="0" collapsed="false">
      <c r="B12" s="2" t="n">
        <v>10</v>
      </c>
      <c r="C12" s="2" t="n">
        <v>0</v>
      </c>
      <c r="D12" s="2" t="n">
        <v>0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0</v>
      </c>
      <c r="D13" s="2" t="n">
        <v>0</v>
      </c>
      <c r="E13" s="2" t="n">
        <v>0</v>
      </c>
    </row>
    <row r="14" customFormat="false" ht="13.8" hidden="false" customHeight="false" outlineLevel="0" collapsed="false">
      <c r="B14" s="2" t="n">
        <v>12</v>
      </c>
      <c r="C14" s="2" t="n">
        <v>0</v>
      </c>
      <c r="D14" s="2" t="n">
        <v>0</v>
      </c>
      <c r="E14" s="2" t="n">
        <v>0</v>
      </c>
    </row>
    <row r="15" customFormat="false" ht="13.8" hidden="false" customHeight="false" outlineLevel="0" collapsed="false">
      <c r="B15" s="2" t="n">
        <v>13</v>
      </c>
      <c r="C15" s="2" t="n">
        <v>0</v>
      </c>
      <c r="D15" s="2" t="n">
        <v>0.0828447599660988</v>
      </c>
      <c r="E15" s="2" t="n">
        <v>0.362547642420712</v>
      </c>
    </row>
    <row r="16" customFormat="false" ht="13.8" hidden="false" customHeight="false" outlineLevel="0" collapsed="false">
      <c r="B16" s="2" t="n">
        <v>14</v>
      </c>
      <c r="C16" s="2" t="n">
        <v>0.912564392856906</v>
      </c>
      <c r="D16" s="2" t="n">
        <v>1.2557466753578</v>
      </c>
      <c r="E16" s="2" t="n">
        <v>0.486050546284562</v>
      </c>
    </row>
    <row r="17" customFormat="false" ht="13.8" hidden="false" customHeight="false" outlineLevel="0" collapsed="false">
      <c r="B17" s="2" t="n">
        <v>15</v>
      </c>
      <c r="C17" s="2" t="n">
        <v>0.932264980020294</v>
      </c>
      <c r="D17" s="2" t="n">
        <v>0.964931373206459</v>
      </c>
      <c r="E17" s="2" t="n">
        <v>0.389253299817668</v>
      </c>
    </row>
    <row r="18" customFormat="false" ht="13.8" hidden="false" customHeight="false" outlineLevel="0" collapsed="false">
      <c r="B18" s="2" t="n">
        <v>16</v>
      </c>
      <c r="C18" s="2" t="n">
        <v>0.430959357701686</v>
      </c>
      <c r="D18" s="2" t="n">
        <v>0.570268485855282</v>
      </c>
      <c r="E18" s="2" t="n">
        <v>0</v>
      </c>
    </row>
    <row r="19" customFormat="false" ht="13.8" hidden="false" customHeight="false" outlineLevel="0" collapsed="false">
      <c r="B19" s="2" t="n">
        <v>17</v>
      </c>
      <c r="C19" s="2" t="n">
        <v>0.12621814212179</v>
      </c>
      <c r="D19" s="2" t="n">
        <v>0.321793900357251</v>
      </c>
      <c r="E19" s="2" t="n">
        <v>0</v>
      </c>
    </row>
    <row r="20" customFormat="false" ht="13.8" hidden="false" customHeight="false" outlineLevel="0" collapsed="false">
      <c r="B20" s="2" t="n">
        <v>18</v>
      </c>
      <c r="C20" s="2" t="n">
        <v>0</v>
      </c>
      <c r="D20" s="2" t="n">
        <v>0.102944455140315</v>
      </c>
      <c r="E20" s="2" t="n">
        <v>0</v>
      </c>
    </row>
    <row r="21" customFormat="false" ht="13.8" hidden="false" customHeight="false" outlineLevel="0" collapsed="false">
      <c r="B21" s="2" t="n">
        <v>19</v>
      </c>
      <c r="C21" s="2" t="n">
        <v>0</v>
      </c>
      <c r="D21" s="2" t="n">
        <v>0</v>
      </c>
      <c r="E21" s="2" t="n">
        <v>0</v>
      </c>
    </row>
    <row r="22" customFormat="false" ht="13.8" hidden="false" customHeight="false" outlineLevel="0" collapsed="false">
      <c r="B22" s="2" t="n">
        <v>20</v>
      </c>
      <c r="C22" s="2" t="n">
        <v>0</v>
      </c>
      <c r="D22" s="2" t="n">
        <v>0</v>
      </c>
      <c r="E22" s="2" t="n">
        <v>0</v>
      </c>
    </row>
    <row r="23" customFormat="false" ht="13.8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0</v>
      </c>
    </row>
    <row r="24" customFormat="false" ht="13.8" hidden="false" customHeight="false" outlineLevel="0" collapsed="false">
      <c r="B24" s="2" t="n">
        <v>22</v>
      </c>
      <c r="C24" s="2" t="n">
        <v>0</v>
      </c>
      <c r="D24" s="2" t="n">
        <v>0</v>
      </c>
      <c r="E24" s="2" t="n">
        <v>0</v>
      </c>
    </row>
    <row r="25" customFormat="false" ht="13.8" hidden="false" customHeight="false" outlineLevel="0" collapsed="false">
      <c r="B25" s="2" t="n">
        <v>23</v>
      </c>
      <c r="C25" s="2" t="n">
        <v>0</v>
      </c>
      <c r="D25" s="2" t="n">
        <v>0</v>
      </c>
      <c r="E25" s="2" t="n">
        <v>0</v>
      </c>
    </row>
    <row r="26" customFormat="false" ht="13.8" hidden="false" customHeight="false" outlineLevel="0" collapsed="false">
      <c r="B26" s="2" t="n">
        <v>24</v>
      </c>
      <c r="C26" s="2" t="n">
        <v>0</v>
      </c>
      <c r="D26" s="2" t="n">
        <v>0</v>
      </c>
      <c r="E26" s="2" t="n">
        <v>0</v>
      </c>
    </row>
    <row r="27" customFormat="false" ht="13.8" hidden="false" customHeight="false" outlineLevel="0" collapsed="false">
      <c r="B27" s="2" t="n">
        <v>25</v>
      </c>
      <c r="C27" s="2" t="n">
        <v>0</v>
      </c>
      <c r="D27" s="2" t="n">
        <v>0</v>
      </c>
      <c r="E27" s="2" t="n">
        <v>0</v>
      </c>
    </row>
    <row r="28" customFormat="false" ht="13.8" hidden="false" customHeight="false" outlineLevel="0" collapsed="false">
      <c r="B28" s="2" t="n">
        <v>26</v>
      </c>
      <c r="C28" s="2" t="n">
        <v>0</v>
      </c>
      <c r="D28" s="2" t="n">
        <v>0</v>
      </c>
      <c r="E28" s="2" t="n">
        <v>0</v>
      </c>
    </row>
    <row r="29" customFormat="false" ht="13.8" hidden="false" customHeight="false" outlineLevel="0" collapsed="false">
      <c r="B29" s="2" t="n">
        <v>27</v>
      </c>
      <c r="C29" s="2" t="n">
        <v>0</v>
      </c>
      <c r="D29" s="2" t="n">
        <v>0</v>
      </c>
      <c r="E29" s="2" t="n">
        <v>0</v>
      </c>
    </row>
    <row r="30" customFormat="false" ht="13.8" hidden="false" customHeight="false" outlineLevel="0" collapsed="false">
      <c r="B30" s="2" t="n">
        <v>28</v>
      </c>
      <c r="C30" s="2" t="n">
        <v>0</v>
      </c>
      <c r="D30" s="2" t="n">
        <v>0</v>
      </c>
      <c r="E30" s="2" t="n">
        <v>0</v>
      </c>
    </row>
    <row r="31" customFormat="false" ht="13.8" hidden="false" customHeight="false" outlineLevel="0" collapsed="false">
      <c r="B31" s="2" t="n">
        <v>29</v>
      </c>
      <c r="C31" s="2" t="n">
        <v>0</v>
      </c>
      <c r="D31" s="2" t="n">
        <v>0</v>
      </c>
      <c r="E31" s="2" t="n">
        <v>0</v>
      </c>
    </row>
    <row r="32" customFormat="false" ht="13.8" hidden="false" customHeight="false" outlineLevel="0" collapsed="false">
      <c r="B32" s="2" t="n">
        <v>30</v>
      </c>
      <c r="C32" s="2" t="n">
        <v>0</v>
      </c>
      <c r="D32" s="2" t="n">
        <v>0</v>
      </c>
      <c r="E32" s="2" t="n">
        <v>0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0</v>
      </c>
      <c r="E33" s="2" t="n">
        <v>0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0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</v>
      </c>
      <c r="E35" s="2" t="n">
        <v>0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</v>
      </c>
      <c r="E36" s="2" t="n">
        <v>0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0.070370020029033</v>
      </c>
      <c r="E38" s="2" t="n">
        <v>0.112085994078881</v>
      </c>
    </row>
    <row r="39" customFormat="false" ht="13.8" hidden="false" customHeight="false" outlineLevel="0" collapsed="false">
      <c r="B39" s="2" t="n">
        <v>37</v>
      </c>
      <c r="C39" s="2" t="n">
        <v>0.625937043583378</v>
      </c>
      <c r="D39" s="2" t="n">
        <v>1.41328224968477</v>
      </c>
      <c r="E39" s="2" t="n">
        <v>0.331112452668763</v>
      </c>
    </row>
    <row r="40" customFormat="false" ht="13.8" hidden="false" customHeight="false" outlineLevel="0" collapsed="false">
      <c r="B40" s="2" t="n">
        <v>38</v>
      </c>
      <c r="C40" s="2" t="n">
        <v>1.28548380257157</v>
      </c>
      <c r="D40" s="2" t="n">
        <v>1.27945569516683</v>
      </c>
      <c r="E40" s="2" t="n">
        <v>0.528510333501166</v>
      </c>
    </row>
    <row r="41" customFormat="false" ht="13.8" hidden="false" customHeight="false" outlineLevel="0" collapsed="false">
      <c r="B41" s="2" t="n">
        <v>39</v>
      </c>
      <c r="C41" s="2" t="n">
        <v>1.02200013105969</v>
      </c>
      <c r="D41" s="2" t="n">
        <v>1.0184882229003</v>
      </c>
      <c r="E41" s="2" t="n">
        <v>0.422559219015476</v>
      </c>
    </row>
    <row r="42" customFormat="false" ht="13.8" hidden="false" customHeight="false" outlineLevel="0" collapsed="false">
      <c r="B42" s="2" t="n">
        <v>40</v>
      </c>
      <c r="C42" s="2" t="n">
        <v>0.548765171218652</v>
      </c>
      <c r="D42" s="2" t="n">
        <v>0.694116071797794</v>
      </c>
      <c r="E42" s="2" t="n">
        <v>0.251141612143839</v>
      </c>
    </row>
    <row r="43" customFormat="false" ht="13.8" hidden="false" customHeight="false" outlineLevel="0" collapsed="false">
      <c r="B43" s="2" t="n">
        <v>41</v>
      </c>
      <c r="C43" s="2" t="n">
        <v>0.280973098908066</v>
      </c>
      <c r="D43" s="2" t="n">
        <v>0.415442301706864</v>
      </c>
      <c r="E43" s="2" t="n">
        <v>0</v>
      </c>
    </row>
    <row r="44" customFormat="false" ht="13.8" hidden="false" customHeight="false" outlineLevel="0" collapsed="false">
      <c r="B44" s="2" t="n">
        <v>42</v>
      </c>
      <c r="C44" s="2" t="n">
        <v>0</v>
      </c>
      <c r="D44" s="2" t="n">
        <v>0.135825812293534</v>
      </c>
      <c r="E44" s="2" t="n">
        <v>0</v>
      </c>
    </row>
    <row r="45" customFormat="false" ht="13.8" hidden="false" customHeight="false" outlineLevel="0" collapsed="false">
      <c r="B45" s="2" t="n">
        <v>43</v>
      </c>
      <c r="C45" s="2" t="n">
        <v>0</v>
      </c>
      <c r="D45" s="2" t="n">
        <v>0</v>
      </c>
      <c r="E45" s="2" t="n">
        <v>0</v>
      </c>
    </row>
    <row r="46" customFormat="false" ht="13.8" hidden="false" customHeight="false" outlineLevel="0" collapsed="false">
      <c r="B46" s="2" t="n">
        <v>44</v>
      </c>
      <c r="C46" s="2" t="n">
        <v>0</v>
      </c>
      <c r="D46" s="2" t="n">
        <v>0</v>
      </c>
      <c r="E46" s="2" t="n">
        <v>0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0</v>
      </c>
      <c r="E47" s="2" t="n">
        <v>0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0</v>
      </c>
      <c r="E48" s="2" t="n">
        <v>0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0</v>
      </c>
      <c r="E49" s="2" t="n">
        <v>0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0</v>
      </c>
      <c r="E50" s="2" t="n">
        <v>0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0</v>
      </c>
      <c r="E51" s="2" t="n">
        <v>0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0</v>
      </c>
      <c r="E52" s="2" t="n">
        <v>0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0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0</v>
      </c>
      <c r="D54" s="2" t="n">
        <v>0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0</v>
      </c>
      <c r="D55" s="2" t="n">
        <v>0</v>
      </c>
      <c r="E55" s="2" t="n">
        <v>0</v>
      </c>
    </row>
    <row r="56" customFormat="false" ht="13.8" hidden="false" customHeight="false" outlineLevel="0" collapsed="false">
      <c r="B56" s="2" t="n">
        <v>54</v>
      </c>
      <c r="C56" s="2" t="n">
        <v>0</v>
      </c>
      <c r="D56" s="2" t="n">
        <v>0</v>
      </c>
      <c r="E56" s="2" t="n">
        <v>0</v>
      </c>
    </row>
    <row r="57" customFormat="false" ht="13.8" hidden="false" customHeight="false" outlineLevel="0" collapsed="false">
      <c r="B57" s="2" t="n">
        <v>55</v>
      </c>
      <c r="C57" s="2" t="n">
        <v>0</v>
      </c>
      <c r="D57" s="2" t="n">
        <v>0</v>
      </c>
      <c r="E57" s="2" t="n">
        <v>0</v>
      </c>
    </row>
    <row r="58" customFormat="false" ht="13.8" hidden="false" customHeight="false" outlineLevel="0" collapsed="false">
      <c r="B58" s="2" t="n">
        <v>56</v>
      </c>
      <c r="C58" s="2" t="n">
        <v>0</v>
      </c>
      <c r="D58" s="2" t="n">
        <v>0</v>
      </c>
      <c r="E58" s="2" t="n">
        <v>0</v>
      </c>
    </row>
    <row r="59" customFormat="false" ht="13.8" hidden="false" customHeight="false" outlineLevel="0" collapsed="false">
      <c r="B59" s="2" t="n">
        <v>57</v>
      </c>
      <c r="C59" s="2" t="n">
        <v>0</v>
      </c>
      <c r="D59" s="2" t="n">
        <v>0</v>
      </c>
      <c r="E59" s="2" t="n">
        <v>0</v>
      </c>
    </row>
    <row r="60" customFormat="false" ht="13.8" hidden="false" customHeight="false" outlineLevel="0" collapsed="false">
      <c r="B60" s="2" t="n">
        <v>58</v>
      </c>
      <c r="C60" s="2" t="n">
        <v>0</v>
      </c>
      <c r="D60" s="2" t="n">
        <v>0</v>
      </c>
      <c r="E60" s="2" t="n">
        <v>0</v>
      </c>
    </row>
    <row r="61" customFormat="false" ht="13.8" hidden="false" customHeight="false" outlineLevel="0" collapsed="false">
      <c r="B61" s="2" t="n">
        <v>59</v>
      </c>
      <c r="C61" s="2" t="n">
        <v>0</v>
      </c>
      <c r="D61" s="2" t="n">
        <v>0</v>
      </c>
      <c r="E61" s="2" t="n">
        <v>0</v>
      </c>
    </row>
    <row r="62" customFormat="false" ht="13.8" hidden="false" customHeight="false" outlineLevel="0" collapsed="false">
      <c r="B62" s="2" t="n">
        <v>60</v>
      </c>
      <c r="C62" s="2" t="n">
        <v>0</v>
      </c>
      <c r="D62" s="2" t="n">
        <v>0.813780375652359</v>
      </c>
      <c r="E62" s="2" t="n">
        <v>0</v>
      </c>
    </row>
    <row r="63" customFormat="false" ht="13.8" hidden="false" customHeight="false" outlineLevel="0" collapsed="false">
      <c r="B63" s="2" t="n">
        <v>61</v>
      </c>
      <c r="C63" s="2" t="n">
        <v>1.29502509383234</v>
      </c>
      <c r="D63" s="2" t="n">
        <v>1.40760861344786</v>
      </c>
      <c r="E63" s="2" t="n">
        <v>0.27337487084085</v>
      </c>
    </row>
    <row r="64" customFormat="false" ht="13.8" hidden="false" customHeight="false" outlineLevel="0" collapsed="false">
      <c r="B64" s="2" t="n">
        <v>62</v>
      </c>
      <c r="C64" s="2" t="n">
        <v>1.32635433775883</v>
      </c>
      <c r="D64" s="2" t="n">
        <v>1.30201910068118</v>
      </c>
      <c r="E64" s="2" t="n">
        <v>0.54021263278575</v>
      </c>
    </row>
    <row r="65" customFormat="false" ht="13.8" hidden="false" customHeight="false" outlineLevel="0" collapsed="false">
      <c r="B65" s="2" t="n">
        <v>63</v>
      </c>
      <c r="C65" s="2" t="n">
        <v>1.07188143825852</v>
      </c>
      <c r="D65" s="2" t="n">
        <v>1.09340100559055</v>
      </c>
      <c r="E65" s="2" t="n">
        <v>0.427958903817177</v>
      </c>
    </row>
    <row r="66" customFormat="false" ht="13.8" hidden="false" customHeight="false" outlineLevel="0" collapsed="false">
      <c r="B66" s="2" t="n">
        <v>64</v>
      </c>
      <c r="C66" s="2" t="n">
        <v>0.517723346607359</v>
      </c>
      <c r="D66" s="2" t="n">
        <v>0.615887688341089</v>
      </c>
      <c r="E66" s="2" t="n">
        <v>0.120391688546801</v>
      </c>
    </row>
    <row r="67" customFormat="false" ht="13.8" hidden="false" customHeight="false" outlineLevel="0" collapsed="false">
      <c r="B67" s="2" t="n">
        <v>65</v>
      </c>
      <c r="C67" s="2" t="n">
        <v>0</v>
      </c>
      <c r="D67" s="2" t="n">
        <v>0.0923172123851741</v>
      </c>
      <c r="E67" s="2" t="n">
        <v>0</v>
      </c>
    </row>
    <row r="68" customFormat="false" ht="13.8" hidden="false" customHeight="false" outlineLevel="0" collapsed="false">
      <c r="B68" s="2" t="n">
        <v>66</v>
      </c>
      <c r="C68" s="2" t="n">
        <v>0</v>
      </c>
      <c r="D68" s="2" t="n">
        <v>0</v>
      </c>
      <c r="E68" s="2" t="n">
        <v>0</v>
      </c>
    </row>
    <row r="69" customFormat="false" ht="13.8" hidden="false" customHeight="false" outlineLevel="0" collapsed="false">
      <c r="B69" s="2" t="n">
        <v>67</v>
      </c>
      <c r="C69" s="2" t="n">
        <v>0</v>
      </c>
      <c r="D69" s="2" t="n">
        <v>0</v>
      </c>
      <c r="E69" s="2" t="n">
        <v>0</v>
      </c>
    </row>
    <row r="70" customFormat="false" ht="13.8" hidden="false" customHeight="false" outlineLevel="0" collapsed="false">
      <c r="B70" s="2" t="n">
        <v>68</v>
      </c>
      <c r="C70" s="2" t="n">
        <v>0</v>
      </c>
      <c r="D70" s="2" t="n">
        <v>0</v>
      </c>
      <c r="E70" s="2" t="n">
        <v>0</v>
      </c>
    </row>
    <row r="71" customFormat="false" ht="13.8" hidden="false" customHeight="false" outlineLevel="0" collapsed="false">
      <c r="B71" s="2" t="n">
        <v>69</v>
      </c>
      <c r="C71" s="2" t="n">
        <v>0</v>
      </c>
      <c r="D71" s="2" t="n">
        <v>0</v>
      </c>
      <c r="E71" s="2" t="n">
        <v>0</v>
      </c>
    </row>
    <row r="72" customFormat="false" ht="13.8" hidden="false" customHeight="false" outlineLevel="0" collapsed="false">
      <c r="B72" s="2" t="n">
        <v>70</v>
      </c>
      <c r="C72" s="2" t="n">
        <v>0</v>
      </c>
      <c r="D72" s="2" t="n">
        <v>0</v>
      </c>
      <c r="E72" s="2" t="n">
        <v>0</v>
      </c>
    </row>
    <row r="73" customFormat="false" ht="13.8" hidden="false" customHeight="false" outlineLevel="0" collapsed="false">
      <c r="B73" s="2" t="n">
        <v>71</v>
      </c>
      <c r="C73" s="2" t="n">
        <v>0</v>
      </c>
      <c r="D73" s="2" t="n">
        <v>0</v>
      </c>
      <c r="E73" s="2" t="n">
        <v>0</v>
      </c>
    </row>
    <row r="74" customFormat="false" ht="13.8" hidden="false" customHeight="false" outlineLevel="0" collapsed="false">
      <c r="B74" s="2" t="n">
        <v>72</v>
      </c>
      <c r="C74" s="2" t="n">
        <v>0</v>
      </c>
      <c r="D74" s="2" t="n">
        <v>0</v>
      </c>
      <c r="E74" s="2" t="n">
        <v>0</v>
      </c>
    </row>
    <row r="75" customFormat="false" ht="13.8" hidden="false" customHeight="false" outlineLevel="0" collapsed="false">
      <c r="B75" s="2" t="n">
        <v>73</v>
      </c>
      <c r="C75" s="2" t="n">
        <v>0</v>
      </c>
      <c r="D75" s="2" t="n">
        <v>0</v>
      </c>
      <c r="E75" s="2" t="n">
        <v>0</v>
      </c>
    </row>
    <row r="76" customFormat="false" ht="13.8" hidden="false" customHeight="false" outlineLevel="0" collapsed="false">
      <c r="B76" s="2" t="n">
        <v>74</v>
      </c>
      <c r="C76" s="2" t="n">
        <v>0</v>
      </c>
      <c r="D76" s="2" t="n">
        <v>0</v>
      </c>
      <c r="E76" s="2" t="n">
        <v>0</v>
      </c>
    </row>
    <row r="77" customFormat="false" ht="13.8" hidden="false" customHeight="false" outlineLevel="0" collapsed="false">
      <c r="B77" s="2" t="n">
        <v>75</v>
      </c>
      <c r="C77" s="2" t="n">
        <v>0</v>
      </c>
      <c r="D77" s="2" t="n">
        <v>0</v>
      </c>
      <c r="E77" s="2" t="n">
        <v>0</v>
      </c>
    </row>
    <row r="78" customFormat="false" ht="13.8" hidden="false" customHeight="false" outlineLevel="0" collapsed="false">
      <c r="B78" s="2" t="n">
        <v>76</v>
      </c>
      <c r="C78" s="2" t="n">
        <v>0</v>
      </c>
      <c r="D78" s="2" t="n">
        <v>0</v>
      </c>
      <c r="E78" s="2" t="n">
        <v>0</v>
      </c>
    </row>
    <row r="79" customFormat="false" ht="13.8" hidden="false" customHeight="false" outlineLevel="0" collapsed="false">
      <c r="B79" s="2" t="n">
        <v>77</v>
      </c>
      <c r="C79" s="2" t="n">
        <v>0</v>
      </c>
      <c r="D79" s="2" t="n">
        <v>0</v>
      </c>
      <c r="E79" s="2" t="n">
        <v>0</v>
      </c>
    </row>
    <row r="80" customFormat="false" ht="13.8" hidden="false" customHeight="false" outlineLevel="0" collapsed="false">
      <c r="B80" s="2" t="n">
        <v>78</v>
      </c>
      <c r="C80" s="2" t="n">
        <v>0</v>
      </c>
      <c r="D80" s="2" t="n">
        <v>0</v>
      </c>
      <c r="E80" s="2" t="n">
        <v>0</v>
      </c>
    </row>
    <row r="81" customFormat="false" ht="13.8" hidden="false" customHeight="false" outlineLevel="0" collapsed="false">
      <c r="B81" s="2" t="n">
        <v>79</v>
      </c>
      <c r="C81" s="2" t="n">
        <v>0</v>
      </c>
      <c r="D81" s="2" t="n">
        <v>0</v>
      </c>
      <c r="E81" s="2" t="n">
        <v>0</v>
      </c>
    </row>
    <row r="82" customFormat="false" ht="13.8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0</v>
      </c>
    </row>
    <row r="83" customFormat="false" ht="13.8" hidden="false" customHeight="false" outlineLevel="0" collapsed="false">
      <c r="B83" s="2" t="n">
        <v>81</v>
      </c>
      <c r="C83" s="2" t="n">
        <v>0</v>
      </c>
      <c r="D83" s="2" t="n">
        <v>0</v>
      </c>
      <c r="E83" s="2" t="n">
        <v>0</v>
      </c>
    </row>
    <row r="84" customFormat="false" ht="13.8" hidden="false" customHeight="false" outlineLevel="0" collapsed="false">
      <c r="B84" s="2" t="n">
        <v>82</v>
      </c>
      <c r="C84" s="2" t="n">
        <v>0</v>
      </c>
      <c r="D84" s="2" t="n">
        <v>0</v>
      </c>
      <c r="E84" s="2" t="n">
        <v>0</v>
      </c>
    </row>
    <row r="85" customFormat="false" ht="13.8" hidden="false" customHeight="false" outlineLevel="0" collapsed="false">
      <c r="B85" s="2" t="n">
        <v>83</v>
      </c>
      <c r="C85" s="2" t="n">
        <v>0</v>
      </c>
      <c r="D85" s="2" t="n">
        <v>0</v>
      </c>
      <c r="E85" s="2" t="n">
        <v>0</v>
      </c>
    </row>
    <row r="86" customFormat="false" ht="13.8" hidden="false" customHeight="false" outlineLevel="0" collapsed="false">
      <c r="B86" s="2" t="n">
        <v>84</v>
      </c>
      <c r="C86" s="2" t="n">
        <v>1.2751846049031</v>
      </c>
      <c r="D86" s="2" t="n">
        <v>0.927456648251753</v>
      </c>
      <c r="E86" s="2" t="n">
        <v>0.123946317356574</v>
      </c>
    </row>
    <row r="87" customFormat="false" ht="13.8" hidden="false" customHeight="false" outlineLevel="0" collapsed="false">
      <c r="B87" s="2" t="n">
        <v>85</v>
      </c>
      <c r="C87" s="2" t="n">
        <v>1.38483198524904</v>
      </c>
      <c r="D87" s="2" t="n">
        <v>1.29124834684809</v>
      </c>
      <c r="E87" s="2" t="n">
        <v>0.534629023027466</v>
      </c>
    </row>
    <row r="88" customFormat="false" ht="13.8" hidden="false" customHeight="false" outlineLevel="0" collapsed="false">
      <c r="B88" s="2" t="n">
        <v>86</v>
      </c>
      <c r="C88" s="2" t="n">
        <v>1.01456155160346</v>
      </c>
      <c r="D88" s="2" t="n">
        <v>1.05352966920957</v>
      </c>
      <c r="E88" s="2" t="n">
        <v>0.411350394054947</v>
      </c>
    </row>
    <row r="89" customFormat="false" ht="13.8" hidden="false" customHeight="false" outlineLevel="0" collapsed="false">
      <c r="B89" s="2" t="n">
        <v>87</v>
      </c>
      <c r="C89" s="2" t="n">
        <v>0.544751800386616</v>
      </c>
      <c r="D89" s="2" t="n">
        <v>0.660170753204596</v>
      </c>
      <c r="E89" s="2" t="n">
        <v>0.207358228437453</v>
      </c>
    </row>
    <row r="90" customFormat="false" ht="13.8" hidden="false" customHeight="false" outlineLevel="0" collapsed="false">
      <c r="B90" s="2" t="n">
        <v>88</v>
      </c>
      <c r="C90" s="2" t="n">
        <v>0.193030685822236</v>
      </c>
      <c r="D90" s="2" t="n">
        <v>0.366777200308</v>
      </c>
      <c r="E90" s="2" t="n">
        <v>0.0552071424993588</v>
      </c>
    </row>
    <row r="91" customFormat="false" ht="13.8" hidden="false" customHeight="false" outlineLevel="0" collapsed="false">
      <c r="B91" s="2" t="n">
        <v>89</v>
      </c>
      <c r="C91" s="2" t="n">
        <v>0</v>
      </c>
      <c r="D91" s="2" t="n">
        <v>0.0919881266374596</v>
      </c>
      <c r="E91" s="2" t="n">
        <v>0</v>
      </c>
    </row>
    <row r="92" customFormat="false" ht="13.8" hidden="false" customHeight="false" outlineLevel="0" collapsed="false">
      <c r="B92" s="2" t="n">
        <v>90</v>
      </c>
      <c r="C92" s="2" t="n">
        <v>0</v>
      </c>
      <c r="D92" s="2" t="n">
        <v>0.0290609932850141</v>
      </c>
      <c r="E92" s="2" t="n">
        <v>0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0</v>
      </c>
      <c r="E93" s="2" t="n">
        <v>0</v>
      </c>
    </row>
    <row r="94" customFormat="false" ht="13.8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0</v>
      </c>
    </row>
    <row r="95" customFormat="false" ht="13.8" hidden="false" customHeight="false" outlineLevel="0" collapsed="false">
      <c r="B95" s="2" t="n">
        <v>93</v>
      </c>
      <c r="C95" s="2" t="n">
        <v>0</v>
      </c>
      <c r="D95" s="2" t="n">
        <v>0</v>
      </c>
      <c r="E95" s="2" t="n">
        <v>0</v>
      </c>
    </row>
    <row r="96" customFormat="false" ht="13.8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0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0</v>
      </c>
      <c r="E97" s="2" t="n">
        <v>0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0</v>
      </c>
      <c r="E98" s="2" t="n">
        <v>0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0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0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0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0</v>
      </c>
    </row>
    <row r="103" customFormat="false" ht="13.8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0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0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0.000751056938263535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0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0.596526845784522</v>
      </c>
      <c r="E109" s="2" t="n">
        <v>0.412058637028041</v>
      </c>
    </row>
    <row r="110" customFormat="false" ht="13.8" hidden="false" customHeight="false" outlineLevel="0" collapsed="false">
      <c r="B110" s="2" t="n">
        <v>108</v>
      </c>
      <c r="C110" s="2" t="n">
        <v>1.39276007099553</v>
      </c>
      <c r="D110" s="2" t="n">
        <v>1.35016211867577</v>
      </c>
      <c r="E110" s="2" t="n">
        <v>0.632264057393361</v>
      </c>
    </row>
    <row r="111" customFormat="false" ht="13.8" hidden="false" customHeight="false" outlineLevel="0" collapsed="false">
      <c r="B111" s="2" t="n">
        <v>109</v>
      </c>
      <c r="C111" s="2" t="n">
        <v>1.47785381838147</v>
      </c>
      <c r="D111" s="2" t="n">
        <v>1.41432641649331</v>
      </c>
      <c r="E111" s="2" t="n">
        <v>0.598456130906299</v>
      </c>
    </row>
    <row r="112" customFormat="false" ht="13.8" hidden="false" customHeight="false" outlineLevel="0" collapsed="false">
      <c r="B112" s="2" t="n">
        <v>110</v>
      </c>
      <c r="C112" s="2" t="n">
        <v>0.981297180874557</v>
      </c>
      <c r="D112" s="2" t="n">
        <v>1.01490044595153</v>
      </c>
      <c r="E112" s="2" t="n">
        <v>0.428150765592661</v>
      </c>
    </row>
    <row r="113" customFormat="false" ht="13.8" hidden="false" customHeight="false" outlineLevel="0" collapsed="false">
      <c r="B113" s="2" t="n">
        <v>111</v>
      </c>
      <c r="C113" s="2" t="n">
        <v>0.315720532794163</v>
      </c>
      <c r="D113" s="2" t="n">
        <v>0.455113217444508</v>
      </c>
      <c r="E113" s="2" t="n">
        <v>0.157100521428947</v>
      </c>
    </row>
    <row r="114" customFormat="false" ht="13.8" hidden="false" customHeight="false" outlineLevel="0" collapsed="false">
      <c r="B114" s="2" t="n">
        <v>112</v>
      </c>
      <c r="C114" s="2" t="n">
        <v>0.336043846795029</v>
      </c>
      <c r="D114" s="2" t="n">
        <v>0.481415333972366</v>
      </c>
      <c r="E114" s="2" t="n">
        <v>0.114657380429764</v>
      </c>
    </row>
    <row r="115" customFormat="false" ht="13.8" hidden="false" customHeight="false" outlineLevel="0" collapsed="false">
      <c r="B115" s="2" t="n">
        <v>113</v>
      </c>
      <c r="C115" s="2" t="n">
        <v>0.072067081844607</v>
      </c>
      <c r="D115" s="2" t="n">
        <v>0.291918852854207</v>
      </c>
      <c r="E115" s="2" t="n">
        <v>0.0163863206231533</v>
      </c>
    </row>
    <row r="116" customFormat="false" ht="13.8" hidden="false" customHeight="false" outlineLevel="0" collapsed="false">
      <c r="B116" s="2" t="n">
        <v>114</v>
      </c>
      <c r="C116" s="2" t="n">
        <v>0</v>
      </c>
      <c r="D116" s="2" t="n">
        <v>0.114227395061956</v>
      </c>
      <c r="E116" s="2" t="n">
        <v>0</v>
      </c>
    </row>
    <row r="117" customFormat="false" ht="13.8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</v>
      </c>
    </row>
    <row r="120" customFormat="false" ht="13.8" hidden="false" customHeight="false" outlineLevel="0" collapsed="false">
      <c r="B120" s="2" t="n">
        <v>118</v>
      </c>
      <c r="C120" s="2" t="n">
        <v>0</v>
      </c>
      <c r="D120" s="2" t="n">
        <v>0</v>
      </c>
      <c r="E120" s="2" t="n">
        <v>0</v>
      </c>
    </row>
    <row r="121" customFormat="false" ht="13.8" hidden="false" customHeight="false" outlineLevel="0" collapsed="false">
      <c r="B121" s="2" t="n">
        <v>119</v>
      </c>
      <c r="C121" s="2" t="n">
        <v>0</v>
      </c>
      <c r="D121" s="2" t="n">
        <v>0</v>
      </c>
      <c r="E121" s="2" t="n">
        <v>0</v>
      </c>
    </row>
    <row r="122" customFormat="false" ht="13.8" hidden="false" customHeight="false" outlineLevel="0" collapsed="false">
      <c r="B122" s="2" t="n">
        <v>120</v>
      </c>
      <c r="C122" s="2" t="n">
        <v>0</v>
      </c>
      <c r="D122" s="2" t="n">
        <v>0</v>
      </c>
      <c r="E122" s="2" t="n">
        <v>0</v>
      </c>
    </row>
    <row r="123" customFormat="false" ht="13.8" hidden="false" customHeight="false" outlineLevel="0" collapsed="false">
      <c r="B123" s="2" t="n">
        <v>121</v>
      </c>
      <c r="C123" s="2" t="n">
        <v>0</v>
      </c>
      <c r="D123" s="2" t="n">
        <v>0</v>
      </c>
      <c r="E123" s="2" t="n">
        <v>0</v>
      </c>
    </row>
    <row r="124" customFormat="false" ht="13.8" hidden="false" customHeight="false" outlineLevel="0" collapsed="false">
      <c r="B124" s="2" t="n">
        <v>122</v>
      </c>
      <c r="C124" s="2" t="n">
        <v>0</v>
      </c>
      <c r="D124" s="2" t="n">
        <v>0</v>
      </c>
      <c r="E124" s="2" t="n">
        <v>0</v>
      </c>
    </row>
    <row r="125" customFormat="false" ht="13.8" hidden="false" customHeight="false" outlineLevel="0" collapsed="false">
      <c r="B125" s="2" t="n">
        <v>123</v>
      </c>
      <c r="C125" s="2" t="n">
        <v>0</v>
      </c>
      <c r="D125" s="2" t="n">
        <v>0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0</v>
      </c>
      <c r="D126" s="2" t="n">
        <v>0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0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0.0112656196191285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</v>
      </c>
      <c r="D130" s="2" t="n">
        <v>0.151436353514066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0.330000060224617</v>
      </c>
      <c r="D131" s="2" t="n">
        <v>0.467687757067704</v>
      </c>
      <c r="E131" s="2" t="n">
        <v>0.138237290551757</v>
      </c>
    </row>
    <row r="132" customFormat="false" ht="13.8" hidden="false" customHeight="false" outlineLevel="0" collapsed="false">
      <c r="B132" s="2" t="n">
        <v>130</v>
      </c>
      <c r="C132" s="2" t="n">
        <v>0.598245690775931</v>
      </c>
      <c r="D132" s="2" t="n">
        <v>0.689991365471177</v>
      </c>
      <c r="E132" s="2" t="n">
        <v>0.253321912289241</v>
      </c>
    </row>
    <row r="133" customFormat="false" ht="13.8" hidden="false" customHeight="false" outlineLevel="0" collapsed="false">
      <c r="B133" s="2" t="n">
        <v>131</v>
      </c>
      <c r="C133" s="2" t="n">
        <v>0.849422550077375</v>
      </c>
      <c r="D133" s="2" t="n">
        <v>0.908120780969428</v>
      </c>
      <c r="E133" s="2" t="n">
        <v>0.263807854239859</v>
      </c>
    </row>
    <row r="134" customFormat="false" ht="13.8" hidden="false" customHeight="false" outlineLevel="0" collapsed="false">
      <c r="B134" s="2" t="n">
        <v>132</v>
      </c>
      <c r="C134" s="2" t="n">
        <v>1.03715098231859</v>
      </c>
      <c r="D134" s="2" t="n">
        <v>1.07407154798795</v>
      </c>
      <c r="E134" s="2" t="n">
        <v>0.296234765606353</v>
      </c>
    </row>
    <row r="135" customFormat="false" ht="13.8" hidden="false" customHeight="false" outlineLevel="0" collapsed="false">
      <c r="B135" s="2" t="n">
        <v>133</v>
      </c>
      <c r="C135" s="2" t="n">
        <v>0.880886862094725</v>
      </c>
      <c r="D135" s="2" t="n">
        <v>0.9093480481188</v>
      </c>
      <c r="E135" s="2" t="n">
        <v>0.203778369893456</v>
      </c>
    </row>
    <row r="136" customFormat="false" ht="13.8" hidden="false" customHeight="false" outlineLevel="0" collapsed="false">
      <c r="B136" s="2" t="n">
        <v>134</v>
      </c>
      <c r="C136" s="2" t="n">
        <v>0.554648432215121</v>
      </c>
      <c r="D136" s="2" t="n">
        <v>0.642145266948204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0.0140268264282741</v>
      </c>
      <c r="D137" s="2" t="n">
        <v>0.209226780007449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0</v>
      </c>
      <c r="D138" s="2" t="n">
        <v>0.0603736258964951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0</v>
      </c>
      <c r="D139" s="2" t="n">
        <v>0.036869975388675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0</v>
      </c>
      <c r="D140" s="2" t="n">
        <v>0.00388799602074867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0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0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0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0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0</v>
      </c>
      <c r="D145" s="2" t="n">
        <v>0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0</v>
      </c>
      <c r="D146" s="2" t="n">
        <v>0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0</v>
      </c>
      <c r="D147" s="2" t="n">
        <v>0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0</v>
      </c>
      <c r="D148" s="2" t="n">
        <v>0</v>
      </c>
      <c r="E148" s="2" t="n">
        <v>0</v>
      </c>
    </row>
    <row r="149" customFormat="false" ht="13.8" hidden="false" customHeight="false" outlineLevel="0" collapsed="false">
      <c r="B149" s="2" t="n">
        <v>147</v>
      </c>
      <c r="C149" s="2" t="n">
        <v>0</v>
      </c>
      <c r="D149" s="2" t="n">
        <v>0</v>
      </c>
      <c r="E149" s="2" t="n">
        <v>0</v>
      </c>
    </row>
    <row r="150" customFormat="false" ht="13.8" hidden="false" customHeight="false" outlineLevel="0" collapsed="false">
      <c r="B150" s="2" t="n">
        <v>148</v>
      </c>
      <c r="C150" s="2" t="n">
        <v>0</v>
      </c>
      <c r="D150" s="2" t="n">
        <v>0</v>
      </c>
      <c r="E150" s="2" t="n">
        <v>0</v>
      </c>
    </row>
    <row r="151" customFormat="false" ht="13.8" hidden="false" customHeight="false" outlineLevel="0" collapsed="false">
      <c r="B151" s="2" t="n">
        <v>149</v>
      </c>
      <c r="C151" s="2" t="n">
        <v>0</v>
      </c>
      <c r="D151" s="2" t="n">
        <v>0</v>
      </c>
      <c r="E151" s="2" t="n">
        <v>0</v>
      </c>
    </row>
    <row r="152" customFormat="false" ht="13.8" hidden="false" customHeight="false" outlineLevel="0" collapsed="false">
      <c r="B152" s="2" t="n">
        <v>150</v>
      </c>
      <c r="C152" s="2" t="n">
        <v>0</v>
      </c>
      <c r="D152" s="2" t="n">
        <v>0</v>
      </c>
      <c r="E152" s="2" t="n">
        <v>0</v>
      </c>
    </row>
    <row r="153" customFormat="false" ht="13.8" hidden="false" customHeight="false" outlineLevel="0" collapsed="false">
      <c r="B153" s="2" t="n">
        <v>151</v>
      </c>
      <c r="C153" s="2" t="n">
        <v>0</v>
      </c>
      <c r="D153" s="2" t="n">
        <v>0</v>
      </c>
      <c r="E153" s="2" t="n">
        <v>0</v>
      </c>
    </row>
    <row r="154" customFormat="false" ht="13.8" hidden="false" customHeight="false" outlineLevel="0" collapsed="false">
      <c r="B154" s="2" t="n">
        <v>152</v>
      </c>
      <c r="C154" s="2" t="n">
        <v>0</v>
      </c>
      <c r="D154" s="2" t="n">
        <v>0</v>
      </c>
      <c r="E154" s="2" t="n">
        <v>0</v>
      </c>
    </row>
    <row r="155" customFormat="false" ht="13.8" hidden="false" customHeight="false" outlineLevel="0" collapsed="false">
      <c r="B155" s="2" t="n">
        <v>153</v>
      </c>
      <c r="C155" s="2" t="n">
        <v>0</v>
      </c>
      <c r="D155" s="2" t="n">
        <v>0</v>
      </c>
      <c r="E155" s="2" t="n">
        <v>0</v>
      </c>
    </row>
    <row r="156" customFormat="false" ht="13.8" hidden="false" customHeight="false" outlineLevel="0" collapsed="false">
      <c r="B156" s="2" t="n">
        <v>154</v>
      </c>
      <c r="C156" s="2" t="n">
        <v>0</v>
      </c>
      <c r="D156" s="2" t="n">
        <v>0</v>
      </c>
      <c r="E156" s="2" t="n">
        <v>0.130503838603394</v>
      </c>
    </row>
    <row r="157" customFormat="false" ht="13.8" hidden="false" customHeight="false" outlineLevel="0" collapsed="false">
      <c r="B157" s="2" t="n">
        <v>155</v>
      </c>
      <c r="C157" s="2" t="n">
        <v>0</v>
      </c>
      <c r="D157" s="2" t="n">
        <v>0</v>
      </c>
      <c r="E157" s="2" t="n">
        <v>0.412191883330709</v>
      </c>
    </row>
    <row r="158" customFormat="false" ht="13.8" hidden="false" customHeight="false" outlineLevel="0" collapsed="false">
      <c r="B158" s="2" t="n">
        <v>156</v>
      </c>
      <c r="C158" s="2" t="n">
        <v>0.689682775687876</v>
      </c>
      <c r="D158" s="2" t="n">
        <v>0</v>
      </c>
      <c r="E158" s="2" t="n">
        <v>0.361144864608097</v>
      </c>
    </row>
    <row r="159" customFormat="false" ht="13.8" hidden="false" customHeight="false" outlineLevel="0" collapsed="false">
      <c r="B159" s="2" t="n">
        <v>157</v>
      </c>
      <c r="C159" s="2" t="n">
        <v>1.06058365076776</v>
      </c>
      <c r="D159" s="2" t="n">
        <v>0.53924925913024</v>
      </c>
      <c r="E159" s="2" t="n">
        <v>0.325668678578249</v>
      </c>
    </row>
    <row r="160" customFormat="false" ht="13.8" hidden="false" customHeight="false" outlineLevel="0" collapsed="false">
      <c r="B160" s="2" t="n">
        <v>158</v>
      </c>
      <c r="C160" s="2" t="n">
        <v>0.648347029165866</v>
      </c>
      <c r="D160" s="2" t="n">
        <v>0.696657207609093</v>
      </c>
      <c r="E160" s="2" t="n">
        <v>0.164944220832503</v>
      </c>
    </row>
    <row r="161" customFormat="false" ht="13.8" hidden="false" customHeight="false" outlineLevel="0" collapsed="false">
      <c r="B161" s="2" t="n">
        <v>159</v>
      </c>
      <c r="C161" s="2" t="n">
        <v>0.449199029446113</v>
      </c>
      <c r="D161" s="2" t="n">
        <v>0.579571962632775</v>
      </c>
      <c r="E161" s="2" t="n">
        <v>0.129223401084744</v>
      </c>
    </row>
    <row r="162" customFormat="false" ht="13.8" hidden="false" customHeight="false" outlineLevel="0" collapsed="false">
      <c r="B162" s="2" t="n">
        <v>160</v>
      </c>
      <c r="C162" s="2" t="n">
        <v>0.122510580326583</v>
      </c>
      <c r="D162" s="2" t="n">
        <v>0.309278744628379</v>
      </c>
      <c r="E162" s="2" t="n">
        <v>0</v>
      </c>
    </row>
    <row r="163" customFormat="false" ht="13.8" hidden="false" customHeight="false" outlineLevel="0" collapsed="false">
      <c r="B163" s="2" t="n">
        <v>161</v>
      </c>
      <c r="C163" s="2" t="n">
        <v>0</v>
      </c>
      <c r="D163" s="2" t="n">
        <v>0.06123964102206</v>
      </c>
      <c r="E163" s="2" t="n">
        <v>0</v>
      </c>
    </row>
    <row r="164" customFormat="false" ht="13.8" hidden="false" customHeight="false" outlineLevel="0" collapsed="false">
      <c r="B164" s="2" t="n">
        <v>162</v>
      </c>
      <c r="C164" s="2" t="n">
        <v>0</v>
      </c>
      <c r="D164" s="2" t="n">
        <v>0.0281454915808459</v>
      </c>
      <c r="E164" s="2" t="n">
        <v>0</v>
      </c>
    </row>
    <row r="165" customFormat="false" ht="13.8" hidden="false" customHeight="false" outlineLevel="0" collapsed="false">
      <c r="B165" s="2" t="n">
        <v>163</v>
      </c>
      <c r="C165" s="2" t="n">
        <v>0</v>
      </c>
      <c r="D165" s="2" t="n">
        <v>0</v>
      </c>
      <c r="E165" s="2" t="n">
        <v>0</v>
      </c>
    </row>
    <row r="166" customFormat="false" ht="13.8" hidden="false" customHeight="false" outlineLevel="0" collapsed="false">
      <c r="B166" s="2" t="n">
        <v>164</v>
      </c>
      <c r="C166" s="2" t="n">
        <v>0</v>
      </c>
      <c r="D166" s="2" t="n">
        <v>0</v>
      </c>
      <c r="E166" s="2" t="n">
        <v>0</v>
      </c>
    </row>
    <row r="167" customFormat="false" ht="13.8" hidden="false" customHeight="false" outlineLevel="0" collapsed="false">
      <c r="B167" s="2" t="n">
        <v>165</v>
      </c>
      <c r="C167" s="2" t="n">
        <v>0</v>
      </c>
      <c r="D167" s="2" t="n">
        <v>0</v>
      </c>
      <c r="E167" s="2" t="n">
        <v>0</v>
      </c>
    </row>
    <row r="168" customFormat="false" ht="13.8" hidden="false" customHeight="false" outlineLevel="0" collapsed="false">
      <c r="B168" s="2" t="n">
        <v>166</v>
      </c>
      <c r="C168" s="2" t="n">
        <v>0</v>
      </c>
      <c r="D168" s="2" t="n">
        <v>0</v>
      </c>
      <c r="E168" s="2" t="n">
        <v>0</v>
      </c>
    </row>
    <row r="169" customFormat="false" ht="13.8" hidden="false" customHeight="false" outlineLevel="0" collapsed="false">
      <c r="B169" s="2" t="n">
        <v>167</v>
      </c>
      <c r="C169" s="2" t="n">
        <v>0</v>
      </c>
      <c r="D169" s="2" t="n">
        <v>0</v>
      </c>
      <c r="E169" s="2" t="n">
        <v>0</v>
      </c>
    </row>
    <row r="170" customFormat="false" ht="13.8" hidden="false" customHeight="false" outlineLevel="0" collapsed="false">
      <c r="B170" s="2" t="n">
        <v>168</v>
      </c>
      <c r="C170" s="2" t="n">
        <v>0</v>
      </c>
      <c r="D170" s="2" t="n">
        <v>0</v>
      </c>
      <c r="E170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70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1" sqref="B12:F14 C3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2" t="n">
        <v>1</v>
      </c>
      <c r="C3" s="2" t="n">
        <v>0.168740816666674</v>
      </c>
      <c r="D3" s="2" t="n">
        <v>0.0333333333333474</v>
      </c>
      <c r="E3" s="2" t="n">
        <v>0.0583337166666686</v>
      </c>
    </row>
    <row r="4" customFormat="false" ht="13.8" hidden="false" customHeight="false" outlineLevel="0" collapsed="false">
      <c r="B4" s="2" t="n">
        <v>2</v>
      </c>
      <c r="C4" s="2" t="n">
        <v>0.189134283333339</v>
      </c>
      <c r="D4" s="2" t="n">
        <v>0.400000000000011</v>
      </c>
      <c r="E4" s="2" t="n">
        <v>0.0700000000000016</v>
      </c>
    </row>
    <row r="5" customFormat="false" ht="13.8" hidden="false" customHeight="false" outlineLevel="0" collapsed="false">
      <c r="B5" s="2" t="n">
        <v>3</v>
      </c>
      <c r="C5" s="2" t="n">
        <v>0.168067166666672</v>
      </c>
      <c r="D5" s="2" t="n">
        <v>0.400000000000009</v>
      </c>
      <c r="E5" s="2" t="n">
        <v>0.0650003500000015</v>
      </c>
    </row>
    <row r="6" customFormat="false" ht="13.8" hidden="false" customHeight="false" outlineLevel="0" collapsed="false">
      <c r="B6" s="2" t="n">
        <v>4</v>
      </c>
      <c r="C6" s="2" t="n">
        <v>0.281233616666671</v>
      </c>
      <c r="D6" s="2" t="n">
        <v>0.400000000000007</v>
      </c>
      <c r="E6" s="2" t="n">
        <v>0.0600000500000013</v>
      </c>
    </row>
    <row r="7" customFormat="false" ht="13.8" hidden="false" customHeight="false" outlineLevel="0" collapsed="false">
      <c r="B7" s="2" t="n">
        <v>5</v>
      </c>
      <c r="C7" s="2" t="n">
        <v>0.210734283333337</v>
      </c>
      <c r="D7" s="2" t="n">
        <v>0.400000000000005</v>
      </c>
      <c r="E7" s="2" t="n">
        <v>0.0616670333333345</v>
      </c>
    </row>
    <row r="8" customFormat="false" ht="13.8" hidden="false" customHeight="false" outlineLevel="0" collapsed="false">
      <c r="B8" s="2" t="n">
        <v>6</v>
      </c>
      <c r="C8" s="2" t="n">
        <v>0.267279808576647</v>
      </c>
      <c r="D8" s="2" t="n">
        <v>0.099146356519092</v>
      </c>
      <c r="E8" s="2" t="n">
        <v>0.0595573586683669</v>
      </c>
    </row>
    <row r="9" customFormat="false" ht="13.8" hidden="false" customHeight="false" outlineLevel="0" collapsed="false">
      <c r="B9" s="2" t="n">
        <v>7</v>
      </c>
      <c r="C9" s="2" t="n">
        <v>0.239058038691402</v>
      </c>
      <c r="D9" s="2" t="n">
        <v>0</v>
      </c>
      <c r="E9" s="2" t="n">
        <v>0.0545378824747727</v>
      </c>
    </row>
    <row r="10" customFormat="false" ht="13.8" hidden="false" customHeight="false" outlineLevel="0" collapsed="false">
      <c r="B10" s="2" t="n">
        <v>8</v>
      </c>
      <c r="C10" s="2" t="n">
        <v>0</v>
      </c>
      <c r="D10" s="2" t="n">
        <v>0</v>
      </c>
      <c r="E10" s="2" t="n">
        <v>0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0</v>
      </c>
    </row>
    <row r="12" customFormat="false" ht="13.8" hidden="false" customHeight="false" outlineLevel="0" collapsed="false">
      <c r="B12" s="2" t="n">
        <v>10</v>
      </c>
      <c r="C12" s="2" t="n">
        <v>0</v>
      </c>
      <c r="D12" s="2" t="n">
        <v>0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0</v>
      </c>
      <c r="D13" s="2" t="n">
        <v>0</v>
      </c>
      <c r="E13" s="2" t="n">
        <v>0</v>
      </c>
    </row>
    <row r="14" customFormat="false" ht="13.8" hidden="false" customHeight="false" outlineLevel="0" collapsed="false">
      <c r="B14" s="2" t="n">
        <v>12</v>
      </c>
      <c r="C14" s="2" t="n">
        <v>0</v>
      </c>
      <c r="D14" s="2" t="n">
        <v>0</v>
      </c>
      <c r="E14" s="2" t="n">
        <v>0</v>
      </c>
    </row>
    <row r="15" customFormat="false" ht="13.8" hidden="false" customHeight="false" outlineLevel="0" collapsed="false">
      <c r="B15" s="2" t="n">
        <v>13</v>
      </c>
      <c r="C15" s="2" t="n">
        <v>0</v>
      </c>
      <c r="D15" s="2" t="n">
        <v>0</v>
      </c>
      <c r="E15" s="2" t="n">
        <v>0</v>
      </c>
    </row>
    <row r="16" customFormat="false" ht="13.8" hidden="false" customHeight="false" outlineLevel="0" collapsed="false">
      <c r="B16" s="2" t="n">
        <v>14</v>
      </c>
      <c r="C16" s="2" t="n">
        <v>0</v>
      </c>
      <c r="D16" s="2" t="n">
        <v>0</v>
      </c>
      <c r="E16" s="2" t="n">
        <v>0</v>
      </c>
    </row>
    <row r="17" customFormat="false" ht="13.8" hidden="false" customHeight="false" outlineLevel="0" collapsed="false">
      <c r="B17" s="2" t="n">
        <v>15</v>
      </c>
      <c r="C17" s="2" t="n">
        <v>0</v>
      </c>
      <c r="D17" s="2" t="n">
        <v>0</v>
      </c>
      <c r="E17" s="2" t="n">
        <v>0</v>
      </c>
    </row>
    <row r="18" customFormat="false" ht="13.8" hidden="false" customHeight="false" outlineLevel="0" collapsed="false">
      <c r="B18" s="2" t="n">
        <v>16</v>
      </c>
      <c r="C18" s="2" t="n">
        <v>0</v>
      </c>
      <c r="D18" s="2" t="n">
        <v>0</v>
      </c>
      <c r="E18" s="2" t="n">
        <v>0.0164314095151028</v>
      </c>
    </row>
    <row r="19" customFormat="false" ht="13.8" hidden="false" customHeight="false" outlineLevel="0" collapsed="false">
      <c r="B19" s="2" t="n">
        <v>17</v>
      </c>
      <c r="C19" s="2" t="n">
        <v>0</v>
      </c>
      <c r="D19" s="2" t="n">
        <v>0</v>
      </c>
      <c r="E19" s="2" t="n">
        <v>0.0879552992662251</v>
      </c>
    </row>
    <row r="20" customFormat="false" ht="13.8" hidden="false" customHeight="false" outlineLevel="0" collapsed="false">
      <c r="B20" s="2" t="n">
        <v>18</v>
      </c>
      <c r="C20" s="2" t="n">
        <v>0.14284809009037</v>
      </c>
      <c r="D20" s="2" t="n">
        <v>0</v>
      </c>
      <c r="E20" s="2" t="n">
        <v>0.416765391731353</v>
      </c>
    </row>
    <row r="21" customFormat="false" ht="13.8" hidden="false" customHeight="false" outlineLevel="0" collapsed="false">
      <c r="B21" s="2" t="n">
        <v>19</v>
      </c>
      <c r="C21" s="2" t="n">
        <v>0.280789766666667</v>
      </c>
      <c r="D21" s="2" t="n">
        <v>0</v>
      </c>
      <c r="E21" s="2" t="n">
        <v>0.423667349999998</v>
      </c>
    </row>
    <row r="22" customFormat="false" ht="13.8" hidden="false" customHeight="false" outlineLevel="0" collapsed="false">
      <c r="B22" s="2" t="n">
        <v>20</v>
      </c>
      <c r="C22" s="2" t="n">
        <v>0.349597316666667</v>
      </c>
      <c r="D22" s="2" t="n">
        <v>0.233333333333333</v>
      </c>
      <c r="E22" s="2" t="n">
        <v>0.160000033333331</v>
      </c>
    </row>
    <row r="23" customFormat="false" ht="13.8" hidden="false" customHeight="false" outlineLevel="0" collapsed="false">
      <c r="B23" s="2" t="n">
        <v>21</v>
      </c>
      <c r="C23" s="2" t="n">
        <v>0.376148783333333</v>
      </c>
      <c r="D23" s="2" t="n">
        <v>0.4</v>
      </c>
      <c r="E23" s="2" t="n">
        <v>0.134999999999998</v>
      </c>
    </row>
    <row r="24" customFormat="false" ht="13.8" hidden="false" customHeight="false" outlineLevel="0" collapsed="false">
      <c r="B24" s="2" t="n">
        <v>22</v>
      </c>
      <c r="C24" s="2" t="n">
        <v>0.335114566666667</v>
      </c>
      <c r="D24" s="2" t="n">
        <v>0.4</v>
      </c>
      <c r="E24" s="2" t="n">
        <v>0.134999999999998</v>
      </c>
    </row>
    <row r="25" customFormat="false" ht="13.8" hidden="false" customHeight="false" outlineLevel="0" collapsed="false">
      <c r="B25" s="2" t="n">
        <v>23</v>
      </c>
      <c r="C25" s="2" t="n">
        <v>0.2582139</v>
      </c>
      <c r="D25" s="2" t="n">
        <v>0.4</v>
      </c>
      <c r="E25" s="2" t="n">
        <v>0.0693334666666648</v>
      </c>
    </row>
    <row r="26" customFormat="false" ht="13.8" hidden="false" customHeight="false" outlineLevel="0" collapsed="false">
      <c r="B26" s="2" t="n">
        <v>24</v>
      </c>
      <c r="C26" s="2" t="n">
        <v>0.239958933333333</v>
      </c>
      <c r="D26" s="2" t="n">
        <v>0.393333333333333</v>
      </c>
      <c r="E26" s="2" t="n">
        <v>0.0355003999999981</v>
      </c>
    </row>
    <row r="27" customFormat="false" ht="13.8" hidden="false" customHeight="false" outlineLevel="0" collapsed="false">
      <c r="B27" s="2" t="n">
        <v>25</v>
      </c>
      <c r="C27" s="2" t="n">
        <v>0.22297395</v>
      </c>
      <c r="D27" s="2" t="n">
        <v>0.4</v>
      </c>
      <c r="E27" s="2" t="n">
        <v>0.0884168833333315</v>
      </c>
    </row>
    <row r="28" customFormat="false" ht="13.8" hidden="false" customHeight="false" outlineLevel="0" collapsed="false">
      <c r="B28" s="2" t="n">
        <v>26</v>
      </c>
      <c r="C28" s="2" t="n">
        <v>0.1598507</v>
      </c>
      <c r="D28" s="2" t="n">
        <v>0.4</v>
      </c>
      <c r="E28" s="2" t="n">
        <v>0.0665833666666648</v>
      </c>
    </row>
    <row r="29" customFormat="false" ht="13.8" hidden="false" customHeight="false" outlineLevel="0" collapsed="false">
      <c r="B29" s="2" t="n">
        <v>27</v>
      </c>
      <c r="C29" s="2" t="n">
        <v>0.154384183333333</v>
      </c>
      <c r="D29" s="2" t="n">
        <v>0.4</v>
      </c>
      <c r="E29" s="2" t="n">
        <v>0.0699999999999981</v>
      </c>
    </row>
    <row r="30" customFormat="false" ht="13.8" hidden="false" customHeight="false" outlineLevel="0" collapsed="false">
      <c r="B30" s="2" t="n">
        <v>28</v>
      </c>
      <c r="C30" s="2" t="n">
        <v>0.181000916666666</v>
      </c>
      <c r="D30" s="2" t="n">
        <v>0.4</v>
      </c>
      <c r="E30" s="2" t="n">
        <v>0.0699999999999981</v>
      </c>
    </row>
    <row r="31" customFormat="false" ht="13.8" hidden="false" customHeight="false" outlineLevel="0" collapsed="false">
      <c r="B31" s="2" t="n">
        <v>29</v>
      </c>
      <c r="C31" s="2" t="n">
        <v>0.154300316666666</v>
      </c>
      <c r="D31" s="2" t="n">
        <v>0.4</v>
      </c>
      <c r="E31" s="2" t="n">
        <v>0.0430001999999981</v>
      </c>
    </row>
    <row r="32" customFormat="false" ht="13.8" hidden="false" customHeight="false" outlineLevel="0" collapsed="false">
      <c r="B32" s="2" t="n">
        <v>30</v>
      </c>
      <c r="C32" s="2" t="n">
        <v>0.151980885208383</v>
      </c>
      <c r="D32" s="2" t="n">
        <v>0.378421377399863</v>
      </c>
      <c r="E32" s="2" t="n">
        <v>0.0877262663675601</v>
      </c>
    </row>
    <row r="33" customFormat="false" ht="13.8" hidden="false" customHeight="false" outlineLevel="0" collapsed="false">
      <c r="B33" s="2" t="n">
        <v>31</v>
      </c>
      <c r="C33" s="2" t="n">
        <v>0.0142916546121851</v>
      </c>
      <c r="D33" s="2" t="n">
        <v>0</v>
      </c>
      <c r="E33" s="2" t="n">
        <v>0.00587966207434458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0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</v>
      </c>
      <c r="E35" s="2" t="n">
        <v>0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</v>
      </c>
      <c r="E36" s="2" t="n">
        <v>0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0</v>
      </c>
      <c r="E38" s="2" t="n">
        <v>0</v>
      </c>
    </row>
    <row r="39" customFormat="false" ht="13.8" hidden="false" customHeight="false" outlineLevel="0" collapsed="false">
      <c r="B39" s="2" t="n">
        <v>37</v>
      </c>
      <c r="C39" s="2" t="n">
        <v>0</v>
      </c>
      <c r="D39" s="2" t="n">
        <v>0</v>
      </c>
      <c r="E39" s="2" t="n">
        <v>0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0</v>
      </c>
      <c r="E40" s="2" t="n">
        <v>0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0</v>
      </c>
      <c r="E41" s="2" t="n">
        <v>0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0</v>
      </c>
      <c r="E42" s="2" t="n">
        <v>0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0</v>
      </c>
      <c r="E43" s="2" t="n">
        <v>0.325857368774262</v>
      </c>
    </row>
    <row r="44" customFormat="false" ht="13.8" hidden="false" customHeight="false" outlineLevel="0" collapsed="false">
      <c r="B44" s="2" t="n">
        <v>42</v>
      </c>
      <c r="C44" s="2" t="n">
        <v>0.113400371612085</v>
      </c>
      <c r="D44" s="2" t="n">
        <v>0</v>
      </c>
      <c r="E44" s="2" t="n">
        <v>0.141315951568748</v>
      </c>
    </row>
    <row r="45" customFormat="false" ht="13.8" hidden="false" customHeight="false" outlineLevel="0" collapsed="false">
      <c r="B45" s="2" t="n">
        <v>43</v>
      </c>
      <c r="C45" s="2" t="n">
        <v>0.26599389022797</v>
      </c>
      <c r="D45" s="2" t="n">
        <v>0</v>
      </c>
      <c r="E45" s="2" t="n">
        <v>0.0422658025507983</v>
      </c>
    </row>
    <row r="46" customFormat="false" ht="13.8" hidden="false" customHeight="false" outlineLevel="0" collapsed="false">
      <c r="B46" s="2" t="n">
        <v>44</v>
      </c>
      <c r="C46" s="2" t="n">
        <v>0.35824815</v>
      </c>
      <c r="D46" s="2" t="n">
        <v>0.273333333333333</v>
      </c>
      <c r="E46" s="2" t="n">
        <v>0.11750025</v>
      </c>
    </row>
    <row r="47" customFormat="false" ht="13.8" hidden="false" customHeight="false" outlineLevel="0" collapsed="false">
      <c r="B47" s="2" t="n">
        <v>45</v>
      </c>
      <c r="C47" s="2" t="n">
        <v>0.382217316666666</v>
      </c>
      <c r="D47" s="2" t="n">
        <v>0.4</v>
      </c>
      <c r="E47" s="2" t="n">
        <v>0.0697500499999999</v>
      </c>
    </row>
    <row r="48" customFormat="false" ht="13.8" hidden="false" customHeight="false" outlineLevel="0" collapsed="false">
      <c r="B48" s="2" t="n">
        <v>46</v>
      </c>
      <c r="C48" s="2" t="n">
        <v>0.2596819</v>
      </c>
      <c r="D48" s="2" t="n">
        <v>0.4</v>
      </c>
      <c r="E48" s="2" t="n">
        <v>0.0821668333333332</v>
      </c>
    </row>
    <row r="49" customFormat="false" ht="13.8" hidden="false" customHeight="false" outlineLevel="0" collapsed="false">
      <c r="B49" s="2" t="n">
        <v>47</v>
      </c>
      <c r="C49" s="2" t="n">
        <v>0.325097783333333</v>
      </c>
      <c r="D49" s="2" t="n">
        <v>0.4</v>
      </c>
      <c r="E49" s="2" t="n">
        <v>0.0697500499999999</v>
      </c>
    </row>
    <row r="50" customFormat="false" ht="13.8" hidden="false" customHeight="false" outlineLevel="0" collapsed="false">
      <c r="B50" s="2" t="n">
        <v>48</v>
      </c>
      <c r="C50" s="2" t="n">
        <v>0.1908444</v>
      </c>
      <c r="D50" s="2" t="n">
        <v>0.28</v>
      </c>
      <c r="E50" s="2" t="n">
        <v>0.0753335666666665</v>
      </c>
    </row>
    <row r="51" customFormat="false" ht="13.8" hidden="false" customHeight="false" outlineLevel="0" collapsed="false">
      <c r="B51" s="2" t="n">
        <v>49</v>
      </c>
      <c r="C51" s="2" t="n">
        <v>0.133240116666666</v>
      </c>
      <c r="D51" s="2" t="n">
        <v>0.193333333333333</v>
      </c>
      <c r="E51" s="2" t="n">
        <v>0.0633333666666665</v>
      </c>
    </row>
    <row r="52" customFormat="false" ht="13.8" hidden="false" customHeight="false" outlineLevel="0" collapsed="false">
      <c r="B52" s="2" t="n">
        <v>50</v>
      </c>
      <c r="C52" s="2" t="n">
        <v>0.153200583333333</v>
      </c>
      <c r="D52" s="2" t="n">
        <v>0.4</v>
      </c>
      <c r="E52" s="2" t="n">
        <v>0.0699999999999998</v>
      </c>
    </row>
    <row r="53" customFormat="false" ht="13.8" hidden="false" customHeight="false" outlineLevel="0" collapsed="false">
      <c r="B53" s="2" t="n">
        <v>51</v>
      </c>
      <c r="C53" s="2" t="n">
        <v>0.178784033333333</v>
      </c>
      <c r="D53" s="2" t="n">
        <v>0.4</v>
      </c>
      <c r="E53" s="2" t="n">
        <v>0.0439999999999998</v>
      </c>
    </row>
    <row r="54" customFormat="false" ht="13.8" hidden="false" customHeight="false" outlineLevel="0" collapsed="false">
      <c r="B54" s="2" t="n">
        <v>52</v>
      </c>
      <c r="C54" s="2" t="n">
        <v>0.182666966666666</v>
      </c>
      <c r="D54" s="2" t="n">
        <v>0.4</v>
      </c>
      <c r="E54" s="2" t="n">
        <v>0.0391669833333331</v>
      </c>
    </row>
    <row r="55" customFormat="false" ht="13.8" hidden="false" customHeight="false" outlineLevel="0" collapsed="false">
      <c r="B55" s="2" t="n">
        <v>53</v>
      </c>
      <c r="C55" s="2" t="n">
        <v>0.170884033333333</v>
      </c>
      <c r="D55" s="2" t="n">
        <v>0.4</v>
      </c>
      <c r="E55" s="2" t="n">
        <v>0.0360836166666664</v>
      </c>
    </row>
    <row r="56" customFormat="false" ht="13.8" hidden="false" customHeight="false" outlineLevel="0" collapsed="false">
      <c r="B56" s="2" t="n">
        <v>54</v>
      </c>
      <c r="C56" s="2" t="n">
        <v>0.248854778046638</v>
      </c>
      <c r="D56" s="2" t="n">
        <v>0.382192254689463</v>
      </c>
      <c r="E56" s="2" t="n">
        <v>0.0924319072064388</v>
      </c>
    </row>
    <row r="57" customFormat="false" ht="13.8" hidden="false" customHeight="false" outlineLevel="0" collapsed="false">
      <c r="B57" s="2" t="n">
        <v>55</v>
      </c>
      <c r="C57" s="2" t="n">
        <v>0.0847666560112153</v>
      </c>
      <c r="D57" s="2" t="n">
        <v>0.142553502257195</v>
      </c>
      <c r="E57" s="2" t="n">
        <v>0.0637215629536138</v>
      </c>
    </row>
    <row r="58" customFormat="false" ht="13.8" hidden="false" customHeight="false" outlineLevel="0" collapsed="false">
      <c r="B58" s="2" t="n">
        <v>56</v>
      </c>
      <c r="C58" s="2" t="n">
        <v>0</v>
      </c>
      <c r="D58" s="2" t="n">
        <v>0</v>
      </c>
      <c r="E58" s="2" t="n">
        <v>0</v>
      </c>
    </row>
    <row r="59" customFormat="false" ht="13.8" hidden="false" customHeight="false" outlineLevel="0" collapsed="false">
      <c r="B59" s="2" t="n">
        <v>57</v>
      </c>
      <c r="C59" s="2" t="n">
        <v>0</v>
      </c>
      <c r="D59" s="2" t="n">
        <v>0</v>
      </c>
      <c r="E59" s="2" t="n">
        <v>0</v>
      </c>
    </row>
    <row r="60" customFormat="false" ht="13.8" hidden="false" customHeight="false" outlineLevel="0" collapsed="false">
      <c r="B60" s="2" t="n">
        <v>58</v>
      </c>
      <c r="C60" s="2" t="n">
        <v>0</v>
      </c>
      <c r="D60" s="2" t="n">
        <v>0</v>
      </c>
      <c r="E60" s="2" t="n">
        <v>0</v>
      </c>
    </row>
    <row r="61" customFormat="false" ht="13.8" hidden="false" customHeight="false" outlineLevel="0" collapsed="false">
      <c r="B61" s="2" t="n">
        <v>59</v>
      </c>
      <c r="C61" s="2" t="n">
        <v>0</v>
      </c>
      <c r="D61" s="2" t="n">
        <v>0</v>
      </c>
      <c r="E61" s="2" t="n">
        <v>0</v>
      </c>
    </row>
    <row r="62" customFormat="false" ht="13.8" hidden="false" customHeight="false" outlineLevel="0" collapsed="false">
      <c r="B62" s="2" t="n">
        <v>60</v>
      </c>
      <c r="C62" s="2" t="n">
        <v>0</v>
      </c>
      <c r="D62" s="2" t="n">
        <v>0</v>
      </c>
      <c r="E62" s="2" t="n">
        <v>0</v>
      </c>
    </row>
    <row r="63" customFormat="false" ht="13.8" hidden="false" customHeight="false" outlineLevel="0" collapsed="false">
      <c r="B63" s="2" t="n">
        <v>61</v>
      </c>
      <c r="C63" s="2" t="n">
        <v>0</v>
      </c>
      <c r="D63" s="2" t="n">
        <v>0</v>
      </c>
      <c r="E63" s="2" t="n">
        <v>0</v>
      </c>
    </row>
    <row r="64" customFormat="false" ht="13.8" hidden="false" customHeight="false" outlineLevel="0" collapsed="false">
      <c r="B64" s="2" t="n">
        <v>62</v>
      </c>
      <c r="C64" s="2" t="n">
        <v>0</v>
      </c>
      <c r="D64" s="2" t="n">
        <v>0</v>
      </c>
      <c r="E64" s="2" t="n">
        <v>0</v>
      </c>
    </row>
    <row r="65" customFormat="false" ht="13.8" hidden="false" customHeight="false" outlineLevel="0" collapsed="false">
      <c r="B65" s="2" t="n">
        <v>63</v>
      </c>
      <c r="C65" s="2" t="n">
        <v>0</v>
      </c>
      <c r="D65" s="2" t="n">
        <v>0</v>
      </c>
      <c r="E65" s="2" t="n">
        <v>0</v>
      </c>
    </row>
    <row r="66" customFormat="false" ht="13.8" hidden="false" customHeight="false" outlineLevel="0" collapsed="false">
      <c r="B66" s="2" t="n">
        <v>64</v>
      </c>
      <c r="C66" s="2" t="n">
        <v>0</v>
      </c>
      <c r="D66" s="2" t="n">
        <v>0</v>
      </c>
      <c r="E66" s="2" t="n">
        <v>0</v>
      </c>
    </row>
    <row r="67" customFormat="false" ht="13.8" hidden="false" customHeight="false" outlineLevel="0" collapsed="false">
      <c r="B67" s="2" t="n">
        <v>65</v>
      </c>
      <c r="C67" s="2" t="n">
        <v>0.149140382592758</v>
      </c>
      <c r="D67" s="2" t="n">
        <v>0</v>
      </c>
      <c r="E67" s="2" t="n">
        <v>0.0771279946860613</v>
      </c>
    </row>
    <row r="68" customFormat="false" ht="13.8" hidden="false" customHeight="false" outlineLevel="0" collapsed="false">
      <c r="B68" s="2" t="n">
        <v>66</v>
      </c>
      <c r="C68" s="2" t="n">
        <v>0.245314388075191</v>
      </c>
      <c r="D68" s="2" t="n">
        <v>0.0360468461556365</v>
      </c>
      <c r="E68" s="2" t="n">
        <v>0.123522371075404</v>
      </c>
    </row>
    <row r="69" customFormat="false" ht="13.8" hidden="false" customHeight="false" outlineLevel="0" collapsed="false">
      <c r="B69" s="2" t="n">
        <v>67</v>
      </c>
      <c r="C69" s="2" t="n">
        <v>0.304609733333333</v>
      </c>
      <c r="D69" s="2" t="n">
        <v>0.4</v>
      </c>
      <c r="E69" s="2" t="n">
        <v>0.10296805</v>
      </c>
    </row>
    <row r="70" customFormat="false" ht="13.8" hidden="false" customHeight="false" outlineLevel="0" collapsed="false">
      <c r="B70" s="2" t="n">
        <v>68</v>
      </c>
      <c r="C70" s="2" t="n">
        <v>0.4220613</v>
      </c>
      <c r="D70" s="2" t="n">
        <v>0.4</v>
      </c>
      <c r="E70" s="2" t="n">
        <v>0.13500025</v>
      </c>
    </row>
    <row r="71" customFormat="false" ht="13.8" hidden="false" customHeight="false" outlineLevel="0" collapsed="false">
      <c r="B71" s="2" t="n">
        <v>69</v>
      </c>
      <c r="C71" s="2" t="n">
        <v>0.423098266666667</v>
      </c>
      <c r="D71" s="2" t="n">
        <v>0.4</v>
      </c>
      <c r="E71" s="2" t="n">
        <v>0.135</v>
      </c>
    </row>
    <row r="72" customFormat="false" ht="13.8" hidden="false" customHeight="false" outlineLevel="0" collapsed="false">
      <c r="B72" s="2" t="n">
        <v>70</v>
      </c>
      <c r="C72" s="2" t="n">
        <v>0.488313533333333</v>
      </c>
      <c r="D72" s="2" t="n">
        <v>0.4</v>
      </c>
      <c r="E72" s="2" t="n">
        <v>0.0484170833333333</v>
      </c>
    </row>
    <row r="73" customFormat="false" ht="13.8" hidden="false" customHeight="false" outlineLevel="0" collapsed="false">
      <c r="B73" s="2" t="n">
        <v>71</v>
      </c>
      <c r="C73" s="2" t="n">
        <v>0.253232916666667</v>
      </c>
      <c r="D73" s="2" t="n">
        <v>0.4</v>
      </c>
      <c r="E73" s="2" t="n">
        <v>0.0600000499999999</v>
      </c>
    </row>
    <row r="74" customFormat="false" ht="13.8" hidden="false" customHeight="false" outlineLevel="0" collapsed="false">
      <c r="B74" s="2" t="n">
        <v>72</v>
      </c>
      <c r="C74" s="2" t="n">
        <v>0.239545466666666</v>
      </c>
      <c r="D74" s="2" t="n">
        <v>0.4</v>
      </c>
      <c r="E74" s="2" t="n">
        <v>0.0466667833333332</v>
      </c>
    </row>
    <row r="75" customFormat="false" ht="13.8" hidden="false" customHeight="false" outlineLevel="0" collapsed="false">
      <c r="B75" s="2" t="n">
        <v>73</v>
      </c>
      <c r="C75" s="2" t="n">
        <v>0.1308569</v>
      </c>
      <c r="D75" s="2" t="n">
        <v>0.233333333333333</v>
      </c>
      <c r="E75" s="2" t="n">
        <v>0.0400001499999999</v>
      </c>
    </row>
    <row r="76" customFormat="false" ht="13.8" hidden="false" customHeight="false" outlineLevel="0" collapsed="false">
      <c r="B76" s="2" t="n">
        <v>74</v>
      </c>
      <c r="C76" s="2" t="n">
        <v>0.147501183333333</v>
      </c>
      <c r="D76" s="2" t="n">
        <v>0.4</v>
      </c>
      <c r="E76" s="2" t="n">
        <v>0.0699999999999999</v>
      </c>
    </row>
    <row r="77" customFormat="false" ht="13.8" hidden="false" customHeight="false" outlineLevel="0" collapsed="false">
      <c r="B77" s="2" t="n">
        <v>75</v>
      </c>
      <c r="C77" s="2" t="n">
        <v>0.128350916666666</v>
      </c>
      <c r="D77" s="2" t="n">
        <v>0.4</v>
      </c>
      <c r="E77" s="2" t="n">
        <v>0.0699999999999999</v>
      </c>
    </row>
    <row r="78" customFormat="false" ht="13.8" hidden="false" customHeight="false" outlineLevel="0" collapsed="false">
      <c r="B78" s="2" t="n">
        <v>76</v>
      </c>
      <c r="C78" s="2" t="n">
        <v>0.125917316666666</v>
      </c>
      <c r="D78" s="2" t="n">
        <v>0.4</v>
      </c>
      <c r="E78" s="2" t="n">
        <v>0.0699999999999999</v>
      </c>
    </row>
    <row r="79" customFormat="false" ht="13.8" hidden="false" customHeight="false" outlineLevel="0" collapsed="false">
      <c r="B79" s="2" t="n">
        <v>77</v>
      </c>
      <c r="C79" s="2" t="n">
        <v>0.170333833333333</v>
      </c>
      <c r="D79" s="2" t="n">
        <v>0.4</v>
      </c>
      <c r="E79" s="2" t="n">
        <v>0.0699999999999999</v>
      </c>
    </row>
    <row r="80" customFormat="false" ht="13.8" hidden="false" customHeight="false" outlineLevel="0" collapsed="false">
      <c r="B80" s="2" t="n">
        <v>78</v>
      </c>
      <c r="C80" s="2" t="n">
        <v>0.11147141995132</v>
      </c>
      <c r="D80" s="2" t="n">
        <v>0.043447563985817</v>
      </c>
      <c r="E80" s="2" t="n">
        <v>0.0543755291128559</v>
      </c>
    </row>
    <row r="81" customFormat="false" ht="13.8" hidden="false" customHeight="false" outlineLevel="0" collapsed="false">
      <c r="B81" s="2" t="n">
        <v>79</v>
      </c>
      <c r="C81" s="2" t="n">
        <v>0.0708641124165888</v>
      </c>
      <c r="D81" s="2" t="n">
        <v>0</v>
      </c>
      <c r="E81" s="2" t="n">
        <v>0</v>
      </c>
    </row>
    <row r="82" customFormat="false" ht="13.8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0</v>
      </c>
    </row>
    <row r="83" customFormat="false" ht="13.8" hidden="false" customHeight="false" outlineLevel="0" collapsed="false">
      <c r="B83" s="2" t="n">
        <v>81</v>
      </c>
      <c r="C83" s="2" t="n">
        <v>0</v>
      </c>
      <c r="D83" s="2" t="n">
        <v>0</v>
      </c>
      <c r="E83" s="2" t="n">
        <v>0</v>
      </c>
    </row>
    <row r="84" customFormat="false" ht="13.8" hidden="false" customHeight="false" outlineLevel="0" collapsed="false">
      <c r="B84" s="2" t="n">
        <v>82</v>
      </c>
      <c r="C84" s="2" t="n">
        <v>0</v>
      </c>
      <c r="D84" s="2" t="n">
        <v>0</v>
      </c>
      <c r="E84" s="2" t="n">
        <v>0</v>
      </c>
    </row>
    <row r="85" customFormat="false" ht="13.8" hidden="false" customHeight="false" outlineLevel="0" collapsed="false">
      <c r="B85" s="2" t="n">
        <v>83</v>
      </c>
      <c r="C85" s="2" t="n">
        <v>0</v>
      </c>
      <c r="D85" s="2" t="n">
        <v>0</v>
      </c>
      <c r="E85" s="2" t="n">
        <v>0</v>
      </c>
    </row>
    <row r="86" customFormat="false" ht="13.8" hidden="false" customHeight="false" outlineLevel="0" collapsed="false">
      <c r="B86" s="2" t="n">
        <v>84</v>
      </c>
      <c r="C86" s="2" t="n">
        <v>0</v>
      </c>
      <c r="D86" s="2" t="n">
        <v>0</v>
      </c>
      <c r="E86" s="2" t="n">
        <v>0</v>
      </c>
    </row>
    <row r="87" customFormat="false" ht="13.8" hidden="false" customHeight="false" outlineLevel="0" collapsed="false">
      <c r="B87" s="2" t="n">
        <v>85</v>
      </c>
      <c r="C87" s="2" t="n">
        <v>0</v>
      </c>
      <c r="D87" s="2" t="n">
        <v>0</v>
      </c>
      <c r="E87" s="2" t="n">
        <v>0</v>
      </c>
    </row>
    <row r="88" customFormat="false" ht="13.8" hidden="false" customHeight="false" outlineLevel="0" collapsed="false">
      <c r="B88" s="2" t="n">
        <v>86</v>
      </c>
      <c r="C88" s="2" t="n">
        <v>0</v>
      </c>
      <c r="D88" s="2" t="n">
        <v>0</v>
      </c>
      <c r="E88" s="2" t="n">
        <v>0</v>
      </c>
    </row>
    <row r="89" customFormat="false" ht="13.8" hidden="false" customHeight="false" outlineLevel="0" collapsed="false">
      <c r="B89" s="2" t="n">
        <v>87</v>
      </c>
      <c r="C89" s="2" t="n">
        <v>0</v>
      </c>
      <c r="D89" s="2" t="n">
        <v>0</v>
      </c>
      <c r="E89" s="2" t="n">
        <v>0</v>
      </c>
    </row>
    <row r="90" customFormat="false" ht="13.8" hidden="false" customHeight="false" outlineLevel="0" collapsed="false">
      <c r="B90" s="2" t="n">
        <v>88</v>
      </c>
      <c r="C90" s="2" t="n">
        <v>0</v>
      </c>
      <c r="D90" s="2" t="n">
        <v>0</v>
      </c>
      <c r="E90" s="2" t="n">
        <v>0</v>
      </c>
    </row>
    <row r="91" customFormat="false" ht="13.8" hidden="false" customHeight="false" outlineLevel="0" collapsed="false">
      <c r="B91" s="2" t="n">
        <v>89</v>
      </c>
      <c r="C91" s="2" t="n">
        <v>0.15779675812698</v>
      </c>
      <c r="D91" s="2" t="n">
        <v>0</v>
      </c>
      <c r="E91" s="2" t="n">
        <v>0.0872958387356483</v>
      </c>
    </row>
    <row r="92" customFormat="false" ht="13.8" hidden="false" customHeight="false" outlineLevel="0" collapsed="false">
      <c r="B92" s="2" t="n">
        <v>90</v>
      </c>
      <c r="C92" s="2" t="n">
        <v>0.247805931833787</v>
      </c>
      <c r="D92" s="2" t="n">
        <v>0</v>
      </c>
      <c r="E92" s="2" t="n">
        <v>0.145062680608535</v>
      </c>
    </row>
    <row r="93" customFormat="false" ht="13.8" hidden="false" customHeight="false" outlineLevel="0" collapsed="false">
      <c r="B93" s="2" t="n">
        <v>91</v>
      </c>
      <c r="C93" s="2" t="n">
        <v>0.321172116666667</v>
      </c>
      <c r="D93" s="2" t="n">
        <v>0</v>
      </c>
      <c r="E93" s="2" t="n">
        <v>0.135</v>
      </c>
    </row>
    <row r="94" customFormat="false" ht="13.8" hidden="false" customHeight="false" outlineLevel="0" collapsed="false">
      <c r="B94" s="2" t="n">
        <v>92</v>
      </c>
      <c r="C94" s="2" t="n">
        <v>0.4385321</v>
      </c>
      <c r="D94" s="2" t="n">
        <v>0.4</v>
      </c>
      <c r="E94" s="2" t="n">
        <v>0.0751669333333333</v>
      </c>
    </row>
    <row r="95" customFormat="false" ht="13.8" hidden="false" customHeight="false" outlineLevel="0" collapsed="false">
      <c r="B95" s="2" t="n">
        <v>93</v>
      </c>
      <c r="C95" s="2" t="n">
        <v>0.513681066666667</v>
      </c>
      <c r="D95" s="2" t="n">
        <v>0.4</v>
      </c>
      <c r="E95" s="2" t="n">
        <v>0.0634999999999999</v>
      </c>
    </row>
    <row r="96" customFormat="false" ht="13.8" hidden="false" customHeight="false" outlineLevel="0" collapsed="false">
      <c r="B96" s="2" t="n">
        <v>94</v>
      </c>
      <c r="C96" s="2" t="n">
        <v>0.31951765</v>
      </c>
      <c r="D96" s="2" t="n">
        <v>0.4</v>
      </c>
      <c r="E96" s="2" t="n">
        <v>0.0533334166666666</v>
      </c>
    </row>
    <row r="97" customFormat="false" ht="13.8" hidden="false" customHeight="false" outlineLevel="0" collapsed="false">
      <c r="B97" s="2" t="n">
        <v>95</v>
      </c>
      <c r="C97" s="2" t="n">
        <v>0.241698583333333</v>
      </c>
      <c r="D97" s="2" t="n">
        <v>0.4</v>
      </c>
      <c r="E97" s="2" t="n">
        <v>0.0366668333333332</v>
      </c>
    </row>
    <row r="98" customFormat="false" ht="13.8" hidden="false" customHeight="false" outlineLevel="0" collapsed="false">
      <c r="B98" s="2" t="n">
        <v>96</v>
      </c>
      <c r="C98" s="2" t="n">
        <v>0.24239595</v>
      </c>
      <c r="D98" s="2" t="n">
        <v>0.113333333333333</v>
      </c>
      <c r="E98" s="2" t="n">
        <v>0.0698333666666666</v>
      </c>
    </row>
    <row r="99" customFormat="false" ht="13.8" hidden="false" customHeight="false" outlineLevel="0" collapsed="false">
      <c r="B99" s="2" t="n">
        <v>97</v>
      </c>
      <c r="C99" s="2" t="n">
        <v>0.203341283333333</v>
      </c>
      <c r="D99" s="2" t="n">
        <v>0.266666666666666</v>
      </c>
      <c r="E99" s="2" t="n">
        <v>0.0685002999999999</v>
      </c>
    </row>
    <row r="100" customFormat="false" ht="13.8" hidden="false" customHeight="false" outlineLevel="0" collapsed="false">
      <c r="B100" s="2" t="n">
        <v>98</v>
      </c>
      <c r="C100" s="2" t="n">
        <v>0.191734283333333</v>
      </c>
      <c r="D100" s="2" t="n">
        <v>0.4</v>
      </c>
      <c r="E100" s="2" t="n">
        <v>0.0752502499999999</v>
      </c>
    </row>
    <row r="101" customFormat="false" ht="13.8" hidden="false" customHeight="false" outlineLevel="0" collapsed="false">
      <c r="B101" s="2" t="n">
        <v>99</v>
      </c>
      <c r="C101" s="2" t="n">
        <v>0.141768116666666</v>
      </c>
      <c r="D101" s="2" t="n">
        <v>0.4</v>
      </c>
      <c r="E101" s="2" t="n">
        <v>0.0699999999999999</v>
      </c>
    </row>
    <row r="102" customFormat="false" ht="13.8" hidden="false" customHeight="false" outlineLevel="0" collapsed="false">
      <c r="B102" s="2" t="n">
        <v>100</v>
      </c>
      <c r="C102" s="2" t="n">
        <v>0.156718033333333</v>
      </c>
      <c r="D102" s="2" t="n">
        <v>0.4</v>
      </c>
      <c r="E102" s="2" t="n">
        <v>0.0699999999999999</v>
      </c>
    </row>
    <row r="103" customFormat="false" ht="13.8" hidden="false" customHeight="false" outlineLevel="0" collapsed="false">
      <c r="B103" s="2" t="n">
        <v>101</v>
      </c>
      <c r="C103" s="2" t="n">
        <v>0.164167683333333</v>
      </c>
      <c r="D103" s="2" t="n">
        <v>0.4</v>
      </c>
      <c r="E103" s="2" t="n">
        <v>0.0699999999999998</v>
      </c>
    </row>
    <row r="104" customFormat="false" ht="13.8" hidden="false" customHeight="false" outlineLevel="0" collapsed="false">
      <c r="B104" s="2" t="n">
        <v>102</v>
      </c>
      <c r="C104" s="2" t="n">
        <v>0.190138075058167</v>
      </c>
      <c r="D104" s="2" t="n">
        <v>0</v>
      </c>
      <c r="E104" s="2" t="n">
        <v>0.0596102269210138</v>
      </c>
    </row>
    <row r="105" customFormat="false" ht="13.8" hidden="false" customHeight="false" outlineLevel="0" collapsed="false">
      <c r="B105" s="2" t="n">
        <v>103</v>
      </c>
      <c r="C105" s="2" t="n">
        <v>0.0432074570981725</v>
      </c>
      <c r="D105" s="2" t="n">
        <v>0</v>
      </c>
      <c r="E105" s="2" t="n">
        <v>0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0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0</v>
      </c>
    </row>
    <row r="110" customFormat="false" ht="13.8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</v>
      </c>
    </row>
    <row r="111" customFormat="false" ht="13.8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0</v>
      </c>
    </row>
    <row r="112" customFormat="false" ht="13.8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0</v>
      </c>
    </row>
    <row r="113" customFormat="false" ht="13.8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0</v>
      </c>
    </row>
    <row r="114" customFormat="false" ht="13.8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0</v>
      </c>
    </row>
    <row r="115" customFormat="false" ht="13.8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0</v>
      </c>
    </row>
    <row r="116" customFormat="false" ht="13.8" hidden="false" customHeight="false" outlineLevel="0" collapsed="false">
      <c r="B116" s="2" t="n">
        <v>114</v>
      </c>
      <c r="C116" s="2" t="n">
        <v>0.133278952726563</v>
      </c>
      <c r="D116" s="2" t="n">
        <v>0</v>
      </c>
      <c r="E116" s="2" t="n">
        <v>0.0939630505074268</v>
      </c>
    </row>
    <row r="117" customFormat="false" ht="13.8" hidden="false" customHeight="false" outlineLevel="0" collapsed="false">
      <c r="B117" s="2" t="n">
        <v>115</v>
      </c>
      <c r="C117" s="2" t="n">
        <v>0.257112272365916</v>
      </c>
      <c r="D117" s="2" t="n">
        <v>0.379072126651163</v>
      </c>
      <c r="E117" s="2" t="n">
        <v>0.134518813769963</v>
      </c>
    </row>
    <row r="118" customFormat="false" ht="13.8" hidden="false" customHeight="false" outlineLevel="0" collapsed="false">
      <c r="B118" s="2" t="n">
        <v>116</v>
      </c>
      <c r="C118" s="2" t="n">
        <v>0.36434495</v>
      </c>
      <c r="D118" s="2" t="n">
        <v>0.399999999999991</v>
      </c>
      <c r="E118" s="2" t="n">
        <v>0.135000000000001</v>
      </c>
    </row>
    <row r="119" customFormat="false" ht="13.8" hidden="false" customHeight="false" outlineLevel="0" collapsed="false">
      <c r="B119" s="2" t="n">
        <v>117</v>
      </c>
      <c r="C119" s="2" t="n">
        <v>0.373565633333334</v>
      </c>
      <c r="D119" s="2" t="n">
        <v>0.399999999999991</v>
      </c>
      <c r="E119" s="2" t="n">
        <v>0.0908337166666672</v>
      </c>
    </row>
    <row r="120" customFormat="false" ht="13.8" hidden="false" customHeight="false" outlineLevel="0" collapsed="false">
      <c r="B120" s="2" t="n">
        <v>118</v>
      </c>
      <c r="C120" s="2" t="n">
        <v>0.343349583333334</v>
      </c>
      <c r="D120" s="2" t="n">
        <v>0.399999999999991</v>
      </c>
      <c r="E120" s="2" t="n">
        <v>0.0700000000000006</v>
      </c>
    </row>
    <row r="121" customFormat="false" ht="13.8" hidden="false" customHeight="false" outlineLevel="0" collapsed="false">
      <c r="B121" s="2" t="n">
        <v>119</v>
      </c>
      <c r="C121" s="2" t="n">
        <v>0.268398883333334</v>
      </c>
      <c r="D121" s="2" t="n">
        <v>0.399999999999991</v>
      </c>
      <c r="E121" s="2" t="n">
        <v>0.0394169333333339</v>
      </c>
    </row>
    <row r="122" customFormat="false" ht="13.8" hidden="false" customHeight="false" outlineLevel="0" collapsed="false">
      <c r="B122" s="2" t="n">
        <v>120</v>
      </c>
      <c r="C122" s="2" t="n">
        <v>0.143994283333334</v>
      </c>
      <c r="D122" s="2" t="n">
        <v>0.399999999999991</v>
      </c>
      <c r="E122" s="2" t="n">
        <v>0.0694167833333339</v>
      </c>
    </row>
    <row r="123" customFormat="false" ht="13.8" hidden="false" customHeight="false" outlineLevel="0" collapsed="false">
      <c r="B123" s="2" t="n">
        <v>121</v>
      </c>
      <c r="C123" s="2" t="n">
        <v>0.157824716666667</v>
      </c>
      <c r="D123" s="2" t="n">
        <v>0.366666666666658</v>
      </c>
      <c r="E123" s="2" t="n">
        <v>0.0357503500000006</v>
      </c>
    </row>
    <row r="124" customFormat="false" ht="13.8" hidden="false" customHeight="false" outlineLevel="0" collapsed="false">
      <c r="B124" s="2" t="n">
        <v>122</v>
      </c>
      <c r="C124" s="2" t="n">
        <v>0.101184566666667</v>
      </c>
      <c r="D124" s="2" t="n">
        <v>0.399999999999991</v>
      </c>
      <c r="E124" s="2" t="n">
        <v>0.0700000000000006</v>
      </c>
    </row>
    <row r="125" customFormat="false" ht="13.8" hidden="false" customHeight="false" outlineLevel="0" collapsed="false">
      <c r="B125" s="2" t="n">
        <v>123</v>
      </c>
      <c r="C125" s="2" t="n">
        <v>0.209983583333334</v>
      </c>
      <c r="D125" s="2" t="n">
        <v>0.399999999999991</v>
      </c>
      <c r="E125" s="2" t="n">
        <v>0.0700000000000006</v>
      </c>
    </row>
    <row r="126" customFormat="false" ht="13.8" hidden="false" customHeight="false" outlineLevel="0" collapsed="false">
      <c r="B126" s="2" t="n">
        <v>124</v>
      </c>
      <c r="C126" s="2" t="n">
        <v>0.285550633333334</v>
      </c>
      <c r="D126" s="2" t="n">
        <v>0.399999999999991</v>
      </c>
      <c r="E126" s="2" t="n">
        <v>0.0700000000000006</v>
      </c>
    </row>
    <row r="127" customFormat="false" ht="13.8" hidden="false" customHeight="false" outlineLevel="0" collapsed="false">
      <c r="B127" s="2" t="n">
        <v>125</v>
      </c>
      <c r="C127" s="2" t="n">
        <v>0.253267</v>
      </c>
      <c r="D127" s="2" t="n">
        <v>0.399999999999991</v>
      </c>
      <c r="E127" s="2" t="n">
        <v>0.0700000000000006</v>
      </c>
    </row>
    <row r="128" customFormat="false" ht="13.8" hidden="false" customHeight="false" outlineLevel="0" collapsed="false">
      <c r="B128" s="2" t="n">
        <v>126</v>
      </c>
      <c r="C128" s="2" t="n">
        <v>0.244512658576643</v>
      </c>
      <c r="D128" s="2" t="n">
        <v>0.285813023185735</v>
      </c>
      <c r="E128" s="2" t="n">
        <v>0.0355576086683659</v>
      </c>
    </row>
    <row r="129" customFormat="false" ht="13.8" hidden="false" customHeight="false" outlineLevel="0" collapsed="false">
      <c r="B129" s="2" t="n">
        <v>127</v>
      </c>
      <c r="C129" s="2" t="n">
        <v>0.228852972752029</v>
      </c>
      <c r="D129" s="2" t="n">
        <v>0</v>
      </c>
      <c r="E129" s="2" t="n">
        <v>0.0640744409190303</v>
      </c>
    </row>
    <row r="130" customFormat="false" ht="13.8" hidden="false" customHeight="false" outlineLevel="0" collapsed="false">
      <c r="B130" s="2" t="n">
        <v>128</v>
      </c>
      <c r="C130" s="2" t="n">
        <v>0.0885036614962378</v>
      </c>
      <c r="D130" s="2" t="n">
        <v>0</v>
      </c>
      <c r="E130" s="2" t="n">
        <v>0.0239670244345855</v>
      </c>
    </row>
    <row r="131" customFormat="false" ht="13.8" hidden="false" customHeight="false" outlineLevel="0" collapsed="false">
      <c r="B131" s="2" t="n">
        <v>129</v>
      </c>
      <c r="C131" s="2" t="n">
        <v>0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0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0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0</v>
      </c>
      <c r="D136" s="2" t="n">
        <v>0</v>
      </c>
      <c r="E136" s="2" t="n">
        <v>0.121656449391425</v>
      </c>
    </row>
    <row r="137" customFormat="false" ht="13.8" hidden="false" customHeight="false" outlineLevel="0" collapsed="false">
      <c r="B137" s="2" t="n">
        <v>135</v>
      </c>
      <c r="C137" s="2" t="n">
        <v>0</v>
      </c>
      <c r="D137" s="2" t="n">
        <v>0</v>
      </c>
      <c r="E137" s="2" t="n">
        <v>0.0319638795311902</v>
      </c>
    </row>
    <row r="138" customFormat="false" ht="13.8" hidden="false" customHeight="false" outlineLevel="0" collapsed="false">
      <c r="B138" s="2" t="n">
        <v>136</v>
      </c>
      <c r="C138" s="2" t="n">
        <v>0.128429548608853</v>
      </c>
      <c r="D138" s="2" t="n">
        <v>0</v>
      </c>
      <c r="E138" s="2" t="n">
        <v>0.142625665965513</v>
      </c>
    </row>
    <row r="139" customFormat="false" ht="13.8" hidden="false" customHeight="false" outlineLevel="0" collapsed="false">
      <c r="B139" s="2" t="n">
        <v>137</v>
      </c>
      <c r="C139" s="2" t="n">
        <v>0.227626492465318</v>
      </c>
      <c r="D139" s="2" t="n">
        <v>0</v>
      </c>
      <c r="E139" s="2" t="n">
        <v>0.373380883963202</v>
      </c>
    </row>
    <row r="140" customFormat="false" ht="13.8" hidden="false" customHeight="false" outlineLevel="0" collapsed="false">
      <c r="B140" s="2" t="n">
        <v>138</v>
      </c>
      <c r="C140" s="2" t="n">
        <v>0.261712782444704</v>
      </c>
      <c r="D140" s="2" t="n">
        <v>0</v>
      </c>
      <c r="E140" s="2" t="n">
        <v>0.322604416903825</v>
      </c>
    </row>
    <row r="141" customFormat="false" ht="13.8" hidden="false" customHeight="false" outlineLevel="0" collapsed="false">
      <c r="B141" s="2" t="n">
        <v>139</v>
      </c>
      <c r="C141" s="2" t="n">
        <v>0.371421766666662</v>
      </c>
      <c r="D141" s="2" t="n">
        <v>0.4</v>
      </c>
      <c r="E141" s="2" t="n">
        <v>0.135001033333334</v>
      </c>
    </row>
    <row r="142" customFormat="false" ht="13.8" hidden="false" customHeight="false" outlineLevel="0" collapsed="false">
      <c r="B142" s="2" t="n">
        <v>140</v>
      </c>
      <c r="C142" s="2" t="n">
        <v>0.359863483333329</v>
      </c>
      <c r="D142" s="2" t="n">
        <v>0.4</v>
      </c>
      <c r="E142" s="2" t="n">
        <v>0.147583733333334</v>
      </c>
    </row>
    <row r="143" customFormat="false" ht="13.8" hidden="false" customHeight="false" outlineLevel="0" collapsed="false">
      <c r="B143" s="2" t="n">
        <v>141</v>
      </c>
      <c r="C143" s="2" t="n">
        <v>0.355399799999995</v>
      </c>
      <c r="D143" s="2" t="n">
        <v>0.4</v>
      </c>
      <c r="E143" s="2" t="n">
        <v>0.0502500500000006</v>
      </c>
    </row>
    <row r="144" customFormat="false" ht="13.8" hidden="false" customHeight="false" outlineLevel="0" collapsed="false">
      <c r="B144" s="2" t="n">
        <v>142</v>
      </c>
      <c r="C144" s="2" t="n">
        <v>0.386665316666662</v>
      </c>
      <c r="D144" s="2" t="n">
        <v>0.4</v>
      </c>
      <c r="E144" s="2" t="n">
        <v>0.0596667833333339</v>
      </c>
    </row>
    <row r="145" customFormat="false" ht="13.8" hidden="false" customHeight="false" outlineLevel="0" collapsed="false">
      <c r="B145" s="2" t="n">
        <v>143</v>
      </c>
      <c r="C145" s="2" t="n">
        <v>0.317483816666662</v>
      </c>
      <c r="D145" s="2" t="n">
        <v>0.4</v>
      </c>
      <c r="E145" s="2" t="n">
        <v>0.0365835166666672</v>
      </c>
    </row>
    <row r="146" customFormat="false" ht="13.8" hidden="false" customHeight="false" outlineLevel="0" collapsed="false">
      <c r="B146" s="2" t="n">
        <v>144</v>
      </c>
      <c r="C146" s="2" t="n">
        <v>0.206880749999995</v>
      </c>
      <c r="D146" s="2" t="n">
        <v>0.4</v>
      </c>
      <c r="E146" s="2" t="n">
        <v>0.0490836166666672</v>
      </c>
    </row>
    <row r="147" customFormat="false" ht="13.8" hidden="false" customHeight="false" outlineLevel="0" collapsed="false">
      <c r="B147" s="2" t="n">
        <v>145</v>
      </c>
      <c r="C147" s="2" t="n">
        <v>0.172306999999995</v>
      </c>
      <c r="D147" s="2" t="n">
        <v>0.0133333333333335</v>
      </c>
      <c r="E147" s="2" t="n">
        <v>0.0354170833333339</v>
      </c>
    </row>
    <row r="148" customFormat="false" ht="13.8" hidden="false" customHeight="false" outlineLevel="0" collapsed="false">
      <c r="B148" s="2" t="n">
        <v>146</v>
      </c>
      <c r="C148" s="2" t="n">
        <v>0.212234316666662</v>
      </c>
      <c r="D148" s="2" t="n">
        <v>0.4</v>
      </c>
      <c r="E148" s="2" t="n">
        <v>0.0504166833333339</v>
      </c>
    </row>
    <row r="149" customFormat="false" ht="13.8" hidden="false" customHeight="false" outlineLevel="0" collapsed="false">
      <c r="B149" s="2" t="n">
        <v>147</v>
      </c>
      <c r="C149" s="2" t="n">
        <v>0.149800499999995</v>
      </c>
      <c r="D149" s="2" t="n">
        <v>0.4</v>
      </c>
      <c r="E149" s="2" t="n">
        <v>0.0500834166666672</v>
      </c>
    </row>
    <row r="150" customFormat="false" ht="13.8" hidden="false" customHeight="false" outlineLevel="0" collapsed="false">
      <c r="B150" s="2" t="n">
        <v>148</v>
      </c>
      <c r="C150" s="2" t="n">
        <v>0.183883566666662</v>
      </c>
      <c r="D150" s="2" t="n">
        <v>0.4</v>
      </c>
      <c r="E150" s="2" t="n">
        <v>0.0590835666666672</v>
      </c>
    </row>
    <row r="151" customFormat="false" ht="13.8" hidden="false" customHeight="false" outlineLevel="0" collapsed="false">
      <c r="B151" s="2" t="n">
        <v>149</v>
      </c>
      <c r="C151" s="2" t="n">
        <v>0.134917466666662</v>
      </c>
      <c r="D151" s="2" t="n">
        <v>0.4</v>
      </c>
      <c r="E151" s="2" t="n">
        <v>0.0466667833333339</v>
      </c>
    </row>
    <row r="152" customFormat="false" ht="13.8" hidden="false" customHeight="false" outlineLevel="0" collapsed="false">
      <c r="B152" s="2" t="n">
        <v>150</v>
      </c>
      <c r="C152" s="2" t="n">
        <v>0.182391969795281</v>
      </c>
      <c r="D152" s="2" t="n">
        <v>0.169333992510726</v>
      </c>
      <c r="E152" s="2" t="n">
        <v>0.0610114412228867</v>
      </c>
    </row>
    <row r="153" customFormat="false" ht="13.8" hidden="false" customHeight="false" outlineLevel="0" collapsed="false">
      <c r="B153" s="2" t="n">
        <v>151</v>
      </c>
      <c r="C153" s="2" t="n">
        <v>0.0549204514385881</v>
      </c>
      <c r="D153" s="2" t="n">
        <v>0</v>
      </c>
      <c r="E153" s="2" t="n">
        <v>0.00128404002397921</v>
      </c>
    </row>
    <row r="154" customFormat="false" ht="13.8" hidden="false" customHeight="false" outlineLevel="0" collapsed="false">
      <c r="B154" s="2" t="n">
        <v>152</v>
      </c>
      <c r="C154" s="2" t="n">
        <v>0</v>
      </c>
      <c r="D154" s="2" t="n">
        <v>0</v>
      </c>
      <c r="E154" s="2" t="n">
        <v>0</v>
      </c>
    </row>
    <row r="155" customFormat="false" ht="13.8" hidden="false" customHeight="false" outlineLevel="0" collapsed="false">
      <c r="B155" s="2" t="n">
        <v>153</v>
      </c>
      <c r="C155" s="2" t="n">
        <v>0</v>
      </c>
      <c r="D155" s="2" t="n">
        <v>0</v>
      </c>
      <c r="E155" s="2" t="n">
        <v>0</v>
      </c>
    </row>
    <row r="156" customFormat="false" ht="13.8" hidden="false" customHeight="false" outlineLevel="0" collapsed="false">
      <c r="B156" s="2" t="n">
        <v>154</v>
      </c>
      <c r="C156" s="2" t="n">
        <v>0</v>
      </c>
      <c r="D156" s="2" t="n">
        <v>0</v>
      </c>
      <c r="E156" s="2" t="n">
        <v>0</v>
      </c>
    </row>
    <row r="157" customFormat="false" ht="13.8" hidden="false" customHeight="false" outlineLevel="0" collapsed="false">
      <c r="B157" s="2" t="n">
        <v>155</v>
      </c>
      <c r="C157" s="2" t="n">
        <v>0</v>
      </c>
      <c r="D157" s="2" t="n">
        <v>0</v>
      </c>
      <c r="E157" s="2" t="n">
        <v>0</v>
      </c>
    </row>
    <row r="158" customFormat="false" ht="13.8" hidden="false" customHeight="false" outlineLevel="0" collapsed="false">
      <c r="B158" s="2" t="n">
        <v>156</v>
      </c>
      <c r="C158" s="2" t="n">
        <v>0</v>
      </c>
      <c r="D158" s="2" t="n">
        <v>0</v>
      </c>
      <c r="E158" s="2" t="n">
        <v>0</v>
      </c>
    </row>
    <row r="159" customFormat="false" ht="13.8" hidden="false" customHeight="false" outlineLevel="0" collapsed="false">
      <c r="B159" s="2" t="n">
        <v>157</v>
      </c>
      <c r="C159" s="2" t="n">
        <v>0</v>
      </c>
      <c r="D159" s="2" t="n">
        <v>0</v>
      </c>
      <c r="E159" s="2" t="n">
        <v>0</v>
      </c>
    </row>
    <row r="160" customFormat="false" ht="13.8" hidden="false" customHeight="false" outlineLevel="0" collapsed="false">
      <c r="B160" s="2" t="n">
        <v>158</v>
      </c>
      <c r="C160" s="2" t="n">
        <v>0</v>
      </c>
      <c r="D160" s="2" t="n">
        <v>0</v>
      </c>
      <c r="E160" s="2" t="n">
        <v>0</v>
      </c>
    </row>
    <row r="161" customFormat="false" ht="13.8" hidden="false" customHeight="false" outlineLevel="0" collapsed="false">
      <c r="B161" s="2" t="n">
        <v>159</v>
      </c>
      <c r="C161" s="2" t="n">
        <v>0</v>
      </c>
      <c r="D161" s="2" t="n">
        <v>0</v>
      </c>
      <c r="E161" s="2" t="n">
        <v>0</v>
      </c>
    </row>
    <row r="162" customFormat="false" ht="13.8" hidden="false" customHeight="false" outlineLevel="0" collapsed="false">
      <c r="B162" s="2" t="n">
        <v>160</v>
      </c>
      <c r="C162" s="2" t="n">
        <v>0</v>
      </c>
      <c r="D162" s="2" t="n">
        <v>0</v>
      </c>
      <c r="E162" s="2" t="n">
        <v>0.308281889136985</v>
      </c>
    </row>
    <row r="163" customFormat="false" ht="13.8" hidden="false" customHeight="false" outlineLevel="0" collapsed="false">
      <c r="B163" s="2" t="n">
        <v>161</v>
      </c>
      <c r="C163" s="2" t="n">
        <v>0.165025809483716</v>
      </c>
      <c r="D163" s="2" t="n">
        <v>0</v>
      </c>
      <c r="E163" s="2" t="n">
        <v>0.347929375484142</v>
      </c>
    </row>
    <row r="164" customFormat="false" ht="13.8" hidden="false" customHeight="false" outlineLevel="0" collapsed="false">
      <c r="B164" s="2" t="n">
        <v>162</v>
      </c>
      <c r="C164" s="2" t="n">
        <v>0.277819961766085</v>
      </c>
      <c r="D164" s="2" t="n">
        <v>0</v>
      </c>
      <c r="E164" s="2" t="n">
        <v>0.157142284355507</v>
      </c>
    </row>
    <row r="165" customFormat="false" ht="13.8" hidden="false" customHeight="false" outlineLevel="0" collapsed="false">
      <c r="B165" s="2" t="n">
        <v>163</v>
      </c>
      <c r="C165" s="2" t="n">
        <v>0.355006</v>
      </c>
      <c r="D165" s="2" t="n">
        <v>0.193333333333333</v>
      </c>
      <c r="E165" s="2" t="n">
        <v>0.17300245</v>
      </c>
    </row>
    <row r="166" customFormat="false" ht="13.8" hidden="false" customHeight="false" outlineLevel="0" collapsed="false">
      <c r="B166" s="2" t="n">
        <v>164</v>
      </c>
      <c r="C166" s="2" t="n">
        <v>0.435445216666667</v>
      </c>
      <c r="D166" s="2" t="n">
        <v>0.4</v>
      </c>
      <c r="E166" s="2" t="n">
        <v>0.0822505333333333</v>
      </c>
    </row>
    <row r="167" customFormat="false" ht="13.8" hidden="false" customHeight="false" outlineLevel="0" collapsed="false">
      <c r="B167" s="2" t="n">
        <v>165</v>
      </c>
      <c r="C167" s="2" t="n">
        <v>0.41229755</v>
      </c>
      <c r="D167" s="2" t="n">
        <v>0.4</v>
      </c>
      <c r="E167" s="2" t="n">
        <v>0.07</v>
      </c>
    </row>
    <row r="168" customFormat="false" ht="13.8" hidden="false" customHeight="false" outlineLevel="0" collapsed="false">
      <c r="B168" s="2" t="n">
        <v>166</v>
      </c>
      <c r="C168" s="2" t="n">
        <v>0.41373305</v>
      </c>
      <c r="D168" s="2" t="n">
        <v>0.4</v>
      </c>
      <c r="E168" s="2" t="n">
        <v>0.0360836166666667</v>
      </c>
    </row>
    <row r="169" customFormat="false" ht="13.8" hidden="false" customHeight="false" outlineLevel="0" collapsed="false">
      <c r="B169" s="2" t="n">
        <v>167</v>
      </c>
      <c r="C169" s="2" t="n">
        <v>0.346466866666667</v>
      </c>
      <c r="D169" s="2" t="n">
        <v>0.4</v>
      </c>
      <c r="E169" s="2" t="n">
        <v>0.0594168333333333</v>
      </c>
    </row>
    <row r="170" customFormat="false" ht="13.8" hidden="false" customHeight="false" outlineLevel="0" collapsed="false">
      <c r="B170" s="2" t="n">
        <v>168</v>
      </c>
      <c r="C170" s="2" t="n">
        <v>0.2803326</v>
      </c>
      <c r="D170" s="2" t="n">
        <v>0.393333333333333</v>
      </c>
      <c r="E170" s="2" t="n">
        <v>0.0458336166666667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70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1" sqref="B12:F14 C3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2" t="n">
        <v>1</v>
      </c>
      <c r="C3" s="2" t="n">
        <v>2.69512224477676</v>
      </c>
      <c r="D3" s="2" t="n">
        <v>3.56551108465194</v>
      </c>
      <c r="E3" s="2" t="n">
        <v>1.42181301427773</v>
      </c>
    </row>
    <row r="4" customFormat="false" ht="13.8" hidden="false" customHeight="false" outlineLevel="0" collapsed="false">
      <c r="B4" s="2" t="n">
        <v>2</v>
      </c>
      <c r="C4" s="2" t="n">
        <v>2.48494608985061</v>
      </c>
      <c r="D4" s="2" t="n">
        <v>3.12103098509664</v>
      </c>
      <c r="E4" s="2" t="n">
        <v>1.34402101836981</v>
      </c>
    </row>
    <row r="5" customFormat="false" ht="13.8" hidden="false" customHeight="false" outlineLevel="0" collapsed="false">
      <c r="B5" s="2" t="n">
        <v>3</v>
      </c>
      <c r="C5" s="2" t="n">
        <v>2.29817994409341</v>
      </c>
      <c r="D5" s="2" t="n">
        <v>2.67655533034235</v>
      </c>
      <c r="E5" s="2" t="n">
        <v>1.27178496704852</v>
      </c>
    </row>
    <row r="6" customFormat="false" ht="13.8" hidden="false" customHeight="false" outlineLevel="0" collapsed="false">
      <c r="B6" s="2" t="n">
        <v>4</v>
      </c>
      <c r="C6" s="2" t="n">
        <v>1.98567516599767</v>
      </c>
      <c r="D6" s="2" t="n">
        <v>2.2320841203446</v>
      </c>
      <c r="E6" s="2" t="n">
        <v>1.20510552697662</v>
      </c>
    </row>
    <row r="7" customFormat="false" ht="13.8" hidden="false" customHeight="false" outlineLevel="0" collapsed="false">
      <c r="B7" s="2" t="n">
        <v>5</v>
      </c>
      <c r="C7" s="2" t="n">
        <v>1.75150610554231</v>
      </c>
      <c r="D7" s="2" t="n">
        <v>1.78761735505895</v>
      </c>
      <c r="E7" s="2" t="n">
        <v>1.13657454999543</v>
      </c>
    </row>
    <row r="8" customFormat="false" ht="13.8" hidden="false" customHeight="false" outlineLevel="0" collapsed="false">
      <c r="B8" s="2" t="n">
        <v>6</v>
      </c>
      <c r="C8" s="2" t="n">
        <v>1.45451102539609</v>
      </c>
      <c r="D8" s="2" t="n">
        <v>1.67743686053085</v>
      </c>
      <c r="E8" s="2" t="n">
        <v>1.07038834128508</v>
      </c>
    </row>
    <row r="9" customFormat="false" ht="13.8" hidden="false" customHeight="false" outlineLevel="0" collapsed="false">
      <c r="B9" s="2" t="n">
        <v>7</v>
      </c>
      <c r="C9" s="2" t="n">
        <v>1.18887643729539</v>
      </c>
      <c r="D9" s="2" t="n">
        <v>1.7042541834101</v>
      </c>
      <c r="E9" s="2" t="n">
        <v>1.00977999020747</v>
      </c>
    </row>
    <row r="10" customFormat="false" ht="13.8" hidden="false" customHeight="false" outlineLevel="0" collapsed="false">
      <c r="B10" s="2" t="n">
        <v>8</v>
      </c>
      <c r="C10" s="2" t="n">
        <v>1.19572832764413</v>
      </c>
      <c r="D10" s="2" t="n">
        <v>1.70423714086826</v>
      </c>
      <c r="E10" s="2" t="n">
        <v>1.00976989240757</v>
      </c>
    </row>
    <row r="11" customFormat="false" ht="13.8" hidden="false" customHeight="false" outlineLevel="0" collapsed="false">
      <c r="B11" s="2" t="n">
        <v>9</v>
      </c>
      <c r="C11" s="2" t="n">
        <v>1.19571637036086</v>
      </c>
      <c r="D11" s="2" t="n">
        <v>1.70422009849686</v>
      </c>
      <c r="E11" s="2" t="n">
        <v>1.00975979470865</v>
      </c>
    </row>
    <row r="12" customFormat="false" ht="13.8" hidden="false" customHeight="false" outlineLevel="0" collapsed="false">
      <c r="B12" s="2" t="n">
        <v>10</v>
      </c>
      <c r="C12" s="2" t="n">
        <v>1.19570441319715</v>
      </c>
      <c r="D12" s="2" t="n">
        <v>1.70420305629587</v>
      </c>
      <c r="E12" s="2" t="n">
        <v>1.0097496971107</v>
      </c>
    </row>
    <row r="13" customFormat="false" ht="13.8" hidden="false" customHeight="false" outlineLevel="0" collapsed="false">
      <c r="B13" s="2" t="n">
        <v>11</v>
      </c>
      <c r="C13" s="2" t="n">
        <v>1.19569245615302</v>
      </c>
      <c r="D13" s="2" t="n">
        <v>1.70418601426531</v>
      </c>
      <c r="E13" s="2" t="n">
        <v>1.00973959961373</v>
      </c>
    </row>
    <row r="14" customFormat="false" ht="13.8" hidden="false" customHeight="false" outlineLevel="0" collapsed="false">
      <c r="B14" s="2" t="n">
        <v>12</v>
      </c>
      <c r="C14" s="2" t="n">
        <v>1.19568049922846</v>
      </c>
      <c r="D14" s="2" t="n">
        <v>1.70416897240516</v>
      </c>
      <c r="E14" s="2" t="n">
        <v>1.00972950221773</v>
      </c>
    </row>
    <row r="15" customFormat="false" ht="13.8" hidden="false" customHeight="false" outlineLevel="0" collapsed="false">
      <c r="B15" s="2" t="n">
        <v>13</v>
      </c>
      <c r="C15" s="2" t="n">
        <v>1.19566854242347</v>
      </c>
      <c r="D15" s="2" t="n">
        <v>1.77871221468493</v>
      </c>
      <c r="E15" s="2" t="n">
        <v>1.33601228310135</v>
      </c>
    </row>
    <row r="16" customFormat="false" ht="13.8" hidden="false" customHeight="false" outlineLevel="0" collapsed="false">
      <c r="B16" s="2" t="n">
        <v>14</v>
      </c>
      <c r="C16" s="2" t="n">
        <v>2.01696453930926</v>
      </c>
      <c r="D16" s="2" t="n">
        <v>2.90886643538481</v>
      </c>
      <c r="E16" s="2" t="n">
        <v>1.77344441463463</v>
      </c>
    </row>
    <row r="17" customFormat="false" ht="13.8" hidden="false" customHeight="false" outlineLevel="0" collapsed="false">
      <c r="B17" s="2" t="n">
        <v>15</v>
      </c>
      <c r="C17" s="2" t="n">
        <v>2.85598285168213</v>
      </c>
      <c r="D17" s="2" t="n">
        <v>3.77727558260626</v>
      </c>
      <c r="E17" s="2" t="n">
        <v>2.12375465002638</v>
      </c>
    </row>
    <row r="18" customFormat="false" ht="13.8" hidden="false" customHeight="false" outlineLevel="0" collapsed="false">
      <c r="B18" s="2" t="n">
        <v>16</v>
      </c>
      <c r="C18" s="2" t="n">
        <v>3.24381771378513</v>
      </c>
      <c r="D18" s="2" t="n">
        <v>4.29047944712019</v>
      </c>
      <c r="E18" s="2" t="n">
        <v>2.10547629079643</v>
      </c>
    </row>
    <row r="19" customFormat="false" ht="13.8" hidden="false" customHeight="false" outlineLevel="0" collapsed="false">
      <c r="B19" s="2" t="n">
        <v>17</v>
      </c>
      <c r="C19" s="2" t="n">
        <v>3.3573816035176</v>
      </c>
      <c r="D19" s="2" t="n">
        <v>4.58005105264725</v>
      </c>
      <c r="E19" s="2" t="n">
        <v>2.00772712573772</v>
      </c>
    </row>
    <row r="20" customFormat="false" ht="13.8" hidden="false" customHeight="false" outlineLevel="0" collapsed="false">
      <c r="B20" s="2" t="n">
        <v>18</v>
      </c>
      <c r="C20" s="2" t="n">
        <v>3.19862792960116</v>
      </c>
      <c r="D20" s="2" t="n">
        <v>4.67265526176301</v>
      </c>
      <c r="E20" s="2" t="n">
        <v>1.54463439098718</v>
      </c>
    </row>
    <row r="21" customFormat="false" ht="13.8" hidden="false" customHeight="false" outlineLevel="0" collapsed="false">
      <c r="B21" s="2" t="n">
        <v>19</v>
      </c>
      <c r="C21" s="2" t="n">
        <v>2.88660731369223</v>
      </c>
      <c r="D21" s="2" t="n">
        <v>4.67260853521039</v>
      </c>
      <c r="E21" s="2" t="n">
        <v>1.07387744464327</v>
      </c>
    </row>
    <row r="22" customFormat="false" ht="13.8" hidden="false" customHeight="false" outlineLevel="0" collapsed="false">
      <c r="B22" s="2" t="n">
        <v>20</v>
      </c>
      <c r="C22" s="2" t="n">
        <v>2.49813698465613</v>
      </c>
      <c r="D22" s="2" t="n">
        <v>4.41330254986578</v>
      </c>
      <c r="E22" s="2" t="n">
        <v>0.896088891054007</v>
      </c>
    </row>
    <row r="23" customFormat="false" ht="13.8" hidden="false" customHeight="false" outlineLevel="0" collapsed="false">
      <c r="B23" s="2" t="n">
        <v>21</v>
      </c>
      <c r="C23" s="2" t="n">
        <v>2.08016891069369</v>
      </c>
      <c r="D23" s="2" t="n">
        <v>3.96881397239584</v>
      </c>
      <c r="E23" s="2" t="n">
        <v>0.746079930165097</v>
      </c>
    </row>
    <row r="24" customFormat="false" ht="13.8" hidden="false" customHeight="false" outlineLevel="0" collapsed="false">
      <c r="B24" s="2" t="n">
        <v>22</v>
      </c>
      <c r="C24" s="2" t="n">
        <v>1.70779859048607</v>
      </c>
      <c r="D24" s="2" t="n">
        <v>3.52432983981167</v>
      </c>
      <c r="E24" s="2" t="n">
        <v>0.596072469365795</v>
      </c>
    </row>
    <row r="25" customFormat="false" ht="13.8" hidden="false" customHeight="false" outlineLevel="0" collapsed="false">
      <c r="B25" s="2" t="n">
        <v>23</v>
      </c>
      <c r="C25" s="2" t="n">
        <v>1.42087717916683</v>
      </c>
      <c r="D25" s="2" t="n">
        <v>3.07985015206882</v>
      </c>
      <c r="E25" s="2" t="n">
        <v>0.519029323455917</v>
      </c>
    </row>
    <row r="26" customFormat="false" ht="13.8" hidden="false" customHeight="false" outlineLevel="0" collapsed="false">
      <c r="B26" s="2" t="n">
        <v>24</v>
      </c>
      <c r="C26" s="2" t="n">
        <v>1.154241933358</v>
      </c>
      <c r="D26" s="2" t="n">
        <v>2.64278231653027</v>
      </c>
      <c r="E26" s="2" t="n">
        <v>0.479579244273794</v>
      </c>
    </row>
    <row r="27" customFormat="false" ht="13.8" hidden="false" customHeight="false" outlineLevel="0" collapsed="false">
      <c r="B27" s="2" t="n">
        <v>25</v>
      </c>
      <c r="C27" s="2" t="n">
        <v>0.906481557605336</v>
      </c>
      <c r="D27" s="2" t="n">
        <v>2.19831144426266</v>
      </c>
      <c r="E27" s="2" t="n">
        <v>0.38133346699987</v>
      </c>
    </row>
    <row r="28" customFormat="false" ht="13.8" hidden="false" customHeight="false" outlineLevel="0" collapsed="false">
      <c r="B28" s="2" t="n">
        <v>26</v>
      </c>
      <c r="C28" s="2" t="n">
        <v>0.728860603900871</v>
      </c>
      <c r="D28" s="2" t="n">
        <v>1.75384501670377</v>
      </c>
      <c r="E28" s="2" t="n">
        <v>0.307348135146682</v>
      </c>
    </row>
    <row r="29" customFormat="false" ht="13.8" hidden="false" customHeight="false" outlineLevel="0" collapsed="false">
      <c r="B29" s="2" t="n">
        <v>27</v>
      </c>
      <c r="C29" s="2" t="n">
        <v>0.55731533381335</v>
      </c>
      <c r="D29" s="2" t="n">
        <v>1.30938303380916</v>
      </c>
      <c r="E29" s="2" t="n">
        <v>0.229567283887553</v>
      </c>
    </row>
    <row r="30" customFormat="false" ht="13.8" hidden="false" customHeight="false" outlineLevel="0" collapsed="false">
      <c r="B30" s="2" t="n">
        <v>28</v>
      </c>
      <c r="C30" s="2" t="n">
        <v>0.356197631030383</v>
      </c>
      <c r="D30" s="2" t="n">
        <v>0.864925495534377</v>
      </c>
      <c r="E30" s="2" t="n">
        <v>0.151787210436937</v>
      </c>
    </row>
    <row r="31" customFormat="false" ht="13.8" hidden="false" customHeight="false" outlineLevel="0" collapsed="false">
      <c r="B31" s="2" t="n">
        <v>29</v>
      </c>
      <c r="C31" s="2" t="n">
        <v>0.184749272757776</v>
      </c>
      <c r="D31" s="2" t="n">
        <v>0.420472401834977</v>
      </c>
      <c r="E31" s="2" t="n">
        <v>0.104007692564833</v>
      </c>
    </row>
    <row r="32" customFormat="false" ht="13.8" hidden="false" customHeight="false" outlineLevel="0" collapsed="false">
      <c r="B32" s="2" t="n">
        <v>30</v>
      </c>
      <c r="C32" s="2" t="n">
        <v>0.0158797750335119</v>
      </c>
      <c r="D32" s="2" t="n">
        <v>0</v>
      </c>
      <c r="E32" s="2" t="n">
        <v>0.00653302319061647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0</v>
      </c>
      <c r="E33" s="2" t="n">
        <v>0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0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</v>
      </c>
      <c r="E35" s="2" t="n">
        <v>0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</v>
      </c>
      <c r="E36" s="2" t="n">
        <v>0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0.0633330180261295</v>
      </c>
      <c r="E38" s="2" t="n">
        <v>0.100877394670992</v>
      </c>
    </row>
    <row r="39" customFormat="false" ht="13.8" hidden="false" customHeight="false" outlineLevel="0" collapsed="false">
      <c r="B39" s="2" t="n">
        <v>37</v>
      </c>
      <c r="C39" s="2" t="n">
        <v>0.56334333922504</v>
      </c>
      <c r="D39" s="2" t="n">
        <v>1.33528640941225</v>
      </c>
      <c r="E39" s="2" t="n">
        <v>0.398877593298932</v>
      </c>
    </row>
    <row r="40" customFormat="false" ht="13.8" hidden="false" customHeight="false" outlineLevel="0" collapsed="false">
      <c r="B40" s="2" t="n">
        <v>38</v>
      </c>
      <c r="C40" s="2" t="n">
        <v>1.72027312810606</v>
      </c>
      <c r="D40" s="2" t="n">
        <v>2.4867831821983</v>
      </c>
      <c r="E40" s="2" t="n">
        <v>0.874532904674049</v>
      </c>
    </row>
    <row r="41" customFormat="false" ht="13.8" hidden="false" customHeight="false" outlineLevel="0" collapsed="false">
      <c r="B41" s="2" t="n">
        <v>39</v>
      </c>
      <c r="C41" s="2" t="n">
        <v>2.6400560433285</v>
      </c>
      <c r="D41" s="2" t="n">
        <v>3.40339771497674</v>
      </c>
      <c r="E41" s="2" t="n">
        <v>1.25482745645893</v>
      </c>
    </row>
    <row r="42" customFormat="false" ht="13.8" hidden="false" customHeight="false" outlineLevel="0" collapsed="false">
      <c r="B42" s="2" t="n">
        <v>40</v>
      </c>
      <c r="C42" s="2" t="n">
        <v>3.13391829686485</v>
      </c>
      <c r="D42" s="2" t="n">
        <v>4.02806814561761</v>
      </c>
      <c r="E42" s="2" t="n">
        <v>1.48084235911382</v>
      </c>
    </row>
    <row r="43" customFormat="false" ht="13.8" hidden="false" customHeight="false" outlineLevel="0" collapsed="false">
      <c r="B43" s="2" t="n">
        <v>41</v>
      </c>
      <c r="C43" s="2" t="n">
        <v>3.38676274669914</v>
      </c>
      <c r="D43" s="2" t="n">
        <v>4.40192593647233</v>
      </c>
      <c r="E43" s="2" t="n">
        <v>1.11876380760772</v>
      </c>
    </row>
    <row r="44" customFormat="false" ht="13.8" hidden="false" customHeight="false" outlineLevel="0" collapsed="false">
      <c r="B44" s="2" t="n">
        <v>42</v>
      </c>
      <c r="C44" s="2" t="n">
        <v>3.26072846616936</v>
      </c>
      <c r="D44" s="2" t="n">
        <v>4.52412514827714</v>
      </c>
      <c r="E44" s="2" t="n">
        <v>0.961734896004365</v>
      </c>
    </row>
    <row r="45" customFormat="false" ht="13.8" hidden="false" customHeight="false" outlineLevel="0" collapsed="false">
      <c r="B45" s="2" t="n">
        <v>43</v>
      </c>
      <c r="C45" s="2" t="n">
        <v>2.96514709196473</v>
      </c>
      <c r="D45" s="2" t="n">
        <v>4.52407990702566</v>
      </c>
      <c r="E45" s="2" t="n">
        <v>0.914763275821185</v>
      </c>
    </row>
    <row r="46" customFormat="false" ht="13.8" hidden="false" customHeight="false" outlineLevel="0" collapsed="false">
      <c r="B46" s="2" t="n">
        <v>44</v>
      </c>
      <c r="C46" s="2" t="n">
        <v>2.56706394049381</v>
      </c>
      <c r="D46" s="2" t="n">
        <v>4.22033096252289</v>
      </c>
      <c r="E46" s="2" t="n">
        <v>0.784198294855093</v>
      </c>
    </row>
    <row r="47" customFormat="false" ht="13.8" hidden="false" customHeight="false" outlineLevel="0" collapsed="false">
      <c r="B47" s="2" t="n">
        <v>45</v>
      </c>
      <c r="C47" s="2" t="n">
        <v>2.142352362447</v>
      </c>
      <c r="D47" s="2" t="n">
        <v>3.77584431476882</v>
      </c>
      <c r="E47" s="2" t="n">
        <v>0.706690397316589</v>
      </c>
    </row>
    <row r="48" customFormat="false" ht="13.8" hidden="false" customHeight="false" outlineLevel="0" collapsed="false">
      <c r="B48" s="2" t="n">
        <v>46</v>
      </c>
      <c r="C48" s="2" t="n">
        <v>1.85379549447893</v>
      </c>
      <c r="D48" s="2" t="n">
        <v>3.33136211188123</v>
      </c>
      <c r="E48" s="2" t="n">
        <v>0.615386848931134</v>
      </c>
    </row>
    <row r="49" customFormat="false" ht="13.8" hidden="false" customHeight="false" outlineLevel="0" collapsed="false">
      <c r="B49" s="2" t="n">
        <v>47</v>
      </c>
      <c r="C49" s="2" t="n">
        <v>1.49255719726473</v>
      </c>
      <c r="D49" s="2" t="n">
        <v>2.88688435381566</v>
      </c>
      <c r="E49" s="2" t="n">
        <v>0.537880639507089</v>
      </c>
    </row>
    <row r="50" customFormat="false" ht="13.8" hidden="false" customHeight="false" outlineLevel="0" collapsed="false">
      <c r="B50" s="2" t="n">
        <v>48</v>
      </c>
      <c r="C50" s="2" t="n">
        <v>1.28049293835942</v>
      </c>
      <c r="D50" s="2" t="n">
        <v>2.57574437386101</v>
      </c>
      <c r="E50" s="2" t="n">
        <v>0.454171297737731</v>
      </c>
    </row>
    <row r="51" customFormat="false" ht="13.8" hidden="false" customHeight="false" outlineLevel="0" collapsed="false">
      <c r="B51" s="2" t="n">
        <v>49</v>
      </c>
      <c r="C51" s="2" t="n">
        <v>1.13243555935596</v>
      </c>
      <c r="D51" s="2" t="n">
        <v>2.36090380160246</v>
      </c>
      <c r="E51" s="2" t="n">
        <v>0.383796348617347</v>
      </c>
    </row>
    <row r="52" customFormat="false" ht="13.8" hidden="false" customHeight="false" outlineLevel="0" collapsed="false">
      <c r="B52" s="2" t="n">
        <v>50</v>
      </c>
      <c r="C52" s="2" t="n">
        <v>0.96220136463</v>
      </c>
      <c r="D52" s="2" t="n">
        <v>1.91643574812</v>
      </c>
      <c r="E52" s="2" t="n">
        <v>0.306014732876083</v>
      </c>
    </row>
    <row r="53" customFormat="false" ht="13.8" hidden="false" customHeight="false" outlineLevel="0" collapsed="false">
      <c r="B53" s="2" t="n">
        <v>51</v>
      </c>
      <c r="C53" s="2" t="n">
        <v>0.763542816690428</v>
      </c>
      <c r="D53" s="2" t="n">
        <v>1.47197213931807</v>
      </c>
      <c r="E53" s="2" t="n">
        <v>0.257122783839865</v>
      </c>
    </row>
    <row r="54" customFormat="false" ht="13.8" hidden="false" customHeight="false" outlineLevel="0" collapsed="false">
      <c r="B54" s="2" t="n">
        <v>52</v>
      </c>
      <c r="C54" s="2" t="n">
        <v>0.560571884965965</v>
      </c>
      <c r="D54" s="2" t="n">
        <v>1.02751297515224</v>
      </c>
      <c r="E54" s="2" t="n">
        <v>0.213601342241657</v>
      </c>
    </row>
    <row r="55" customFormat="false" ht="13.8" hidden="false" customHeight="false" outlineLevel="0" collapsed="false">
      <c r="B55" s="2" t="n">
        <v>53</v>
      </c>
      <c r="C55" s="2" t="n">
        <v>0.370695131098967</v>
      </c>
      <c r="D55" s="2" t="n">
        <v>0.583058255578041</v>
      </c>
      <c r="E55" s="2" t="n">
        <v>0.173506298820827</v>
      </c>
    </row>
    <row r="56" customFormat="false" ht="13.8" hidden="false" customHeight="false" outlineLevel="0" collapsed="false">
      <c r="B56" s="2" t="n">
        <v>54</v>
      </c>
      <c r="C56" s="2" t="n">
        <v>0.0941861152069472</v>
      </c>
      <c r="D56" s="2" t="n">
        <v>0.158394364229415</v>
      </c>
      <c r="E56" s="2" t="n">
        <v>0.0708024446395731</v>
      </c>
    </row>
    <row r="57" customFormat="false" ht="13.8" hidden="false" customHeight="false" outlineLevel="0" collapsed="false">
      <c r="B57" s="2" t="n">
        <v>55</v>
      </c>
      <c r="C57" s="2" t="n">
        <v>0</v>
      </c>
      <c r="D57" s="2" t="n">
        <v>0</v>
      </c>
      <c r="E57" s="2" t="n">
        <v>0</v>
      </c>
    </row>
    <row r="58" customFormat="false" ht="13.8" hidden="false" customHeight="false" outlineLevel="0" collapsed="false">
      <c r="B58" s="2" t="n">
        <v>56</v>
      </c>
      <c r="C58" s="2" t="n">
        <v>0</v>
      </c>
      <c r="D58" s="2" t="n">
        <v>0</v>
      </c>
      <c r="E58" s="2" t="n">
        <v>0</v>
      </c>
    </row>
    <row r="59" customFormat="false" ht="13.8" hidden="false" customHeight="false" outlineLevel="0" collapsed="false">
      <c r="B59" s="2" t="n">
        <v>57</v>
      </c>
      <c r="C59" s="2" t="n">
        <v>0</v>
      </c>
      <c r="D59" s="2" t="n">
        <v>0</v>
      </c>
      <c r="E59" s="2" t="n">
        <v>0</v>
      </c>
    </row>
    <row r="60" customFormat="false" ht="13.8" hidden="false" customHeight="false" outlineLevel="0" collapsed="false">
      <c r="B60" s="2" t="n">
        <v>58</v>
      </c>
      <c r="C60" s="2" t="n">
        <v>0</v>
      </c>
      <c r="D60" s="2" t="n">
        <v>0</v>
      </c>
      <c r="E60" s="2" t="n">
        <v>0</v>
      </c>
    </row>
    <row r="61" customFormat="false" ht="13.8" hidden="false" customHeight="false" outlineLevel="0" collapsed="false">
      <c r="B61" s="2" t="n">
        <v>59</v>
      </c>
      <c r="C61" s="2" t="n">
        <v>0</v>
      </c>
      <c r="D61" s="2" t="n">
        <v>0</v>
      </c>
      <c r="E61" s="2" t="n">
        <v>0</v>
      </c>
    </row>
    <row r="62" customFormat="false" ht="13.8" hidden="false" customHeight="false" outlineLevel="0" collapsed="false">
      <c r="B62" s="2" t="n">
        <v>60</v>
      </c>
      <c r="C62" s="2" t="n">
        <v>0</v>
      </c>
      <c r="D62" s="2" t="n">
        <v>0.732402338087123</v>
      </c>
      <c r="E62" s="2" t="n">
        <v>0</v>
      </c>
    </row>
    <row r="63" customFormat="false" ht="13.8" hidden="false" customHeight="false" outlineLevel="0" collapsed="false">
      <c r="B63" s="2" t="n">
        <v>61</v>
      </c>
      <c r="C63" s="2" t="n">
        <v>1.1655225844491</v>
      </c>
      <c r="D63" s="2" t="n">
        <v>1.99924276616682</v>
      </c>
      <c r="E63" s="2" t="n">
        <v>0.246037383756765</v>
      </c>
    </row>
    <row r="64" customFormat="false" ht="13.8" hidden="false" customHeight="false" outlineLevel="0" collapsed="false">
      <c r="B64" s="2" t="n">
        <v>62</v>
      </c>
      <c r="C64" s="2" t="n">
        <v>2.35922983320621</v>
      </c>
      <c r="D64" s="2" t="n">
        <v>3.17103996435222</v>
      </c>
      <c r="E64" s="2" t="n">
        <v>0.732226292890103</v>
      </c>
    </row>
    <row r="65" customFormat="false" ht="13.8" hidden="false" customHeight="false" outlineLevel="0" collapsed="false">
      <c r="B65" s="2" t="n">
        <v>63</v>
      </c>
      <c r="C65" s="2" t="n">
        <v>3.32389953534054</v>
      </c>
      <c r="D65" s="2" t="n">
        <v>4.15506915898407</v>
      </c>
      <c r="E65" s="2" t="n">
        <v>1.11738198406263</v>
      </c>
    </row>
    <row r="66" customFormat="false" ht="13.8" hidden="false" customHeight="false" outlineLevel="0" collapsed="false">
      <c r="B66" s="2" t="n">
        <v>64</v>
      </c>
      <c r="C66" s="2" t="n">
        <v>3.78981730829181</v>
      </c>
      <c r="D66" s="2" t="n">
        <v>4.70932652779946</v>
      </c>
      <c r="E66" s="2" t="n">
        <v>1.22572332993491</v>
      </c>
    </row>
    <row r="67" customFormat="false" ht="13.8" hidden="false" customHeight="false" outlineLevel="0" collapsed="false">
      <c r="B67" s="2" t="n">
        <v>65</v>
      </c>
      <c r="C67" s="2" t="n">
        <v>3.62406787390455</v>
      </c>
      <c r="D67" s="2" t="n">
        <v>4.79236492568084</v>
      </c>
      <c r="E67" s="2" t="n">
        <v>1.14001330082821</v>
      </c>
    </row>
    <row r="68" customFormat="false" ht="13.8" hidden="false" customHeight="false" outlineLevel="0" collapsed="false">
      <c r="B68" s="2" t="n">
        <v>66</v>
      </c>
      <c r="C68" s="2" t="n">
        <v>3.35146009092004</v>
      </c>
      <c r="D68" s="2" t="n">
        <v>4.75226495074754</v>
      </c>
      <c r="E68" s="2" t="n">
        <v>1.00275482172253</v>
      </c>
    </row>
    <row r="69" customFormat="false" ht="13.8" hidden="false" customHeight="false" outlineLevel="0" collapsed="false">
      <c r="B69" s="2" t="n">
        <v>67</v>
      </c>
      <c r="C69" s="2" t="n">
        <v>3.01297131705987</v>
      </c>
      <c r="D69" s="2" t="n">
        <v>4.30777298365359</v>
      </c>
      <c r="E69" s="2" t="n">
        <v>0.888335849729871</v>
      </c>
    </row>
    <row r="70" customFormat="false" ht="13.8" hidden="false" customHeight="false" outlineLevel="0" collapsed="false">
      <c r="B70" s="2" t="n">
        <v>68</v>
      </c>
      <c r="C70" s="2" t="n">
        <v>2.5439841873467</v>
      </c>
      <c r="D70" s="2" t="n">
        <v>3.86328546147931</v>
      </c>
      <c r="E70" s="2" t="n">
        <v>0.738326688593596</v>
      </c>
    </row>
    <row r="71" customFormat="false" ht="13.8" hidden="false" customHeight="false" outlineLevel="0" collapsed="false">
      <c r="B71" s="2" t="n">
        <v>69</v>
      </c>
      <c r="C71" s="2" t="n">
        <v>2.07384956231965</v>
      </c>
      <c r="D71" s="2" t="n">
        <v>3.41880238418025</v>
      </c>
      <c r="E71" s="2" t="n">
        <v>0.58831930532671</v>
      </c>
    </row>
    <row r="72" customFormat="false" ht="13.8" hidden="false" customHeight="false" outlineLevel="0" collapsed="false">
      <c r="B72" s="2" t="n">
        <v>70</v>
      </c>
      <c r="C72" s="2" t="n">
        <v>1.53125823123143</v>
      </c>
      <c r="D72" s="2" t="n">
        <v>2.97432375171196</v>
      </c>
      <c r="E72" s="2" t="n">
        <v>0.534516662874397</v>
      </c>
    </row>
    <row r="73" customFormat="false" ht="13.8" hidden="false" customHeight="false" outlineLevel="0" collapsed="false">
      <c r="B73" s="2" t="n">
        <v>71</v>
      </c>
      <c r="C73" s="2" t="n">
        <v>1.24987301124171</v>
      </c>
      <c r="D73" s="2" t="n">
        <v>2.52984956403</v>
      </c>
      <c r="E73" s="2" t="n">
        <v>0.467844595485546</v>
      </c>
    </row>
    <row r="74" customFormat="false" ht="13.8" hidden="false" customHeight="false" outlineLevel="0" collapsed="false">
      <c r="B74" s="2" t="n">
        <v>72</v>
      </c>
      <c r="C74" s="2" t="n">
        <v>0.983698882881969</v>
      </c>
      <c r="D74" s="2" t="n">
        <v>2.08537982108992</v>
      </c>
      <c r="E74" s="2" t="n">
        <v>0.41598793555811</v>
      </c>
    </row>
    <row r="75" customFormat="false" ht="13.8" hidden="false" customHeight="false" outlineLevel="0" collapsed="false">
      <c r="B75" s="2" t="n">
        <v>73</v>
      </c>
      <c r="C75" s="2" t="n">
        <v>0.838292490337585</v>
      </c>
      <c r="D75" s="2" t="n">
        <v>1.82609970803245</v>
      </c>
      <c r="E75" s="2" t="n">
        <v>0.371539164567643</v>
      </c>
    </row>
    <row r="76" customFormat="false" ht="13.8" hidden="false" customHeight="false" outlineLevel="0" collapsed="false">
      <c r="B76" s="2" t="n">
        <v>74</v>
      </c>
      <c r="C76" s="2" t="n">
        <v>0.674393903708978</v>
      </c>
      <c r="D76" s="2" t="n">
        <v>1.38163700259092</v>
      </c>
      <c r="E76" s="2" t="n">
        <v>0.29375767139822</v>
      </c>
    </row>
    <row r="77" customFormat="false" ht="13.8" hidden="false" customHeight="false" outlineLevel="0" collapsed="false">
      <c r="B77" s="2" t="n">
        <v>75</v>
      </c>
      <c r="C77" s="2" t="n">
        <v>0.531775030140311</v>
      </c>
      <c r="D77" s="2" t="n">
        <v>0.937178741776453</v>
      </c>
      <c r="E77" s="2" t="n">
        <v>0.215976956043728</v>
      </c>
    </row>
    <row r="78" customFormat="false" ht="13.8" hidden="false" customHeight="false" outlineLevel="0" collapsed="false">
      <c r="B78" s="2" t="n">
        <v>76</v>
      </c>
      <c r="C78" s="2" t="n">
        <v>0.39186158276038</v>
      </c>
      <c r="D78" s="2" t="n">
        <v>0.492724925544591</v>
      </c>
      <c r="E78" s="2" t="n">
        <v>0.13819701849639</v>
      </c>
    </row>
    <row r="79" customFormat="false" ht="13.8" hidden="false" customHeight="false" outlineLevel="0" collapsed="false">
      <c r="B79" s="2" t="n">
        <v>77</v>
      </c>
      <c r="C79" s="2" t="n">
        <v>0.202597849329738</v>
      </c>
      <c r="D79" s="2" t="n">
        <v>0.048275553850891</v>
      </c>
      <c r="E79" s="2" t="n">
        <v>0.0604178587484275</v>
      </c>
    </row>
    <row r="80" customFormat="false" ht="13.8" hidden="false" customHeight="false" outlineLevel="0" collapsed="false">
      <c r="B80" s="2" t="n">
        <v>78</v>
      </c>
      <c r="C80" s="2" t="n">
        <v>0.0787386900719998</v>
      </c>
      <c r="D80" s="2" t="n">
        <v>0</v>
      </c>
      <c r="E80" s="2" t="n">
        <v>0</v>
      </c>
    </row>
    <row r="81" customFormat="false" ht="13.8" hidden="false" customHeight="false" outlineLevel="0" collapsed="false">
      <c r="B81" s="2" t="n">
        <v>79</v>
      </c>
      <c r="C81" s="2" t="n">
        <v>0</v>
      </c>
      <c r="D81" s="2" t="n">
        <v>0</v>
      </c>
      <c r="E81" s="2" t="n">
        <v>0</v>
      </c>
    </row>
    <row r="82" customFormat="false" ht="13.8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0</v>
      </c>
    </row>
    <row r="83" customFormat="false" ht="13.8" hidden="false" customHeight="false" outlineLevel="0" collapsed="false">
      <c r="B83" s="2" t="n">
        <v>81</v>
      </c>
      <c r="C83" s="2" t="n">
        <v>0</v>
      </c>
      <c r="D83" s="2" t="n">
        <v>0</v>
      </c>
      <c r="E83" s="2" t="n">
        <v>0</v>
      </c>
    </row>
    <row r="84" customFormat="false" ht="13.8" hidden="false" customHeight="false" outlineLevel="0" collapsed="false">
      <c r="B84" s="2" t="n">
        <v>82</v>
      </c>
      <c r="C84" s="2" t="n">
        <v>0</v>
      </c>
      <c r="D84" s="2" t="n">
        <v>0</v>
      </c>
      <c r="E84" s="2" t="n">
        <v>0</v>
      </c>
    </row>
    <row r="85" customFormat="false" ht="13.8" hidden="false" customHeight="false" outlineLevel="0" collapsed="false">
      <c r="B85" s="2" t="n">
        <v>83</v>
      </c>
      <c r="C85" s="2" t="n">
        <v>0</v>
      </c>
      <c r="D85" s="2" t="n">
        <v>0</v>
      </c>
      <c r="E85" s="2" t="n">
        <v>0</v>
      </c>
    </row>
    <row r="86" customFormat="false" ht="13.8" hidden="false" customHeight="false" outlineLevel="0" collapsed="false">
      <c r="B86" s="2" t="n">
        <v>84</v>
      </c>
      <c r="C86" s="2" t="n">
        <v>1.14766614441279</v>
      </c>
      <c r="D86" s="2" t="n">
        <v>0.834710983426578</v>
      </c>
      <c r="E86" s="2" t="n">
        <v>0.111551685620917</v>
      </c>
    </row>
    <row r="87" customFormat="false" ht="13.8" hidden="false" customHeight="false" outlineLevel="0" collapsed="false">
      <c r="B87" s="2" t="n">
        <v>85</v>
      </c>
      <c r="C87" s="2" t="n">
        <v>2.39400345447548</v>
      </c>
      <c r="D87" s="2" t="n">
        <v>1.99682614848002</v>
      </c>
      <c r="E87" s="2" t="n">
        <v>0.59271669082878</v>
      </c>
    </row>
    <row r="88" customFormat="false" ht="13.8" hidden="false" customHeight="false" outlineLevel="0" collapsed="false">
      <c r="B88" s="2" t="n">
        <v>86</v>
      </c>
      <c r="C88" s="2" t="n">
        <v>3.30708491088404</v>
      </c>
      <c r="D88" s="2" t="n">
        <v>2.94498288250715</v>
      </c>
      <c r="E88" s="2" t="n">
        <v>0.962926118311324</v>
      </c>
    </row>
    <row r="89" customFormat="false" ht="13.8" hidden="false" customHeight="false" outlineLevel="0" collapsed="false">
      <c r="B89" s="2" t="n">
        <v>87</v>
      </c>
      <c r="C89" s="2" t="n">
        <v>3.79732846038289</v>
      </c>
      <c r="D89" s="2" t="n">
        <v>3.53910711056246</v>
      </c>
      <c r="E89" s="2" t="n">
        <v>1.14953889464385</v>
      </c>
    </row>
    <row r="90" customFormat="false" ht="13.8" hidden="false" customHeight="false" outlineLevel="0" collapsed="false">
      <c r="B90" s="2" t="n">
        <v>88</v>
      </c>
      <c r="C90" s="2" t="n">
        <v>3.9710181043383</v>
      </c>
      <c r="D90" s="2" t="n">
        <v>3.86917119976855</v>
      </c>
      <c r="E90" s="2" t="n">
        <v>1.19921382750432</v>
      </c>
    </row>
    <row r="91" customFormat="false" ht="13.8" hidden="false" customHeight="false" outlineLevel="0" collapsed="false">
      <c r="B91" s="2" t="n">
        <v>89</v>
      </c>
      <c r="C91" s="2" t="n">
        <v>3.79564866290506</v>
      </c>
      <c r="D91" s="2" t="n">
        <v>3.95192182203027</v>
      </c>
      <c r="E91" s="2" t="n">
        <v>1.10220645899311</v>
      </c>
    </row>
    <row r="92" customFormat="false" ht="13.8" hidden="false" customHeight="false" outlineLevel="0" collapsed="false">
      <c r="B92" s="2" t="n">
        <v>90</v>
      </c>
      <c r="C92" s="2" t="n">
        <v>3.52027078215866</v>
      </c>
      <c r="D92" s="2" t="n">
        <v>3.97803719676856</v>
      </c>
      <c r="E92" s="2" t="n">
        <v>0.941014680696811</v>
      </c>
    </row>
    <row r="93" customFormat="false" ht="13.8" hidden="false" customHeight="false" outlineLevel="0" collapsed="false">
      <c r="B93" s="2" t="n">
        <v>91</v>
      </c>
      <c r="C93" s="2" t="n">
        <v>3.16337767204343</v>
      </c>
      <c r="D93" s="2" t="n">
        <v>3.97799741639659</v>
      </c>
      <c r="E93" s="2" t="n">
        <v>0.791005270550004</v>
      </c>
    </row>
    <row r="94" customFormat="false" ht="13.8" hidden="false" customHeight="false" outlineLevel="0" collapsed="false">
      <c r="B94" s="2" t="n">
        <v>92</v>
      </c>
      <c r="C94" s="2" t="n">
        <v>2.67608814937783</v>
      </c>
      <c r="D94" s="2" t="n">
        <v>3.53351319197798</v>
      </c>
      <c r="E94" s="2" t="n">
        <v>0.707478545682484</v>
      </c>
    </row>
    <row r="95" customFormat="false" ht="13.8" hidden="false" customHeight="false" outlineLevel="0" collapsed="false">
      <c r="B95" s="2" t="n">
        <v>93</v>
      </c>
      <c r="C95" s="2" t="n">
        <v>2.10530464775559</v>
      </c>
      <c r="D95" s="2" t="n">
        <v>3.08903341240162</v>
      </c>
      <c r="E95" s="2" t="n">
        <v>0.636915915341472</v>
      </c>
    </row>
    <row r="96" customFormat="false" ht="13.8" hidden="false" customHeight="false" outlineLevel="0" collapsed="false">
      <c r="B96" s="2" t="n">
        <v>94</v>
      </c>
      <c r="C96" s="2" t="n">
        <v>1.750263983598</v>
      </c>
      <c r="D96" s="2" t="n">
        <v>2.64455807762305</v>
      </c>
      <c r="E96" s="2" t="n">
        <v>0.577650194330467</v>
      </c>
    </row>
    <row r="97" customFormat="false" ht="13.8" hidden="false" customHeight="false" outlineLevel="0" collapsed="false">
      <c r="B97" s="2" t="n">
        <v>95</v>
      </c>
      <c r="C97" s="2" t="n">
        <v>1.48169249947668</v>
      </c>
      <c r="D97" s="2" t="n">
        <v>2.20008718759783</v>
      </c>
      <c r="E97" s="2" t="n">
        <v>0.536903491902597</v>
      </c>
    </row>
    <row r="98" customFormat="false" ht="13.8" hidden="false" customHeight="false" outlineLevel="0" collapsed="false">
      <c r="B98" s="2" t="n">
        <v>96</v>
      </c>
      <c r="C98" s="2" t="n">
        <v>1.21234884921836</v>
      </c>
      <c r="D98" s="2" t="n">
        <v>2.07413926080003</v>
      </c>
      <c r="E98" s="2" t="n">
        <v>0.459305493238049</v>
      </c>
    </row>
    <row r="99" customFormat="false" ht="13.8" hidden="false" customHeight="false" outlineLevel="0" collapsed="false">
      <c r="B99" s="2" t="n">
        <v>97</v>
      </c>
      <c r="C99" s="2" t="n">
        <v>0.986401966470605</v>
      </c>
      <c r="D99" s="2" t="n">
        <v>1.77782222311113</v>
      </c>
      <c r="E99" s="2" t="n">
        <v>0.383189455738672</v>
      </c>
    </row>
    <row r="100" customFormat="false" ht="13.8" hidden="false" customHeight="false" outlineLevel="0" collapsed="false">
      <c r="B100" s="2" t="n">
        <v>98</v>
      </c>
      <c r="C100" s="2" t="n">
        <v>0.773354009858348</v>
      </c>
      <c r="D100" s="2" t="n">
        <v>1.33336000044445</v>
      </c>
      <c r="E100" s="2" t="n">
        <v>0.299574234955226</v>
      </c>
    </row>
    <row r="101" customFormat="false" ht="13.8" hidden="false" customHeight="false" outlineLevel="0" collapsed="false">
      <c r="B101" s="2" t="n">
        <v>99</v>
      </c>
      <c r="C101" s="2" t="n">
        <v>0.61582614668862</v>
      </c>
      <c r="D101" s="2" t="n">
        <v>0.888902222400002</v>
      </c>
      <c r="E101" s="2" t="n">
        <v>0.221793461435099</v>
      </c>
    </row>
    <row r="102" customFormat="false" ht="13.8" hidden="false" customHeight="false" outlineLevel="0" collapsed="false">
      <c r="B102" s="2" t="n">
        <v>100</v>
      </c>
      <c r="C102" s="2" t="n">
        <v>0.441688840279005</v>
      </c>
      <c r="D102" s="2" t="n">
        <v>0.444448888933334</v>
      </c>
      <c r="E102" s="2" t="n">
        <v>0.144013465722706</v>
      </c>
    </row>
    <row r="103" customFormat="false" ht="13.8" hidden="false" customHeight="false" outlineLevel="0" collapsed="false">
      <c r="B103" s="2" t="n">
        <v>101</v>
      </c>
      <c r="C103" s="2" t="n">
        <v>0.259275886353565</v>
      </c>
      <c r="D103" s="2" t="n">
        <v>0</v>
      </c>
      <c r="E103" s="2" t="n">
        <v>0.0662342478102714</v>
      </c>
    </row>
    <row r="104" customFormat="false" ht="13.8" hidden="false" customHeight="false" outlineLevel="0" collapsed="false">
      <c r="B104" s="2" t="n">
        <v>102</v>
      </c>
      <c r="C104" s="2" t="n">
        <v>0.0480087657522941</v>
      </c>
      <c r="D104" s="2" t="n">
        <v>0</v>
      </c>
      <c r="E104" s="2" t="n">
        <v>0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0.000675951244437194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0.000675944484924724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0.000675937725479873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0.000675930966102603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0.53687416120607</v>
      </c>
      <c r="E109" s="2" t="n">
        <v>0.37152869753203</v>
      </c>
    </row>
    <row r="110" customFormat="false" ht="13.8" hidden="false" customHeight="false" outlineLevel="0" collapsed="false">
      <c r="B110" s="2" t="n">
        <v>108</v>
      </c>
      <c r="C110" s="2" t="n">
        <v>1.25348406389597</v>
      </c>
      <c r="D110" s="2" t="n">
        <v>1.75201469927265</v>
      </c>
      <c r="E110" s="2" t="n">
        <v>0.94056263389908</v>
      </c>
    </row>
    <row r="111" customFormat="false" ht="13.8" hidden="false" customHeight="false" outlineLevel="0" collapsed="false">
      <c r="B111" s="2" t="n">
        <v>109</v>
      </c>
      <c r="C111" s="2" t="n">
        <v>2.58353996559866</v>
      </c>
      <c r="D111" s="2" t="n">
        <v>3.02489095396964</v>
      </c>
      <c r="E111" s="2" t="n">
        <v>1.47916374608841</v>
      </c>
    </row>
    <row r="112" customFormat="false" ht="13.8" hidden="false" customHeight="false" outlineLevel="0" collapsed="false">
      <c r="B112" s="2" t="n">
        <v>110</v>
      </c>
      <c r="C112" s="2" t="n">
        <v>3.4666815929861</v>
      </c>
      <c r="D112" s="2" t="n">
        <v>3.93827110641648</v>
      </c>
      <c r="E112" s="2" t="n">
        <v>1.86448464348434</v>
      </c>
    </row>
    <row r="113" customFormat="false" ht="13.8" hidden="false" customHeight="false" outlineLevel="0" collapsed="false">
      <c r="B113" s="2" t="n">
        <v>111</v>
      </c>
      <c r="C113" s="2" t="n">
        <v>3.75079540568492</v>
      </c>
      <c r="D113" s="2" t="n">
        <v>4.34783361940547</v>
      </c>
      <c r="E113" s="2" t="n">
        <v>2.00585646792396</v>
      </c>
    </row>
    <row r="114" customFormat="false" ht="13.8" hidden="false" customHeight="false" outlineLevel="0" collapsed="false">
      <c r="B114" s="2" t="n">
        <v>112</v>
      </c>
      <c r="C114" s="2" t="n">
        <v>4.05319735984639</v>
      </c>
      <c r="D114" s="2" t="n">
        <v>4.78106394164441</v>
      </c>
      <c r="E114" s="2" t="n">
        <v>2.10902805174607</v>
      </c>
    </row>
    <row r="115" customFormat="false" ht="13.8" hidden="false" customHeight="false" outlineLevel="0" collapsed="false">
      <c r="B115" s="2" t="n">
        <v>113</v>
      </c>
      <c r="C115" s="2" t="n">
        <v>4.11801720153294</v>
      </c>
      <c r="D115" s="2" t="n">
        <v>5.04374309857378</v>
      </c>
      <c r="E115" s="2" t="n">
        <v>2.12375465002639</v>
      </c>
    </row>
    <row r="116" customFormat="false" ht="13.8" hidden="false" customHeight="false" outlineLevel="0" collapsed="false">
      <c r="B116" s="2" t="n">
        <v>114</v>
      </c>
      <c r="C116" s="2" t="n">
        <v>3.96988829610919</v>
      </c>
      <c r="D116" s="2" t="n">
        <v>5.14649731669855</v>
      </c>
      <c r="E116" s="2" t="n">
        <v>2.01933002302719</v>
      </c>
    </row>
    <row r="117" customFormat="false" ht="13.8" hidden="false" customHeight="false" outlineLevel="0" collapsed="false">
      <c r="B117" s="2" t="n">
        <v>115</v>
      </c>
      <c r="C117" s="2" t="n">
        <v>3.68416829459743</v>
      </c>
      <c r="D117" s="2" t="n">
        <v>4.72525459989075</v>
      </c>
      <c r="E117" s="2" t="n">
        <v>1.86984448109367</v>
      </c>
    </row>
    <row r="118" customFormat="false" ht="13.8" hidden="false" customHeight="false" outlineLevel="0" collapsed="false">
      <c r="B118" s="2" t="n">
        <v>116</v>
      </c>
      <c r="C118" s="2" t="n">
        <v>3.27930373069226</v>
      </c>
      <c r="D118" s="2" t="n">
        <v>4.28076290290031</v>
      </c>
      <c r="E118" s="2" t="n">
        <v>1.71982578264886</v>
      </c>
    </row>
    <row r="119" customFormat="false" ht="13.8" hidden="false" customHeight="false" outlineLevel="0" collapsed="false">
      <c r="B119" s="2" t="n">
        <v>117</v>
      </c>
      <c r="C119" s="2" t="n">
        <v>2.86419801172903</v>
      </c>
      <c r="D119" s="2" t="n">
        <v>3.83627565082684</v>
      </c>
      <c r="E119" s="2" t="n">
        <v>1.61888223253918</v>
      </c>
    </row>
    <row r="120" customFormat="false" ht="13.8" hidden="false" customHeight="false" outlineLevel="0" collapsed="false">
      <c r="B120" s="2" t="n">
        <v>118</v>
      </c>
      <c r="C120" s="2" t="n">
        <v>2.48266983271187</v>
      </c>
      <c r="D120" s="2" t="n">
        <v>3.39179284362589</v>
      </c>
      <c r="E120" s="2" t="n">
        <v>1.54108826593908</v>
      </c>
    </row>
    <row r="121" customFormat="false" ht="13.8" hidden="false" customHeight="false" outlineLevel="0" collapsed="false">
      <c r="B121" s="2" t="n">
        <v>119</v>
      </c>
      <c r="C121" s="2" t="n">
        <v>2.18442402453207</v>
      </c>
      <c r="D121" s="2" t="n">
        <v>2.94731448125301</v>
      </c>
      <c r="E121" s="2" t="n">
        <v>1.49727626246383</v>
      </c>
    </row>
    <row r="122" customFormat="false" ht="13.8" hidden="false" customHeight="false" outlineLevel="0" collapsed="false">
      <c r="B122" s="2" t="n">
        <v>120</v>
      </c>
      <c r="C122" s="2" t="n">
        <v>2.02440853214367</v>
      </c>
      <c r="D122" s="2" t="n">
        <v>2.50284056366375</v>
      </c>
      <c r="E122" s="2" t="n">
        <v>1.42013153044195</v>
      </c>
    </row>
    <row r="123" customFormat="false" ht="13.8" hidden="false" customHeight="false" outlineLevel="0" collapsed="false">
      <c r="B123" s="2" t="n">
        <v>121</v>
      </c>
      <c r="C123" s="2" t="n">
        <v>1.84902749176205</v>
      </c>
      <c r="D123" s="2" t="n">
        <v>2.09540812785071</v>
      </c>
      <c r="E123" s="2" t="n">
        <v>1.38039471801553</v>
      </c>
    </row>
    <row r="124" customFormat="false" ht="13.8" hidden="false" customHeight="false" outlineLevel="0" collapsed="false">
      <c r="B124" s="2" t="n">
        <v>122</v>
      </c>
      <c r="C124" s="2" t="n">
        <v>1.73658170519084</v>
      </c>
      <c r="D124" s="2" t="n">
        <v>1.65094272932499</v>
      </c>
      <c r="E124" s="2" t="n">
        <v>1.30260313629057</v>
      </c>
    </row>
    <row r="125" customFormat="false" ht="13.8" hidden="false" customHeight="false" outlineLevel="0" collapsed="false">
      <c r="B125" s="2" t="n">
        <v>123</v>
      </c>
      <c r="C125" s="2" t="n">
        <v>1.5032492467812</v>
      </c>
      <c r="D125" s="2" t="n">
        <v>1.20648177545325</v>
      </c>
      <c r="E125" s="2" t="n">
        <v>1.22481233248143</v>
      </c>
    </row>
    <row r="126" customFormat="false" ht="13.8" hidden="false" customHeight="false" outlineLevel="0" collapsed="false">
      <c r="B126" s="2" t="n">
        <v>124</v>
      </c>
      <c r="C126" s="2" t="n">
        <v>1.18595573280725</v>
      </c>
      <c r="D126" s="2" t="n">
        <v>0.762025266191056</v>
      </c>
      <c r="E126" s="2" t="n">
        <v>1.14702230658033</v>
      </c>
    </row>
    <row r="127" customFormat="false" ht="13.8" hidden="false" customHeight="false" outlineLevel="0" collapsed="false">
      <c r="B127" s="2" t="n">
        <v>125</v>
      </c>
      <c r="C127" s="2" t="n">
        <v>0.904536095472141</v>
      </c>
      <c r="D127" s="2" t="n">
        <v>0.317573201493951</v>
      </c>
      <c r="E127" s="2" t="n">
        <v>1.06923305857949</v>
      </c>
    </row>
    <row r="128" customFormat="false" ht="13.8" hidden="false" customHeight="false" outlineLevel="0" collapsed="false">
      <c r="B128" s="2" t="n">
        <v>126</v>
      </c>
      <c r="C128" s="2" t="n">
        <v>0.632846318359362</v>
      </c>
      <c r="D128" s="2" t="n">
        <v>0</v>
      </c>
      <c r="E128" s="2" t="n">
        <v>1.02971391217294</v>
      </c>
    </row>
    <row r="129" customFormat="false" ht="13.8" hidden="false" customHeight="false" outlineLevel="0" collapsed="false">
      <c r="B129" s="2" t="n">
        <v>127</v>
      </c>
      <c r="C129" s="2" t="n">
        <v>0.378558909060591</v>
      </c>
      <c r="D129" s="2" t="n">
        <v>0.0101390576572159</v>
      </c>
      <c r="E129" s="2" t="n">
        <v>0.95850979179045</v>
      </c>
    </row>
    <row r="130" customFormat="false" ht="13.8" hidden="false" customHeight="false" outlineLevel="0" collapsed="false">
      <c r="B130" s="2" t="n">
        <v>128</v>
      </c>
      <c r="C130" s="2" t="n">
        <v>0.280217721809015</v>
      </c>
      <c r="D130" s="2" t="n">
        <v>0.146431674429299</v>
      </c>
      <c r="E130" s="2" t="n">
        <v>0.931870179542993</v>
      </c>
    </row>
    <row r="131" customFormat="false" ht="13.8" hidden="false" customHeight="false" outlineLevel="0" collapsed="false">
      <c r="B131" s="2" t="n">
        <v>129</v>
      </c>
      <c r="C131" s="2" t="n">
        <v>0.577214973833953</v>
      </c>
      <c r="D131" s="2" t="n">
        <v>0.567349191473488</v>
      </c>
      <c r="E131" s="2" t="n">
        <v>1.05627442233778</v>
      </c>
    </row>
    <row r="132" customFormat="false" ht="13.8" hidden="false" customHeight="false" outlineLevel="0" collapsed="false">
      <c r="B132" s="2" t="n">
        <v>130</v>
      </c>
      <c r="C132" s="2" t="n">
        <v>1.11563032338255</v>
      </c>
      <c r="D132" s="2" t="n">
        <v>1.18833574690563</v>
      </c>
      <c r="E132" s="2" t="n">
        <v>1.28425358065387</v>
      </c>
    </row>
    <row r="133" customFormat="false" ht="13.8" hidden="false" customHeight="false" outlineLevel="0" collapsed="false">
      <c r="B133" s="2" t="n">
        <v>131</v>
      </c>
      <c r="C133" s="2" t="n">
        <v>1.88009946214896</v>
      </c>
      <c r="D133" s="2" t="n">
        <v>2.00563256642065</v>
      </c>
      <c r="E133" s="2" t="n">
        <v>1.52166780693394</v>
      </c>
    </row>
    <row r="134" customFormat="false" ht="13.8" hidden="false" customHeight="false" outlineLevel="0" collapsed="false">
      <c r="B134" s="2" t="n">
        <v>132</v>
      </c>
      <c r="C134" s="2" t="n">
        <v>2.81351654524106</v>
      </c>
      <c r="D134" s="2" t="n">
        <v>2.97227690328414</v>
      </c>
      <c r="E134" s="2" t="n">
        <v>1.78826387930159</v>
      </c>
    </row>
    <row r="135" customFormat="false" ht="13.8" hidden="false" customHeight="false" outlineLevel="0" collapsed="false">
      <c r="B135" s="2" t="n">
        <v>133</v>
      </c>
      <c r="C135" s="2" t="n">
        <v>3.60628658596087</v>
      </c>
      <c r="D135" s="2" t="n">
        <v>3.79066042382203</v>
      </c>
      <c r="E135" s="2" t="n">
        <v>1.97164652956691</v>
      </c>
    </row>
    <row r="136" customFormat="false" ht="13.8" hidden="false" customHeight="false" outlineLevel="0" collapsed="false">
      <c r="B136" s="2" t="n">
        <v>134</v>
      </c>
      <c r="C136" s="2" t="n">
        <v>4.10543411208862</v>
      </c>
      <c r="D136" s="2" t="n">
        <v>4.36855325747118</v>
      </c>
      <c r="E136" s="2" t="n">
        <v>1.83645298044447</v>
      </c>
    </row>
    <row r="137" customFormat="false" ht="13.8" hidden="false" customHeight="false" outlineLevel="0" collapsed="false">
      <c r="B137" s="2" t="n">
        <v>135</v>
      </c>
      <c r="C137" s="2" t="n">
        <v>4.11801720153294</v>
      </c>
      <c r="D137" s="2" t="n">
        <v>4.55681367394531</v>
      </c>
      <c r="E137" s="2" t="n">
        <v>1.80091919421335</v>
      </c>
    </row>
    <row r="138" customFormat="false" ht="13.8" hidden="false" customHeight="false" outlineLevel="0" collapsed="false">
      <c r="B138" s="2" t="n">
        <v>136</v>
      </c>
      <c r="C138" s="2" t="n">
        <v>3.97527652290664</v>
      </c>
      <c r="D138" s="2" t="n">
        <v>4.61110436911541</v>
      </c>
      <c r="E138" s="2" t="n">
        <v>1.6424282228375</v>
      </c>
    </row>
    <row r="139" customFormat="false" ht="13.8" hidden="false" customHeight="false" outlineLevel="0" collapsed="false">
      <c r="B139" s="2" t="n">
        <v>137</v>
      </c>
      <c r="C139" s="2" t="n">
        <v>3.72231844517994</v>
      </c>
      <c r="D139" s="2" t="n">
        <v>4.64424123592153</v>
      </c>
      <c r="E139" s="2" t="n">
        <v>1.22754414970727</v>
      </c>
    </row>
    <row r="140" customFormat="false" ht="13.8" hidden="false" customHeight="false" outlineLevel="0" collapsed="false">
      <c r="B140" s="2" t="n">
        <v>138</v>
      </c>
      <c r="C140" s="2" t="n">
        <v>3.43148924150137</v>
      </c>
      <c r="D140" s="2" t="n">
        <v>4.64769398992785</v>
      </c>
      <c r="E140" s="2" t="n">
        <v>0.869082522150417</v>
      </c>
    </row>
    <row r="141" customFormat="false" ht="13.8" hidden="false" customHeight="false" outlineLevel="0" collapsed="false">
      <c r="B141" s="2" t="n">
        <v>139</v>
      </c>
      <c r="C141" s="2" t="n">
        <v>3.01876407475711</v>
      </c>
      <c r="D141" s="2" t="n">
        <v>4.2032030685435</v>
      </c>
      <c r="E141" s="2" t="n">
        <v>0.719072683177048</v>
      </c>
    </row>
    <row r="142" customFormat="false" ht="13.8" hidden="false" customHeight="false" outlineLevel="0" collapsed="false">
      <c r="B142" s="2" t="n">
        <v>140</v>
      </c>
      <c r="C142" s="2" t="n">
        <v>2.61888557230154</v>
      </c>
      <c r="D142" s="2" t="n">
        <v>3.75871659206837</v>
      </c>
      <c r="E142" s="2" t="n">
        <v>0.55508356652429</v>
      </c>
    </row>
    <row r="143" customFormat="false" ht="13.8" hidden="false" customHeight="false" outlineLevel="0" collapsed="false">
      <c r="B143" s="2" t="n">
        <v>141</v>
      </c>
      <c r="C143" s="2" t="n">
        <v>2.22397071677916</v>
      </c>
      <c r="D143" s="2" t="n">
        <v>3.31423456045801</v>
      </c>
      <c r="E143" s="2" t="n">
        <v>0.499244626799736</v>
      </c>
    </row>
    <row r="144" customFormat="false" ht="13.8" hidden="false" customHeight="false" outlineLevel="0" collapsed="false">
      <c r="B144" s="2" t="n">
        <v>142</v>
      </c>
      <c r="C144" s="2" t="n">
        <v>1.79432034744236</v>
      </c>
      <c r="D144" s="2" t="n">
        <v>2.86975697366796</v>
      </c>
      <c r="E144" s="2" t="n">
        <v>0.432943208427542</v>
      </c>
    </row>
    <row r="145" customFormat="false" ht="13.8" hidden="false" customHeight="false" outlineLevel="0" collapsed="false">
      <c r="B145" s="2" t="n">
        <v>143</v>
      </c>
      <c r="C145" s="2" t="n">
        <v>1.44154260794259</v>
      </c>
      <c r="D145" s="2" t="n">
        <v>2.42528383165378</v>
      </c>
      <c r="E145" s="2" t="n">
        <v>0.392290527143606</v>
      </c>
    </row>
    <row r="146" customFormat="false" ht="13.8" hidden="false" customHeight="false" outlineLevel="0" collapsed="false">
      <c r="B146" s="2" t="n">
        <v>144</v>
      </c>
      <c r="C146" s="2" t="n">
        <v>1.21166069251651</v>
      </c>
      <c r="D146" s="2" t="n">
        <v>1.98081513437102</v>
      </c>
      <c r="E146" s="2" t="n">
        <v>0.337749252386482</v>
      </c>
    </row>
    <row r="147" customFormat="false" ht="13.8" hidden="false" customHeight="false" outlineLevel="0" collapsed="false">
      <c r="B147" s="2" t="n">
        <v>145</v>
      </c>
      <c r="C147" s="2" t="n">
        <v>1.02019635368737</v>
      </c>
      <c r="D147" s="2" t="n">
        <v>1.96598051140486</v>
      </c>
      <c r="E147" s="2" t="n">
        <v>0.298393560079144</v>
      </c>
    </row>
    <row r="148" customFormat="false" ht="13.8" hidden="false" customHeight="false" outlineLevel="0" collapsed="false">
      <c r="B148" s="2" t="n">
        <v>146</v>
      </c>
      <c r="C148" s="2" t="n">
        <v>0.784370244316422</v>
      </c>
      <c r="D148" s="2" t="n">
        <v>1.5215164071553</v>
      </c>
      <c r="E148" s="2" t="n">
        <v>0.242372039106506</v>
      </c>
    </row>
    <row r="149" customFormat="false" ht="13.8" hidden="false" customHeight="false" outlineLevel="0" collapsed="false">
      <c r="B149" s="2" t="n">
        <v>147</v>
      </c>
      <c r="C149" s="2" t="n">
        <v>0.61791740061398</v>
      </c>
      <c r="D149" s="2" t="n">
        <v>1.07705674754678</v>
      </c>
      <c r="E149" s="2" t="n">
        <v>0.186721374645374</v>
      </c>
    </row>
    <row r="150" customFormat="false" ht="13.8" hidden="false" customHeight="false" outlineLevel="0" collapsed="false">
      <c r="B150" s="2" t="n">
        <v>148</v>
      </c>
      <c r="C150" s="2" t="n">
        <v>0.413596147365901</v>
      </c>
      <c r="D150" s="2" t="n">
        <v>0.632601532534864</v>
      </c>
      <c r="E150" s="2" t="n">
        <v>0.12107110002422</v>
      </c>
    </row>
    <row r="151" customFormat="false" ht="13.8" hidden="false" customHeight="false" outlineLevel="0" collapsed="false">
      <c r="B151" s="2" t="n">
        <v>149</v>
      </c>
      <c r="C151" s="2" t="n">
        <v>0.263683715108132</v>
      </c>
      <c r="D151" s="2" t="n">
        <v>0.188150762075094</v>
      </c>
      <c r="E151" s="2" t="n">
        <v>0.0692179078317379</v>
      </c>
    </row>
    <row r="152" customFormat="false" ht="13.8" hidden="false" customHeight="false" outlineLevel="0" collapsed="false">
      <c r="B152" s="2" t="n">
        <v>150</v>
      </c>
      <c r="C152" s="2" t="n">
        <v>0.0610233340539982</v>
      </c>
      <c r="D152" s="2" t="n">
        <v>0</v>
      </c>
      <c r="E152" s="2" t="n">
        <v>0.00142672540500823</v>
      </c>
    </row>
    <row r="153" customFormat="false" ht="13.8" hidden="false" customHeight="false" outlineLevel="0" collapsed="false">
      <c r="B153" s="2" t="n">
        <v>151</v>
      </c>
      <c r="C153" s="2" t="n">
        <v>0</v>
      </c>
      <c r="D153" s="2" t="n">
        <v>0</v>
      </c>
      <c r="E153" s="2" t="n">
        <v>0</v>
      </c>
    </row>
    <row r="154" customFormat="false" ht="13.8" hidden="false" customHeight="false" outlineLevel="0" collapsed="false">
      <c r="B154" s="2" t="n">
        <v>152</v>
      </c>
      <c r="C154" s="2" t="n">
        <v>0</v>
      </c>
      <c r="D154" s="2" t="n">
        <v>0</v>
      </c>
      <c r="E154" s="2" t="n">
        <v>0</v>
      </c>
    </row>
    <row r="155" customFormat="false" ht="13.8" hidden="false" customHeight="false" outlineLevel="0" collapsed="false">
      <c r="B155" s="2" t="n">
        <v>153</v>
      </c>
      <c r="C155" s="2" t="n">
        <v>0</v>
      </c>
      <c r="D155" s="2" t="n">
        <v>0</v>
      </c>
      <c r="E155" s="2" t="n">
        <v>0</v>
      </c>
    </row>
    <row r="156" customFormat="false" ht="13.8" hidden="false" customHeight="false" outlineLevel="0" collapsed="false">
      <c r="B156" s="2" t="n">
        <v>154</v>
      </c>
      <c r="C156" s="2" t="n">
        <v>0</v>
      </c>
      <c r="D156" s="2" t="n">
        <v>0</v>
      </c>
      <c r="E156" s="2" t="n">
        <v>0.117453454743055</v>
      </c>
    </row>
    <row r="157" customFormat="false" ht="13.8" hidden="false" customHeight="false" outlineLevel="0" collapsed="false">
      <c r="B157" s="2" t="n">
        <v>155</v>
      </c>
      <c r="C157" s="2" t="n">
        <v>0</v>
      </c>
      <c r="D157" s="2" t="n">
        <v>0</v>
      </c>
      <c r="E157" s="2" t="n">
        <v>0.488424975206146</v>
      </c>
    </row>
    <row r="158" customFormat="false" ht="13.8" hidden="false" customHeight="false" outlineLevel="0" collapsed="false">
      <c r="B158" s="2" t="n">
        <v>156</v>
      </c>
      <c r="C158" s="2" t="n">
        <v>0.620714498119088</v>
      </c>
      <c r="D158" s="2" t="n">
        <v>0</v>
      </c>
      <c r="E158" s="2" t="n">
        <v>0.813450469103681</v>
      </c>
    </row>
    <row r="159" customFormat="false" ht="13.8" hidden="false" customHeight="false" outlineLevel="0" collapsed="false">
      <c r="B159" s="2" t="n">
        <v>157</v>
      </c>
      <c r="C159" s="2" t="n">
        <v>1.57523357666509</v>
      </c>
      <c r="D159" s="2" t="n">
        <v>0.485324333217216</v>
      </c>
      <c r="E159" s="2" t="n">
        <v>1.10654414531941</v>
      </c>
    </row>
    <row r="160" customFormat="false" ht="13.8" hidden="false" customHeight="false" outlineLevel="0" collapsed="false">
      <c r="B160" s="2" t="n">
        <v>158</v>
      </c>
      <c r="C160" s="2" t="n">
        <v>2.15873015057861</v>
      </c>
      <c r="D160" s="2" t="n">
        <v>1.11231096682207</v>
      </c>
      <c r="E160" s="2" t="n">
        <v>1.25498287862721</v>
      </c>
    </row>
    <row r="161" customFormat="false" ht="13.8" hidden="false" customHeight="false" outlineLevel="0" collapsed="false">
      <c r="B161" s="2" t="n">
        <v>159</v>
      </c>
      <c r="C161" s="2" t="n">
        <v>2.5629876897786</v>
      </c>
      <c r="D161" s="2" t="n">
        <v>1.6339146100819</v>
      </c>
      <c r="E161" s="2" t="n">
        <v>1.3712713897747</v>
      </c>
    </row>
    <row r="162" customFormat="false" ht="13.8" hidden="false" customHeight="false" outlineLevel="0" collapsed="false">
      <c r="B162" s="2" t="n">
        <v>160</v>
      </c>
      <c r="C162" s="2" t="n">
        <v>2.67322158219563</v>
      </c>
      <c r="D162" s="2" t="n">
        <v>1.91224914110134</v>
      </c>
      <c r="E162" s="2" t="n">
        <v>1.02872224468637</v>
      </c>
    </row>
    <row r="163" customFormat="false" ht="13.8" hidden="false" customHeight="false" outlineLevel="0" collapsed="false">
      <c r="B163" s="2" t="n">
        <v>161</v>
      </c>
      <c r="C163" s="2" t="n">
        <v>2.48983283944235</v>
      </c>
      <c r="D163" s="2" t="n">
        <v>1.96734569552978</v>
      </c>
      <c r="E163" s="2" t="n">
        <v>0.642123762481545</v>
      </c>
    </row>
    <row r="164" customFormat="false" ht="13.8" hidden="false" customHeight="false" outlineLevel="0" collapsed="false">
      <c r="B164" s="2" t="n">
        <v>162</v>
      </c>
      <c r="C164" s="2" t="n">
        <v>2.18111909470719</v>
      </c>
      <c r="D164" s="2" t="n">
        <v>1.99265696449559</v>
      </c>
      <c r="E164" s="2" t="n">
        <v>0.467514803071135</v>
      </c>
    </row>
    <row r="165" customFormat="false" ht="13.8" hidden="false" customHeight="false" outlineLevel="0" collapsed="false">
      <c r="B165" s="2" t="n">
        <v>163</v>
      </c>
      <c r="C165" s="2" t="n">
        <v>1.78664617240513</v>
      </c>
      <c r="D165" s="2" t="n">
        <v>1.77782222311113</v>
      </c>
      <c r="E165" s="2" t="n">
        <v>0.27528518347866</v>
      </c>
    </row>
    <row r="166" customFormat="false" ht="13.8" hidden="false" customHeight="false" outlineLevel="0" collapsed="false">
      <c r="B166" s="2" t="n">
        <v>164</v>
      </c>
      <c r="C166" s="2" t="n">
        <v>1.30280028742489</v>
      </c>
      <c r="D166" s="2" t="n">
        <v>1.33336000044445</v>
      </c>
      <c r="E166" s="2" t="n">
        <v>0.183892949145344</v>
      </c>
    </row>
    <row r="167" customFormat="false" ht="13.8" hidden="false" customHeight="false" outlineLevel="0" collapsed="false">
      <c r="B167" s="2" t="n">
        <v>165</v>
      </c>
      <c r="C167" s="2" t="n">
        <v>0.844678870533128</v>
      </c>
      <c r="D167" s="2" t="n">
        <v>0.888902222400002</v>
      </c>
      <c r="E167" s="2" t="n">
        <v>0.106113332438074</v>
      </c>
    </row>
    <row r="168" customFormat="false" ht="13.8" hidden="false" customHeight="false" outlineLevel="0" collapsed="false">
      <c r="B168" s="2" t="n">
        <v>166</v>
      </c>
      <c r="C168" s="2" t="n">
        <v>0.384967034855534</v>
      </c>
      <c r="D168" s="2" t="n">
        <v>0.444448888933334</v>
      </c>
      <c r="E168" s="2" t="n">
        <v>0.0660193638973427</v>
      </c>
    </row>
    <row r="169" customFormat="false" ht="13.8" hidden="false" customHeight="false" outlineLevel="0" collapsed="false">
      <c r="B169" s="2" t="n">
        <v>167</v>
      </c>
      <c r="C169" s="2" t="n">
        <v>0</v>
      </c>
      <c r="D169" s="2" t="n">
        <v>0</v>
      </c>
      <c r="E169" s="2" t="n">
        <v>0</v>
      </c>
    </row>
    <row r="170" customFormat="false" ht="13.8" hidden="false" customHeight="false" outlineLevel="0" collapsed="false">
      <c r="B170" s="2" t="n">
        <v>168</v>
      </c>
      <c r="C170" s="2" t="n">
        <v>2.88261204107306</v>
      </c>
      <c r="D170" s="2" t="n">
        <v>3.60254812168898</v>
      </c>
      <c r="E170" s="2" t="n">
        <v>1.48662825501847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9"/>
  <sheetViews>
    <sheetView showFormulas="false" showGridLines="true" showRowColHeaders="true" showZeros="true" rightToLeft="false" tabSelected="false" showOutlineSymbols="true" defaultGridColor="true" view="normal" topLeftCell="A158" colorId="64" zoomScale="100" zoomScaleNormal="100" zoomScalePageLayoutView="100" workbookViewId="0">
      <selection pane="topLeft" activeCell="C2" activeCellId="1" sqref="B12:F14 C2"/>
    </sheetView>
  </sheetViews>
  <sheetFormatPr defaultColWidth="8.54296875" defaultRowHeight="13.8" zeroHeight="false" outlineLevelRow="0" outlineLevelCol="0"/>
  <cols>
    <col collapsed="false" customWidth="true" hidden="false" outlineLevel="0" max="3" min="3" style="4" width="8.85"/>
  </cols>
  <sheetData>
    <row r="2" customFormat="false" ht="13.8" hidden="false" customHeight="false" outlineLevel="0" collapsed="false">
      <c r="B2" s="2" t="n">
        <v>1</v>
      </c>
      <c r="C2" s="4" t="n">
        <v>-4.55491906639627E-006</v>
      </c>
    </row>
    <row r="3" customFormat="false" ht="13.8" hidden="false" customHeight="false" outlineLevel="0" collapsed="false">
      <c r="B3" s="2" t="n">
        <v>2</v>
      </c>
      <c r="C3" s="4" t="n">
        <v>-1.28106984734982E-005</v>
      </c>
    </row>
    <row r="4" customFormat="false" ht="13.8" hidden="false" customHeight="false" outlineLevel="0" collapsed="false">
      <c r="B4" s="2" t="n">
        <v>3</v>
      </c>
      <c r="C4" s="4" t="n">
        <v>-1.3634431673193E-005</v>
      </c>
    </row>
    <row r="5" customFormat="false" ht="13.8" hidden="false" customHeight="false" outlineLevel="0" collapsed="false">
      <c r="B5" s="2" t="n">
        <v>4</v>
      </c>
      <c r="C5" s="4" t="n">
        <v>-1.5850486118487E-005</v>
      </c>
    </row>
    <row r="6" customFormat="false" ht="13.8" hidden="false" customHeight="false" outlineLevel="0" collapsed="false">
      <c r="B6" s="2" t="n">
        <v>5</v>
      </c>
      <c r="C6" s="4" t="n">
        <v>-1.82697699850206E-005</v>
      </c>
    </row>
    <row r="7" customFormat="false" ht="13.8" hidden="false" customHeight="false" outlineLevel="0" collapsed="false">
      <c r="B7" s="2" t="n">
        <v>6</v>
      </c>
      <c r="C7" s="4" t="n">
        <v>-1.52120820615039E-005</v>
      </c>
    </row>
    <row r="8" customFormat="false" ht="13.8" hidden="false" customHeight="false" outlineLevel="0" collapsed="false">
      <c r="B8" s="2" t="n">
        <v>7</v>
      </c>
      <c r="C8" s="4" t="n">
        <v>0</v>
      </c>
    </row>
    <row r="9" customFormat="false" ht="13.8" hidden="false" customHeight="false" outlineLevel="0" collapsed="false">
      <c r="B9" s="2" t="n">
        <v>8</v>
      </c>
      <c r="C9" s="4" t="n">
        <v>3.1433452525354E-006</v>
      </c>
    </row>
    <row r="10" customFormat="false" ht="13.8" hidden="false" customHeight="false" outlineLevel="0" collapsed="false">
      <c r="B10" s="2" t="n">
        <v>9</v>
      </c>
      <c r="C10" s="4" t="n">
        <v>2.61370371307538E-006</v>
      </c>
    </row>
    <row r="11" customFormat="false" ht="13.8" hidden="false" customHeight="false" outlineLevel="0" collapsed="false">
      <c r="B11" s="2" t="n">
        <v>10</v>
      </c>
      <c r="C11" s="4" t="n">
        <v>0</v>
      </c>
    </row>
    <row r="12" customFormat="false" ht="13.8" hidden="false" customHeight="false" outlineLevel="0" collapsed="false">
      <c r="B12" s="2" t="n">
        <v>11</v>
      </c>
      <c r="C12" s="4" t="n">
        <v>-3.79160288510598E-006</v>
      </c>
    </row>
    <row r="13" customFormat="false" ht="13.8" hidden="false" customHeight="false" outlineLevel="0" collapsed="false">
      <c r="B13" s="2" t="n">
        <v>12</v>
      </c>
      <c r="C13" s="4" t="n">
        <v>-7.98650713245965E-006</v>
      </c>
    </row>
    <row r="14" customFormat="false" ht="13.8" hidden="false" customHeight="false" outlineLevel="0" collapsed="false">
      <c r="B14" s="2" t="n">
        <v>13</v>
      </c>
      <c r="C14" s="4" t="n">
        <v>-1.23706573601974E-005</v>
      </c>
    </row>
    <row r="15" customFormat="false" ht="13.8" hidden="false" customHeight="false" outlineLevel="0" collapsed="false">
      <c r="B15" s="2" t="n">
        <v>14</v>
      </c>
      <c r="C15" s="4" t="n">
        <v>-1.61250687730264E-005</v>
      </c>
    </row>
    <row r="16" customFormat="false" ht="13.8" hidden="false" customHeight="false" outlineLevel="0" collapsed="false">
      <c r="B16" s="2" t="n">
        <v>15</v>
      </c>
      <c r="C16" s="4" t="n">
        <v>-1.8394342510861E-005</v>
      </c>
    </row>
    <row r="17" customFormat="false" ht="13.8" hidden="false" customHeight="false" outlineLevel="0" collapsed="false">
      <c r="B17" s="2" t="n">
        <v>16</v>
      </c>
      <c r="C17" s="4" t="n">
        <v>-1.9114305558763E-005</v>
      </c>
    </row>
    <row r="18" customFormat="false" ht="13.8" hidden="false" customHeight="false" outlineLevel="0" collapsed="false">
      <c r="B18" s="2" t="n">
        <v>17</v>
      </c>
      <c r="C18" s="4" t="n">
        <v>-1.87242232374704E-005</v>
      </c>
    </row>
    <row r="19" customFormat="false" ht="13.8" hidden="false" customHeight="false" outlineLevel="0" collapsed="false">
      <c r="B19" s="2" t="n">
        <v>18</v>
      </c>
      <c r="C19" s="4" t="n">
        <v>-1.67357406667924E-005</v>
      </c>
    </row>
    <row r="20" customFormat="false" ht="13.8" hidden="false" customHeight="false" outlineLevel="0" collapsed="false">
      <c r="B20" s="2" t="n">
        <v>19</v>
      </c>
      <c r="C20" s="4" t="n">
        <v>-1.63158900077196E-005</v>
      </c>
    </row>
    <row r="21" customFormat="false" ht="13.8" hidden="false" customHeight="false" outlineLevel="0" collapsed="false">
      <c r="B21" s="2" t="n">
        <v>20</v>
      </c>
      <c r="C21" s="4" t="n">
        <v>-1.60382229603314E-005</v>
      </c>
    </row>
    <row r="22" customFormat="false" ht="13.8" hidden="false" customHeight="false" outlineLevel="0" collapsed="false">
      <c r="B22" s="2" t="n">
        <v>21</v>
      </c>
      <c r="C22" s="4" t="n">
        <v>-8.46498397797937E-006</v>
      </c>
    </row>
    <row r="23" customFormat="false" ht="13.8" hidden="false" customHeight="false" outlineLevel="0" collapsed="false">
      <c r="B23" s="2" t="n">
        <v>22</v>
      </c>
      <c r="C23" s="4" t="n">
        <v>0</v>
      </c>
    </row>
    <row r="24" customFormat="false" ht="13.8" hidden="false" customHeight="false" outlineLevel="0" collapsed="false">
      <c r="B24" s="2" t="n">
        <v>23</v>
      </c>
      <c r="C24" s="4" t="n">
        <v>-2.58743802666367E-006</v>
      </c>
    </row>
    <row r="25" customFormat="false" ht="13.8" hidden="false" customHeight="false" outlineLevel="0" collapsed="false">
      <c r="B25" s="2" t="n">
        <v>24</v>
      </c>
      <c r="C25" s="4" t="n">
        <v>-3.82014531669687E-006</v>
      </c>
    </row>
    <row r="26" customFormat="false" ht="13.8" hidden="false" customHeight="false" outlineLevel="0" collapsed="false">
      <c r="B26" s="2" t="n">
        <v>25</v>
      </c>
      <c r="C26" s="4" t="n">
        <v>-9.00686643687775E-006</v>
      </c>
    </row>
    <row r="27" customFormat="false" ht="13.8" hidden="false" customHeight="false" outlineLevel="0" collapsed="false">
      <c r="B27" s="2" t="n">
        <v>26</v>
      </c>
      <c r="C27" s="4" t="n">
        <v>-1.44870478019771E-005</v>
      </c>
    </row>
    <row r="28" customFormat="false" ht="13.8" hidden="false" customHeight="false" outlineLevel="0" collapsed="false">
      <c r="B28" s="2" t="n">
        <v>27</v>
      </c>
      <c r="C28" s="4" t="n">
        <v>-1.92669538735323E-005</v>
      </c>
    </row>
    <row r="29" customFormat="false" ht="13.8" hidden="false" customHeight="false" outlineLevel="0" collapsed="false">
      <c r="B29" s="2" t="n">
        <v>28</v>
      </c>
      <c r="C29" s="4" t="n">
        <v>-2.10925200986534E-005</v>
      </c>
    </row>
    <row r="30" customFormat="false" ht="13.8" hidden="false" customHeight="false" outlineLevel="0" collapsed="false">
      <c r="B30" s="2" t="n">
        <v>29</v>
      </c>
      <c r="C30" s="4" t="n">
        <v>-1.20842363578226E-005</v>
      </c>
    </row>
    <row r="31" customFormat="false" ht="13.8" hidden="false" customHeight="false" outlineLevel="0" collapsed="false">
      <c r="B31" s="2" t="n">
        <v>30</v>
      </c>
      <c r="C31" s="4" t="n">
        <v>-9.89147817394294E-006</v>
      </c>
    </row>
    <row r="32" customFormat="false" ht="13.8" hidden="false" customHeight="false" outlineLevel="0" collapsed="false">
      <c r="B32" s="2" t="n">
        <v>31</v>
      </c>
      <c r="C32" s="4" t="n">
        <v>-1.52165874795153E-005</v>
      </c>
    </row>
    <row r="33" customFormat="false" ht="13.8" hidden="false" customHeight="false" outlineLevel="0" collapsed="false">
      <c r="B33" s="2" t="n">
        <v>32</v>
      </c>
      <c r="C33" s="4" t="n">
        <v>-9.03729432409719E-006</v>
      </c>
    </row>
    <row r="34" customFormat="false" ht="13.8" hidden="false" customHeight="false" outlineLevel="0" collapsed="false">
      <c r="B34" s="2" t="n">
        <v>33</v>
      </c>
      <c r="C34" s="4" t="n">
        <v>-8.35854446621307E-006</v>
      </c>
    </row>
    <row r="35" customFormat="false" ht="13.8" hidden="false" customHeight="false" outlineLevel="0" collapsed="false">
      <c r="B35" s="2" t="n">
        <v>34</v>
      </c>
      <c r="C35" s="4" t="n">
        <v>-7.71749255520102E-006</v>
      </c>
    </row>
    <row r="36" customFormat="false" ht="13.8" hidden="false" customHeight="false" outlineLevel="0" collapsed="false">
      <c r="B36" s="2" t="n">
        <v>35</v>
      </c>
      <c r="C36" s="4" t="n">
        <v>-7.16898227956489E-006</v>
      </c>
    </row>
    <row r="37" customFormat="false" ht="13.8" hidden="false" customHeight="false" outlineLevel="0" collapsed="false">
      <c r="B37" s="2" t="n">
        <v>36</v>
      </c>
      <c r="C37" s="4" t="n">
        <v>-6.81200948021825E-006</v>
      </c>
    </row>
    <row r="38" customFormat="false" ht="13.8" hidden="false" customHeight="false" outlineLevel="0" collapsed="false">
      <c r="B38" s="2" t="n">
        <v>37</v>
      </c>
      <c r="C38" s="4" t="n">
        <v>-6.70353845662119E-006</v>
      </c>
    </row>
    <row r="39" customFormat="false" ht="13.8" hidden="false" customHeight="false" outlineLevel="0" collapsed="false">
      <c r="B39" s="2" t="n">
        <v>38</v>
      </c>
      <c r="C39" s="4" t="n">
        <v>-6.71002292098291E-006</v>
      </c>
    </row>
    <row r="40" customFormat="false" ht="13.8" hidden="false" customHeight="false" outlineLevel="0" collapsed="false">
      <c r="B40" s="2" t="n">
        <v>39</v>
      </c>
      <c r="C40" s="4" t="n">
        <v>-6.8627196776655E-006</v>
      </c>
    </row>
    <row r="41" customFormat="false" ht="13.8" hidden="false" customHeight="false" outlineLevel="0" collapsed="false">
      <c r="B41" s="2" t="n">
        <v>40</v>
      </c>
      <c r="C41" s="4" t="n">
        <v>-7.24148575341958E-006</v>
      </c>
    </row>
    <row r="42" customFormat="false" ht="13.8" hidden="false" customHeight="false" outlineLevel="0" collapsed="false">
      <c r="B42" s="2" t="n">
        <v>41</v>
      </c>
      <c r="C42" s="4" t="n">
        <v>-8.06815947809321E-006</v>
      </c>
    </row>
    <row r="43" customFormat="false" ht="13.8" hidden="false" customHeight="false" outlineLevel="0" collapsed="false">
      <c r="B43" s="2" t="n">
        <v>42</v>
      </c>
      <c r="C43" s="4" t="n">
        <v>-9.24497680071845E-006</v>
      </c>
    </row>
    <row r="44" customFormat="false" ht="13.8" hidden="false" customHeight="false" outlineLevel="0" collapsed="false">
      <c r="B44" s="2" t="n">
        <v>43</v>
      </c>
      <c r="C44" s="4" t="n">
        <v>-8.99374103849634E-006</v>
      </c>
    </row>
    <row r="45" customFormat="false" ht="13.8" hidden="false" customHeight="false" outlineLevel="0" collapsed="false">
      <c r="B45" s="2" t="n">
        <v>44</v>
      </c>
      <c r="C45" s="4" t="n">
        <v>-1.4875863071834E-005</v>
      </c>
    </row>
    <row r="46" customFormat="false" ht="13.8" hidden="false" customHeight="false" outlineLevel="0" collapsed="false">
      <c r="B46" s="2" t="n">
        <v>45</v>
      </c>
      <c r="C46" s="4" t="n">
        <v>-1.51883779992341E-005</v>
      </c>
    </row>
    <row r="47" customFormat="false" ht="13.8" hidden="false" customHeight="false" outlineLevel="0" collapsed="false">
      <c r="B47" s="2" t="n">
        <v>46</v>
      </c>
      <c r="C47" s="4" t="n">
        <v>-1.64350975792122E-005</v>
      </c>
    </row>
    <row r="48" customFormat="false" ht="13.8" hidden="false" customHeight="false" outlineLevel="0" collapsed="false">
      <c r="B48" s="2" t="n">
        <v>47</v>
      </c>
      <c r="C48" s="4" t="n">
        <v>-1.4159750978848E-005</v>
      </c>
    </row>
    <row r="49" customFormat="false" ht="13.8" hidden="false" customHeight="false" outlineLevel="0" collapsed="false">
      <c r="B49" s="2" t="n">
        <v>48</v>
      </c>
      <c r="C49" s="4" t="n">
        <v>-8.41869055717522E-006</v>
      </c>
    </row>
    <row r="50" customFormat="false" ht="13.8" hidden="false" customHeight="false" outlineLevel="0" collapsed="false">
      <c r="B50" s="2" t="n">
        <v>49</v>
      </c>
      <c r="C50" s="4" t="n">
        <v>-3.7797477273402E-005</v>
      </c>
    </row>
    <row r="51" customFormat="false" ht="13.8" hidden="false" customHeight="false" outlineLevel="0" collapsed="false">
      <c r="B51" s="2" t="n">
        <v>50</v>
      </c>
      <c r="C51" s="4" t="n">
        <v>-2.45948188409114E-005</v>
      </c>
    </row>
    <row r="52" customFormat="false" ht="13.8" hidden="false" customHeight="false" outlineLevel="0" collapsed="false">
      <c r="B52" s="2" t="n">
        <v>51</v>
      </c>
      <c r="C52" s="4" t="n">
        <v>2.45859292952106E-005</v>
      </c>
    </row>
    <row r="53" customFormat="false" ht="13.8" hidden="false" customHeight="false" outlineLevel="0" collapsed="false">
      <c r="B53" s="2" t="n">
        <v>52</v>
      </c>
      <c r="C53" s="4" t="n">
        <v>3.28369279266538E-005</v>
      </c>
    </row>
    <row r="54" customFormat="false" ht="13.8" hidden="false" customHeight="false" outlineLevel="0" collapsed="false">
      <c r="B54" s="2" t="n">
        <v>53</v>
      </c>
      <c r="C54" s="4" t="n">
        <v>-3.66294285461904E-005</v>
      </c>
    </row>
    <row r="55" customFormat="false" ht="13.8" hidden="false" customHeight="false" outlineLevel="0" collapsed="false">
      <c r="B55" s="2" t="n">
        <v>54</v>
      </c>
      <c r="C55" s="4" t="n">
        <v>-1.66186124796517E-005</v>
      </c>
    </row>
    <row r="56" customFormat="false" ht="13.8" hidden="false" customHeight="false" outlineLevel="0" collapsed="false">
      <c r="B56" s="2" t="n">
        <v>55</v>
      </c>
      <c r="C56" s="4" t="n">
        <v>-3.69960111469653E-005</v>
      </c>
    </row>
    <row r="57" customFormat="false" ht="13.8" hidden="false" customHeight="false" outlineLevel="0" collapsed="false">
      <c r="B57" s="2" t="n">
        <v>56</v>
      </c>
      <c r="C57" s="4" t="n">
        <v>-1.17848634195767E-005</v>
      </c>
    </row>
    <row r="58" customFormat="false" ht="13.8" hidden="false" customHeight="false" outlineLevel="0" collapsed="false">
      <c r="B58" s="2" t="n">
        <v>57</v>
      </c>
      <c r="C58" s="4" t="n">
        <v>-7.67582333682338E-006</v>
      </c>
    </row>
    <row r="59" customFormat="false" ht="13.8" hidden="false" customHeight="false" outlineLevel="0" collapsed="false">
      <c r="B59" s="2" t="n">
        <v>58</v>
      </c>
      <c r="C59" s="4" t="n">
        <v>-8.07526499981379E-006</v>
      </c>
    </row>
    <row r="60" customFormat="false" ht="13.8" hidden="false" customHeight="false" outlineLevel="0" collapsed="false">
      <c r="B60" s="2" t="n">
        <v>59</v>
      </c>
      <c r="C60" s="4" t="n">
        <v>-9.0257484280574E-006</v>
      </c>
    </row>
    <row r="61" customFormat="false" ht="13.8" hidden="false" customHeight="false" outlineLevel="0" collapsed="false">
      <c r="B61" s="2" t="n">
        <v>60</v>
      </c>
      <c r="C61" s="4" t="n">
        <v>-1.00415052163385E-005</v>
      </c>
    </row>
    <row r="62" customFormat="false" ht="13.8" hidden="false" customHeight="false" outlineLevel="0" collapsed="false">
      <c r="B62" s="2" t="n">
        <v>61</v>
      </c>
      <c r="C62" s="4" t="n">
        <v>-1.01627924617632E-005</v>
      </c>
    </row>
    <row r="63" customFormat="false" ht="13.8" hidden="false" customHeight="false" outlineLevel="0" collapsed="false">
      <c r="B63" s="2" t="n">
        <v>62</v>
      </c>
      <c r="C63" s="4" t="n">
        <v>-9.22129239216338E-006</v>
      </c>
    </row>
    <row r="64" customFormat="false" ht="13.8" hidden="false" customHeight="false" outlineLevel="0" collapsed="false">
      <c r="B64" s="2" t="n">
        <v>63</v>
      </c>
      <c r="C64" s="4" t="n">
        <v>-7.0992214590267E-006</v>
      </c>
    </row>
    <row r="65" customFormat="false" ht="13.8" hidden="false" customHeight="false" outlineLevel="0" collapsed="false">
      <c r="B65" s="2" t="n">
        <v>64</v>
      </c>
      <c r="C65" s="4" t="n">
        <v>-6.53247254371135E-006</v>
      </c>
    </row>
    <row r="66" customFormat="false" ht="13.8" hidden="false" customHeight="false" outlineLevel="0" collapsed="false">
      <c r="B66" s="2" t="n">
        <v>65</v>
      </c>
      <c r="C66" s="4" t="n">
        <v>-1.06325419450583E-005</v>
      </c>
    </row>
    <row r="67" customFormat="false" ht="13.8" hidden="false" customHeight="false" outlineLevel="0" collapsed="false">
      <c r="B67" s="2" t="n">
        <v>66</v>
      </c>
      <c r="C67" s="4" t="n">
        <v>-9.52576447060549E-006</v>
      </c>
    </row>
    <row r="68" customFormat="false" ht="13.8" hidden="false" customHeight="false" outlineLevel="0" collapsed="false">
      <c r="B68" s="2" t="n">
        <v>67</v>
      </c>
      <c r="C68" s="4" t="n">
        <v>-2.59277146882673E-005</v>
      </c>
    </row>
    <row r="69" customFormat="false" ht="13.8" hidden="false" customHeight="false" outlineLevel="0" collapsed="false">
      <c r="B69" s="2" t="n">
        <v>68</v>
      </c>
      <c r="C69" s="4" t="n">
        <v>-8.14747683075933E-006</v>
      </c>
    </row>
    <row r="70" customFormat="false" ht="13.8" hidden="false" customHeight="false" outlineLevel="0" collapsed="false">
      <c r="B70" s="2" t="n">
        <v>69</v>
      </c>
      <c r="C70" s="4" t="n">
        <v>2.85544169183594E-006</v>
      </c>
    </row>
    <row r="71" customFormat="false" ht="13.8" hidden="false" customHeight="false" outlineLevel="0" collapsed="false">
      <c r="B71" s="2" t="n">
        <v>70</v>
      </c>
      <c r="C71" s="4" t="n">
        <v>-1.09354813387048E-005</v>
      </c>
    </row>
    <row r="72" customFormat="false" ht="13.8" hidden="false" customHeight="false" outlineLevel="0" collapsed="false">
      <c r="B72" s="2" t="n">
        <v>71</v>
      </c>
      <c r="C72" s="4" t="n">
        <v>-2.29617430366693E-005</v>
      </c>
    </row>
    <row r="73" customFormat="false" ht="13.8" hidden="false" customHeight="false" outlineLevel="0" collapsed="false">
      <c r="B73" s="2" t="n">
        <v>72</v>
      </c>
      <c r="C73" s="4" t="n">
        <v>-1.21813997024441E-005</v>
      </c>
    </row>
    <row r="74" customFormat="false" ht="13.8" hidden="false" customHeight="false" outlineLevel="0" collapsed="false">
      <c r="B74" s="2" t="n">
        <v>73</v>
      </c>
      <c r="C74" s="4" t="n">
        <v>5.00718582446341E-006</v>
      </c>
    </row>
    <row r="75" customFormat="false" ht="13.8" hidden="false" customHeight="false" outlineLevel="0" collapsed="false">
      <c r="B75" s="2" t="n">
        <v>74</v>
      </c>
      <c r="C75" s="4" t="n">
        <v>-4.68646991498999E-006</v>
      </c>
    </row>
    <row r="76" customFormat="false" ht="13.8" hidden="false" customHeight="false" outlineLevel="0" collapsed="false">
      <c r="B76" s="2" t="n">
        <v>75</v>
      </c>
      <c r="C76" s="4" t="n">
        <v>-2.34021255188482E-005</v>
      </c>
    </row>
    <row r="77" customFormat="false" ht="13.8" hidden="false" customHeight="false" outlineLevel="0" collapsed="false">
      <c r="B77" s="2" t="n">
        <v>76</v>
      </c>
      <c r="C77" s="4" t="n">
        <v>-1.76132063123556E-005</v>
      </c>
    </row>
    <row r="78" customFormat="false" ht="13.8" hidden="false" customHeight="false" outlineLevel="0" collapsed="false">
      <c r="B78" s="2" t="n">
        <v>77</v>
      </c>
      <c r="C78" s="4" t="n">
        <v>0</v>
      </c>
    </row>
    <row r="79" customFormat="false" ht="13.8" hidden="false" customHeight="false" outlineLevel="0" collapsed="false">
      <c r="B79" s="2" t="n">
        <v>78</v>
      </c>
      <c r="C79" s="4" t="n">
        <v>-1.53396669087871E-005</v>
      </c>
    </row>
    <row r="80" customFormat="false" ht="13.8" hidden="false" customHeight="false" outlineLevel="0" collapsed="false">
      <c r="B80" s="2" t="n">
        <v>79</v>
      </c>
      <c r="C80" s="4" t="n">
        <v>-9.28664702442616E-006</v>
      </c>
    </row>
    <row r="81" customFormat="false" ht="13.8" hidden="false" customHeight="false" outlineLevel="0" collapsed="false">
      <c r="B81" s="2" t="n">
        <v>80</v>
      </c>
      <c r="C81" s="4" t="n">
        <v>-1.065202333039E-005</v>
      </c>
    </row>
    <row r="82" customFormat="false" ht="13.8" hidden="false" customHeight="false" outlineLevel="0" collapsed="false">
      <c r="B82" s="2" t="n">
        <v>81</v>
      </c>
      <c r="C82" s="4" t="n">
        <v>-1.2605209459811E-005</v>
      </c>
    </row>
    <row r="83" customFormat="false" ht="13.8" hidden="false" customHeight="false" outlineLevel="0" collapsed="false">
      <c r="B83" s="2" t="n">
        <v>82</v>
      </c>
      <c r="C83" s="4" t="n">
        <v>-1.23854286098558E-005</v>
      </c>
    </row>
    <row r="84" customFormat="false" ht="13.8" hidden="false" customHeight="false" outlineLevel="0" collapsed="false">
      <c r="B84" s="2" t="n">
        <v>83</v>
      </c>
      <c r="C84" s="4" t="n">
        <v>-9.10027717426239E-006</v>
      </c>
    </row>
    <row r="85" customFormat="false" ht="13.8" hidden="false" customHeight="false" outlineLevel="0" collapsed="false">
      <c r="B85" s="2" t="n">
        <v>84</v>
      </c>
      <c r="C85" s="4" t="n">
        <v>-6.23917611130167E-006</v>
      </c>
    </row>
    <row r="86" customFormat="false" ht="13.8" hidden="false" customHeight="false" outlineLevel="0" collapsed="false">
      <c r="B86" s="2" t="n">
        <v>85</v>
      </c>
      <c r="C86" s="4" t="n">
        <v>-4.49266325732822E-006</v>
      </c>
    </row>
    <row r="87" customFormat="false" ht="13.8" hidden="false" customHeight="false" outlineLevel="0" collapsed="false">
      <c r="B87" s="2" t="n">
        <v>86</v>
      </c>
      <c r="C87" s="4" t="n">
        <v>-6.38389383324916E-006</v>
      </c>
    </row>
    <row r="88" customFormat="false" ht="13.8" hidden="false" customHeight="false" outlineLevel="0" collapsed="false">
      <c r="B88" s="2" t="n">
        <v>87</v>
      </c>
      <c r="C88" s="4" t="n">
        <v>-1.07411220149596E-005</v>
      </c>
    </row>
    <row r="89" customFormat="false" ht="13.8" hidden="false" customHeight="false" outlineLevel="0" collapsed="false">
      <c r="B89" s="2" t="n">
        <v>88</v>
      </c>
      <c r="C89" s="4" t="n">
        <v>-1.3354522019662E-005</v>
      </c>
    </row>
    <row r="90" customFormat="false" ht="13.8" hidden="false" customHeight="false" outlineLevel="0" collapsed="false">
      <c r="B90" s="2" t="n">
        <v>89</v>
      </c>
      <c r="C90" s="4" t="n">
        <v>-1.45974282223594E-005</v>
      </c>
    </row>
    <row r="91" customFormat="false" ht="13.8" hidden="false" customHeight="false" outlineLevel="0" collapsed="false">
      <c r="B91" s="2" t="n">
        <v>90</v>
      </c>
      <c r="C91" s="4" t="n">
        <v>-1.25600726836741E-005</v>
      </c>
    </row>
    <row r="92" customFormat="false" ht="13.8" hidden="false" customHeight="false" outlineLevel="0" collapsed="false">
      <c r="B92" s="2" t="n">
        <v>91</v>
      </c>
      <c r="C92" s="4" t="n">
        <v>-9.67840281377044E-006</v>
      </c>
    </row>
    <row r="93" customFormat="false" ht="13.8" hidden="false" customHeight="false" outlineLevel="0" collapsed="false">
      <c r="B93" s="2" t="n">
        <v>92</v>
      </c>
      <c r="C93" s="4" t="n">
        <v>2.71753356953221E-006</v>
      </c>
    </row>
    <row r="94" customFormat="false" ht="13.8" hidden="false" customHeight="false" outlineLevel="0" collapsed="false">
      <c r="B94" s="2" t="n">
        <v>93</v>
      </c>
      <c r="C94" s="4" t="n">
        <v>-1.58252676518136E-005</v>
      </c>
    </row>
    <row r="95" customFormat="false" ht="13.8" hidden="false" customHeight="false" outlineLevel="0" collapsed="false">
      <c r="B95" s="2" t="n">
        <v>94</v>
      </c>
      <c r="C95" s="4" t="n">
        <v>-1.96194424135256E-005</v>
      </c>
    </row>
    <row r="96" customFormat="false" ht="13.8" hidden="false" customHeight="false" outlineLevel="0" collapsed="false">
      <c r="B96" s="2" t="n">
        <v>95</v>
      </c>
      <c r="C96" s="4" t="n">
        <v>-1.30810951044439E-005</v>
      </c>
    </row>
    <row r="97" customFormat="false" ht="13.8" hidden="false" customHeight="false" outlineLevel="0" collapsed="false">
      <c r="B97" s="2" t="n">
        <v>96</v>
      </c>
      <c r="C97" s="4" t="n">
        <v>0</v>
      </c>
    </row>
    <row r="98" customFormat="false" ht="13.8" hidden="false" customHeight="false" outlineLevel="0" collapsed="false">
      <c r="B98" s="2" t="n">
        <v>97</v>
      </c>
      <c r="C98" s="4" t="n">
        <v>-5.21314671390391E-006</v>
      </c>
    </row>
    <row r="99" customFormat="false" ht="13.8" hidden="false" customHeight="false" outlineLevel="0" collapsed="false">
      <c r="B99" s="2" t="n">
        <v>98</v>
      </c>
      <c r="C99" s="4" t="n">
        <v>-1.80443441012442E-005</v>
      </c>
    </row>
    <row r="100" customFormat="false" ht="13.8" hidden="false" customHeight="false" outlineLevel="0" collapsed="false">
      <c r="B100" s="2" t="n">
        <v>99</v>
      </c>
      <c r="C100" s="4" t="n">
        <v>-1.68721805589545E-005</v>
      </c>
    </row>
    <row r="101" customFormat="false" ht="13.8" hidden="false" customHeight="false" outlineLevel="0" collapsed="false">
      <c r="B101" s="2" t="n">
        <v>100</v>
      </c>
      <c r="C101" s="4" t="n">
        <v>-3.21943654113684E-006</v>
      </c>
    </row>
    <row r="102" customFormat="false" ht="13.8" hidden="false" customHeight="false" outlineLevel="0" collapsed="false">
      <c r="B102" s="2" t="n">
        <v>101</v>
      </c>
      <c r="C102" s="4" t="n">
        <v>0</v>
      </c>
    </row>
    <row r="103" customFormat="false" ht="13.8" hidden="false" customHeight="false" outlineLevel="0" collapsed="false">
      <c r="B103" s="2" t="n">
        <v>102</v>
      </c>
      <c r="C103" s="4" t="n">
        <v>-1.41984007556246E-005</v>
      </c>
    </row>
    <row r="104" customFormat="false" ht="13.8" hidden="false" customHeight="false" outlineLevel="0" collapsed="false">
      <c r="B104" s="2" t="n">
        <v>103</v>
      </c>
      <c r="C104" s="4" t="n">
        <v>-2.72640438711105E-005</v>
      </c>
    </row>
    <row r="105" customFormat="false" ht="13.8" hidden="false" customHeight="false" outlineLevel="0" collapsed="false">
      <c r="B105" s="2" t="n">
        <v>104</v>
      </c>
      <c r="C105" s="4" t="n">
        <v>-2.33289377527525E-005</v>
      </c>
    </row>
    <row r="106" customFormat="false" ht="13.8" hidden="false" customHeight="false" outlineLevel="0" collapsed="false">
      <c r="B106" s="2" t="n">
        <v>105</v>
      </c>
      <c r="C106" s="4" t="n">
        <v>-1.03061598323012E-005</v>
      </c>
    </row>
    <row r="107" customFormat="false" ht="13.8" hidden="false" customHeight="false" outlineLevel="0" collapsed="false">
      <c r="B107" s="2" t="n">
        <v>106</v>
      </c>
      <c r="C107" s="4" t="n">
        <v>3.24348966942223E-006</v>
      </c>
    </row>
    <row r="108" customFormat="false" ht="13.8" hidden="false" customHeight="false" outlineLevel="0" collapsed="false">
      <c r="B108" s="2" t="n">
        <v>107</v>
      </c>
      <c r="C108" s="4" t="n">
        <v>7.22136129442943E-006</v>
      </c>
    </row>
    <row r="109" customFormat="false" ht="13.8" hidden="false" customHeight="false" outlineLevel="0" collapsed="false">
      <c r="B109" s="2" t="n">
        <v>108</v>
      </c>
      <c r="C109" s="4" t="n">
        <v>0</v>
      </c>
    </row>
    <row r="110" customFormat="false" ht="13.8" hidden="false" customHeight="false" outlineLevel="0" collapsed="false">
      <c r="B110" s="2" t="n">
        <v>109</v>
      </c>
      <c r="C110" s="4" t="n">
        <v>-1.47772684983301E-005</v>
      </c>
    </row>
    <row r="111" customFormat="false" ht="13.8" hidden="false" customHeight="false" outlineLevel="0" collapsed="false">
      <c r="B111" s="2" t="n">
        <v>110</v>
      </c>
      <c r="C111" s="4" t="n">
        <v>-2.36635656304326E-005</v>
      </c>
    </row>
    <row r="112" customFormat="false" ht="13.8" hidden="false" customHeight="false" outlineLevel="0" collapsed="false">
      <c r="B112" s="2" t="n">
        <v>111</v>
      </c>
      <c r="C112" s="4" t="n">
        <v>-2.28016209821812E-005</v>
      </c>
    </row>
    <row r="113" customFormat="false" ht="13.8" hidden="false" customHeight="false" outlineLevel="0" collapsed="false">
      <c r="B113" s="2" t="n">
        <v>112</v>
      </c>
      <c r="C113" s="4" t="n">
        <v>-8.56808627086037E-006</v>
      </c>
    </row>
    <row r="114" customFormat="false" ht="13.8" hidden="false" customHeight="false" outlineLevel="0" collapsed="false">
      <c r="B114" s="2" t="n">
        <v>113</v>
      </c>
      <c r="C114" s="4" t="n">
        <v>0</v>
      </c>
    </row>
    <row r="115" customFormat="false" ht="13.8" hidden="false" customHeight="false" outlineLevel="0" collapsed="false">
      <c r="B115" s="2" t="n">
        <v>114</v>
      </c>
      <c r="C115" s="4" t="n">
        <v>0</v>
      </c>
    </row>
    <row r="116" customFormat="false" ht="13.8" hidden="false" customHeight="false" outlineLevel="0" collapsed="false">
      <c r="B116" s="2" t="n">
        <v>115</v>
      </c>
      <c r="C116" s="4" t="n">
        <v>-8.71670975009758E-006</v>
      </c>
    </row>
    <row r="117" customFormat="false" ht="13.8" hidden="false" customHeight="false" outlineLevel="0" collapsed="false">
      <c r="B117" s="2" t="n">
        <v>116</v>
      </c>
      <c r="C117" s="4" t="n">
        <v>-2.28490072067231E-005</v>
      </c>
    </row>
    <row r="118" customFormat="false" ht="13.8" hidden="false" customHeight="false" outlineLevel="0" collapsed="false">
      <c r="B118" s="2" t="n">
        <v>117</v>
      </c>
      <c r="C118" s="4" t="n">
        <v>-1.48266069680815E-005</v>
      </c>
    </row>
    <row r="119" customFormat="false" ht="13.8" hidden="false" customHeight="false" outlineLevel="0" collapsed="false">
      <c r="B119" s="2" t="n">
        <v>118</v>
      </c>
      <c r="C119" s="4" t="n">
        <v>3.03352966191054E-006</v>
      </c>
    </row>
    <row r="120" customFormat="false" ht="13.8" hidden="false" customHeight="false" outlineLevel="0" collapsed="false">
      <c r="B120" s="2" t="n">
        <v>119</v>
      </c>
      <c r="C120" s="4" t="n">
        <v>-6.96896977858874E-006</v>
      </c>
    </row>
    <row r="121" customFormat="false" ht="13.8" hidden="false" customHeight="false" outlineLevel="0" collapsed="false">
      <c r="B121" s="2" t="n">
        <v>120</v>
      </c>
      <c r="C121" s="4" t="n">
        <v>-2.21637306503106E-005</v>
      </c>
    </row>
    <row r="122" customFormat="false" ht="13.8" hidden="false" customHeight="false" outlineLevel="0" collapsed="false">
      <c r="B122" s="2" t="n">
        <v>121</v>
      </c>
      <c r="C122" s="4" t="n">
        <v>-1.59936925465503E-005</v>
      </c>
    </row>
    <row r="123" customFormat="false" ht="13.8" hidden="false" customHeight="false" outlineLevel="0" collapsed="false">
      <c r="B123" s="2" t="n">
        <v>122</v>
      </c>
      <c r="C123" s="4" t="n">
        <v>0</v>
      </c>
    </row>
    <row r="124" customFormat="false" ht="13.8" hidden="false" customHeight="false" outlineLevel="0" collapsed="false">
      <c r="B124" s="2" t="n">
        <v>123</v>
      </c>
      <c r="C124" s="4" t="n">
        <v>0</v>
      </c>
    </row>
    <row r="125" customFormat="false" ht="13.8" hidden="false" customHeight="false" outlineLevel="0" collapsed="false">
      <c r="B125" s="2" t="n">
        <v>124</v>
      </c>
      <c r="C125" s="4" t="n">
        <v>-2.03468394570312E-005</v>
      </c>
    </row>
    <row r="126" customFormat="false" ht="13.8" hidden="false" customHeight="false" outlineLevel="0" collapsed="false">
      <c r="B126" s="2" t="n">
        <v>125</v>
      </c>
      <c r="C126" s="4" t="n">
        <v>-2.08057129935092E-005</v>
      </c>
    </row>
    <row r="127" customFormat="false" ht="13.8" hidden="false" customHeight="false" outlineLevel="0" collapsed="false">
      <c r="B127" s="2" t="n">
        <v>126</v>
      </c>
      <c r="C127" s="4" t="n">
        <v>-9.61371532837669E-006</v>
      </c>
    </row>
    <row r="128" customFormat="false" ht="13.8" hidden="false" customHeight="false" outlineLevel="0" collapsed="false">
      <c r="B128" s="2" t="n">
        <v>127</v>
      </c>
      <c r="C128" s="4" t="n">
        <v>9.90197881512709E-006</v>
      </c>
    </row>
    <row r="129" customFormat="false" ht="13.8" hidden="false" customHeight="false" outlineLevel="0" collapsed="false">
      <c r="B129" s="2" t="n">
        <v>128</v>
      </c>
      <c r="C129" s="4" t="n">
        <v>3.86744939015934E-006</v>
      </c>
    </row>
    <row r="130" customFormat="false" ht="13.8" hidden="false" customHeight="false" outlineLevel="0" collapsed="false">
      <c r="B130" s="2" t="n">
        <v>129</v>
      </c>
      <c r="C130" s="4" t="n">
        <v>-1.55168621972289E-005</v>
      </c>
    </row>
    <row r="131" customFormat="false" ht="13.8" hidden="false" customHeight="false" outlineLevel="0" collapsed="false">
      <c r="B131" s="2" t="n">
        <v>130</v>
      </c>
      <c r="C131" s="4" t="n">
        <v>-1.81912080608597E-005</v>
      </c>
    </row>
    <row r="132" customFormat="false" ht="13.8" hidden="false" customHeight="false" outlineLevel="0" collapsed="false">
      <c r="B132" s="2" t="n">
        <v>131</v>
      </c>
      <c r="C132" s="4" t="n">
        <v>-1.96638128935824E-005</v>
      </c>
    </row>
    <row r="133" customFormat="false" ht="13.8" hidden="false" customHeight="false" outlineLevel="0" collapsed="false">
      <c r="B133" s="2" t="n">
        <v>132</v>
      </c>
      <c r="C133" s="4" t="n">
        <v>-1.95792439183864E-005</v>
      </c>
    </row>
    <row r="134" customFormat="false" ht="13.8" hidden="false" customHeight="false" outlineLevel="0" collapsed="false">
      <c r="B134" s="2" t="n">
        <v>133</v>
      </c>
      <c r="C134" s="4" t="n">
        <v>-1.7356159581218E-005</v>
      </c>
    </row>
    <row r="135" customFormat="false" ht="13.8" hidden="false" customHeight="false" outlineLevel="0" collapsed="false">
      <c r="B135" s="2" t="n">
        <v>134</v>
      </c>
      <c r="C135" s="4" t="n">
        <v>-1.37713203429317E-005</v>
      </c>
    </row>
    <row r="136" customFormat="false" ht="13.8" hidden="false" customHeight="false" outlineLevel="0" collapsed="false">
      <c r="B136" s="2" t="n">
        <v>135</v>
      </c>
      <c r="C136" s="4" t="n">
        <v>-9.33026641642585E-006</v>
      </c>
    </row>
    <row r="137" customFormat="false" ht="13.8" hidden="false" customHeight="false" outlineLevel="0" collapsed="false">
      <c r="B137" s="2" t="n">
        <v>136</v>
      </c>
      <c r="C137" s="4" t="n">
        <v>-5.50817546125733E-006</v>
      </c>
    </row>
    <row r="138" customFormat="false" ht="13.8" hidden="false" customHeight="false" outlineLevel="0" collapsed="false">
      <c r="B138" s="2" t="n">
        <v>137</v>
      </c>
      <c r="C138" s="4" t="n">
        <v>2.8493669494269E-005</v>
      </c>
    </row>
    <row r="139" customFormat="false" ht="13.8" hidden="false" customHeight="false" outlineLevel="0" collapsed="false">
      <c r="B139" s="2" t="n">
        <v>138</v>
      </c>
      <c r="C139" s="4" t="n">
        <v>0</v>
      </c>
    </row>
    <row r="140" customFormat="false" ht="13.8" hidden="false" customHeight="false" outlineLevel="0" collapsed="false">
      <c r="B140" s="2" t="n">
        <v>139</v>
      </c>
      <c r="C140" s="4" t="n">
        <v>-7.41658663346499E-006</v>
      </c>
    </row>
    <row r="141" customFormat="false" ht="13.8" hidden="false" customHeight="false" outlineLevel="0" collapsed="false">
      <c r="B141" s="2" t="n">
        <v>140</v>
      </c>
      <c r="C141" s="4" t="n">
        <v>-1.58053160518521E-005</v>
      </c>
    </row>
    <row r="142" customFormat="false" ht="13.8" hidden="false" customHeight="false" outlineLevel="0" collapsed="false">
      <c r="B142" s="2" t="n">
        <v>141</v>
      </c>
      <c r="C142" s="4" t="n">
        <v>-1.53801863999336E-005</v>
      </c>
    </row>
    <row r="143" customFormat="false" ht="13.8" hidden="false" customHeight="false" outlineLevel="0" collapsed="false">
      <c r="B143" s="2" t="n">
        <v>142</v>
      </c>
      <c r="C143" s="4" t="n">
        <v>-1.66284422785539E-005</v>
      </c>
    </row>
    <row r="144" customFormat="false" ht="13.8" hidden="false" customHeight="false" outlineLevel="0" collapsed="false">
      <c r="B144" s="2" t="n">
        <v>143</v>
      </c>
      <c r="C144" s="4" t="n">
        <v>-1.03979971365424E-005</v>
      </c>
    </row>
    <row r="145" customFormat="false" ht="13.8" hidden="false" customHeight="false" outlineLevel="0" collapsed="false">
      <c r="B145" s="2" t="n">
        <v>144</v>
      </c>
      <c r="C145" s="4" t="n">
        <v>-6.20421057661318E-006</v>
      </c>
    </row>
    <row r="146" customFormat="false" ht="13.8" hidden="false" customHeight="false" outlineLevel="0" collapsed="false">
      <c r="B146" s="2" t="n">
        <v>145</v>
      </c>
      <c r="C146" s="4" t="n">
        <v>-5.20790189902135E-006</v>
      </c>
    </row>
    <row r="147" customFormat="false" ht="13.8" hidden="false" customHeight="false" outlineLevel="0" collapsed="false">
      <c r="B147" s="2" t="n">
        <v>146</v>
      </c>
      <c r="C147" s="4" t="n">
        <v>-7.03676101180199E-006</v>
      </c>
    </row>
    <row r="148" customFormat="false" ht="13.8" hidden="false" customHeight="false" outlineLevel="0" collapsed="false">
      <c r="B148" s="2" t="n">
        <v>147</v>
      </c>
      <c r="C148" s="4" t="n">
        <v>-8.14562131567394E-006</v>
      </c>
    </row>
    <row r="149" customFormat="false" ht="13.8" hidden="false" customHeight="false" outlineLevel="0" collapsed="false">
      <c r="B149" s="2" t="n">
        <v>148</v>
      </c>
      <c r="C149" s="4" t="n">
        <v>-2.74544808439321E-005</v>
      </c>
    </row>
    <row r="150" customFormat="false" ht="13.8" hidden="false" customHeight="false" outlineLevel="0" collapsed="false">
      <c r="B150" s="2" t="n">
        <v>149</v>
      </c>
      <c r="C150" s="4" t="n">
        <v>-1.62543165726335E-005</v>
      </c>
    </row>
    <row r="151" customFormat="false" ht="13.8" hidden="false" customHeight="false" outlineLevel="0" collapsed="false">
      <c r="B151" s="2" t="n">
        <v>150</v>
      </c>
      <c r="C151" s="4" t="n">
        <v>-1.09616970708122E-005</v>
      </c>
    </row>
    <row r="152" customFormat="false" ht="13.8" hidden="false" customHeight="false" outlineLevel="0" collapsed="false">
      <c r="B152" s="2" t="n">
        <v>151</v>
      </c>
      <c r="C152" s="4" t="n">
        <v>1.77789667943192E-005</v>
      </c>
    </row>
    <row r="153" customFormat="false" ht="13.8" hidden="false" customHeight="false" outlineLevel="0" collapsed="false">
      <c r="B153" s="2" t="n">
        <v>152</v>
      </c>
      <c r="C153" s="4" t="n">
        <v>6.03011513346662E-006</v>
      </c>
    </row>
    <row r="154" customFormat="false" ht="13.8" hidden="false" customHeight="false" outlineLevel="0" collapsed="false">
      <c r="B154" s="2" t="n">
        <v>153</v>
      </c>
      <c r="C154" s="4" t="n">
        <v>-1.97005909254711E-005</v>
      </c>
    </row>
    <row r="155" customFormat="false" ht="13.8" hidden="false" customHeight="false" outlineLevel="0" collapsed="false">
      <c r="B155" s="2" t="n">
        <v>154</v>
      </c>
      <c r="C155" s="4" t="n">
        <v>-3.7648431632561E-005</v>
      </c>
    </row>
    <row r="156" customFormat="false" ht="13.8" hidden="false" customHeight="false" outlineLevel="0" collapsed="false">
      <c r="B156" s="2" t="n">
        <v>155</v>
      </c>
      <c r="C156" s="4" t="n">
        <v>-3.31417108801989E-005</v>
      </c>
    </row>
    <row r="157" customFormat="false" ht="13.8" hidden="false" customHeight="false" outlineLevel="0" collapsed="false">
      <c r="B157" s="2" t="n">
        <v>156</v>
      </c>
      <c r="C157" s="4" t="n">
        <v>-9.94489306080739E-006</v>
      </c>
    </row>
    <row r="158" customFormat="false" ht="13.8" hidden="false" customHeight="false" outlineLevel="0" collapsed="false">
      <c r="B158" s="2" t="n">
        <v>157</v>
      </c>
      <c r="C158" s="4" t="n">
        <v>2.09751513353828E-005</v>
      </c>
    </row>
    <row r="159" customFormat="false" ht="13.8" hidden="false" customHeight="false" outlineLevel="0" collapsed="false">
      <c r="B159" s="2" t="n">
        <v>158</v>
      </c>
      <c r="C159" s="4" t="n">
        <v>0</v>
      </c>
    </row>
    <row r="160" customFormat="false" ht="13.8" hidden="false" customHeight="false" outlineLevel="0" collapsed="false">
      <c r="B160" s="2" t="n">
        <v>159</v>
      </c>
      <c r="C160" s="4" t="n">
        <v>0</v>
      </c>
    </row>
    <row r="161" customFormat="false" ht="13.8" hidden="false" customHeight="false" outlineLevel="0" collapsed="false">
      <c r="B161" s="2" t="n">
        <v>160</v>
      </c>
      <c r="C161" s="4" t="n">
        <v>-3.59000617647787E-006</v>
      </c>
    </row>
    <row r="162" customFormat="false" ht="13.8" hidden="false" customHeight="false" outlineLevel="0" collapsed="false">
      <c r="B162" s="2" t="n">
        <v>161</v>
      </c>
      <c r="C162" s="4" t="n">
        <v>-6.51594373784337E-006</v>
      </c>
    </row>
    <row r="163" customFormat="false" ht="13.8" hidden="false" customHeight="false" outlineLevel="0" collapsed="false">
      <c r="B163" s="2" t="n">
        <v>162</v>
      </c>
      <c r="C163" s="4" t="n">
        <v>-9.63976092298543E-006</v>
      </c>
    </row>
    <row r="164" customFormat="false" ht="13.8" hidden="false" customHeight="false" outlineLevel="0" collapsed="false">
      <c r="B164" s="2" t="n">
        <v>163</v>
      </c>
      <c r="C164" s="4" t="n">
        <v>-2.61130859247916E-005</v>
      </c>
    </row>
    <row r="165" customFormat="false" ht="13.8" hidden="false" customHeight="false" outlineLevel="0" collapsed="false">
      <c r="B165" s="2" t="n">
        <v>164</v>
      </c>
      <c r="C165" s="4" t="n">
        <v>-1.85967225419478E-005</v>
      </c>
    </row>
    <row r="166" customFormat="false" ht="13.8" hidden="false" customHeight="false" outlineLevel="0" collapsed="false">
      <c r="B166" s="2" t="n">
        <v>165</v>
      </c>
      <c r="C166" s="4" t="n">
        <v>-1.11500894666828E-005</v>
      </c>
    </row>
    <row r="167" customFormat="false" ht="13.8" hidden="false" customHeight="false" outlineLevel="0" collapsed="false">
      <c r="B167" s="2" t="n">
        <v>166</v>
      </c>
      <c r="C167" s="4" t="n">
        <v>6.44900523554824E-006</v>
      </c>
    </row>
    <row r="168" customFormat="false" ht="13.8" hidden="false" customHeight="false" outlineLevel="0" collapsed="false">
      <c r="B168" s="2" t="n">
        <v>167</v>
      </c>
      <c r="C168" s="4" t="n">
        <v>2.93357874863017E-005</v>
      </c>
    </row>
    <row r="169" customFormat="false" ht="13.8" hidden="false" customHeight="false" outlineLevel="0" collapsed="false">
      <c r="B169" s="2" t="n">
        <v>168</v>
      </c>
      <c r="C169" s="4" t="n">
        <v>-1.42741222553486E-005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72" activeCellId="1" sqref="B12:F14 N172"/>
    </sheetView>
  </sheetViews>
  <sheetFormatPr defaultColWidth="8.54296875" defaultRowHeight="13.8" zeroHeight="false" outlineLevelRow="0" outlineLevelCol="0"/>
  <cols>
    <col collapsed="false" customWidth="true" hidden="false" outlineLevel="0" max="2" min="2" style="5" width="8.85"/>
    <col collapsed="false" customWidth="true" hidden="false" outlineLevel="0" max="5" min="5" style="5" width="8.85"/>
    <col collapsed="false" customWidth="true" hidden="false" outlineLevel="0" max="6" min="6" style="6" width="8.85"/>
    <col collapsed="false" customWidth="true" hidden="false" outlineLevel="0" max="14" min="14" style="4" width="10.43"/>
  </cols>
  <sheetData>
    <row r="2" customFormat="false" ht="13.8" hidden="false" customHeight="false" outlineLevel="0" collapsed="false">
      <c r="B2" s="7" t="s">
        <v>4</v>
      </c>
      <c r="C2" s="8" t="n">
        <v>1</v>
      </c>
      <c r="D2" s="8"/>
      <c r="E2" s="9" t="s">
        <v>5</v>
      </c>
    </row>
    <row r="4" customFormat="false" ht="13.8" hidden="false" customHeight="false" outlineLevel="0" collapsed="false">
      <c r="B4" s="10" t="s">
        <v>6</v>
      </c>
      <c r="C4" s="11"/>
      <c r="D4" s="11" t="s">
        <v>7</v>
      </c>
      <c r="E4" s="12" t="s">
        <v>8</v>
      </c>
      <c r="F4" s="13" t="s">
        <v>9</v>
      </c>
      <c r="G4" s="14" t="s">
        <v>10</v>
      </c>
      <c r="H4" s="14" t="s">
        <v>11</v>
      </c>
      <c r="I4" s="14" t="s">
        <v>12</v>
      </c>
      <c r="J4" s="14" t="s">
        <v>13</v>
      </c>
      <c r="K4" s="14" t="s">
        <v>14</v>
      </c>
      <c r="L4" s="14" t="s">
        <v>15</v>
      </c>
      <c r="M4" s="14" t="s">
        <v>16</v>
      </c>
      <c r="N4" s="15" t="s">
        <v>17</v>
      </c>
    </row>
    <row r="5" customFormat="false" ht="13.8" hidden="false" customHeight="false" outlineLevel="0" collapsed="false">
      <c r="B5" s="10" t="n">
        <f aca="false">_xlfn.NUMBERVALUE(solar!B2)</f>
        <v>8</v>
      </c>
      <c r="C5" s="11" t="n">
        <f aca="false">solar!C2</f>
        <v>0</v>
      </c>
      <c r="D5" s="11" t="n">
        <v>1</v>
      </c>
      <c r="E5" s="5" t="n">
        <v>1</v>
      </c>
      <c r="F5" s="16" t="n">
        <f aca="false">IFERROR(INDEX($B$5:$C$173, MATCH($E5, $B$5:$B$175, 0), 2), 0)*investment!$C$2</f>
        <v>0</v>
      </c>
      <c r="G5" s="5" t="n">
        <f aca="false">demand!C3</f>
        <v>0</v>
      </c>
      <c r="H5" s="2" t="n">
        <f aca="false">solgen!C3</f>
        <v>0</v>
      </c>
      <c r="I5" s="2" t="n">
        <f aca="false">import!C3</f>
        <v>0</v>
      </c>
      <c r="J5" s="2" t="n">
        <f aca="false">-export!C3</f>
        <v>-0</v>
      </c>
      <c r="K5" s="2" t="n">
        <f aca="false">-charge!C3</f>
        <v>-0</v>
      </c>
      <c r="L5" s="2" t="n">
        <f aca="false">discharge!C3</f>
        <v>0</v>
      </c>
      <c r="M5" s="2" t="n">
        <f aca="false">soc!C3/investment!$E$2 *100</f>
        <v>65.4470856453318</v>
      </c>
      <c r="N5" s="4" t="n">
        <f aca="false">p_micro!C2</f>
        <v>0</v>
      </c>
    </row>
    <row r="6" customFormat="false" ht="13.8" hidden="false" customHeight="false" outlineLevel="0" collapsed="false">
      <c r="B6" s="10" t="n">
        <f aca="false">_xlfn.NUMBERVALUE(solar!B3)</f>
        <v>9</v>
      </c>
      <c r="C6" s="11" t="n">
        <f aca="false">solar!C3</f>
        <v>0</v>
      </c>
      <c r="D6" s="11" t="n">
        <v>2</v>
      </c>
      <c r="E6" s="5" t="n">
        <v>2</v>
      </c>
      <c r="F6" s="16" t="n">
        <f aca="false">IFERROR(INDEX($B$5:$C$173, MATCH($E6, $B$5:$B$175, 0), 2), 0)*investment!$C$2</f>
        <v>0</v>
      </c>
      <c r="G6" s="5" t="n">
        <f aca="false">demand!C4</f>
        <v>0</v>
      </c>
      <c r="H6" s="2" t="n">
        <f aca="false">solgen!C4</f>
        <v>0</v>
      </c>
      <c r="I6" s="2" t="n">
        <f aca="false">import!C4</f>
        <v>0</v>
      </c>
      <c r="J6" s="2" t="n">
        <f aca="false">-export!C4</f>
        <v>-0</v>
      </c>
      <c r="K6" s="2" t="n">
        <f aca="false">-charge!C4</f>
        <v>-0</v>
      </c>
      <c r="L6" s="2" t="n">
        <f aca="false">discharge!C4</f>
        <v>0</v>
      </c>
      <c r="M6" s="2" t="n">
        <f aca="false">soc!C4/investment!$E$2 *100</f>
        <v>60.3432663886295</v>
      </c>
      <c r="N6" s="4" t="n">
        <f aca="false">p_micro!C3</f>
        <v>0</v>
      </c>
    </row>
    <row r="7" customFormat="false" ht="13.8" hidden="false" customHeight="false" outlineLevel="0" collapsed="false">
      <c r="B7" s="10" t="n">
        <f aca="false">_xlfn.NUMBERVALUE(solar!B4)</f>
        <v>10</v>
      </c>
      <c r="C7" s="11" t="n">
        <f aca="false">solar!C4</f>
        <v>0</v>
      </c>
      <c r="D7" s="11" t="n">
        <v>3</v>
      </c>
      <c r="E7" s="5" t="n">
        <v>3</v>
      </c>
      <c r="F7" s="16" t="n">
        <f aca="false">IFERROR(INDEX($B$5:$C$173, MATCH($E7, $B$5:$B$175, 0), 2), 0)*investment!$C$2</f>
        <v>0</v>
      </c>
      <c r="G7" s="5" t="n">
        <f aca="false">demand!C5</f>
        <v>0</v>
      </c>
      <c r="H7" s="2" t="n">
        <f aca="false">solgen!C5</f>
        <v>0</v>
      </c>
      <c r="I7" s="2" t="n">
        <f aca="false">import!C5</f>
        <v>0</v>
      </c>
      <c r="J7" s="2" t="n">
        <f aca="false">-export!C5</f>
        <v>-0</v>
      </c>
      <c r="K7" s="2" t="n">
        <f aca="false">-charge!C5</f>
        <v>-0</v>
      </c>
      <c r="L7" s="2" t="n">
        <f aca="false">discharge!C5</f>
        <v>0</v>
      </c>
      <c r="M7" s="2" t="n">
        <f aca="false">soc!C5/investment!$E$2 *100</f>
        <v>55.8079248245468</v>
      </c>
      <c r="N7" s="4" t="n">
        <f aca="false">p_micro!C4</f>
        <v>0</v>
      </c>
    </row>
    <row r="8" customFormat="false" ht="13.8" hidden="false" customHeight="false" outlineLevel="0" collapsed="false">
      <c r="B8" s="10" t="n">
        <f aca="false">_xlfn.NUMBERVALUE(solar!B5)</f>
        <v>11</v>
      </c>
      <c r="C8" s="11" t="n">
        <f aca="false">solar!C5</f>
        <v>0</v>
      </c>
      <c r="D8" s="11" t="n">
        <v>4</v>
      </c>
      <c r="E8" s="5" t="n">
        <v>4</v>
      </c>
      <c r="F8" s="16" t="n">
        <f aca="false">IFERROR(INDEX($B$5:$C$173, MATCH($E8, $B$5:$B$175, 0), 2), 0)*investment!$C$2</f>
        <v>0</v>
      </c>
      <c r="G8" s="5" t="n">
        <f aca="false">demand!C6</f>
        <v>0</v>
      </c>
      <c r="H8" s="2" t="n">
        <f aca="false">solgen!C6</f>
        <v>0</v>
      </c>
      <c r="I8" s="2" t="n">
        <f aca="false">import!C6</f>
        <v>0</v>
      </c>
      <c r="J8" s="2" t="n">
        <f aca="false">-export!C6</f>
        <v>-0</v>
      </c>
      <c r="K8" s="2" t="n">
        <f aca="false">-charge!C6</f>
        <v>-0</v>
      </c>
      <c r="L8" s="2" t="n">
        <f aca="false">discharge!C6</f>
        <v>0</v>
      </c>
      <c r="M8" s="2" t="n">
        <f aca="false">soc!C6/investment!$E$2 *100</f>
        <v>48.2192052344633</v>
      </c>
      <c r="N8" s="4" t="n">
        <f aca="false">p_micro!C5</f>
        <v>0</v>
      </c>
    </row>
    <row r="9" customFormat="false" ht="13.8" hidden="false" customHeight="false" outlineLevel="0" collapsed="false">
      <c r="B9" s="10" t="n">
        <f aca="false">_xlfn.NUMBERVALUE(solar!B6)</f>
        <v>12</v>
      </c>
      <c r="C9" s="11" t="n">
        <f aca="false">solar!C6</f>
        <v>0</v>
      </c>
      <c r="D9" s="11" t="n">
        <v>5</v>
      </c>
      <c r="E9" s="5" t="n">
        <v>5</v>
      </c>
      <c r="F9" s="16" t="n">
        <f aca="false">IFERROR(INDEX($B$5:$C$173, MATCH($E9, $B$5:$B$175, 0), 2), 0)*investment!$C$2</f>
        <v>0</v>
      </c>
      <c r="G9" s="5" t="n">
        <f aca="false">demand!C7</f>
        <v>0</v>
      </c>
      <c r="H9" s="2" t="n">
        <f aca="false">solgen!C7</f>
        <v>0</v>
      </c>
      <c r="I9" s="2" t="n">
        <f aca="false">import!C7</f>
        <v>0</v>
      </c>
      <c r="J9" s="2" t="n">
        <f aca="false">-export!C7</f>
        <v>-0</v>
      </c>
      <c r="K9" s="2" t="n">
        <f aca="false">-charge!C7</f>
        <v>-0</v>
      </c>
      <c r="L9" s="2" t="n">
        <f aca="false">discharge!C7</f>
        <v>0</v>
      </c>
      <c r="M9" s="2" t="n">
        <f aca="false">soc!C7/investment!$E$2 *100</f>
        <v>42.5327535030768</v>
      </c>
      <c r="N9" s="4" t="n">
        <f aca="false">p_micro!C6</f>
        <v>0</v>
      </c>
    </row>
    <row r="10" customFormat="false" ht="13.8" hidden="false" customHeight="false" outlineLevel="0" collapsed="false">
      <c r="B10" s="10" t="n">
        <f aca="false">_xlfn.NUMBERVALUE(solar!B7)</f>
        <v>13</v>
      </c>
      <c r="C10" s="11" t="n">
        <f aca="false">solar!C7</f>
        <v>0</v>
      </c>
      <c r="D10" s="11" t="n">
        <v>6</v>
      </c>
      <c r="E10" s="5" t="n">
        <v>6</v>
      </c>
      <c r="F10" s="16" t="n">
        <f aca="false">IFERROR(INDEX($B$5:$C$173, MATCH($E10, $B$5:$B$175, 0), 2), 0)*investment!$C$2</f>
        <v>0</v>
      </c>
      <c r="G10" s="5" t="n">
        <f aca="false">demand!C8</f>
        <v>0</v>
      </c>
      <c r="H10" s="2" t="n">
        <f aca="false">solgen!C8</f>
        <v>0</v>
      </c>
      <c r="I10" s="2" t="n">
        <f aca="false">import!C8</f>
        <v>0</v>
      </c>
      <c r="J10" s="2" t="n">
        <f aca="false">-export!C8</f>
        <v>-0</v>
      </c>
      <c r="K10" s="2" t="n">
        <f aca="false">-charge!C8</f>
        <v>-0</v>
      </c>
      <c r="L10" s="2" t="n">
        <f aca="false">discharge!C8</f>
        <v>0</v>
      </c>
      <c r="M10" s="2" t="n">
        <f aca="false">soc!C8/investment!$E$2 *100</f>
        <v>35.3206641500829</v>
      </c>
      <c r="N10" s="4" t="n">
        <f aca="false">p_micro!C7</f>
        <v>0</v>
      </c>
    </row>
    <row r="11" customFormat="false" ht="13.8" hidden="false" customHeight="false" outlineLevel="0" collapsed="false">
      <c r="B11" s="10" t="n">
        <f aca="false">_xlfn.NUMBERVALUE(solar!B8)</f>
        <v>14</v>
      </c>
      <c r="C11" s="11" t="n">
        <f aca="false">solar!C8</f>
        <v>0</v>
      </c>
      <c r="D11" s="11" t="n">
        <v>7</v>
      </c>
      <c r="E11" s="5" t="n">
        <v>7</v>
      </c>
      <c r="F11" s="16" t="n">
        <f aca="false">IFERROR(INDEX($B$5:$C$173, MATCH($E11, $B$5:$B$175, 0), 2), 0)*investment!$C$2</f>
        <v>0</v>
      </c>
      <c r="G11" s="5" t="n">
        <f aca="false">demand!C9</f>
        <v>0</v>
      </c>
      <c r="H11" s="2" t="n">
        <f aca="false">solgen!C9</f>
        <v>0</v>
      </c>
      <c r="I11" s="2" t="n">
        <f aca="false">import!C9</f>
        <v>0</v>
      </c>
      <c r="J11" s="2" t="n">
        <f aca="false">-export!C9</f>
        <v>-0</v>
      </c>
      <c r="K11" s="2" t="n">
        <f aca="false">-charge!C9</f>
        <v>-0</v>
      </c>
      <c r="L11" s="2" t="n">
        <f aca="false">discharge!C9</f>
        <v>0</v>
      </c>
      <c r="M11" s="2" t="n">
        <f aca="false">soc!C9/investment!$E$2 *100</f>
        <v>28.8701182902498</v>
      </c>
      <c r="N11" s="4" t="n">
        <f aca="false">p_micro!C8</f>
        <v>0</v>
      </c>
    </row>
    <row r="12" customFormat="false" ht="13.8" hidden="false" customHeight="false" outlineLevel="0" collapsed="false">
      <c r="B12" s="10" t="n">
        <f aca="false">_xlfn.NUMBERVALUE(solar!B9)</f>
        <v>15</v>
      </c>
      <c r="C12" s="11" t="n">
        <f aca="false">solar!C9</f>
        <v>0</v>
      </c>
      <c r="D12" s="11" t="n">
        <v>8</v>
      </c>
      <c r="E12" s="5" t="n">
        <v>8</v>
      </c>
      <c r="F12" s="16" t="n">
        <f aca="false">IFERROR(INDEX($B$5:$C$173, MATCH($E12, $B$5:$B$175, 0), 2), 0)*investment!$C$2</f>
        <v>0</v>
      </c>
      <c r="G12" s="5" t="n">
        <f aca="false">demand!C10</f>
        <v>0</v>
      </c>
      <c r="H12" s="2" t="n">
        <f aca="false">solgen!C10</f>
        <v>0</v>
      </c>
      <c r="I12" s="2" t="n">
        <f aca="false">import!C10</f>
        <v>0</v>
      </c>
      <c r="J12" s="2" t="n">
        <f aca="false">-export!C10</f>
        <v>-0</v>
      </c>
      <c r="K12" s="2" t="n">
        <f aca="false">-charge!C10</f>
        <v>-0</v>
      </c>
      <c r="L12" s="2" t="n">
        <f aca="false">discharge!C10</f>
        <v>0</v>
      </c>
      <c r="M12" s="2" t="n">
        <f aca="false">soc!C10/investment!$E$2 *100</f>
        <v>29.0365063846509</v>
      </c>
      <c r="N12" s="4" t="n">
        <f aca="false">p_micro!C9</f>
        <v>0</v>
      </c>
    </row>
    <row r="13" customFormat="false" ht="13.8" hidden="false" customHeight="false" outlineLevel="0" collapsed="false">
      <c r="B13" s="10" t="n">
        <f aca="false">_xlfn.NUMBERVALUE(solar!B10)</f>
        <v>16</v>
      </c>
      <c r="C13" s="11" t="n">
        <f aca="false">solar!C10</f>
        <v>0</v>
      </c>
      <c r="D13" s="11" t="n">
        <v>9</v>
      </c>
      <c r="E13" s="5" t="n">
        <v>9</v>
      </c>
      <c r="F13" s="16" t="n">
        <f aca="false">IFERROR(INDEX($B$5:$C$173, MATCH($E13, $B$5:$B$175, 0), 2), 0)*investment!$C$2</f>
        <v>0</v>
      </c>
      <c r="G13" s="5" t="n">
        <f aca="false">demand!C11</f>
        <v>0</v>
      </c>
      <c r="H13" s="2" t="n">
        <f aca="false">solgen!C11</f>
        <v>0</v>
      </c>
      <c r="I13" s="2" t="n">
        <f aca="false">import!C11</f>
        <v>0</v>
      </c>
      <c r="J13" s="2" t="n">
        <f aca="false">-export!C11</f>
        <v>-0</v>
      </c>
      <c r="K13" s="2" t="n">
        <f aca="false">-charge!C11</f>
        <v>-0</v>
      </c>
      <c r="L13" s="2" t="n">
        <f aca="false">discharge!C11</f>
        <v>0</v>
      </c>
      <c r="M13" s="2" t="n">
        <f aca="false">soc!C11/investment!$E$2 *100</f>
        <v>29.036216019587</v>
      </c>
      <c r="N13" s="4" t="n">
        <f aca="false">p_micro!C10</f>
        <v>0</v>
      </c>
    </row>
    <row r="14" customFormat="false" ht="13.8" hidden="false" customHeight="false" outlineLevel="0" collapsed="false">
      <c r="B14" s="10" t="n">
        <f aca="false">_xlfn.NUMBERVALUE(solar!B11)</f>
        <v>17</v>
      </c>
      <c r="C14" s="11" t="n">
        <f aca="false">solar!C11</f>
        <v>0</v>
      </c>
      <c r="D14" s="11" t="n">
        <v>10</v>
      </c>
      <c r="E14" s="5" t="n">
        <v>10</v>
      </c>
      <c r="F14" s="16" t="n">
        <f aca="false">IFERROR(INDEX($B$5:$C$173, MATCH($E14, $B$5:$B$175, 0), 2), 0)*investment!$C$2</f>
        <v>0</v>
      </c>
      <c r="G14" s="5" t="n">
        <f aca="false">demand!C12</f>
        <v>0</v>
      </c>
      <c r="H14" s="2" t="n">
        <f aca="false">solgen!C12</f>
        <v>0</v>
      </c>
      <c r="I14" s="2" t="n">
        <f aca="false">import!C12</f>
        <v>0</v>
      </c>
      <c r="J14" s="2" t="n">
        <f aca="false">-export!C12</f>
        <v>-0</v>
      </c>
      <c r="K14" s="2" t="n">
        <f aca="false">-charge!C12</f>
        <v>-0</v>
      </c>
      <c r="L14" s="2" t="n">
        <f aca="false">discharge!C12</f>
        <v>0</v>
      </c>
      <c r="M14" s="2" t="n">
        <f aca="false">soc!C12/investment!$E$2 *100</f>
        <v>29.0359256574268</v>
      </c>
      <c r="N14" s="4" t="n">
        <f aca="false">p_micro!C11</f>
        <v>0</v>
      </c>
    </row>
    <row r="15" customFormat="false" ht="13.8" hidden="false" customHeight="false" outlineLevel="0" collapsed="false">
      <c r="B15" s="10" t="n">
        <f aca="false">_xlfn.NUMBERVALUE(solar!B12)</f>
        <v>18</v>
      </c>
      <c r="C15" s="11" t="n">
        <f aca="false">solar!C12</f>
        <v>0</v>
      </c>
      <c r="D15" s="11" t="n">
        <v>11</v>
      </c>
      <c r="E15" s="5" t="n">
        <v>11</v>
      </c>
      <c r="F15" s="16" t="n">
        <f aca="false">IFERROR(INDEX($B$5:$C$173, MATCH($E15, $B$5:$B$175, 0), 2), 0)*investment!$C$2</f>
        <v>0</v>
      </c>
      <c r="G15" s="5" t="n">
        <f aca="false">demand!C13</f>
        <v>0</v>
      </c>
      <c r="H15" s="2" t="n">
        <f aca="false">solgen!C13</f>
        <v>0</v>
      </c>
      <c r="I15" s="2" t="n">
        <f aca="false">import!C13</f>
        <v>0</v>
      </c>
      <c r="J15" s="2" t="n">
        <f aca="false">-export!C13</f>
        <v>-0</v>
      </c>
      <c r="K15" s="2" t="n">
        <f aca="false">-charge!C13</f>
        <v>-0</v>
      </c>
      <c r="L15" s="2" t="n">
        <f aca="false">discharge!C13</f>
        <v>0</v>
      </c>
      <c r="M15" s="2" t="n">
        <f aca="false">soc!C13/investment!$E$2 *100</f>
        <v>29.0356352981703</v>
      </c>
      <c r="N15" s="4" t="n">
        <f aca="false">p_micro!C12</f>
        <v>0</v>
      </c>
    </row>
    <row r="16" customFormat="false" ht="13.8" hidden="false" customHeight="false" outlineLevel="0" collapsed="false">
      <c r="B16" s="10" t="n">
        <f aca="false">_xlfn.NUMBERVALUE(solar!B13)</f>
        <v>19</v>
      </c>
      <c r="C16" s="11" t="n">
        <f aca="false">solar!C13</f>
        <v>0</v>
      </c>
      <c r="D16" s="11" t="n">
        <v>12</v>
      </c>
      <c r="E16" s="5" t="n">
        <v>12</v>
      </c>
      <c r="F16" s="16" t="n">
        <f aca="false">IFERROR(INDEX($B$5:$C$173, MATCH($E16, $B$5:$B$175, 0), 2), 0)*investment!$C$2</f>
        <v>0</v>
      </c>
      <c r="G16" s="5" t="n">
        <f aca="false">demand!C14</f>
        <v>0</v>
      </c>
      <c r="H16" s="2" t="n">
        <f aca="false">solgen!C14</f>
        <v>0</v>
      </c>
      <c r="I16" s="2" t="n">
        <f aca="false">import!C14</f>
        <v>0</v>
      </c>
      <c r="J16" s="2" t="n">
        <f aca="false">-export!C14</f>
        <v>-0</v>
      </c>
      <c r="K16" s="2" t="n">
        <f aca="false">-charge!C14</f>
        <v>-0</v>
      </c>
      <c r="L16" s="2" t="n">
        <f aca="false">discharge!C14</f>
        <v>0</v>
      </c>
      <c r="M16" s="2" t="n">
        <f aca="false">soc!C14/investment!$E$2 *100</f>
        <v>29.0353449418173</v>
      </c>
      <c r="N16" s="4" t="n">
        <f aca="false">p_micro!C13</f>
        <v>0</v>
      </c>
    </row>
    <row r="17" customFormat="false" ht="13.8" hidden="false" customHeight="false" outlineLevel="0" collapsed="false">
      <c r="B17" s="10" t="n">
        <f aca="false">_xlfn.NUMBERVALUE(solar!B14)</f>
        <v>32</v>
      </c>
      <c r="C17" s="11" t="n">
        <f aca="false">solar!C14</f>
        <v>0</v>
      </c>
      <c r="D17" s="11" t="n">
        <v>13</v>
      </c>
      <c r="E17" s="5" t="n">
        <v>13</v>
      </c>
      <c r="F17" s="16" t="n">
        <f aca="false">IFERROR(INDEX($B$5:$C$173, MATCH($E17, $B$5:$B$175, 0), 2), 0)*investment!$C$2</f>
        <v>0</v>
      </c>
      <c r="G17" s="5" t="n">
        <f aca="false">demand!C15</f>
        <v>0</v>
      </c>
      <c r="H17" s="2" t="n">
        <f aca="false">solgen!C15</f>
        <v>0</v>
      </c>
      <c r="I17" s="2" t="n">
        <f aca="false">import!C15</f>
        <v>0</v>
      </c>
      <c r="J17" s="2" t="n">
        <f aca="false">-export!C15</f>
        <v>-0</v>
      </c>
      <c r="K17" s="2" t="n">
        <f aca="false">-charge!C15</f>
        <v>-0</v>
      </c>
      <c r="L17" s="2" t="n">
        <f aca="false">discharge!C15</f>
        <v>0</v>
      </c>
      <c r="M17" s="2" t="n">
        <f aca="false">soc!C15/investment!$E$2 *100</f>
        <v>29.0350545883679</v>
      </c>
      <c r="N17" s="4" t="n">
        <f aca="false">p_micro!C14</f>
        <v>0</v>
      </c>
    </row>
    <row r="18" customFormat="false" ht="13.8" hidden="false" customHeight="false" outlineLevel="0" collapsed="false">
      <c r="B18" s="10" t="n">
        <f aca="false">_xlfn.NUMBERVALUE(solar!B15)</f>
        <v>33</v>
      </c>
      <c r="C18" s="11" t="n">
        <f aca="false">solar!C15</f>
        <v>0</v>
      </c>
      <c r="D18" s="11" t="n">
        <v>14</v>
      </c>
      <c r="E18" s="5" t="n">
        <v>14</v>
      </c>
      <c r="F18" s="16" t="n">
        <f aca="false">IFERROR(INDEX($B$5:$C$173, MATCH($E18, $B$5:$B$175, 0), 2), 0)*investment!$C$2</f>
        <v>0</v>
      </c>
      <c r="G18" s="5" t="n">
        <f aca="false">demand!C16</f>
        <v>0</v>
      </c>
      <c r="H18" s="2" t="n">
        <f aca="false">solgen!C16</f>
        <v>0</v>
      </c>
      <c r="I18" s="2" t="n">
        <f aca="false">import!C16</f>
        <v>0</v>
      </c>
      <c r="J18" s="2" t="n">
        <f aca="false">-export!C16</f>
        <v>-0</v>
      </c>
      <c r="K18" s="2" t="n">
        <f aca="false">-charge!C16</f>
        <v>-0</v>
      </c>
      <c r="L18" s="2" t="n">
        <f aca="false">discharge!C16</f>
        <v>0</v>
      </c>
      <c r="M18" s="2" t="n">
        <f aca="false">soc!C16/investment!$E$2 *100</f>
        <v>48.979021713616</v>
      </c>
      <c r="N18" s="4" t="n">
        <f aca="false">p_micro!C15</f>
        <v>0</v>
      </c>
    </row>
    <row r="19" customFormat="false" ht="13.8" hidden="false" customHeight="false" outlineLevel="0" collapsed="false">
      <c r="B19" s="10" t="n">
        <f aca="false">_xlfn.NUMBERVALUE(solar!B16)</f>
        <v>34</v>
      </c>
      <c r="C19" s="11" t="n">
        <f aca="false">solar!C16</f>
        <v>0</v>
      </c>
      <c r="D19" s="11" t="n">
        <v>15</v>
      </c>
      <c r="E19" s="5" t="n">
        <v>15</v>
      </c>
      <c r="F19" s="16" t="n">
        <f aca="false">IFERROR(INDEX($B$5:$C$173, MATCH($E19, $B$5:$B$175, 0), 2), 0)*investment!$C$2</f>
        <v>0</v>
      </c>
      <c r="G19" s="5" t="n">
        <f aca="false">demand!C17</f>
        <v>0</v>
      </c>
      <c r="H19" s="2" t="n">
        <f aca="false">solgen!C17</f>
        <v>0</v>
      </c>
      <c r="I19" s="2" t="n">
        <f aca="false">import!C17</f>
        <v>0</v>
      </c>
      <c r="J19" s="2" t="n">
        <f aca="false">-export!C17</f>
        <v>-0</v>
      </c>
      <c r="K19" s="2" t="n">
        <f aca="false">-charge!C17</f>
        <v>-0</v>
      </c>
      <c r="L19" s="2" t="n">
        <f aca="false">discharge!C17</f>
        <v>0</v>
      </c>
      <c r="M19" s="2" t="n">
        <f aca="false">soc!C17/investment!$E$2 *100</f>
        <v>69.3533492433928</v>
      </c>
      <c r="N19" s="4" t="n">
        <f aca="false">p_micro!C16</f>
        <v>0</v>
      </c>
    </row>
    <row r="20" customFormat="false" ht="13.8" hidden="false" customHeight="false" outlineLevel="0" collapsed="false">
      <c r="B20" s="10" t="n">
        <f aca="false">_xlfn.NUMBERVALUE(solar!B17)</f>
        <v>35</v>
      </c>
      <c r="C20" s="11" t="n">
        <f aca="false">solar!C17</f>
        <v>0</v>
      </c>
      <c r="D20" s="11" t="n">
        <v>16</v>
      </c>
      <c r="E20" s="5" t="n">
        <v>16</v>
      </c>
      <c r="F20" s="16" t="n">
        <f aca="false">IFERROR(INDEX($B$5:$C$173, MATCH($E20, $B$5:$B$175, 0), 2), 0)*investment!$C$2</f>
        <v>0</v>
      </c>
      <c r="G20" s="5" t="n">
        <f aca="false">demand!C18</f>
        <v>0</v>
      </c>
      <c r="H20" s="2" t="n">
        <f aca="false">solgen!C18</f>
        <v>0</v>
      </c>
      <c r="I20" s="2" t="n">
        <f aca="false">import!C18</f>
        <v>0</v>
      </c>
      <c r="J20" s="2" t="n">
        <f aca="false">-export!C18</f>
        <v>-0</v>
      </c>
      <c r="K20" s="2" t="n">
        <f aca="false">-charge!C18</f>
        <v>-0</v>
      </c>
      <c r="L20" s="2" t="n">
        <f aca="false">discharge!C18</f>
        <v>0</v>
      </c>
      <c r="M20" s="2" t="n">
        <f aca="false">soc!C18/investment!$E$2 *100</f>
        <v>78.7713492934807</v>
      </c>
      <c r="N20" s="4" t="n">
        <f aca="false">p_micro!C17</f>
        <v>0</v>
      </c>
    </row>
    <row r="21" customFormat="false" ht="13.8" hidden="false" customHeight="false" outlineLevel="0" collapsed="false">
      <c r="B21" s="10" t="n">
        <f aca="false">_xlfn.NUMBERVALUE(solar!B18)</f>
        <v>36</v>
      </c>
      <c r="C21" s="11" t="n">
        <f aca="false">solar!C18</f>
        <v>0</v>
      </c>
      <c r="D21" s="11" t="n">
        <v>17</v>
      </c>
      <c r="E21" s="5" t="n">
        <v>17</v>
      </c>
      <c r="F21" s="16" t="n">
        <f aca="false">IFERROR(INDEX($B$5:$C$173, MATCH($E21, $B$5:$B$175, 0), 2), 0)*investment!$C$2</f>
        <v>0</v>
      </c>
      <c r="G21" s="5" t="n">
        <f aca="false">demand!C19</f>
        <v>0</v>
      </c>
      <c r="H21" s="2" t="n">
        <f aca="false">solgen!C19</f>
        <v>0</v>
      </c>
      <c r="I21" s="2" t="n">
        <f aca="false">import!C19</f>
        <v>0</v>
      </c>
      <c r="J21" s="2" t="n">
        <f aca="false">-export!C19</f>
        <v>-0</v>
      </c>
      <c r="K21" s="2" t="n">
        <f aca="false">-charge!C19</f>
        <v>-0</v>
      </c>
      <c r="L21" s="2" t="n">
        <f aca="false">discharge!C19</f>
        <v>0</v>
      </c>
      <c r="M21" s="2" t="n">
        <f aca="false">soc!C19/investment!$E$2 *100</f>
        <v>81.5290815751769</v>
      </c>
      <c r="N21" s="4" t="n">
        <f aca="false">p_micro!C18</f>
        <v>0</v>
      </c>
    </row>
    <row r="22" customFormat="false" ht="13.8" hidden="false" customHeight="false" outlineLevel="0" collapsed="false">
      <c r="B22" s="10" t="n">
        <f aca="false">_xlfn.NUMBERVALUE(solar!B19)</f>
        <v>37</v>
      </c>
      <c r="C22" s="11" t="n">
        <f aca="false">solar!C19</f>
        <v>0</v>
      </c>
      <c r="D22" s="11" t="n">
        <v>18</v>
      </c>
      <c r="E22" s="5" t="n">
        <v>18</v>
      </c>
      <c r="F22" s="16" t="n">
        <f aca="false">IFERROR(INDEX($B$5:$C$173, MATCH($E22, $B$5:$B$175, 0), 2), 0)*investment!$C$2</f>
        <v>0</v>
      </c>
      <c r="G22" s="5" t="n">
        <f aca="false">demand!C20</f>
        <v>0</v>
      </c>
      <c r="H22" s="2" t="n">
        <f aca="false">solgen!C20</f>
        <v>0</v>
      </c>
      <c r="I22" s="2" t="n">
        <f aca="false">import!C20</f>
        <v>0</v>
      </c>
      <c r="J22" s="2" t="n">
        <f aca="false">-export!C20</f>
        <v>-0</v>
      </c>
      <c r="K22" s="2" t="n">
        <f aca="false">-charge!C20</f>
        <v>-0</v>
      </c>
      <c r="L22" s="2" t="n">
        <f aca="false">discharge!C20</f>
        <v>0</v>
      </c>
      <c r="M22" s="2" t="n">
        <f aca="false">soc!C20/investment!$E$2 *100</f>
        <v>77.6739817505003</v>
      </c>
      <c r="N22" s="4" t="n">
        <f aca="false">p_micro!C19</f>
        <v>0</v>
      </c>
    </row>
    <row r="23" customFormat="false" ht="13.8" hidden="false" customHeight="false" outlineLevel="0" collapsed="false">
      <c r="B23" s="10" t="n">
        <f aca="false">_xlfn.NUMBERVALUE(solar!B20)</f>
        <v>38</v>
      </c>
      <c r="C23" s="11" t="n">
        <f aca="false">solar!C20</f>
        <v>0</v>
      </c>
      <c r="D23" s="11" t="n">
        <v>19</v>
      </c>
      <c r="E23" s="5" t="n">
        <v>19</v>
      </c>
      <c r="F23" s="16" t="n">
        <f aca="false">IFERROR(INDEX($B$5:$C$173, MATCH($E23, $B$5:$B$175, 0), 2), 0)*investment!$C$2</f>
        <v>0</v>
      </c>
      <c r="G23" s="5" t="n">
        <f aca="false">demand!C21</f>
        <v>0</v>
      </c>
      <c r="H23" s="2" t="n">
        <f aca="false">solgen!C21</f>
        <v>0</v>
      </c>
      <c r="I23" s="2" t="n">
        <f aca="false">import!C21</f>
        <v>0</v>
      </c>
      <c r="J23" s="2" t="n">
        <f aca="false">-export!C21</f>
        <v>-0</v>
      </c>
      <c r="K23" s="2" t="n">
        <f aca="false">-charge!C21</f>
        <v>-0</v>
      </c>
      <c r="L23" s="2" t="n">
        <f aca="false">discharge!C21</f>
        <v>0</v>
      </c>
      <c r="M23" s="2" t="n">
        <f aca="false">soc!C21/investment!$E$2 *100</f>
        <v>70.0970193280807</v>
      </c>
      <c r="N23" s="4" t="n">
        <f aca="false">p_micro!C20</f>
        <v>0</v>
      </c>
    </row>
    <row r="24" customFormat="false" ht="13.8" hidden="false" customHeight="false" outlineLevel="0" collapsed="false">
      <c r="B24" s="10" t="n">
        <f aca="false">_xlfn.NUMBERVALUE(solar!B21)</f>
        <v>39</v>
      </c>
      <c r="C24" s="11" t="n">
        <f aca="false">solar!C21</f>
        <v>0</v>
      </c>
      <c r="D24" s="11" t="n">
        <v>20</v>
      </c>
      <c r="E24" s="5" t="n">
        <v>20</v>
      </c>
      <c r="F24" s="16" t="n">
        <f aca="false">IFERROR(INDEX($B$5:$C$173, MATCH($E24, $B$5:$B$175, 0), 2), 0)*investment!$C$2</f>
        <v>0</v>
      </c>
      <c r="G24" s="5" t="n">
        <f aca="false">demand!C22</f>
        <v>0</v>
      </c>
      <c r="H24" s="2" t="n">
        <f aca="false">solgen!C22</f>
        <v>0</v>
      </c>
      <c r="I24" s="2" t="n">
        <f aca="false">import!C22</f>
        <v>0</v>
      </c>
      <c r="J24" s="2" t="n">
        <f aca="false">-export!C22</f>
        <v>-0</v>
      </c>
      <c r="K24" s="2" t="n">
        <f aca="false">-charge!C22</f>
        <v>-0</v>
      </c>
      <c r="L24" s="2" t="n">
        <f aca="false">discharge!C22</f>
        <v>0</v>
      </c>
      <c r="M24" s="2" t="n">
        <f aca="false">soc!C22/investment!$E$2 *100</f>
        <v>60.6635878967722</v>
      </c>
      <c r="N24" s="4" t="n">
        <f aca="false">p_micro!C21</f>
        <v>0</v>
      </c>
    </row>
    <row r="25" customFormat="false" ht="13.8" hidden="false" customHeight="false" outlineLevel="0" collapsed="false">
      <c r="B25" s="10" t="n">
        <f aca="false">_xlfn.NUMBERVALUE(solar!B22)</f>
        <v>40</v>
      </c>
      <c r="C25" s="11" t="n">
        <f aca="false">solar!C22</f>
        <v>0</v>
      </c>
      <c r="D25" s="11" t="n">
        <v>21</v>
      </c>
      <c r="E25" s="5" t="n">
        <v>21</v>
      </c>
      <c r="F25" s="16" t="n">
        <f aca="false">IFERROR(INDEX($B$5:$C$173, MATCH($E25, $B$5:$B$175, 0), 2), 0)*investment!$C$2</f>
        <v>0</v>
      </c>
      <c r="G25" s="5" t="n">
        <f aca="false">demand!C23</f>
        <v>0</v>
      </c>
      <c r="H25" s="2" t="n">
        <f aca="false">solgen!C23</f>
        <v>0</v>
      </c>
      <c r="I25" s="2" t="n">
        <f aca="false">import!C23</f>
        <v>0</v>
      </c>
      <c r="J25" s="2" t="n">
        <f aca="false">-export!C23</f>
        <v>-0</v>
      </c>
      <c r="K25" s="2" t="n">
        <f aca="false">-charge!C23</f>
        <v>-0</v>
      </c>
      <c r="L25" s="2" t="n">
        <f aca="false">discharge!C23</f>
        <v>0</v>
      </c>
      <c r="M25" s="2" t="n">
        <f aca="false">soc!C23/investment!$E$2 *100</f>
        <v>50.513847050453</v>
      </c>
      <c r="N25" s="4" t="n">
        <f aca="false">p_micro!C22</f>
        <v>0</v>
      </c>
    </row>
    <row r="26" customFormat="false" ht="13.8" hidden="false" customHeight="false" outlineLevel="0" collapsed="false">
      <c r="B26" s="10" t="n">
        <f aca="false">_xlfn.NUMBERVALUE(solar!B23)</f>
        <v>41</v>
      </c>
      <c r="C26" s="11" t="n">
        <f aca="false">solar!C23</f>
        <v>0</v>
      </c>
      <c r="D26" s="11" t="n">
        <v>22</v>
      </c>
      <c r="E26" s="5" t="n">
        <v>22</v>
      </c>
      <c r="F26" s="16" t="n">
        <f aca="false">IFERROR(INDEX($B$5:$C$173, MATCH($E26, $B$5:$B$175, 0), 2), 0)*investment!$C$2</f>
        <v>0</v>
      </c>
      <c r="G26" s="5" t="n">
        <f aca="false">demand!C24</f>
        <v>0</v>
      </c>
      <c r="H26" s="2" t="n">
        <f aca="false">solgen!C24</f>
        <v>0</v>
      </c>
      <c r="I26" s="2" t="n">
        <f aca="false">import!C24</f>
        <v>0</v>
      </c>
      <c r="J26" s="2" t="n">
        <f aca="false">-export!C24</f>
        <v>-0</v>
      </c>
      <c r="K26" s="2" t="n">
        <f aca="false">-charge!C24</f>
        <v>-0</v>
      </c>
      <c r="L26" s="2" t="n">
        <f aca="false">discharge!C24</f>
        <v>0</v>
      </c>
      <c r="M26" s="2" t="n">
        <f aca="false">soc!C24/investment!$E$2 *100</f>
        <v>41.4713806889961</v>
      </c>
      <c r="N26" s="4" t="n">
        <f aca="false">p_micro!C23</f>
        <v>0</v>
      </c>
    </row>
    <row r="27" customFormat="false" ht="13.8" hidden="false" customHeight="false" outlineLevel="0" collapsed="false">
      <c r="B27" s="10" t="n">
        <f aca="false">_xlfn.NUMBERVALUE(solar!B24)</f>
        <v>42</v>
      </c>
      <c r="C27" s="11" t="n">
        <f aca="false">solar!C24</f>
        <v>0</v>
      </c>
      <c r="D27" s="11" t="n">
        <v>23</v>
      </c>
      <c r="E27" s="5" t="n">
        <v>23</v>
      </c>
      <c r="F27" s="16" t="n">
        <f aca="false">IFERROR(INDEX($B$5:$C$173, MATCH($E27, $B$5:$B$175, 0), 2), 0)*investment!$C$2</f>
        <v>0</v>
      </c>
      <c r="G27" s="5" t="n">
        <f aca="false">demand!C25</f>
        <v>0</v>
      </c>
      <c r="H27" s="2" t="n">
        <f aca="false">solgen!C25</f>
        <v>0</v>
      </c>
      <c r="I27" s="2" t="n">
        <f aca="false">import!C25</f>
        <v>0</v>
      </c>
      <c r="J27" s="2" t="n">
        <f aca="false">-export!C25</f>
        <v>-0</v>
      </c>
      <c r="K27" s="2" t="n">
        <f aca="false">-charge!C25</f>
        <v>-0</v>
      </c>
      <c r="L27" s="2" t="n">
        <f aca="false">discharge!C25</f>
        <v>0</v>
      </c>
      <c r="M27" s="2" t="n">
        <f aca="false">soc!C25/investment!$E$2 *100</f>
        <v>34.5039155892284</v>
      </c>
      <c r="N27" s="4" t="n">
        <f aca="false">p_micro!C24</f>
        <v>0</v>
      </c>
    </row>
    <row r="28" customFormat="false" ht="13.8" hidden="false" customHeight="false" outlineLevel="0" collapsed="false">
      <c r="B28" s="10" t="n">
        <f aca="false">_xlfn.NUMBERVALUE(solar!B25)</f>
        <v>43</v>
      </c>
      <c r="C28" s="11" t="n">
        <f aca="false">solar!C25</f>
        <v>0</v>
      </c>
      <c r="D28" s="11" t="n">
        <v>24</v>
      </c>
      <c r="E28" s="5" t="n">
        <v>24</v>
      </c>
      <c r="F28" s="16" t="n">
        <f aca="false">IFERROR(INDEX($B$5:$C$173, MATCH($E28, $B$5:$B$175, 0), 2), 0)*investment!$C$2</f>
        <v>0</v>
      </c>
      <c r="G28" s="5" t="n">
        <f aca="false">demand!C26</f>
        <v>0</v>
      </c>
      <c r="H28" s="2" t="n">
        <f aca="false">solgen!C26</f>
        <v>0</v>
      </c>
      <c r="I28" s="2" t="n">
        <f aca="false">import!C26</f>
        <v>0</v>
      </c>
      <c r="J28" s="2" t="n">
        <f aca="false">-export!C26</f>
        <v>-0</v>
      </c>
      <c r="K28" s="2" t="n">
        <f aca="false">-charge!C26</f>
        <v>-0</v>
      </c>
      <c r="L28" s="2" t="n">
        <f aca="false">discharge!C26</f>
        <v>0</v>
      </c>
      <c r="M28" s="2" t="n">
        <f aca="false">soc!C26/investment!$E$2 *100</f>
        <v>28.0290702265239</v>
      </c>
      <c r="N28" s="4" t="n">
        <f aca="false">p_micro!C25</f>
        <v>0</v>
      </c>
    </row>
    <row r="29" customFormat="false" ht="13.8" hidden="false" customHeight="false" outlineLevel="0" collapsed="false">
      <c r="B29" s="10" t="n">
        <f aca="false">_xlfn.NUMBERVALUE(solar!B26)</f>
        <v>56</v>
      </c>
      <c r="C29" s="11" t="n">
        <f aca="false">solar!C26</f>
        <v>0</v>
      </c>
      <c r="D29" s="11" t="n">
        <v>1</v>
      </c>
      <c r="E29" s="5" t="n">
        <v>25</v>
      </c>
      <c r="F29" s="16" t="n">
        <f aca="false">IFERROR(INDEX($B$5:$C$173, MATCH($E29, $B$5:$B$175, 0), 2), 0)*investment!$C$2</f>
        <v>0</v>
      </c>
      <c r="G29" s="5" t="n">
        <f aca="false">demand!C27</f>
        <v>0</v>
      </c>
      <c r="H29" s="2" t="n">
        <f aca="false">solgen!C27</f>
        <v>0</v>
      </c>
      <c r="I29" s="2" t="n">
        <f aca="false">import!C27</f>
        <v>0</v>
      </c>
      <c r="J29" s="2" t="n">
        <f aca="false">-export!C27</f>
        <v>-0</v>
      </c>
      <c r="K29" s="2" t="n">
        <f aca="false">-charge!C27</f>
        <v>-0</v>
      </c>
      <c r="L29" s="2" t="n">
        <f aca="false">discharge!C27</f>
        <v>0</v>
      </c>
      <c r="M29" s="2" t="n">
        <f aca="false">soc!C27/investment!$E$2 *100</f>
        <v>22.0125733634113</v>
      </c>
      <c r="N29" s="4" t="n">
        <f aca="false">p_micro!C26</f>
        <v>0</v>
      </c>
    </row>
    <row r="30" customFormat="false" ht="13.8" hidden="false" customHeight="false" outlineLevel="0" collapsed="false">
      <c r="B30" s="10" t="n">
        <f aca="false">_xlfn.NUMBERVALUE(solar!B27)</f>
        <v>57</v>
      </c>
      <c r="C30" s="11" t="n">
        <f aca="false">solar!C27</f>
        <v>0</v>
      </c>
      <c r="D30" s="11" t="n">
        <v>2</v>
      </c>
      <c r="E30" s="5" t="n">
        <v>26</v>
      </c>
      <c r="F30" s="16" t="n">
        <f aca="false">IFERROR(INDEX($B$5:$C$173, MATCH($E30, $B$5:$B$175, 0), 2), 0)*investment!$C$2</f>
        <v>0</v>
      </c>
      <c r="G30" s="5" t="n">
        <f aca="false">demand!C28</f>
        <v>0</v>
      </c>
      <c r="H30" s="2" t="n">
        <f aca="false">solgen!C28</f>
        <v>0</v>
      </c>
      <c r="I30" s="2" t="n">
        <f aca="false">import!C28</f>
        <v>0</v>
      </c>
      <c r="J30" s="2" t="n">
        <f aca="false">-export!C28</f>
        <v>-0</v>
      </c>
      <c r="K30" s="2" t="n">
        <f aca="false">-charge!C28</f>
        <v>-0</v>
      </c>
      <c r="L30" s="2" t="n">
        <f aca="false">discharge!C28</f>
        <v>0</v>
      </c>
      <c r="M30" s="2" t="n">
        <f aca="false">soc!C28/investment!$E$2 *100</f>
        <v>17.6993093576576</v>
      </c>
      <c r="N30" s="4" t="n">
        <f aca="false">p_micro!C27</f>
        <v>0</v>
      </c>
    </row>
    <row r="31" customFormat="false" ht="13.8" hidden="false" customHeight="false" outlineLevel="0" collapsed="false">
      <c r="B31" s="10" t="n">
        <f aca="false">_xlfn.NUMBERVALUE(solar!B28)</f>
        <v>58</v>
      </c>
      <c r="C31" s="11" t="n">
        <f aca="false">solar!C28</f>
        <v>0</v>
      </c>
      <c r="D31" s="11" t="n">
        <v>3</v>
      </c>
      <c r="E31" s="5" t="n">
        <v>27</v>
      </c>
      <c r="F31" s="16" t="n">
        <f aca="false">IFERROR(INDEX($B$5:$C$173, MATCH($E31, $B$5:$B$175, 0), 2), 0)*investment!$C$2</f>
        <v>0</v>
      </c>
      <c r="G31" s="5" t="n">
        <f aca="false">demand!C29</f>
        <v>0</v>
      </c>
      <c r="H31" s="2" t="n">
        <f aca="false">solgen!C29</f>
        <v>0</v>
      </c>
      <c r="I31" s="2" t="n">
        <f aca="false">import!C29</f>
        <v>0</v>
      </c>
      <c r="J31" s="2" t="n">
        <f aca="false">-export!C29</f>
        <v>-0</v>
      </c>
      <c r="K31" s="2" t="n">
        <f aca="false">-charge!C29</f>
        <v>-0</v>
      </c>
      <c r="L31" s="2" t="n">
        <f aca="false">discharge!C29</f>
        <v>0</v>
      </c>
      <c r="M31" s="2" t="n">
        <f aca="false">soc!C29/investment!$E$2 *100</f>
        <v>13.5335844057642</v>
      </c>
      <c r="N31" s="4" t="n">
        <f aca="false">p_micro!C28</f>
        <v>0</v>
      </c>
    </row>
    <row r="32" customFormat="false" ht="13.8" hidden="false" customHeight="false" outlineLevel="0" collapsed="false">
      <c r="B32" s="10" t="n">
        <f aca="false">_xlfn.NUMBERVALUE(solar!B29)</f>
        <v>59</v>
      </c>
      <c r="C32" s="11" t="n">
        <f aca="false">solar!C29</f>
        <v>0</v>
      </c>
      <c r="D32" s="11" t="n">
        <v>4</v>
      </c>
      <c r="E32" s="5" t="n">
        <v>28</v>
      </c>
      <c r="F32" s="16" t="n">
        <f aca="false">IFERROR(INDEX($B$5:$C$173, MATCH($E32, $B$5:$B$175, 0), 2), 0)*investment!$C$2</f>
        <v>0</v>
      </c>
      <c r="G32" s="5" t="n">
        <f aca="false">demand!C30</f>
        <v>0</v>
      </c>
      <c r="H32" s="2" t="n">
        <f aca="false">solgen!C30</f>
        <v>0</v>
      </c>
      <c r="I32" s="2" t="n">
        <f aca="false">import!C30</f>
        <v>0</v>
      </c>
      <c r="J32" s="2" t="n">
        <f aca="false">-export!C30</f>
        <v>-0</v>
      </c>
      <c r="K32" s="2" t="n">
        <f aca="false">-charge!C30</f>
        <v>-0</v>
      </c>
      <c r="L32" s="2" t="n">
        <f aca="false">discharge!C30</f>
        <v>0</v>
      </c>
      <c r="M32" s="2" t="n">
        <f aca="false">soc!C30/investment!$E$2 *100</f>
        <v>8.64973635607417</v>
      </c>
      <c r="N32" s="4" t="n">
        <f aca="false">p_micro!C29</f>
        <v>0</v>
      </c>
    </row>
    <row r="33" customFormat="false" ht="13.8" hidden="false" customHeight="false" outlineLevel="0" collapsed="false">
      <c r="B33" s="10" t="n">
        <f aca="false">_xlfn.NUMBERVALUE(solar!B30)</f>
        <v>60</v>
      </c>
      <c r="C33" s="11" t="n">
        <f aca="false">solar!C30</f>
        <v>0</v>
      </c>
      <c r="D33" s="11" t="n">
        <v>5</v>
      </c>
      <c r="E33" s="5" t="n">
        <v>29</v>
      </c>
      <c r="F33" s="16" t="n">
        <f aca="false">IFERROR(INDEX($B$5:$C$173, MATCH($E33, $B$5:$B$175, 0), 2), 0)*investment!$C$2</f>
        <v>0</v>
      </c>
      <c r="G33" s="5" t="n">
        <f aca="false">demand!C31</f>
        <v>0</v>
      </c>
      <c r="H33" s="2" t="n">
        <f aca="false">solgen!C31</f>
        <v>0</v>
      </c>
      <c r="I33" s="2" t="n">
        <f aca="false">import!C31</f>
        <v>0</v>
      </c>
      <c r="J33" s="2" t="n">
        <f aca="false">-export!C31</f>
        <v>-0</v>
      </c>
      <c r="K33" s="2" t="n">
        <f aca="false">-charge!C31</f>
        <v>-0</v>
      </c>
      <c r="L33" s="2" t="n">
        <f aca="false">discharge!C31</f>
        <v>0</v>
      </c>
      <c r="M33" s="2" t="n">
        <f aca="false">soc!C31/investment!$E$2 *100</f>
        <v>4.4863647652808</v>
      </c>
      <c r="N33" s="4" t="n">
        <f aca="false">p_micro!C30</f>
        <v>0</v>
      </c>
    </row>
    <row r="34" customFormat="false" ht="13.8" hidden="false" customHeight="false" outlineLevel="0" collapsed="false">
      <c r="B34" s="10" t="n">
        <f aca="false">_xlfn.NUMBERVALUE(solar!B31)</f>
        <v>61</v>
      </c>
      <c r="C34" s="11" t="n">
        <f aca="false">solar!C31</f>
        <v>0</v>
      </c>
      <c r="D34" s="11" t="n">
        <v>6</v>
      </c>
      <c r="E34" s="5" t="n">
        <v>30</v>
      </c>
      <c r="F34" s="16" t="n">
        <f aca="false">IFERROR(INDEX($B$5:$C$173, MATCH($E34, $B$5:$B$175, 0), 2), 0)*investment!$C$2</f>
        <v>0</v>
      </c>
      <c r="G34" s="5" t="n">
        <f aca="false">demand!C32</f>
        <v>0</v>
      </c>
      <c r="H34" s="2" t="n">
        <f aca="false">solgen!C32</f>
        <v>0</v>
      </c>
      <c r="I34" s="2" t="n">
        <f aca="false">import!C32</f>
        <v>0</v>
      </c>
      <c r="J34" s="2" t="n">
        <f aca="false">-export!C32</f>
        <v>-0</v>
      </c>
      <c r="K34" s="2" t="n">
        <f aca="false">-charge!C32</f>
        <v>-0</v>
      </c>
      <c r="L34" s="2" t="n">
        <f aca="false">discharge!C32</f>
        <v>0</v>
      </c>
      <c r="M34" s="2" t="n">
        <f aca="false">soc!C32/investment!$E$2 *100</f>
        <v>0.385617015577318</v>
      </c>
      <c r="N34" s="4" t="n">
        <f aca="false">p_micro!C31</f>
        <v>0</v>
      </c>
    </row>
    <row r="35" customFormat="false" ht="13.8" hidden="false" customHeight="false" outlineLevel="0" collapsed="false">
      <c r="B35" s="10" t="n">
        <f aca="false">_xlfn.NUMBERVALUE(solar!B32)</f>
        <v>62</v>
      </c>
      <c r="C35" s="11" t="n">
        <f aca="false">solar!C32</f>
        <v>0</v>
      </c>
      <c r="D35" s="11" t="n">
        <v>7</v>
      </c>
      <c r="E35" s="5" t="n">
        <v>31</v>
      </c>
      <c r="F35" s="16" t="n">
        <f aca="false">IFERROR(INDEX($B$5:$C$173, MATCH($E35, $B$5:$B$175, 0), 2), 0)*investment!$C$2</f>
        <v>0</v>
      </c>
      <c r="G35" s="5" t="n">
        <f aca="false">demand!C33</f>
        <v>0</v>
      </c>
      <c r="H35" s="2" t="n">
        <f aca="false">solgen!C33</f>
        <v>0</v>
      </c>
      <c r="I35" s="2" t="n">
        <f aca="false">import!C33</f>
        <v>0</v>
      </c>
      <c r="J35" s="2" t="n">
        <f aca="false">-export!C33</f>
        <v>-0</v>
      </c>
      <c r="K35" s="2" t="n">
        <f aca="false">-charge!C33</f>
        <v>-0</v>
      </c>
      <c r="L35" s="2" t="n">
        <f aca="false">discharge!C33</f>
        <v>0</v>
      </c>
      <c r="M35" s="2" t="n">
        <f aca="false">soc!C33/investment!$E$2 *100</f>
        <v>0</v>
      </c>
      <c r="N35" s="4" t="n">
        <f aca="false">p_micro!C32</f>
        <v>0</v>
      </c>
    </row>
    <row r="36" customFormat="false" ht="13.8" hidden="false" customHeight="false" outlineLevel="0" collapsed="false">
      <c r="B36" s="10" t="n">
        <f aca="false">_xlfn.NUMBERVALUE(solar!B33)</f>
        <v>63</v>
      </c>
      <c r="C36" s="11" t="n">
        <f aca="false">solar!C33</f>
        <v>0</v>
      </c>
      <c r="D36" s="11" t="n">
        <v>8</v>
      </c>
      <c r="E36" s="5" t="n">
        <v>32</v>
      </c>
      <c r="F36" s="16" t="n">
        <f aca="false">IFERROR(INDEX($B$5:$C$173, MATCH($E36, $B$5:$B$175, 0), 2), 0)*investment!$C$2</f>
        <v>0</v>
      </c>
      <c r="G36" s="5" t="n">
        <f aca="false">demand!C34</f>
        <v>0</v>
      </c>
      <c r="H36" s="2" t="n">
        <f aca="false">solgen!C34</f>
        <v>0</v>
      </c>
      <c r="I36" s="2" t="n">
        <f aca="false">import!C34</f>
        <v>0</v>
      </c>
      <c r="J36" s="2" t="n">
        <f aca="false">-export!C34</f>
        <v>-0</v>
      </c>
      <c r="K36" s="2" t="n">
        <f aca="false">-charge!C34</f>
        <v>-0</v>
      </c>
      <c r="L36" s="2" t="n">
        <f aca="false">discharge!C34</f>
        <v>0</v>
      </c>
      <c r="M36" s="2" t="n">
        <f aca="false">soc!C34/investment!$E$2 *100</f>
        <v>0</v>
      </c>
      <c r="N36" s="4" t="n">
        <f aca="false">p_micro!C33</f>
        <v>0</v>
      </c>
    </row>
    <row r="37" customFormat="false" ht="13.8" hidden="false" customHeight="false" outlineLevel="0" collapsed="false">
      <c r="B37" s="10" t="n">
        <f aca="false">_xlfn.NUMBERVALUE(solar!B34)</f>
        <v>64</v>
      </c>
      <c r="C37" s="11" t="n">
        <f aca="false">solar!C34</f>
        <v>0</v>
      </c>
      <c r="D37" s="11" t="n">
        <v>9</v>
      </c>
      <c r="E37" s="5" t="n">
        <v>33</v>
      </c>
      <c r="F37" s="16" t="n">
        <f aca="false">IFERROR(INDEX($B$5:$C$173, MATCH($E37, $B$5:$B$175, 0), 2), 0)*investment!$C$2</f>
        <v>0</v>
      </c>
      <c r="G37" s="5" t="n">
        <f aca="false">demand!C35</f>
        <v>0</v>
      </c>
      <c r="H37" s="2" t="n">
        <f aca="false">solgen!C35</f>
        <v>0</v>
      </c>
      <c r="I37" s="2" t="n">
        <f aca="false">import!C35</f>
        <v>0</v>
      </c>
      <c r="J37" s="2" t="n">
        <f aca="false">-export!C35</f>
        <v>-0</v>
      </c>
      <c r="K37" s="2" t="n">
        <f aca="false">-charge!C35</f>
        <v>-0</v>
      </c>
      <c r="L37" s="2" t="n">
        <f aca="false">discharge!C35</f>
        <v>0</v>
      </c>
      <c r="M37" s="2" t="n">
        <f aca="false">soc!C35/investment!$E$2 *100</f>
        <v>0</v>
      </c>
      <c r="N37" s="4" t="n">
        <f aca="false">p_micro!C34</f>
        <v>0</v>
      </c>
    </row>
    <row r="38" customFormat="false" ht="13.8" hidden="false" customHeight="false" outlineLevel="0" collapsed="false">
      <c r="B38" s="10" t="n">
        <f aca="false">_xlfn.NUMBERVALUE(solar!B35)</f>
        <v>65</v>
      </c>
      <c r="C38" s="11" t="n">
        <f aca="false">solar!C35</f>
        <v>0</v>
      </c>
      <c r="D38" s="11" t="n">
        <v>10</v>
      </c>
      <c r="E38" s="5" t="n">
        <v>34</v>
      </c>
      <c r="F38" s="16" t="n">
        <f aca="false">IFERROR(INDEX($B$5:$C$173, MATCH($E38, $B$5:$B$175, 0), 2), 0)*investment!$C$2</f>
        <v>0</v>
      </c>
      <c r="G38" s="5" t="n">
        <f aca="false">demand!C36</f>
        <v>0</v>
      </c>
      <c r="H38" s="2" t="n">
        <f aca="false">solgen!C36</f>
        <v>0</v>
      </c>
      <c r="I38" s="2" t="n">
        <f aca="false">import!C36</f>
        <v>0</v>
      </c>
      <c r="J38" s="2" t="n">
        <f aca="false">-export!C36</f>
        <v>-0</v>
      </c>
      <c r="K38" s="2" t="n">
        <f aca="false">-charge!C36</f>
        <v>-0</v>
      </c>
      <c r="L38" s="2" t="n">
        <f aca="false">discharge!C36</f>
        <v>0</v>
      </c>
      <c r="M38" s="2" t="n">
        <f aca="false">soc!C36/investment!$E$2 *100</f>
        <v>0</v>
      </c>
      <c r="N38" s="4" t="n">
        <f aca="false">p_micro!C35</f>
        <v>0</v>
      </c>
    </row>
    <row r="39" customFormat="false" ht="13.8" hidden="false" customHeight="false" outlineLevel="0" collapsed="false">
      <c r="B39" s="10" t="n">
        <f aca="false">_xlfn.NUMBERVALUE(solar!B36)</f>
        <v>66</v>
      </c>
      <c r="C39" s="11" t="n">
        <f aca="false">solar!C36</f>
        <v>0</v>
      </c>
      <c r="D39" s="11" t="n">
        <v>11</v>
      </c>
      <c r="E39" s="5" t="n">
        <v>35</v>
      </c>
      <c r="F39" s="16" t="n">
        <f aca="false">IFERROR(INDEX($B$5:$C$173, MATCH($E39, $B$5:$B$175, 0), 2), 0)*investment!$C$2</f>
        <v>0</v>
      </c>
      <c r="G39" s="5" t="n">
        <f aca="false">demand!C37</f>
        <v>0</v>
      </c>
      <c r="H39" s="2" t="n">
        <f aca="false">solgen!C37</f>
        <v>0</v>
      </c>
      <c r="I39" s="2" t="n">
        <f aca="false">import!C37</f>
        <v>0</v>
      </c>
      <c r="J39" s="2" t="n">
        <f aca="false">-export!C37</f>
        <v>-0</v>
      </c>
      <c r="K39" s="2" t="n">
        <f aca="false">-charge!C37</f>
        <v>-0</v>
      </c>
      <c r="L39" s="2" t="n">
        <f aca="false">discharge!C37</f>
        <v>0</v>
      </c>
      <c r="M39" s="2" t="n">
        <f aca="false">soc!C37/investment!$E$2 *100</f>
        <v>0</v>
      </c>
      <c r="N39" s="4" t="n">
        <f aca="false">p_micro!C36</f>
        <v>0</v>
      </c>
    </row>
    <row r="40" customFormat="false" ht="13.8" hidden="false" customHeight="false" outlineLevel="0" collapsed="false">
      <c r="B40" s="10" t="n">
        <f aca="false">_xlfn.NUMBERVALUE(solar!B37)</f>
        <v>67</v>
      </c>
      <c r="C40" s="11" t="n">
        <f aca="false">solar!C37</f>
        <v>0</v>
      </c>
      <c r="D40" s="11" t="n">
        <v>12</v>
      </c>
      <c r="E40" s="5" t="n">
        <v>36</v>
      </c>
      <c r="F40" s="16" t="n">
        <f aca="false">IFERROR(INDEX($B$5:$C$173, MATCH($E40, $B$5:$B$175, 0), 2), 0)*investment!$C$2</f>
        <v>0</v>
      </c>
      <c r="G40" s="5" t="n">
        <f aca="false">demand!C38</f>
        <v>0</v>
      </c>
      <c r="H40" s="2" t="n">
        <f aca="false">solgen!C38</f>
        <v>0</v>
      </c>
      <c r="I40" s="2" t="n">
        <f aca="false">import!C38</f>
        <v>0</v>
      </c>
      <c r="J40" s="2" t="n">
        <f aca="false">-export!C38</f>
        <v>-0</v>
      </c>
      <c r="K40" s="2" t="n">
        <f aca="false">-charge!C38</f>
        <v>-0</v>
      </c>
      <c r="L40" s="2" t="n">
        <f aca="false">discharge!C38</f>
        <v>0</v>
      </c>
      <c r="M40" s="2" t="n">
        <f aca="false">soc!C38/investment!$E$2 *100</f>
        <v>0</v>
      </c>
      <c r="N40" s="4" t="n">
        <f aca="false">p_micro!C37</f>
        <v>0</v>
      </c>
    </row>
    <row r="41" customFormat="false" ht="13.8" hidden="false" customHeight="false" outlineLevel="0" collapsed="false">
      <c r="B41" s="10" t="n">
        <f aca="false">_xlfn.NUMBERVALUE(solar!B38)</f>
        <v>80</v>
      </c>
      <c r="C41" s="11" t="n">
        <f aca="false">solar!C38</f>
        <v>0</v>
      </c>
      <c r="D41" s="11" t="n">
        <v>13</v>
      </c>
      <c r="E41" s="5" t="n">
        <v>37</v>
      </c>
      <c r="F41" s="16" t="n">
        <f aca="false">IFERROR(INDEX($B$5:$C$173, MATCH($E41, $B$5:$B$175, 0), 2), 0)*investment!$C$2</f>
        <v>0</v>
      </c>
      <c r="G41" s="5" t="n">
        <f aca="false">demand!C39</f>
        <v>0</v>
      </c>
      <c r="H41" s="2" t="n">
        <f aca="false">solgen!C39</f>
        <v>0</v>
      </c>
      <c r="I41" s="2" t="n">
        <f aca="false">import!C39</f>
        <v>0</v>
      </c>
      <c r="J41" s="2" t="n">
        <f aca="false">-export!C39</f>
        <v>-0</v>
      </c>
      <c r="K41" s="2" t="n">
        <f aca="false">-charge!C39</f>
        <v>-0</v>
      </c>
      <c r="L41" s="2" t="n">
        <f aca="false">discharge!C39</f>
        <v>0</v>
      </c>
      <c r="M41" s="2" t="n">
        <f aca="false">soc!C39/investment!$E$2 *100</f>
        <v>13.6799656644303</v>
      </c>
      <c r="N41" s="4" t="n">
        <f aca="false">p_micro!C38</f>
        <v>0</v>
      </c>
    </row>
    <row r="42" customFormat="false" ht="13.8" hidden="false" customHeight="false" outlineLevel="0" collapsed="false">
      <c r="B42" s="10" t="n">
        <f aca="false">_xlfn.NUMBERVALUE(solar!B39)</f>
        <v>81</v>
      </c>
      <c r="C42" s="11" t="n">
        <f aca="false">solar!C39</f>
        <v>0</v>
      </c>
      <c r="D42" s="11" t="n">
        <v>14</v>
      </c>
      <c r="E42" s="5" t="n">
        <v>38</v>
      </c>
      <c r="F42" s="16" t="n">
        <f aca="false">IFERROR(INDEX($B$5:$C$173, MATCH($E42, $B$5:$B$175, 0), 2), 0)*investment!$C$2</f>
        <v>0</v>
      </c>
      <c r="G42" s="5" t="n">
        <f aca="false">demand!C40</f>
        <v>0</v>
      </c>
      <c r="H42" s="2" t="n">
        <f aca="false">solgen!C40</f>
        <v>0</v>
      </c>
      <c r="I42" s="2" t="n">
        <f aca="false">import!C40</f>
        <v>0</v>
      </c>
      <c r="J42" s="2" t="n">
        <f aca="false">-export!C40</f>
        <v>-0</v>
      </c>
      <c r="K42" s="2" t="n">
        <f aca="false">-charge!C40</f>
        <v>-0</v>
      </c>
      <c r="L42" s="2" t="n">
        <f aca="false">discharge!C40</f>
        <v>0</v>
      </c>
      <c r="M42" s="2" t="n">
        <f aca="false">soc!C40/investment!$E$2 *100</f>
        <v>41.7743065149336</v>
      </c>
      <c r="N42" s="4" t="n">
        <f aca="false">p_micro!C39</f>
        <v>0</v>
      </c>
    </row>
    <row r="43" customFormat="false" ht="13.8" hidden="false" customHeight="false" outlineLevel="0" collapsed="false">
      <c r="B43" s="10" t="n">
        <f aca="false">_xlfn.NUMBERVALUE(solar!B40)</f>
        <v>82</v>
      </c>
      <c r="C43" s="11" t="n">
        <f aca="false">solar!C40</f>
        <v>0</v>
      </c>
      <c r="D43" s="11" t="n">
        <v>15</v>
      </c>
      <c r="E43" s="5" t="n">
        <v>39</v>
      </c>
      <c r="F43" s="16" t="n">
        <f aca="false">IFERROR(INDEX($B$5:$C$173, MATCH($E43, $B$5:$B$175, 0), 2), 0)*investment!$C$2</f>
        <v>0</v>
      </c>
      <c r="G43" s="5" t="n">
        <f aca="false">demand!C41</f>
        <v>0</v>
      </c>
      <c r="H43" s="2" t="n">
        <f aca="false">solgen!C41</f>
        <v>0</v>
      </c>
      <c r="I43" s="2" t="n">
        <f aca="false">import!C41</f>
        <v>0</v>
      </c>
      <c r="J43" s="2" t="n">
        <f aca="false">-export!C41</f>
        <v>-0</v>
      </c>
      <c r="K43" s="2" t="n">
        <f aca="false">-charge!C41</f>
        <v>-0</v>
      </c>
      <c r="L43" s="2" t="n">
        <f aca="false">discharge!C41</f>
        <v>0</v>
      </c>
      <c r="M43" s="2" t="n">
        <f aca="false">soc!C41/investment!$E$2 *100</f>
        <v>64.1098838136406</v>
      </c>
      <c r="N43" s="4" t="n">
        <f aca="false">p_micro!C40</f>
        <v>0</v>
      </c>
    </row>
    <row r="44" customFormat="false" ht="13.8" hidden="false" customHeight="false" outlineLevel="0" collapsed="false">
      <c r="B44" s="10" t="n">
        <f aca="false">_xlfn.NUMBERVALUE(solar!B41)</f>
        <v>83</v>
      </c>
      <c r="C44" s="11" t="n">
        <f aca="false">solar!C41</f>
        <v>0</v>
      </c>
      <c r="D44" s="11" t="n">
        <v>16</v>
      </c>
      <c r="E44" s="5" t="n">
        <v>40</v>
      </c>
      <c r="F44" s="16" t="n">
        <f aca="false">IFERROR(INDEX($B$5:$C$173, MATCH($E44, $B$5:$B$175, 0), 2), 0)*investment!$C$2</f>
        <v>0</v>
      </c>
      <c r="G44" s="5" t="n">
        <f aca="false">demand!C42</f>
        <v>0</v>
      </c>
      <c r="H44" s="2" t="n">
        <f aca="false">solgen!C42</f>
        <v>0</v>
      </c>
      <c r="I44" s="2" t="n">
        <f aca="false">import!C42</f>
        <v>0</v>
      </c>
      <c r="J44" s="2" t="n">
        <f aca="false">-export!C42</f>
        <v>-0</v>
      </c>
      <c r="K44" s="2" t="n">
        <f aca="false">-charge!C42</f>
        <v>-0</v>
      </c>
      <c r="L44" s="2" t="n">
        <f aca="false">discharge!C42</f>
        <v>0</v>
      </c>
      <c r="M44" s="2" t="n">
        <f aca="false">soc!C42/investment!$E$2 *100</f>
        <v>76.1026033523669</v>
      </c>
      <c r="N44" s="4" t="n">
        <f aca="false">p_micro!C41</f>
        <v>0</v>
      </c>
    </row>
    <row r="45" customFormat="false" ht="13.8" hidden="false" customHeight="false" outlineLevel="0" collapsed="false">
      <c r="B45" s="10" t="n">
        <f aca="false">_xlfn.NUMBERVALUE(solar!B42)</f>
        <v>84</v>
      </c>
      <c r="C45" s="11" t="n">
        <f aca="false">solar!C42</f>
        <v>0</v>
      </c>
      <c r="D45" s="11" t="n">
        <v>17</v>
      </c>
      <c r="E45" s="5" t="n">
        <v>41</v>
      </c>
      <c r="F45" s="16" t="n">
        <f aca="false">IFERROR(INDEX($B$5:$C$173, MATCH($E45, $B$5:$B$175, 0), 2), 0)*investment!$C$2</f>
        <v>0</v>
      </c>
      <c r="G45" s="5" t="n">
        <f aca="false">demand!C43</f>
        <v>0</v>
      </c>
      <c r="H45" s="2" t="n">
        <f aca="false">solgen!C43</f>
        <v>0</v>
      </c>
      <c r="I45" s="2" t="n">
        <f aca="false">import!C43</f>
        <v>0</v>
      </c>
      <c r="J45" s="2" t="n">
        <f aca="false">-export!C43</f>
        <v>-0</v>
      </c>
      <c r="K45" s="2" t="n">
        <f aca="false">-charge!C43</f>
        <v>-0</v>
      </c>
      <c r="L45" s="2" t="n">
        <f aca="false">discharge!C43</f>
        <v>0</v>
      </c>
      <c r="M45" s="2" t="n">
        <f aca="false">soc!C43/investment!$E$2 *100</f>
        <v>82.2425594880569</v>
      </c>
      <c r="N45" s="4" t="n">
        <f aca="false">p_micro!C42</f>
        <v>0</v>
      </c>
    </row>
    <row r="46" customFormat="false" ht="13.8" hidden="false" customHeight="false" outlineLevel="0" collapsed="false">
      <c r="B46" s="10" t="n">
        <f aca="false">_xlfn.NUMBERVALUE(solar!B43)</f>
        <v>85</v>
      </c>
      <c r="C46" s="11" t="n">
        <f aca="false">solar!C43</f>
        <v>0</v>
      </c>
      <c r="D46" s="11" t="n">
        <v>18</v>
      </c>
      <c r="E46" s="5" t="n">
        <v>42</v>
      </c>
      <c r="F46" s="16" t="n">
        <f aca="false">IFERROR(INDEX($B$5:$C$173, MATCH($E46, $B$5:$B$175, 0), 2), 0)*investment!$C$2</f>
        <v>0</v>
      </c>
      <c r="G46" s="5" t="n">
        <f aca="false">demand!C44</f>
        <v>0</v>
      </c>
      <c r="H46" s="2" t="n">
        <f aca="false">solgen!C44</f>
        <v>0</v>
      </c>
      <c r="I46" s="2" t="n">
        <f aca="false">import!C44</f>
        <v>0</v>
      </c>
      <c r="J46" s="2" t="n">
        <f aca="false">-export!C44</f>
        <v>-0</v>
      </c>
      <c r="K46" s="2" t="n">
        <f aca="false">-charge!C44</f>
        <v>-0</v>
      </c>
      <c r="L46" s="2" t="n">
        <f aca="false">discharge!C44</f>
        <v>0</v>
      </c>
      <c r="M46" s="2" t="n">
        <f aca="false">soc!C44/investment!$E$2 *100</f>
        <v>79.1820020799221</v>
      </c>
      <c r="N46" s="4" t="n">
        <f aca="false">p_micro!C43</f>
        <v>0</v>
      </c>
    </row>
    <row r="47" customFormat="false" ht="13.8" hidden="false" customHeight="false" outlineLevel="0" collapsed="false">
      <c r="B47" s="10" t="n">
        <f aca="false">_xlfn.NUMBERVALUE(solar!B44)</f>
        <v>86</v>
      </c>
      <c r="C47" s="11" t="n">
        <f aca="false">solar!C44</f>
        <v>0</v>
      </c>
      <c r="D47" s="11" t="n">
        <v>19</v>
      </c>
      <c r="E47" s="5" t="n">
        <v>43</v>
      </c>
      <c r="F47" s="16" t="n">
        <f aca="false">IFERROR(INDEX($B$5:$C$173, MATCH($E47, $B$5:$B$175, 0), 2), 0)*investment!$C$2</f>
        <v>0</v>
      </c>
      <c r="G47" s="5" t="n">
        <f aca="false">demand!C45</f>
        <v>0</v>
      </c>
      <c r="H47" s="2" t="n">
        <f aca="false">solgen!C45</f>
        <v>0</v>
      </c>
      <c r="I47" s="2" t="n">
        <f aca="false">import!C45</f>
        <v>0</v>
      </c>
      <c r="J47" s="2" t="n">
        <f aca="false">-export!C45</f>
        <v>-0</v>
      </c>
      <c r="K47" s="2" t="n">
        <f aca="false">-charge!C45</f>
        <v>-0</v>
      </c>
      <c r="L47" s="2" t="n">
        <f aca="false">discharge!C45</f>
        <v>0</v>
      </c>
      <c r="M47" s="2" t="n">
        <f aca="false">soc!C45/investment!$E$2 *100</f>
        <v>72.0042424995445</v>
      </c>
      <c r="N47" s="4" t="n">
        <f aca="false">p_micro!C44</f>
        <v>0</v>
      </c>
    </row>
    <row r="48" customFormat="false" ht="13.8" hidden="false" customHeight="false" outlineLevel="0" collapsed="false">
      <c r="B48" s="10" t="n">
        <f aca="false">_xlfn.NUMBERVALUE(solar!B45)</f>
        <v>87</v>
      </c>
      <c r="C48" s="11" t="n">
        <f aca="false">solar!C45</f>
        <v>0</v>
      </c>
      <c r="D48" s="11" t="n">
        <v>20</v>
      </c>
      <c r="E48" s="5" t="n">
        <v>44</v>
      </c>
      <c r="F48" s="16" t="n">
        <f aca="false">IFERROR(INDEX($B$5:$C$173, MATCH($E48, $B$5:$B$175, 0), 2), 0)*investment!$C$2</f>
        <v>0</v>
      </c>
      <c r="G48" s="5" t="n">
        <f aca="false">demand!C46</f>
        <v>0</v>
      </c>
      <c r="H48" s="2" t="n">
        <f aca="false">solgen!C46</f>
        <v>0</v>
      </c>
      <c r="I48" s="2" t="n">
        <f aca="false">import!C46</f>
        <v>0</v>
      </c>
      <c r="J48" s="2" t="n">
        <f aca="false">-export!C46</f>
        <v>-0</v>
      </c>
      <c r="K48" s="2" t="n">
        <f aca="false">-charge!C46</f>
        <v>-0</v>
      </c>
      <c r="L48" s="2" t="n">
        <f aca="false">discharge!C46</f>
        <v>0</v>
      </c>
      <c r="M48" s="2" t="n">
        <f aca="false">soc!C46/investment!$E$2 *100</f>
        <v>62.3373777928421</v>
      </c>
      <c r="N48" s="4" t="n">
        <f aca="false">p_micro!C45</f>
        <v>0</v>
      </c>
    </row>
    <row r="49" customFormat="false" ht="13.8" hidden="false" customHeight="false" outlineLevel="0" collapsed="false">
      <c r="B49" s="10" t="n">
        <f aca="false">_xlfn.NUMBERVALUE(solar!B46)</f>
        <v>88</v>
      </c>
      <c r="C49" s="11" t="n">
        <f aca="false">solar!C46</f>
        <v>0</v>
      </c>
      <c r="D49" s="11" t="n">
        <v>21</v>
      </c>
      <c r="E49" s="5" t="n">
        <v>45</v>
      </c>
      <c r="F49" s="16" t="n">
        <f aca="false">IFERROR(INDEX($B$5:$C$173, MATCH($E49, $B$5:$B$175, 0), 2), 0)*investment!$C$2</f>
        <v>0</v>
      </c>
      <c r="G49" s="5" t="n">
        <f aca="false">demand!C47</f>
        <v>0</v>
      </c>
      <c r="H49" s="2" t="n">
        <f aca="false">solgen!C47</f>
        <v>0</v>
      </c>
      <c r="I49" s="2" t="n">
        <f aca="false">import!C47</f>
        <v>0</v>
      </c>
      <c r="J49" s="2" t="n">
        <f aca="false">-export!C47</f>
        <v>-0</v>
      </c>
      <c r="K49" s="2" t="n">
        <f aca="false">-charge!C47</f>
        <v>-0</v>
      </c>
      <c r="L49" s="2" t="n">
        <f aca="false">discharge!C47</f>
        <v>0</v>
      </c>
      <c r="M49" s="2" t="n">
        <f aca="false">soc!C47/investment!$E$2 *100</f>
        <v>52.0238808533754</v>
      </c>
      <c r="N49" s="4" t="n">
        <f aca="false">p_micro!C46</f>
        <v>0</v>
      </c>
    </row>
    <row r="50" customFormat="false" ht="13.8" hidden="false" customHeight="false" outlineLevel="0" collapsed="false">
      <c r="B50" s="10" t="n">
        <f aca="false">_xlfn.NUMBERVALUE(solar!B47)</f>
        <v>89</v>
      </c>
      <c r="C50" s="11" t="n">
        <f aca="false">solar!C47</f>
        <v>0</v>
      </c>
      <c r="D50" s="11" t="n">
        <v>22</v>
      </c>
      <c r="E50" s="5" t="n">
        <v>46</v>
      </c>
      <c r="F50" s="16" t="n">
        <f aca="false">IFERROR(INDEX($B$5:$C$173, MATCH($E50, $B$5:$B$175, 0), 2), 0)*investment!$C$2</f>
        <v>0</v>
      </c>
      <c r="G50" s="5" t="n">
        <f aca="false">demand!C48</f>
        <v>0</v>
      </c>
      <c r="H50" s="2" t="n">
        <f aca="false">solgen!C48</f>
        <v>0</v>
      </c>
      <c r="I50" s="2" t="n">
        <f aca="false">import!C48</f>
        <v>0</v>
      </c>
      <c r="J50" s="2" t="n">
        <f aca="false">-export!C48</f>
        <v>-0</v>
      </c>
      <c r="K50" s="2" t="n">
        <f aca="false">-charge!C48</f>
        <v>-0</v>
      </c>
      <c r="L50" s="2" t="n">
        <f aca="false">discharge!C48</f>
        <v>0</v>
      </c>
      <c r="M50" s="2" t="n">
        <f aca="false">soc!C48/investment!$E$2 *100</f>
        <v>45.0167010907301</v>
      </c>
      <c r="N50" s="4" t="n">
        <f aca="false">p_micro!C47</f>
        <v>0</v>
      </c>
    </row>
    <row r="51" customFormat="false" ht="13.8" hidden="false" customHeight="false" outlineLevel="0" collapsed="false">
      <c r="B51" s="10" t="n">
        <f aca="false">_xlfn.NUMBERVALUE(solar!B48)</f>
        <v>90</v>
      </c>
      <c r="C51" s="11" t="n">
        <f aca="false">solar!C48</f>
        <v>0</v>
      </c>
      <c r="D51" s="11" t="n">
        <v>23</v>
      </c>
      <c r="E51" s="5" t="n">
        <v>47</v>
      </c>
      <c r="F51" s="16" t="n">
        <f aca="false">IFERROR(INDEX($B$5:$C$173, MATCH($E51, $B$5:$B$175, 0), 2), 0)*investment!$C$2</f>
        <v>0</v>
      </c>
      <c r="G51" s="5" t="n">
        <f aca="false">demand!C49</f>
        <v>0</v>
      </c>
      <c r="H51" s="2" t="n">
        <f aca="false">solgen!C49</f>
        <v>0</v>
      </c>
      <c r="I51" s="2" t="n">
        <f aca="false">import!C49</f>
        <v>0</v>
      </c>
      <c r="J51" s="2" t="n">
        <f aca="false">-export!C49</f>
        <v>-0</v>
      </c>
      <c r="K51" s="2" t="n">
        <f aca="false">-charge!C49</f>
        <v>-0</v>
      </c>
      <c r="L51" s="2" t="n">
        <f aca="false">discharge!C49</f>
        <v>0</v>
      </c>
      <c r="M51" s="2" t="n">
        <f aca="false">soc!C49/investment!$E$2 *100</f>
        <v>36.2445595591277</v>
      </c>
      <c r="N51" s="4" t="n">
        <f aca="false">p_micro!C48</f>
        <v>0</v>
      </c>
    </row>
    <row r="52" customFormat="false" ht="13.8" hidden="false" customHeight="false" outlineLevel="0" collapsed="false">
      <c r="B52" s="10" t="n">
        <f aca="false">_xlfn.NUMBERVALUE(solar!B49)</f>
        <v>91</v>
      </c>
      <c r="C52" s="11" t="n">
        <f aca="false">solar!C49</f>
        <v>0</v>
      </c>
      <c r="D52" s="11" t="n">
        <v>24</v>
      </c>
      <c r="E52" s="5" t="n">
        <v>48</v>
      </c>
      <c r="F52" s="16" t="n">
        <f aca="false">IFERROR(INDEX($B$5:$C$173, MATCH($E52, $B$5:$B$175, 0), 2), 0)*investment!$C$2</f>
        <v>0</v>
      </c>
      <c r="G52" s="5" t="n">
        <f aca="false">demand!C50</f>
        <v>0</v>
      </c>
      <c r="H52" s="2" t="n">
        <f aca="false">solgen!C50</f>
        <v>0</v>
      </c>
      <c r="I52" s="2" t="n">
        <f aca="false">import!C50</f>
        <v>0</v>
      </c>
      <c r="J52" s="2" t="n">
        <f aca="false">-export!C50</f>
        <v>-0</v>
      </c>
      <c r="K52" s="2" t="n">
        <f aca="false">-charge!C50</f>
        <v>-0</v>
      </c>
      <c r="L52" s="2" t="n">
        <f aca="false">discharge!C50</f>
        <v>0</v>
      </c>
      <c r="M52" s="2" t="n">
        <f aca="false">soc!C50/investment!$E$2 *100</f>
        <v>31.0948904701699</v>
      </c>
      <c r="N52" s="4" t="n">
        <f aca="false">p_micro!C49</f>
        <v>0</v>
      </c>
    </row>
    <row r="53" customFormat="false" ht="13.8" hidden="false" customHeight="false" outlineLevel="0" collapsed="false">
      <c r="B53" s="10" t="n">
        <f aca="false">_xlfn.NUMBERVALUE(solar!B50)</f>
        <v>104</v>
      </c>
      <c r="C53" s="11" t="n">
        <f aca="false">solar!C50</f>
        <v>0</v>
      </c>
      <c r="D53" s="11" t="n">
        <v>1</v>
      </c>
      <c r="E53" s="5" t="n">
        <v>49</v>
      </c>
      <c r="F53" s="16" t="n">
        <f aca="false">IFERROR(INDEX($B$5:$C$173, MATCH($E53, $B$5:$B$175, 0), 2), 0)*investment!$C$2</f>
        <v>0</v>
      </c>
      <c r="G53" s="5" t="n">
        <f aca="false">demand!C51</f>
        <v>0</v>
      </c>
      <c r="H53" s="2" t="n">
        <f aca="false">solgen!C51</f>
        <v>0</v>
      </c>
      <c r="I53" s="2" t="n">
        <f aca="false">import!C51</f>
        <v>0</v>
      </c>
      <c r="J53" s="2" t="n">
        <f aca="false">-export!C51</f>
        <v>-0</v>
      </c>
      <c r="K53" s="2" t="n">
        <f aca="false">-charge!C51</f>
        <v>-0</v>
      </c>
      <c r="L53" s="2" t="n">
        <f aca="false">discharge!C51</f>
        <v>0</v>
      </c>
      <c r="M53" s="2" t="n">
        <f aca="false">soc!C51/investment!$E$2 *100</f>
        <v>27.4995344588268</v>
      </c>
      <c r="N53" s="4" t="n">
        <f aca="false">p_micro!C50</f>
        <v>0</v>
      </c>
    </row>
    <row r="54" customFormat="false" ht="13.8" hidden="false" customHeight="false" outlineLevel="0" collapsed="false">
      <c r="B54" s="10" t="n">
        <f aca="false">_xlfn.NUMBERVALUE(solar!B51)</f>
        <v>105</v>
      </c>
      <c r="C54" s="11" t="n">
        <f aca="false">solar!C51</f>
        <v>0</v>
      </c>
      <c r="D54" s="11" t="n">
        <v>2</v>
      </c>
      <c r="E54" s="5" t="n">
        <v>50</v>
      </c>
      <c r="F54" s="16" t="n">
        <f aca="false">IFERROR(INDEX($B$5:$C$173, MATCH($E54, $B$5:$B$175, 0), 2), 0)*investment!$C$2</f>
        <v>0</v>
      </c>
      <c r="G54" s="5" t="n">
        <f aca="false">demand!C52</f>
        <v>0</v>
      </c>
      <c r="H54" s="2" t="n">
        <f aca="false">solgen!C52</f>
        <v>0</v>
      </c>
      <c r="I54" s="2" t="n">
        <f aca="false">import!C52</f>
        <v>0</v>
      </c>
      <c r="J54" s="2" t="n">
        <f aca="false">-export!C52</f>
        <v>-0</v>
      </c>
      <c r="K54" s="2" t="n">
        <f aca="false">-charge!C52</f>
        <v>-0</v>
      </c>
      <c r="L54" s="2" t="n">
        <f aca="false">discharge!C52</f>
        <v>0</v>
      </c>
      <c r="M54" s="2" t="n">
        <f aca="false">soc!C52/investment!$E$2 *100</f>
        <v>23.3656470466374</v>
      </c>
      <c r="N54" s="4" t="n">
        <f aca="false">p_micro!C51</f>
        <v>0</v>
      </c>
    </row>
    <row r="55" customFormat="false" ht="13.8" hidden="false" customHeight="false" outlineLevel="0" collapsed="false">
      <c r="B55" s="10" t="n">
        <f aca="false">_xlfn.NUMBERVALUE(solar!B52)</f>
        <v>106</v>
      </c>
      <c r="C55" s="11" t="n">
        <f aca="false">solar!C52</f>
        <v>0</v>
      </c>
      <c r="D55" s="11" t="n">
        <v>3</v>
      </c>
      <c r="E55" s="5" t="n">
        <v>51</v>
      </c>
      <c r="F55" s="16" t="n">
        <f aca="false">IFERROR(INDEX($B$5:$C$173, MATCH($E55, $B$5:$B$175, 0), 2), 0)*investment!$C$2</f>
        <v>0</v>
      </c>
      <c r="G55" s="5" t="n">
        <f aca="false">demand!C53</f>
        <v>0</v>
      </c>
      <c r="H55" s="2" t="n">
        <f aca="false">solgen!C53</f>
        <v>0</v>
      </c>
      <c r="I55" s="2" t="n">
        <f aca="false">import!C53</f>
        <v>0</v>
      </c>
      <c r="J55" s="2" t="n">
        <f aca="false">-export!C53</f>
        <v>-0</v>
      </c>
      <c r="K55" s="2" t="n">
        <f aca="false">-charge!C53</f>
        <v>-0</v>
      </c>
      <c r="L55" s="2" t="n">
        <f aca="false">discharge!C53</f>
        <v>0</v>
      </c>
      <c r="M55" s="2" t="n">
        <f aca="false">soc!C53/investment!$E$2 *100</f>
        <v>18.5415159607929</v>
      </c>
      <c r="N55" s="4" t="n">
        <f aca="false">p_micro!C52</f>
        <v>0</v>
      </c>
    </row>
    <row r="56" customFormat="false" ht="13.8" hidden="false" customHeight="false" outlineLevel="0" collapsed="false">
      <c r="B56" s="10" t="n">
        <f aca="false">_xlfn.NUMBERVALUE(solar!B53)</f>
        <v>107</v>
      </c>
      <c r="C56" s="11" t="n">
        <f aca="false">solar!C53</f>
        <v>0</v>
      </c>
      <c r="D56" s="11" t="n">
        <v>4</v>
      </c>
      <c r="E56" s="5" t="n">
        <v>52</v>
      </c>
      <c r="F56" s="16" t="n">
        <f aca="false">IFERROR(INDEX($B$5:$C$173, MATCH($E56, $B$5:$B$175, 0), 2), 0)*investment!$C$2</f>
        <v>0</v>
      </c>
      <c r="G56" s="5" t="n">
        <f aca="false">demand!C54</f>
        <v>0</v>
      </c>
      <c r="H56" s="2" t="n">
        <f aca="false">solgen!C54</f>
        <v>0</v>
      </c>
      <c r="I56" s="2" t="n">
        <f aca="false">import!C54</f>
        <v>0</v>
      </c>
      <c r="J56" s="2" t="n">
        <f aca="false">-export!C54</f>
        <v>-0</v>
      </c>
      <c r="K56" s="2" t="n">
        <f aca="false">-charge!C54</f>
        <v>-0</v>
      </c>
      <c r="L56" s="2" t="n">
        <f aca="false">discharge!C54</f>
        <v>0</v>
      </c>
      <c r="M56" s="2" t="n">
        <f aca="false">soc!C54/investment!$E$2 *100</f>
        <v>13.6126649679193</v>
      </c>
      <c r="N56" s="4" t="n">
        <f aca="false">p_micro!C53</f>
        <v>0</v>
      </c>
    </row>
    <row r="57" customFormat="false" ht="13.8" hidden="false" customHeight="false" outlineLevel="0" collapsed="false">
      <c r="B57" s="10" t="n">
        <f aca="false">_xlfn.NUMBERVALUE(solar!B54)</f>
        <v>108</v>
      </c>
      <c r="C57" s="11" t="n">
        <f aca="false">solar!C54</f>
        <v>0</v>
      </c>
      <c r="D57" s="11" t="n">
        <v>5</v>
      </c>
      <c r="E57" s="5" t="n">
        <v>53</v>
      </c>
      <c r="F57" s="16" t="n">
        <f aca="false">IFERROR(INDEX($B$5:$C$173, MATCH($E57, $B$5:$B$175, 0), 2), 0)*investment!$C$2</f>
        <v>0</v>
      </c>
      <c r="G57" s="5" t="n">
        <f aca="false">demand!C55</f>
        <v>0</v>
      </c>
      <c r="H57" s="2" t="n">
        <f aca="false">solgen!C55</f>
        <v>0</v>
      </c>
      <c r="I57" s="2" t="n">
        <f aca="false">import!C55</f>
        <v>0</v>
      </c>
      <c r="J57" s="2" t="n">
        <f aca="false">-export!C55</f>
        <v>-0</v>
      </c>
      <c r="K57" s="2" t="n">
        <f aca="false">-charge!C55</f>
        <v>-0</v>
      </c>
      <c r="L57" s="2" t="n">
        <f aca="false">discharge!C55</f>
        <v>0</v>
      </c>
      <c r="M57" s="2" t="n">
        <f aca="false">soc!C55/investment!$E$2 *100</f>
        <v>9.00178685414368</v>
      </c>
      <c r="N57" s="4" t="n">
        <f aca="false">p_micro!C54</f>
        <v>0</v>
      </c>
    </row>
    <row r="58" customFormat="false" ht="13.8" hidden="false" customHeight="false" outlineLevel="0" collapsed="false">
      <c r="B58" s="10" t="n">
        <f aca="false">_xlfn.NUMBERVALUE(solar!B55)</f>
        <v>109</v>
      </c>
      <c r="C58" s="11" t="n">
        <f aca="false">solar!C55</f>
        <v>0</v>
      </c>
      <c r="D58" s="11" t="n">
        <v>6</v>
      </c>
      <c r="E58" s="5" t="n">
        <v>54</v>
      </c>
      <c r="F58" s="16" t="n">
        <f aca="false">IFERROR(INDEX($B$5:$C$173, MATCH($E58, $B$5:$B$175, 0), 2), 0)*investment!$C$2</f>
        <v>0</v>
      </c>
      <c r="G58" s="5" t="n">
        <f aca="false">demand!C56</f>
        <v>0</v>
      </c>
      <c r="H58" s="2" t="n">
        <f aca="false">solgen!C56</f>
        <v>0</v>
      </c>
      <c r="I58" s="2" t="n">
        <f aca="false">import!C56</f>
        <v>0</v>
      </c>
      <c r="J58" s="2" t="n">
        <f aca="false">-export!C56</f>
        <v>-0</v>
      </c>
      <c r="K58" s="2" t="n">
        <f aca="false">-charge!C56</f>
        <v>-0</v>
      </c>
      <c r="L58" s="2" t="n">
        <f aca="false">discharge!C56</f>
        <v>0</v>
      </c>
      <c r="M58" s="2" t="n">
        <f aca="false">soc!C56/investment!$E$2 *100</f>
        <v>2.28717148563358</v>
      </c>
      <c r="N58" s="4" t="n">
        <f aca="false">p_micro!C55</f>
        <v>0</v>
      </c>
    </row>
    <row r="59" customFormat="false" ht="13.8" hidden="false" customHeight="false" outlineLevel="0" collapsed="false">
      <c r="B59" s="10" t="n">
        <f aca="false">_xlfn.NUMBERVALUE(solar!B56)</f>
        <v>110</v>
      </c>
      <c r="C59" s="11" t="n">
        <f aca="false">solar!C56</f>
        <v>0</v>
      </c>
      <c r="D59" s="11" t="n">
        <v>7</v>
      </c>
      <c r="E59" s="5" t="n">
        <v>55</v>
      </c>
      <c r="F59" s="16" t="n">
        <f aca="false">IFERROR(INDEX($B$5:$C$173, MATCH($E59, $B$5:$B$175, 0), 2), 0)*investment!$C$2</f>
        <v>0</v>
      </c>
      <c r="G59" s="5" t="n">
        <f aca="false">demand!C57</f>
        <v>0</v>
      </c>
      <c r="H59" s="2" t="n">
        <f aca="false">solgen!C57</f>
        <v>0</v>
      </c>
      <c r="I59" s="2" t="n">
        <f aca="false">import!C57</f>
        <v>0</v>
      </c>
      <c r="J59" s="2" t="n">
        <f aca="false">-export!C57</f>
        <v>-0</v>
      </c>
      <c r="K59" s="2" t="n">
        <f aca="false">-charge!C57</f>
        <v>-0</v>
      </c>
      <c r="L59" s="2" t="n">
        <f aca="false">discharge!C57</f>
        <v>0</v>
      </c>
      <c r="M59" s="2" t="n">
        <f aca="false">soc!C57/investment!$E$2 *100</f>
        <v>0</v>
      </c>
      <c r="N59" s="4" t="n">
        <f aca="false">p_micro!C56</f>
        <v>0</v>
      </c>
    </row>
    <row r="60" customFormat="false" ht="13.8" hidden="false" customHeight="false" outlineLevel="0" collapsed="false">
      <c r="B60" s="10" t="n">
        <f aca="false">_xlfn.NUMBERVALUE(solar!B57)</f>
        <v>111</v>
      </c>
      <c r="C60" s="11" t="n">
        <f aca="false">solar!C57</f>
        <v>0</v>
      </c>
      <c r="D60" s="11" t="n">
        <v>8</v>
      </c>
      <c r="E60" s="5" t="n">
        <v>56</v>
      </c>
      <c r="F60" s="16" t="n">
        <f aca="false">IFERROR(INDEX($B$5:$C$173, MATCH($E60, $B$5:$B$175, 0), 2), 0)*investment!$C$2</f>
        <v>0</v>
      </c>
      <c r="G60" s="5" t="n">
        <f aca="false">demand!C58</f>
        <v>0</v>
      </c>
      <c r="H60" s="2" t="n">
        <f aca="false">solgen!C58</f>
        <v>0</v>
      </c>
      <c r="I60" s="2" t="n">
        <f aca="false">import!C58</f>
        <v>0</v>
      </c>
      <c r="J60" s="2" t="n">
        <f aca="false">-export!C58</f>
        <v>-0</v>
      </c>
      <c r="K60" s="2" t="n">
        <f aca="false">-charge!C58</f>
        <v>-0</v>
      </c>
      <c r="L60" s="2" t="n">
        <f aca="false">discharge!C58</f>
        <v>0</v>
      </c>
      <c r="M60" s="2" t="n">
        <f aca="false">soc!C58/investment!$E$2 *100</f>
        <v>0</v>
      </c>
      <c r="N60" s="4" t="n">
        <f aca="false">p_micro!C57</f>
        <v>0</v>
      </c>
    </row>
    <row r="61" customFormat="false" ht="13.8" hidden="false" customHeight="false" outlineLevel="0" collapsed="false">
      <c r="B61" s="10" t="n">
        <f aca="false">_xlfn.NUMBERVALUE(solar!B58)</f>
        <v>112</v>
      </c>
      <c r="C61" s="11" t="n">
        <f aca="false">solar!C58</f>
        <v>0</v>
      </c>
      <c r="D61" s="11" t="n">
        <v>9</v>
      </c>
      <c r="E61" s="5" t="n">
        <v>57</v>
      </c>
      <c r="F61" s="16" t="n">
        <f aca="false">IFERROR(INDEX($B$5:$C$173, MATCH($E61, $B$5:$B$175, 0), 2), 0)*investment!$C$2</f>
        <v>0</v>
      </c>
      <c r="G61" s="5" t="n">
        <f aca="false">demand!C59</f>
        <v>0</v>
      </c>
      <c r="H61" s="2" t="n">
        <f aca="false">solgen!C59</f>
        <v>0</v>
      </c>
      <c r="I61" s="2" t="n">
        <f aca="false">import!C59</f>
        <v>0</v>
      </c>
      <c r="J61" s="2" t="n">
        <f aca="false">-export!C59</f>
        <v>-0</v>
      </c>
      <c r="K61" s="2" t="n">
        <f aca="false">-charge!C59</f>
        <v>-0</v>
      </c>
      <c r="L61" s="2" t="n">
        <f aca="false">discharge!C59</f>
        <v>0</v>
      </c>
      <c r="M61" s="2" t="n">
        <f aca="false">soc!C59/investment!$E$2 *100</f>
        <v>0</v>
      </c>
      <c r="N61" s="4" t="n">
        <f aca="false">p_micro!C58</f>
        <v>0</v>
      </c>
    </row>
    <row r="62" customFormat="false" ht="13.8" hidden="false" customHeight="false" outlineLevel="0" collapsed="false">
      <c r="B62" s="10" t="n">
        <f aca="false">_xlfn.NUMBERVALUE(solar!B59)</f>
        <v>113</v>
      </c>
      <c r="C62" s="11" t="n">
        <f aca="false">solar!C59</f>
        <v>0</v>
      </c>
      <c r="D62" s="11" t="n">
        <v>10</v>
      </c>
      <c r="E62" s="5" t="n">
        <v>58</v>
      </c>
      <c r="F62" s="16" t="n">
        <f aca="false">IFERROR(INDEX($B$5:$C$173, MATCH($E62, $B$5:$B$175, 0), 2), 0)*investment!$C$2</f>
        <v>0</v>
      </c>
      <c r="G62" s="5" t="n">
        <f aca="false">demand!C60</f>
        <v>0</v>
      </c>
      <c r="H62" s="2" t="n">
        <f aca="false">solgen!C60</f>
        <v>0</v>
      </c>
      <c r="I62" s="2" t="n">
        <f aca="false">import!C60</f>
        <v>0</v>
      </c>
      <c r="J62" s="2" t="n">
        <f aca="false">-export!C60</f>
        <v>-0</v>
      </c>
      <c r="K62" s="2" t="n">
        <f aca="false">-charge!C60</f>
        <v>-0</v>
      </c>
      <c r="L62" s="2" t="n">
        <f aca="false">discharge!C60</f>
        <v>0</v>
      </c>
      <c r="M62" s="2" t="n">
        <f aca="false">soc!C60/investment!$E$2 *100</f>
        <v>0</v>
      </c>
      <c r="N62" s="4" t="n">
        <f aca="false">p_micro!C59</f>
        <v>0</v>
      </c>
    </row>
    <row r="63" customFormat="false" ht="13.8" hidden="false" customHeight="false" outlineLevel="0" collapsed="false">
      <c r="B63" s="10" t="n">
        <f aca="false">_xlfn.NUMBERVALUE(solar!B60)</f>
        <v>114</v>
      </c>
      <c r="C63" s="11" t="n">
        <f aca="false">solar!C60</f>
        <v>0</v>
      </c>
      <c r="D63" s="11" t="n">
        <v>11</v>
      </c>
      <c r="E63" s="5" t="n">
        <v>59</v>
      </c>
      <c r="F63" s="16" t="n">
        <f aca="false">IFERROR(INDEX($B$5:$C$173, MATCH($E63, $B$5:$B$175, 0), 2), 0)*investment!$C$2</f>
        <v>0</v>
      </c>
      <c r="G63" s="5" t="n">
        <f aca="false">demand!C61</f>
        <v>0</v>
      </c>
      <c r="H63" s="2" t="n">
        <f aca="false">solgen!C61</f>
        <v>0</v>
      </c>
      <c r="I63" s="2" t="n">
        <f aca="false">import!C61</f>
        <v>0</v>
      </c>
      <c r="J63" s="2" t="n">
        <f aca="false">-export!C61</f>
        <v>-0</v>
      </c>
      <c r="K63" s="2" t="n">
        <f aca="false">-charge!C61</f>
        <v>-0</v>
      </c>
      <c r="L63" s="2" t="n">
        <f aca="false">discharge!C61</f>
        <v>0</v>
      </c>
      <c r="M63" s="2" t="n">
        <f aca="false">soc!C61/investment!$E$2 *100</f>
        <v>0</v>
      </c>
      <c r="N63" s="4" t="n">
        <f aca="false">p_micro!C60</f>
        <v>0</v>
      </c>
    </row>
    <row r="64" customFormat="false" ht="13.8" hidden="false" customHeight="false" outlineLevel="0" collapsed="false">
      <c r="B64" s="10" t="n">
        <f aca="false">_xlfn.NUMBERVALUE(solar!B61)</f>
        <v>115</v>
      </c>
      <c r="C64" s="11" t="n">
        <f aca="false">solar!C61</f>
        <v>0</v>
      </c>
      <c r="D64" s="11" t="n">
        <v>12</v>
      </c>
      <c r="E64" s="5" t="n">
        <v>60</v>
      </c>
      <c r="F64" s="16" t="n">
        <f aca="false">IFERROR(INDEX($B$5:$C$173, MATCH($E64, $B$5:$B$175, 0), 2), 0)*investment!$C$2</f>
        <v>0</v>
      </c>
      <c r="G64" s="5" t="n">
        <f aca="false">demand!C62</f>
        <v>0</v>
      </c>
      <c r="H64" s="2" t="n">
        <f aca="false">solgen!C62</f>
        <v>0</v>
      </c>
      <c r="I64" s="2" t="n">
        <f aca="false">import!C62</f>
        <v>0</v>
      </c>
      <c r="J64" s="2" t="n">
        <f aca="false">-export!C62</f>
        <v>-0</v>
      </c>
      <c r="K64" s="2" t="n">
        <f aca="false">-charge!C62</f>
        <v>-0</v>
      </c>
      <c r="L64" s="2" t="n">
        <f aca="false">discharge!C62</f>
        <v>0</v>
      </c>
      <c r="M64" s="2" t="n">
        <f aca="false">soc!C62/investment!$E$2 *100</f>
        <v>0</v>
      </c>
      <c r="N64" s="4" t="n">
        <f aca="false">p_micro!C61</f>
        <v>0</v>
      </c>
    </row>
    <row r="65" customFormat="false" ht="13.8" hidden="false" customHeight="false" outlineLevel="0" collapsed="false">
      <c r="B65" s="10" t="n">
        <f aca="false">_xlfn.NUMBERVALUE(solar!B62)</f>
        <v>128</v>
      </c>
      <c r="C65" s="11" t="n">
        <f aca="false">solar!C62</f>
        <v>0</v>
      </c>
      <c r="D65" s="11" t="n">
        <v>13</v>
      </c>
      <c r="E65" s="5" t="n">
        <v>61</v>
      </c>
      <c r="F65" s="16" t="n">
        <f aca="false">IFERROR(INDEX($B$5:$C$173, MATCH($E65, $B$5:$B$175, 0), 2), 0)*investment!$C$2</f>
        <v>0</v>
      </c>
      <c r="G65" s="5" t="n">
        <f aca="false">demand!C63</f>
        <v>0</v>
      </c>
      <c r="H65" s="2" t="n">
        <f aca="false">solgen!C63</f>
        <v>0</v>
      </c>
      <c r="I65" s="2" t="n">
        <f aca="false">import!C63</f>
        <v>0</v>
      </c>
      <c r="J65" s="2" t="n">
        <f aca="false">-export!C63</f>
        <v>-0</v>
      </c>
      <c r="K65" s="2" t="n">
        <f aca="false">-charge!C63</f>
        <v>-0</v>
      </c>
      <c r="L65" s="2" t="n">
        <f aca="false">discharge!C63</f>
        <v>0</v>
      </c>
      <c r="M65" s="2" t="n">
        <f aca="false">soc!C63/investment!$E$2 *100</f>
        <v>28.3030042714546</v>
      </c>
      <c r="N65" s="4" t="n">
        <f aca="false">p_micro!C62</f>
        <v>0</v>
      </c>
    </row>
    <row r="66" customFormat="false" ht="13.8" hidden="false" customHeight="false" outlineLevel="0" collapsed="false">
      <c r="B66" s="10" t="n">
        <f aca="false">_xlfn.NUMBERVALUE(solar!B63)</f>
        <v>129</v>
      </c>
      <c r="C66" s="11" t="n">
        <f aca="false">solar!C63</f>
        <v>0</v>
      </c>
      <c r="D66" s="11" t="n">
        <v>14</v>
      </c>
      <c r="E66" s="5" t="n">
        <v>62</v>
      </c>
      <c r="F66" s="16" t="n">
        <f aca="false">IFERROR(INDEX($B$5:$C$173, MATCH($E66, $B$5:$B$175, 0), 2), 0)*investment!$C$2</f>
        <v>0</v>
      </c>
      <c r="G66" s="5" t="n">
        <f aca="false">demand!C64</f>
        <v>0</v>
      </c>
      <c r="H66" s="2" t="n">
        <f aca="false">solgen!C64</f>
        <v>0</v>
      </c>
      <c r="I66" s="2" t="n">
        <f aca="false">import!C64</f>
        <v>0</v>
      </c>
      <c r="J66" s="2" t="n">
        <f aca="false">-export!C64</f>
        <v>-0</v>
      </c>
      <c r="K66" s="2" t="n">
        <f aca="false">-charge!C64</f>
        <v>-0</v>
      </c>
      <c r="L66" s="2" t="n">
        <f aca="false">discharge!C64</f>
        <v>0</v>
      </c>
      <c r="M66" s="2" t="n">
        <f aca="false">soc!C64/investment!$E$2 *100</f>
        <v>57.2904317234998</v>
      </c>
      <c r="N66" s="4" t="n">
        <f aca="false">p_micro!C63</f>
        <v>0</v>
      </c>
    </row>
    <row r="67" customFormat="false" ht="13.8" hidden="false" customHeight="false" outlineLevel="0" collapsed="false">
      <c r="B67" s="10" t="n">
        <f aca="false">_xlfn.NUMBERVALUE(solar!B64)</f>
        <v>130</v>
      </c>
      <c r="C67" s="11" t="n">
        <f aca="false">solar!C64</f>
        <v>0</v>
      </c>
      <c r="D67" s="11" t="n">
        <v>15</v>
      </c>
      <c r="E67" s="5" t="n">
        <v>63</v>
      </c>
      <c r="F67" s="16" t="n">
        <f aca="false">IFERROR(INDEX($B$5:$C$173, MATCH($E67, $B$5:$B$175, 0), 2), 0)*investment!$C$2</f>
        <v>0</v>
      </c>
      <c r="G67" s="5" t="n">
        <f aca="false">demand!C65</f>
        <v>0</v>
      </c>
      <c r="H67" s="2" t="n">
        <f aca="false">solgen!C65</f>
        <v>0</v>
      </c>
      <c r="I67" s="2" t="n">
        <f aca="false">import!C65</f>
        <v>0</v>
      </c>
      <c r="J67" s="2" t="n">
        <f aca="false">-export!C65</f>
        <v>-0</v>
      </c>
      <c r="K67" s="2" t="n">
        <f aca="false">-charge!C65</f>
        <v>-0</v>
      </c>
      <c r="L67" s="2" t="n">
        <f aca="false">discharge!C65</f>
        <v>0</v>
      </c>
      <c r="M67" s="2" t="n">
        <f aca="false">soc!C65/investment!$E$2 *100</f>
        <v>80.716018721418</v>
      </c>
      <c r="N67" s="4" t="n">
        <f aca="false">p_micro!C64</f>
        <v>0</v>
      </c>
    </row>
    <row r="68" customFormat="false" ht="13.8" hidden="false" customHeight="false" outlineLevel="0" collapsed="false">
      <c r="B68" s="10" t="n">
        <f aca="false">_xlfn.NUMBERVALUE(solar!B65)</f>
        <v>131</v>
      </c>
      <c r="C68" s="11" t="n">
        <f aca="false">solar!C65</f>
        <v>0</v>
      </c>
      <c r="D68" s="11" t="n">
        <v>16</v>
      </c>
      <c r="E68" s="5" t="n">
        <v>64</v>
      </c>
      <c r="F68" s="16" t="n">
        <f aca="false">IFERROR(INDEX($B$5:$C$173, MATCH($E68, $B$5:$B$175, 0), 2), 0)*investment!$C$2</f>
        <v>0</v>
      </c>
      <c r="G68" s="5" t="n">
        <f aca="false">demand!C66</f>
        <v>0</v>
      </c>
      <c r="H68" s="2" t="n">
        <f aca="false">solgen!C66</f>
        <v>0</v>
      </c>
      <c r="I68" s="2" t="n">
        <f aca="false">import!C66</f>
        <v>0</v>
      </c>
      <c r="J68" s="2" t="n">
        <f aca="false">-export!C66</f>
        <v>-0</v>
      </c>
      <c r="K68" s="2" t="n">
        <f aca="false">-charge!C66</f>
        <v>-0</v>
      </c>
      <c r="L68" s="2" t="n">
        <f aca="false">discharge!C66</f>
        <v>0</v>
      </c>
      <c r="M68" s="2" t="n">
        <f aca="false">soc!C66/investment!$E$2 *100</f>
        <v>92.0301475885298</v>
      </c>
      <c r="N68" s="4" t="n">
        <f aca="false">p_micro!C65</f>
        <v>0</v>
      </c>
    </row>
    <row r="69" customFormat="false" ht="13.8" hidden="false" customHeight="false" outlineLevel="0" collapsed="false">
      <c r="B69" s="10" t="n">
        <f aca="false">_xlfn.NUMBERVALUE(solar!B66)</f>
        <v>132</v>
      </c>
      <c r="C69" s="11" t="n">
        <f aca="false">solar!C66</f>
        <v>0</v>
      </c>
      <c r="D69" s="11" t="n">
        <v>17</v>
      </c>
      <c r="E69" s="5" t="n">
        <v>65</v>
      </c>
      <c r="F69" s="16" t="n">
        <f aca="false">IFERROR(INDEX($B$5:$C$173, MATCH($E69, $B$5:$B$175, 0), 2), 0)*investment!$C$2</f>
        <v>0</v>
      </c>
      <c r="G69" s="5" t="n">
        <f aca="false">demand!C67</f>
        <v>0</v>
      </c>
      <c r="H69" s="2" t="n">
        <f aca="false">solgen!C67</f>
        <v>0</v>
      </c>
      <c r="I69" s="2" t="n">
        <f aca="false">import!C67</f>
        <v>0</v>
      </c>
      <c r="J69" s="2" t="n">
        <f aca="false">-export!C67</f>
        <v>-0</v>
      </c>
      <c r="K69" s="2" t="n">
        <f aca="false">-charge!C67</f>
        <v>-0</v>
      </c>
      <c r="L69" s="2" t="n">
        <f aca="false">discharge!C67</f>
        <v>0</v>
      </c>
      <c r="M69" s="2" t="n">
        <f aca="false">soc!C67/investment!$E$2 *100</f>
        <v>88.005165994826</v>
      </c>
      <c r="N69" s="4" t="n">
        <f aca="false">p_micro!C66</f>
        <v>0</v>
      </c>
    </row>
    <row r="70" customFormat="false" ht="13.8" hidden="false" customHeight="false" outlineLevel="0" collapsed="false">
      <c r="B70" s="10" t="n">
        <f aca="false">_xlfn.NUMBERVALUE(solar!B67)</f>
        <v>133</v>
      </c>
      <c r="C70" s="11" t="n">
        <f aca="false">solar!C67</f>
        <v>0</v>
      </c>
      <c r="D70" s="11" t="n">
        <v>18</v>
      </c>
      <c r="E70" s="5" t="n">
        <v>66</v>
      </c>
      <c r="F70" s="16" t="n">
        <f aca="false">IFERROR(INDEX($B$5:$C$173, MATCH($E70, $B$5:$B$175, 0), 2), 0)*investment!$C$2</f>
        <v>0</v>
      </c>
      <c r="G70" s="5" t="n">
        <f aca="false">demand!C68</f>
        <v>0</v>
      </c>
      <c r="H70" s="2" t="n">
        <f aca="false">solgen!C68</f>
        <v>0</v>
      </c>
      <c r="I70" s="2" t="n">
        <f aca="false">import!C68</f>
        <v>0</v>
      </c>
      <c r="J70" s="2" t="n">
        <f aca="false">-export!C68</f>
        <v>-0</v>
      </c>
      <c r="K70" s="2" t="n">
        <f aca="false">-charge!C68</f>
        <v>-0</v>
      </c>
      <c r="L70" s="2" t="n">
        <f aca="false">discharge!C68</f>
        <v>0</v>
      </c>
      <c r="M70" s="2" t="n">
        <f aca="false">soc!C68/investment!$E$2 *100</f>
        <v>81.385286338106</v>
      </c>
      <c r="N70" s="4" t="n">
        <f aca="false">p_micro!C67</f>
        <v>0</v>
      </c>
    </row>
    <row r="71" customFormat="false" ht="13.8" hidden="false" customHeight="false" outlineLevel="0" collapsed="false">
      <c r="B71" s="10" t="n">
        <f aca="false">_xlfn.NUMBERVALUE(solar!B68)</f>
        <v>134</v>
      </c>
      <c r="C71" s="11" t="n">
        <f aca="false">solar!C68</f>
        <v>0</v>
      </c>
      <c r="D71" s="11" t="n">
        <v>19</v>
      </c>
      <c r="E71" s="5" t="n">
        <v>67</v>
      </c>
      <c r="F71" s="16" t="n">
        <f aca="false">IFERROR(INDEX($B$5:$C$173, MATCH($E71, $B$5:$B$175, 0), 2), 0)*investment!$C$2</f>
        <v>0</v>
      </c>
      <c r="G71" s="5" t="n">
        <f aca="false">demand!C69</f>
        <v>0</v>
      </c>
      <c r="H71" s="2" t="n">
        <f aca="false">solgen!C69</f>
        <v>0</v>
      </c>
      <c r="I71" s="2" t="n">
        <f aca="false">import!C69</f>
        <v>0</v>
      </c>
      <c r="J71" s="2" t="n">
        <f aca="false">-export!C69</f>
        <v>-0</v>
      </c>
      <c r="K71" s="2" t="n">
        <f aca="false">-charge!C69</f>
        <v>-0</v>
      </c>
      <c r="L71" s="2" t="n">
        <f aca="false">discharge!C69</f>
        <v>0</v>
      </c>
      <c r="M71" s="2" t="n">
        <f aca="false">soc!C69/investment!$E$2 *100</f>
        <v>73.1655835711005</v>
      </c>
      <c r="N71" s="4" t="n">
        <f aca="false">p_micro!C68</f>
        <v>0</v>
      </c>
    </row>
    <row r="72" customFormat="false" ht="13.8" hidden="false" customHeight="false" outlineLevel="0" collapsed="false">
      <c r="B72" s="10" t="n">
        <f aca="false">_xlfn.NUMBERVALUE(solar!B69)</f>
        <v>135</v>
      </c>
      <c r="C72" s="11" t="n">
        <f aca="false">solar!C69</f>
        <v>0</v>
      </c>
      <c r="D72" s="11" t="n">
        <v>20</v>
      </c>
      <c r="E72" s="5" t="n">
        <v>68</v>
      </c>
      <c r="F72" s="16" t="n">
        <f aca="false">IFERROR(INDEX($B$5:$C$173, MATCH($E72, $B$5:$B$175, 0), 2), 0)*investment!$C$2</f>
        <v>0</v>
      </c>
      <c r="G72" s="5" t="n">
        <f aca="false">demand!C70</f>
        <v>0</v>
      </c>
      <c r="H72" s="2" t="n">
        <f aca="false">solgen!C70</f>
        <v>0</v>
      </c>
      <c r="I72" s="2" t="n">
        <f aca="false">import!C70</f>
        <v>0</v>
      </c>
      <c r="J72" s="2" t="n">
        <f aca="false">-export!C70</f>
        <v>-0</v>
      </c>
      <c r="K72" s="2" t="n">
        <f aca="false">-charge!C70</f>
        <v>-0</v>
      </c>
      <c r="L72" s="2" t="n">
        <f aca="false">discharge!C70</f>
        <v>0</v>
      </c>
      <c r="M72" s="2" t="n">
        <f aca="false">soc!C70/investment!$E$2 *100</f>
        <v>61.7769198826975</v>
      </c>
      <c r="N72" s="4" t="n">
        <f aca="false">p_micro!C69</f>
        <v>0</v>
      </c>
    </row>
    <row r="73" customFormat="false" ht="13.8" hidden="false" customHeight="false" outlineLevel="0" collapsed="false">
      <c r="B73" s="10" t="n">
        <f aca="false">_xlfn.NUMBERVALUE(solar!B70)</f>
        <v>136</v>
      </c>
      <c r="C73" s="11" t="n">
        <f aca="false">solar!C70</f>
        <v>0</v>
      </c>
      <c r="D73" s="11" t="n">
        <v>21</v>
      </c>
      <c r="E73" s="5" t="n">
        <v>69</v>
      </c>
      <c r="F73" s="16" t="n">
        <f aca="false">IFERROR(INDEX($B$5:$C$173, MATCH($E73, $B$5:$B$175, 0), 2), 0)*investment!$C$2</f>
        <v>0</v>
      </c>
      <c r="G73" s="5" t="n">
        <f aca="false">demand!C71</f>
        <v>0</v>
      </c>
      <c r="H73" s="2" t="n">
        <f aca="false">solgen!C71</f>
        <v>0</v>
      </c>
      <c r="I73" s="2" t="n">
        <f aca="false">import!C71</f>
        <v>0</v>
      </c>
      <c r="J73" s="2" t="n">
        <f aca="false">-export!C71</f>
        <v>-0</v>
      </c>
      <c r="K73" s="2" t="n">
        <f aca="false">-charge!C71</f>
        <v>-0</v>
      </c>
      <c r="L73" s="2" t="n">
        <f aca="false">discharge!C71</f>
        <v>0</v>
      </c>
      <c r="M73" s="2" t="n">
        <f aca="false">soc!C71/investment!$E$2 *100</f>
        <v>50.3603909558137</v>
      </c>
      <c r="N73" s="4" t="n">
        <f aca="false">p_micro!C70</f>
        <v>0</v>
      </c>
    </row>
    <row r="74" customFormat="false" ht="13.8" hidden="false" customHeight="false" outlineLevel="0" collapsed="false">
      <c r="B74" s="10" t="n">
        <f aca="false">_xlfn.NUMBERVALUE(solar!B71)</f>
        <v>137</v>
      </c>
      <c r="C74" s="11" t="n">
        <f aca="false">solar!C71</f>
        <v>0</v>
      </c>
      <c r="D74" s="11" t="n">
        <v>22</v>
      </c>
      <c r="E74" s="5" t="n">
        <v>70</v>
      </c>
      <c r="F74" s="16" t="n">
        <f aca="false">IFERROR(INDEX($B$5:$C$173, MATCH($E74, $B$5:$B$175, 0), 2), 0)*investment!$C$2</f>
        <v>0</v>
      </c>
      <c r="G74" s="5" t="n">
        <f aca="false">demand!C72</f>
        <v>0</v>
      </c>
      <c r="H74" s="2" t="n">
        <f aca="false">solgen!C72</f>
        <v>0</v>
      </c>
      <c r="I74" s="2" t="n">
        <f aca="false">import!C72</f>
        <v>0</v>
      </c>
      <c r="J74" s="2" t="n">
        <f aca="false">-export!C72</f>
        <v>-0</v>
      </c>
      <c r="K74" s="2" t="n">
        <f aca="false">-charge!C72</f>
        <v>-0</v>
      </c>
      <c r="L74" s="2" t="n">
        <f aca="false">discharge!C72</f>
        <v>0</v>
      </c>
      <c r="M74" s="2" t="n">
        <f aca="false">soc!C72/investment!$E$2 *100</f>
        <v>37.1843573324904</v>
      </c>
      <c r="N74" s="4" t="n">
        <f aca="false">p_micro!C71</f>
        <v>0</v>
      </c>
    </row>
    <row r="75" customFormat="false" ht="13.8" hidden="false" customHeight="false" outlineLevel="0" collapsed="false">
      <c r="B75" s="10" t="n">
        <f aca="false">_xlfn.NUMBERVALUE(solar!B72)</f>
        <v>138</v>
      </c>
      <c r="C75" s="11" t="n">
        <f aca="false">solar!C72</f>
        <v>0</v>
      </c>
      <c r="D75" s="11" t="n">
        <v>23</v>
      </c>
      <c r="E75" s="5" t="n">
        <v>71</v>
      </c>
      <c r="F75" s="16" t="n">
        <f aca="false">IFERROR(INDEX($B$5:$C$173, MATCH($E75, $B$5:$B$175, 0), 2), 0)*investment!$C$2</f>
        <v>0</v>
      </c>
      <c r="G75" s="5" t="n">
        <f aca="false">demand!C73</f>
        <v>0</v>
      </c>
      <c r="H75" s="2" t="n">
        <f aca="false">solgen!C73</f>
        <v>0</v>
      </c>
      <c r="I75" s="2" t="n">
        <f aca="false">import!C73</f>
        <v>0</v>
      </c>
      <c r="J75" s="2" t="n">
        <f aca="false">-export!C73</f>
        <v>-0</v>
      </c>
      <c r="K75" s="2" t="n">
        <f aca="false">-charge!C73</f>
        <v>-0</v>
      </c>
      <c r="L75" s="2" t="n">
        <f aca="false">discharge!C73</f>
        <v>0</v>
      </c>
      <c r="M75" s="2" t="n">
        <f aca="false">soc!C73/investment!$E$2 *100</f>
        <v>30.3513305086837</v>
      </c>
      <c r="N75" s="4" t="n">
        <f aca="false">p_micro!C72</f>
        <v>0</v>
      </c>
    </row>
    <row r="76" customFormat="false" ht="13.8" hidden="false" customHeight="false" outlineLevel="0" collapsed="false">
      <c r="B76" s="10" t="n">
        <f aca="false">_xlfn.NUMBERVALUE(solar!B73)</f>
        <v>139</v>
      </c>
      <c r="C76" s="11" t="n">
        <f aca="false">solar!C73</f>
        <v>0</v>
      </c>
      <c r="D76" s="11" t="n">
        <v>24</v>
      </c>
      <c r="E76" s="5" t="n">
        <v>72</v>
      </c>
      <c r="F76" s="16" t="n">
        <f aca="false">IFERROR(INDEX($B$5:$C$173, MATCH($E76, $B$5:$B$175, 0), 2), 0)*investment!$C$2</f>
        <v>0</v>
      </c>
      <c r="G76" s="5" t="n">
        <f aca="false">demand!C74</f>
        <v>0</v>
      </c>
      <c r="H76" s="2" t="n">
        <f aca="false">solgen!C74</f>
        <v>0</v>
      </c>
      <c r="I76" s="2" t="n">
        <f aca="false">import!C74</f>
        <v>0</v>
      </c>
      <c r="J76" s="2" t="n">
        <f aca="false">-export!C74</f>
        <v>-0</v>
      </c>
      <c r="K76" s="2" t="n">
        <f aca="false">-charge!C74</f>
        <v>-0</v>
      </c>
      <c r="L76" s="2" t="n">
        <f aca="false">discharge!C74</f>
        <v>0</v>
      </c>
      <c r="M76" s="2" t="n">
        <f aca="false">soc!C74/investment!$E$2 *100</f>
        <v>23.8876827060311</v>
      </c>
      <c r="N76" s="4" t="n">
        <f aca="false">p_micro!C73</f>
        <v>0</v>
      </c>
    </row>
    <row r="77" customFormat="false" ht="13.8" hidden="false" customHeight="false" outlineLevel="0" collapsed="false">
      <c r="B77" s="10" t="n">
        <f aca="false">_xlfn.NUMBERVALUE(solar!B74)</f>
        <v>152</v>
      </c>
      <c r="C77" s="11" t="n">
        <f aca="false">solar!C74</f>
        <v>0</v>
      </c>
      <c r="D77" s="11" t="n">
        <v>1</v>
      </c>
      <c r="E77" s="5" t="n">
        <v>73</v>
      </c>
      <c r="F77" s="16" t="n">
        <f aca="false">IFERROR(INDEX($B$5:$C$173, MATCH($E77, $B$5:$B$175, 0), 2), 0)*investment!$C$2</f>
        <v>0</v>
      </c>
      <c r="G77" s="5" t="n">
        <f aca="false">demand!C75</f>
        <v>0</v>
      </c>
      <c r="H77" s="2" t="n">
        <f aca="false">solgen!C75</f>
        <v>0</v>
      </c>
      <c r="I77" s="2" t="n">
        <f aca="false">import!C75</f>
        <v>0</v>
      </c>
      <c r="J77" s="2" t="n">
        <f aca="false">-export!C75</f>
        <v>-0</v>
      </c>
      <c r="K77" s="2" t="n">
        <f aca="false">-charge!C75</f>
        <v>-0</v>
      </c>
      <c r="L77" s="2" t="n">
        <f aca="false">discharge!C75</f>
        <v>0</v>
      </c>
      <c r="M77" s="2" t="n">
        <f aca="false">soc!C75/investment!$E$2 *100</f>
        <v>20.3567020075955</v>
      </c>
      <c r="N77" s="4" t="n">
        <f aca="false">p_micro!C74</f>
        <v>0</v>
      </c>
    </row>
    <row r="78" customFormat="false" ht="13.8" hidden="false" customHeight="false" outlineLevel="0" collapsed="false">
      <c r="B78" s="10" t="n">
        <f aca="false">_xlfn.NUMBERVALUE(solar!B75)</f>
        <v>153</v>
      </c>
      <c r="C78" s="11" t="n">
        <f aca="false">solar!C75</f>
        <v>0</v>
      </c>
      <c r="D78" s="11" t="n">
        <v>2</v>
      </c>
      <c r="E78" s="5" t="n">
        <v>74</v>
      </c>
      <c r="F78" s="16" t="n">
        <f aca="false">IFERROR(INDEX($B$5:$C$173, MATCH($E78, $B$5:$B$175, 0), 2), 0)*investment!$C$2</f>
        <v>0</v>
      </c>
      <c r="G78" s="5" t="n">
        <f aca="false">demand!C76</f>
        <v>0</v>
      </c>
      <c r="H78" s="2" t="n">
        <f aca="false">solgen!C76</f>
        <v>0</v>
      </c>
      <c r="I78" s="2" t="n">
        <f aca="false">import!C76</f>
        <v>0</v>
      </c>
      <c r="J78" s="2" t="n">
        <f aca="false">-export!C76</f>
        <v>-0</v>
      </c>
      <c r="K78" s="2" t="n">
        <f aca="false">-charge!C76</f>
        <v>-0</v>
      </c>
      <c r="L78" s="2" t="n">
        <f aca="false">discharge!C76</f>
        <v>0</v>
      </c>
      <c r="M78" s="2" t="n">
        <f aca="false">soc!C76/investment!$E$2 *100</f>
        <v>16.3766655335469</v>
      </c>
      <c r="N78" s="4" t="n">
        <f aca="false">p_micro!C75</f>
        <v>0</v>
      </c>
    </row>
    <row r="79" customFormat="false" ht="13.8" hidden="false" customHeight="false" outlineLevel="0" collapsed="false">
      <c r="B79" s="10" t="n">
        <f aca="false">_xlfn.NUMBERVALUE(solar!B76)</f>
        <v>154</v>
      </c>
      <c r="C79" s="11" t="n">
        <f aca="false">solar!C76</f>
        <v>0</v>
      </c>
      <c r="D79" s="11" t="n">
        <v>3</v>
      </c>
      <c r="E79" s="5" t="n">
        <v>75</v>
      </c>
      <c r="F79" s="16" t="n">
        <f aca="false">IFERROR(INDEX($B$5:$C$173, MATCH($E79, $B$5:$B$175, 0), 2), 0)*investment!$C$2</f>
        <v>0</v>
      </c>
      <c r="G79" s="5" t="n">
        <f aca="false">demand!C77</f>
        <v>0</v>
      </c>
      <c r="H79" s="2" t="n">
        <f aca="false">solgen!C77</f>
        <v>0</v>
      </c>
      <c r="I79" s="2" t="n">
        <f aca="false">import!C77</f>
        <v>0</v>
      </c>
      <c r="J79" s="2" t="n">
        <f aca="false">-export!C77</f>
        <v>-0</v>
      </c>
      <c r="K79" s="2" t="n">
        <f aca="false">-charge!C77</f>
        <v>-0</v>
      </c>
      <c r="L79" s="2" t="n">
        <f aca="false">discharge!C77</f>
        <v>0</v>
      </c>
      <c r="M79" s="2" t="n">
        <f aca="false">soc!C77/investment!$E$2 *100</f>
        <v>12.9133756396733</v>
      </c>
      <c r="N79" s="4" t="n">
        <f aca="false">p_micro!C76</f>
        <v>0</v>
      </c>
    </row>
    <row r="80" customFormat="false" ht="13.8" hidden="false" customHeight="false" outlineLevel="0" collapsed="false">
      <c r="B80" s="10" t="n">
        <f aca="false">_xlfn.NUMBERVALUE(solar!B77)</f>
        <v>155</v>
      </c>
      <c r="C80" s="11" t="n">
        <f aca="false">solar!C77</f>
        <v>0</v>
      </c>
      <c r="D80" s="11" t="n">
        <v>4</v>
      </c>
      <c r="E80" s="5" t="n">
        <v>76</v>
      </c>
      <c r="F80" s="16" t="n">
        <f aca="false">IFERROR(INDEX($B$5:$C$173, MATCH($E80, $B$5:$B$175, 0), 2), 0)*investment!$C$2</f>
        <v>0</v>
      </c>
      <c r="G80" s="5" t="n">
        <f aca="false">demand!C78</f>
        <v>0</v>
      </c>
      <c r="H80" s="2" t="n">
        <f aca="false">solgen!C78</f>
        <v>0</v>
      </c>
      <c r="I80" s="2" t="n">
        <f aca="false">import!C78</f>
        <v>0</v>
      </c>
      <c r="J80" s="2" t="n">
        <f aca="false">-export!C78</f>
        <v>-0</v>
      </c>
      <c r="K80" s="2" t="n">
        <f aca="false">-charge!C78</f>
        <v>-0</v>
      </c>
      <c r="L80" s="2" t="n">
        <f aca="false">discharge!C78</f>
        <v>0</v>
      </c>
      <c r="M80" s="2" t="n">
        <f aca="false">soc!C78/investment!$E$2 *100</f>
        <v>9.51578304759167</v>
      </c>
      <c r="N80" s="4" t="n">
        <f aca="false">p_micro!C77</f>
        <v>0</v>
      </c>
    </row>
    <row r="81" customFormat="false" ht="13.8" hidden="false" customHeight="false" outlineLevel="0" collapsed="false">
      <c r="B81" s="10" t="n">
        <f aca="false">_xlfn.NUMBERVALUE(solar!B78)</f>
        <v>156</v>
      </c>
      <c r="C81" s="11" t="n">
        <f aca="false">solar!C78</f>
        <v>0</v>
      </c>
      <c r="D81" s="11" t="n">
        <v>5</v>
      </c>
      <c r="E81" s="5" t="n">
        <v>77</v>
      </c>
      <c r="F81" s="16" t="n">
        <f aca="false">IFERROR(INDEX($B$5:$C$173, MATCH($E81, $B$5:$B$175, 0), 2), 0)*investment!$C$2</f>
        <v>0</v>
      </c>
      <c r="G81" s="5" t="n">
        <f aca="false">demand!C79</f>
        <v>0</v>
      </c>
      <c r="H81" s="2" t="n">
        <f aca="false">solgen!C79</f>
        <v>0</v>
      </c>
      <c r="I81" s="2" t="n">
        <f aca="false">import!C79</f>
        <v>0</v>
      </c>
      <c r="J81" s="2" t="n">
        <f aca="false">-export!C79</f>
        <v>-0</v>
      </c>
      <c r="K81" s="2" t="n">
        <f aca="false">-charge!C79</f>
        <v>-0</v>
      </c>
      <c r="L81" s="2" t="n">
        <f aca="false">discharge!C79</f>
        <v>0</v>
      </c>
      <c r="M81" s="2" t="n">
        <f aca="false">soc!C79/investment!$E$2 *100</f>
        <v>4.91979123482827</v>
      </c>
      <c r="N81" s="4" t="n">
        <f aca="false">p_micro!C78</f>
        <v>0</v>
      </c>
    </row>
    <row r="82" customFormat="false" ht="13.8" hidden="false" customHeight="false" outlineLevel="0" collapsed="false">
      <c r="B82" s="10" t="n">
        <f aca="false">_xlfn.NUMBERVALUE(solar!B79)</f>
        <v>157</v>
      </c>
      <c r="C82" s="11" t="n">
        <f aca="false">solar!C79</f>
        <v>0</v>
      </c>
      <c r="D82" s="11" t="n">
        <v>6</v>
      </c>
      <c r="E82" s="5" t="n">
        <v>78</v>
      </c>
      <c r="F82" s="16" t="n">
        <f aca="false">IFERROR(INDEX($B$5:$C$173, MATCH($E82, $B$5:$B$175, 0), 2), 0)*investment!$C$2</f>
        <v>0</v>
      </c>
      <c r="G82" s="5" t="n">
        <f aca="false">demand!C80</f>
        <v>0</v>
      </c>
      <c r="H82" s="2" t="n">
        <f aca="false">solgen!C80</f>
        <v>0</v>
      </c>
      <c r="I82" s="2" t="n">
        <f aca="false">import!C80</f>
        <v>0</v>
      </c>
      <c r="J82" s="2" t="n">
        <f aca="false">-export!C80</f>
        <v>-0</v>
      </c>
      <c r="K82" s="2" t="n">
        <f aca="false">-charge!C80</f>
        <v>-0</v>
      </c>
      <c r="L82" s="2" t="n">
        <f aca="false">discharge!C80</f>
        <v>0</v>
      </c>
      <c r="M82" s="2" t="n">
        <f aca="false">soc!C80/investment!$E$2 *100</f>
        <v>1.91205345239183</v>
      </c>
      <c r="N82" s="4" t="n">
        <f aca="false">p_micro!C79</f>
        <v>0</v>
      </c>
    </row>
    <row r="83" customFormat="false" ht="13.8" hidden="false" customHeight="false" outlineLevel="0" collapsed="false">
      <c r="B83" s="10" t="n">
        <f aca="false">_xlfn.NUMBERVALUE(solar!B80)</f>
        <v>158</v>
      </c>
      <c r="C83" s="11" t="n">
        <f aca="false">solar!C80</f>
        <v>0</v>
      </c>
      <c r="D83" s="11" t="n">
        <v>7</v>
      </c>
      <c r="E83" s="5" t="n">
        <v>79</v>
      </c>
      <c r="F83" s="16" t="n">
        <f aca="false">IFERROR(INDEX($B$5:$C$173, MATCH($E83, $B$5:$B$175, 0), 2), 0)*investment!$C$2</f>
        <v>0</v>
      </c>
      <c r="G83" s="5" t="n">
        <f aca="false">demand!C81</f>
        <v>0</v>
      </c>
      <c r="H83" s="2" t="n">
        <f aca="false">solgen!C81</f>
        <v>0</v>
      </c>
      <c r="I83" s="2" t="n">
        <f aca="false">import!C81</f>
        <v>0</v>
      </c>
      <c r="J83" s="2" t="n">
        <f aca="false">-export!C81</f>
        <v>-0</v>
      </c>
      <c r="K83" s="2" t="n">
        <f aca="false">-charge!C81</f>
        <v>-0</v>
      </c>
      <c r="L83" s="2" t="n">
        <f aca="false">discharge!C81</f>
        <v>0</v>
      </c>
      <c r="M83" s="2" t="n">
        <f aca="false">soc!C81/investment!$E$2 *100</f>
        <v>0</v>
      </c>
      <c r="N83" s="4" t="n">
        <f aca="false">p_micro!C80</f>
        <v>0</v>
      </c>
    </row>
    <row r="84" customFormat="false" ht="13.8" hidden="false" customHeight="false" outlineLevel="0" collapsed="false">
      <c r="B84" s="10" t="n">
        <f aca="false">_xlfn.NUMBERVALUE(solar!B81)</f>
        <v>159</v>
      </c>
      <c r="C84" s="11" t="n">
        <f aca="false">solar!C81</f>
        <v>0</v>
      </c>
      <c r="D84" s="11" t="n">
        <v>8</v>
      </c>
      <c r="E84" s="5" t="n">
        <v>80</v>
      </c>
      <c r="F84" s="16" t="n">
        <f aca="false">IFERROR(INDEX($B$5:$C$173, MATCH($E84, $B$5:$B$175, 0), 2), 0)*investment!$C$2</f>
        <v>0</v>
      </c>
      <c r="G84" s="5" t="n">
        <f aca="false">demand!C82</f>
        <v>0</v>
      </c>
      <c r="H84" s="2" t="n">
        <f aca="false">solgen!C82</f>
        <v>0</v>
      </c>
      <c r="I84" s="2" t="n">
        <f aca="false">import!C82</f>
        <v>0</v>
      </c>
      <c r="J84" s="2" t="n">
        <f aca="false">-export!C82</f>
        <v>-0</v>
      </c>
      <c r="K84" s="2" t="n">
        <f aca="false">-charge!C82</f>
        <v>-0</v>
      </c>
      <c r="L84" s="2" t="n">
        <f aca="false">discharge!C82</f>
        <v>0</v>
      </c>
      <c r="M84" s="2" t="n">
        <f aca="false">soc!C82/investment!$E$2 *100</f>
        <v>0</v>
      </c>
      <c r="N84" s="4" t="n">
        <f aca="false">p_micro!C81</f>
        <v>0</v>
      </c>
    </row>
    <row r="85" customFormat="false" ht="13.8" hidden="false" customHeight="false" outlineLevel="0" collapsed="false">
      <c r="B85" s="10" t="n">
        <f aca="false">_xlfn.NUMBERVALUE(solar!B82)</f>
        <v>160</v>
      </c>
      <c r="C85" s="11" t="n">
        <f aca="false">solar!C82</f>
        <v>0</v>
      </c>
      <c r="D85" s="11" t="n">
        <v>9</v>
      </c>
      <c r="E85" s="5" t="n">
        <v>81</v>
      </c>
      <c r="F85" s="16" t="n">
        <f aca="false">IFERROR(INDEX($B$5:$C$173, MATCH($E85, $B$5:$B$175, 0), 2), 0)*investment!$C$2</f>
        <v>0</v>
      </c>
      <c r="G85" s="5" t="n">
        <f aca="false">demand!C83</f>
        <v>0</v>
      </c>
      <c r="H85" s="2" t="n">
        <f aca="false">solgen!C83</f>
        <v>0</v>
      </c>
      <c r="I85" s="2" t="n">
        <f aca="false">import!C83</f>
        <v>0</v>
      </c>
      <c r="J85" s="2" t="n">
        <f aca="false">-export!C83</f>
        <v>-0</v>
      </c>
      <c r="K85" s="2" t="n">
        <f aca="false">-charge!C83</f>
        <v>-0</v>
      </c>
      <c r="L85" s="2" t="n">
        <f aca="false">discharge!C83</f>
        <v>0</v>
      </c>
      <c r="M85" s="2" t="n">
        <f aca="false">soc!C83/investment!$E$2 *100</f>
        <v>0</v>
      </c>
      <c r="N85" s="4" t="n">
        <f aca="false">p_micro!C82</f>
        <v>0</v>
      </c>
    </row>
    <row r="86" customFormat="false" ht="13.8" hidden="false" customHeight="false" outlineLevel="0" collapsed="false">
      <c r="B86" s="10" t="n">
        <f aca="false">_xlfn.NUMBERVALUE(solar!B83)</f>
        <v>161</v>
      </c>
      <c r="C86" s="11" t="n">
        <f aca="false">solar!C83</f>
        <v>0</v>
      </c>
      <c r="D86" s="11" t="n">
        <v>10</v>
      </c>
      <c r="E86" s="5" t="n">
        <v>82</v>
      </c>
      <c r="F86" s="16" t="n">
        <f aca="false">IFERROR(INDEX($B$5:$C$173, MATCH($E86, $B$5:$B$175, 0), 2), 0)*investment!$C$2</f>
        <v>0</v>
      </c>
      <c r="G86" s="5" t="n">
        <f aca="false">demand!C84</f>
        <v>0</v>
      </c>
      <c r="H86" s="2" t="n">
        <f aca="false">solgen!C84</f>
        <v>0</v>
      </c>
      <c r="I86" s="2" t="n">
        <f aca="false">import!C84</f>
        <v>0</v>
      </c>
      <c r="J86" s="2" t="n">
        <f aca="false">-export!C84</f>
        <v>-0</v>
      </c>
      <c r="K86" s="2" t="n">
        <f aca="false">-charge!C84</f>
        <v>-0</v>
      </c>
      <c r="L86" s="2" t="n">
        <f aca="false">discharge!C84</f>
        <v>0</v>
      </c>
      <c r="M86" s="2" t="n">
        <f aca="false">soc!C84/investment!$E$2 *100</f>
        <v>0</v>
      </c>
      <c r="N86" s="4" t="n">
        <f aca="false">p_micro!C83</f>
        <v>0</v>
      </c>
    </row>
    <row r="87" customFormat="false" ht="13.8" hidden="false" customHeight="false" outlineLevel="0" collapsed="false">
      <c r="B87" s="10" t="n">
        <f aca="false">_xlfn.NUMBERVALUE(solar!B84)</f>
        <v>162</v>
      </c>
      <c r="C87" s="11" t="n">
        <f aca="false">solar!C84</f>
        <v>0</v>
      </c>
      <c r="D87" s="11" t="n">
        <v>11</v>
      </c>
      <c r="E87" s="5" t="n">
        <v>83</v>
      </c>
      <c r="F87" s="16" t="n">
        <f aca="false">IFERROR(INDEX($B$5:$C$173, MATCH($E87, $B$5:$B$175, 0), 2), 0)*investment!$C$2</f>
        <v>0</v>
      </c>
      <c r="G87" s="5" t="n">
        <f aca="false">demand!C85</f>
        <v>0</v>
      </c>
      <c r="H87" s="2" t="n">
        <f aca="false">solgen!C85</f>
        <v>0</v>
      </c>
      <c r="I87" s="2" t="n">
        <f aca="false">import!C85</f>
        <v>0</v>
      </c>
      <c r="J87" s="2" t="n">
        <f aca="false">-export!C85</f>
        <v>-0</v>
      </c>
      <c r="K87" s="2" t="n">
        <f aca="false">-charge!C85</f>
        <v>-0</v>
      </c>
      <c r="L87" s="2" t="n">
        <f aca="false">discharge!C85</f>
        <v>0</v>
      </c>
      <c r="M87" s="2" t="n">
        <f aca="false">soc!C85/investment!$E$2 *100</f>
        <v>0</v>
      </c>
      <c r="N87" s="4" t="n">
        <f aca="false">p_micro!C84</f>
        <v>0</v>
      </c>
    </row>
    <row r="88" customFormat="false" ht="13.8" hidden="false" customHeight="false" outlineLevel="0" collapsed="false">
      <c r="B88" s="10" t="n">
        <f aca="false">_xlfn.NUMBERVALUE(solar!B85)</f>
        <v>163</v>
      </c>
      <c r="C88" s="11" t="n">
        <f aca="false">solar!C85</f>
        <v>0</v>
      </c>
      <c r="D88" s="11" t="n">
        <v>12</v>
      </c>
      <c r="E88" s="5" t="n">
        <v>84</v>
      </c>
      <c r="F88" s="16" t="n">
        <f aca="false">IFERROR(INDEX($B$5:$C$173, MATCH($E88, $B$5:$B$175, 0), 2), 0)*investment!$C$2</f>
        <v>0</v>
      </c>
      <c r="G88" s="5" t="n">
        <f aca="false">demand!C86</f>
        <v>0</v>
      </c>
      <c r="H88" s="2" t="n">
        <f aca="false">solgen!C86</f>
        <v>0</v>
      </c>
      <c r="I88" s="2" t="n">
        <f aca="false">import!C86</f>
        <v>0</v>
      </c>
      <c r="J88" s="2" t="n">
        <f aca="false">-export!C86</f>
        <v>-0</v>
      </c>
      <c r="K88" s="2" t="n">
        <f aca="false">-charge!C86</f>
        <v>-0</v>
      </c>
      <c r="L88" s="2" t="n">
        <f aca="false">discharge!C86</f>
        <v>0</v>
      </c>
      <c r="M88" s="2" t="n">
        <f aca="false">soc!C86/investment!$E$2 *100</f>
        <v>27.8693868492237</v>
      </c>
      <c r="N88" s="4" t="n">
        <f aca="false">p_micro!C85</f>
        <v>0</v>
      </c>
    </row>
    <row r="89" customFormat="false" ht="13.8" hidden="false" customHeight="false" outlineLevel="0" collapsed="false">
      <c r="B89" s="10" t="n">
        <f aca="false">_xlfn.NUMBERVALUE(solar!B86)</f>
        <v>0</v>
      </c>
      <c r="C89" s="11" t="n">
        <f aca="false">solar!C86</f>
        <v>0</v>
      </c>
      <c r="D89" s="11" t="n">
        <v>13</v>
      </c>
      <c r="E89" s="5" t="n">
        <v>85</v>
      </c>
      <c r="F89" s="16" t="n">
        <f aca="false">IFERROR(INDEX($B$5:$C$173, MATCH($E89, $B$5:$B$175, 0), 2), 0)*investment!$C$2</f>
        <v>0</v>
      </c>
      <c r="G89" s="5" t="n">
        <f aca="false">demand!C87</f>
        <v>0</v>
      </c>
      <c r="H89" s="2" t="n">
        <f aca="false">solgen!C87</f>
        <v>0</v>
      </c>
      <c r="I89" s="2" t="n">
        <f aca="false">import!C87</f>
        <v>0</v>
      </c>
      <c r="J89" s="2" t="n">
        <f aca="false">-export!C87</f>
        <v>-0</v>
      </c>
      <c r="K89" s="2" t="n">
        <f aca="false">-charge!C87</f>
        <v>-0</v>
      </c>
      <c r="L89" s="2" t="n">
        <f aca="false">discharge!C87</f>
        <v>0</v>
      </c>
      <c r="M89" s="2" t="n">
        <f aca="false">soc!C87/investment!$E$2 *100</f>
        <v>58.1348580473221</v>
      </c>
      <c r="N89" s="4" t="n">
        <f aca="false">p_micro!C86</f>
        <v>0</v>
      </c>
    </row>
    <row r="90" customFormat="false" ht="13.8" hidden="false" customHeight="false" outlineLevel="0" collapsed="false">
      <c r="B90" s="10" t="n">
        <f aca="false">_xlfn.NUMBERVALUE(solar!B87)</f>
        <v>0</v>
      </c>
      <c r="C90" s="11" t="n">
        <f aca="false">solar!C87</f>
        <v>0</v>
      </c>
      <c r="D90" s="11" t="n">
        <v>14</v>
      </c>
      <c r="E90" s="5" t="n">
        <v>86</v>
      </c>
      <c r="F90" s="16" t="n">
        <f aca="false">IFERROR(INDEX($B$5:$C$173, MATCH($E90, $B$5:$B$175, 0), 2), 0)*investment!$C$2</f>
        <v>0</v>
      </c>
      <c r="G90" s="5" t="n">
        <f aca="false">demand!C88</f>
        <v>0</v>
      </c>
      <c r="H90" s="2" t="n">
        <f aca="false">solgen!C88</f>
        <v>0</v>
      </c>
      <c r="I90" s="2" t="n">
        <f aca="false">import!C88</f>
        <v>0</v>
      </c>
      <c r="J90" s="2" t="n">
        <f aca="false">-export!C88</f>
        <v>-0</v>
      </c>
      <c r="K90" s="2" t="n">
        <f aca="false">-charge!C88</f>
        <v>-0</v>
      </c>
      <c r="L90" s="2" t="n">
        <f aca="false">discharge!C88</f>
        <v>0</v>
      </c>
      <c r="M90" s="2" t="n">
        <f aca="false">soc!C88/investment!$E$2 *100</f>
        <v>80.3077002605278</v>
      </c>
      <c r="N90" s="4" t="n">
        <f aca="false">p_micro!C87</f>
        <v>0</v>
      </c>
    </row>
    <row r="91" customFormat="false" ht="13.8" hidden="false" customHeight="false" outlineLevel="0" collapsed="false">
      <c r="B91" s="10" t="n">
        <f aca="false">_xlfn.NUMBERVALUE(solar!B88)</f>
        <v>0</v>
      </c>
      <c r="C91" s="11" t="n">
        <f aca="false">solar!C88</f>
        <v>0</v>
      </c>
      <c r="D91" s="11" t="n">
        <v>15</v>
      </c>
      <c r="E91" s="5" t="n">
        <v>87</v>
      </c>
      <c r="F91" s="16" t="n">
        <f aca="false">IFERROR(INDEX($B$5:$C$173, MATCH($E91, $B$5:$B$175, 0), 2), 0)*investment!$C$2</f>
        <v>0</v>
      </c>
      <c r="G91" s="5" t="n">
        <f aca="false">demand!C89</f>
        <v>0</v>
      </c>
      <c r="H91" s="2" t="n">
        <f aca="false">solgen!C89</f>
        <v>0</v>
      </c>
      <c r="I91" s="2" t="n">
        <f aca="false">import!C89</f>
        <v>0</v>
      </c>
      <c r="J91" s="2" t="n">
        <f aca="false">-export!C89</f>
        <v>-0</v>
      </c>
      <c r="K91" s="2" t="n">
        <f aca="false">-charge!C89</f>
        <v>-0</v>
      </c>
      <c r="L91" s="2" t="n">
        <f aca="false">discharge!C89</f>
        <v>0</v>
      </c>
      <c r="M91" s="2" t="n">
        <f aca="false">soc!C89/investment!$E$2 *100</f>
        <v>92.2125448861488</v>
      </c>
      <c r="N91" s="4" t="n">
        <f aca="false">p_micro!C88</f>
        <v>0</v>
      </c>
    </row>
    <row r="92" customFormat="false" ht="13.8" hidden="false" customHeight="false" outlineLevel="0" collapsed="false">
      <c r="B92" s="10" t="n">
        <f aca="false">_xlfn.NUMBERVALUE(solar!B89)</f>
        <v>0</v>
      </c>
      <c r="C92" s="11" t="n">
        <f aca="false">solar!C89</f>
        <v>0</v>
      </c>
      <c r="D92" s="11" t="n">
        <v>16</v>
      </c>
      <c r="E92" s="5" t="n">
        <v>88</v>
      </c>
      <c r="F92" s="16" t="n">
        <f aca="false">IFERROR(INDEX($B$5:$C$173, MATCH($E92, $B$5:$B$175, 0), 2), 0)*investment!$C$2</f>
        <v>0</v>
      </c>
      <c r="G92" s="5" t="n">
        <f aca="false">demand!C90</f>
        <v>0</v>
      </c>
      <c r="H92" s="2" t="n">
        <f aca="false">solgen!C90</f>
        <v>0</v>
      </c>
      <c r="I92" s="2" t="n">
        <f aca="false">import!C90</f>
        <v>0</v>
      </c>
      <c r="J92" s="2" t="n">
        <f aca="false">-export!C90</f>
        <v>-0</v>
      </c>
      <c r="K92" s="2" t="n">
        <f aca="false">-charge!C90</f>
        <v>-0</v>
      </c>
      <c r="L92" s="2" t="n">
        <f aca="false">discharge!C90</f>
        <v>0</v>
      </c>
      <c r="M92" s="2" t="n">
        <f aca="false">soc!C90/investment!$E$2 *100</f>
        <v>96.4303428081865</v>
      </c>
      <c r="N92" s="4" t="n">
        <f aca="false">p_micro!C89</f>
        <v>0</v>
      </c>
    </row>
    <row r="93" customFormat="false" ht="13.8" hidden="false" customHeight="false" outlineLevel="0" collapsed="false">
      <c r="B93" s="10" t="n">
        <f aca="false">_xlfn.NUMBERVALUE(solar!B90)</f>
        <v>0</v>
      </c>
      <c r="C93" s="11" t="n">
        <f aca="false">solar!C90</f>
        <v>0</v>
      </c>
      <c r="D93" s="11" t="n">
        <v>17</v>
      </c>
      <c r="E93" s="5" t="n">
        <v>89</v>
      </c>
      <c r="F93" s="16" t="n">
        <f aca="false">IFERROR(INDEX($B$5:$C$173, MATCH($E93, $B$5:$B$175, 0), 2), 0)*investment!$C$2</f>
        <v>0</v>
      </c>
      <c r="G93" s="5" t="n">
        <f aca="false">demand!C91</f>
        <v>0</v>
      </c>
      <c r="H93" s="2" t="n">
        <f aca="false">solgen!C91</f>
        <v>0</v>
      </c>
      <c r="I93" s="2" t="n">
        <f aca="false">import!C91</f>
        <v>0</v>
      </c>
      <c r="J93" s="2" t="n">
        <f aca="false">-export!C91</f>
        <v>-0</v>
      </c>
      <c r="K93" s="2" t="n">
        <f aca="false">-charge!C91</f>
        <v>-0</v>
      </c>
      <c r="L93" s="2" t="n">
        <f aca="false">discharge!C91</f>
        <v>0</v>
      </c>
      <c r="M93" s="2" t="n">
        <f aca="false">soc!C91/investment!$E$2 *100</f>
        <v>92.171753471358</v>
      </c>
      <c r="N93" s="4" t="n">
        <f aca="false">p_micro!C90</f>
        <v>0</v>
      </c>
    </row>
    <row r="94" customFormat="false" ht="13.8" hidden="false" customHeight="false" outlineLevel="0" collapsed="false">
      <c r="B94" s="10" t="n">
        <f aca="false">_xlfn.NUMBERVALUE(solar!B91)</f>
        <v>0</v>
      </c>
      <c r="C94" s="11" t="n">
        <f aca="false">solar!C91</f>
        <v>0</v>
      </c>
      <c r="D94" s="11" t="n">
        <v>18</v>
      </c>
      <c r="E94" s="5" t="n">
        <v>90</v>
      </c>
      <c r="F94" s="16" t="n">
        <f aca="false">IFERROR(INDEX($B$5:$C$173, MATCH($E94, $B$5:$B$175, 0), 2), 0)*investment!$C$2</f>
        <v>0</v>
      </c>
      <c r="G94" s="5" t="n">
        <f aca="false">demand!C92</f>
        <v>0</v>
      </c>
      <c r="H94" s="2" t="n">
        <f aca="false">solgen!C92</f>
        <v>0</v>
      </c>
      <c r="I94" s="2" t="n">
        <f aca="false">import!C92</f>
        <v>0</v>
      </c>
      <c r="J94" s="2" t="n">
        <f aca="false">-export!C92</f>
        <v>-0</v>
      </c>
      <c r="K94" s="2" t="n">
        <f aca="false">-charge!C92</f>
        <v>-0</v>
      </c>
      <c r="L94" s="2" t="n">
        <f aca="false">discharge!C92</f>
        <v>0</v>
      </c>
      <c r="M94" s="2" t="n">
        <f aca="false">soc!C92/investment!$E$2 *100</f>
        <v>85.4846060586691</v>
      </c>
      <c r="N94" s="4" t="n">
        <f aca="false">p_micro!C91</f>
        <v>0</v>
      </c>
    </row>
    <row r="95" customFormat="false" ht="13.8" hidden="false" customHeight="false" outlineLevel="0" collapsed="false">
      <c r="B95" s="10" t="n">
        <f aca="false">_xlfn.NUMBERVALUE(solar!B92)</f>
        <v>0</v>
      </c>
      <c r="C95" s="11" t="n">
        <f aca="false">solar!C92</f>
        <v>0</v>
      </c>
      <c r="D95" s="11" t="n">
        <v>19</v>
      </c>
      <c r="E95" s="5" t="n">
        <v>91</v>
      </c>
      <c r="F95" s="16" t="n">
        <f aca="false">IFERROR(INDEX($B$5:$C$173, MATCH($E95, $B$5:$B$175, 0), 2), 0)*investment!$C$2</f>
        <v>0</v>
      </c>
      <c r="G95" s="5" t="n">
        <f aca="false">demand!C93</f>
        <v>0</v>
      </c>
      <c r="H95" s="2" t="n">
        <f aca="false">solgen!C93</f>
        <v>0</v>
      </c>
      <c r="I95" s="2" t="n">
        <f aca="false">import!C93</f>
        <v>0</v>
      </c>
      <c r="J95" s="2" t="n">
        <f aca="false">-export!C93</f>
        <v>-0</v>
      </c>
      <c r="K95" s="2" t="n">
        <f aca="false">-charge!C93</f>
        <v>-0</v>
      </c>
      <c r="L95" s="2" t="n">
        <f aca="false">discharge!C93</f>
        <v>0</v>
      </c>
      <c r="M95" s="2" t="n">
        <f aca="false">soc!C93/investment!$E$2 *100</f>
        <v>76.8179810144033</v>
      </c>
      <c r="N95" s="4" t="n">
        <f aca="false">p_micro!C92</f>
        <v>0</v>
      </c>
    </row>
    <row r="96" customFormat="false" ht="13.8" hidden="false" customHeight="false" outlineLevel="0" collapsed="false">
      <c r="B96" s="10" t="n">
        <f aca="false">_xlfn.NUMBERVALUE(solar!B93)</f>
        <v>0</v>
      </c>
      <c r="C96" s="11" t="n">
        <f aca="false">solar!C93</f>
        <v>0</v>
      </c>
      <c r="D96" s="11" t="n">
        <v>20</v>
      </c>
      <c r="E96" s="5" t="n">
        <v>92</v>
      </c>
      <c r="F96" s="16" t="n">
        <f aca="false">IFERROR(INDEX($B$5:$C$173, MATCH($E96, $B$5:$B$175, 0), 2), 0)*investment!$C$2</f>
        <v>0</v>
      </c>
      <c r="G96" s="5" t="n">
        <f aca="false">demand!C94</f>
        <v>0</v>
      </c>
      <c r="H96" s="2" t="n">
        <f aca="false">solgen!C94</f>
        <v>0</v>
      </c>
      <c r="I96" s="2" t="n">
        <f aca="false">import!C94</f>
        <v>0</v>
      </c>
      <c r="J96" s="2" t="n">
        <f aca="false">-export!C94</f>
        <v>-0</v>
      </c>
      <c r="K96" s="2" t="n">
        <f aca="false">-charge!C94</f>
        <v>-0</v>
      </c>
      <c r="L96" s="2" t="n">
        <f aca="false">discharge!C94</f>
        <v>0</v>
      </c>
      <c r="M96" s="2" t="n">
        <f aca="false">soc!C94/investment!$E$2 *100</f>
        <v>64.9848705921298</v>
      </c>
      <c r="N96" s="4" t="n">
        <f aca="false">p_micro!C93</f>
        <v>0</v>
      </c>
    </row>
    <row r="97" customFormat="false" ht="13.8" hidden="false" customHeight="false" outlineLevel="0" collapsed="false">
      <c r="B97" s="10" t="n">
        <f aca="false">_xlfn.NUMBERVALUE(solar!B94)</f>
        <v>0</v>
      </c>
      <c r="C97" s="11" t="n">
        <f aca="false">solar!C94</f>
        <v>0</v>
      </c>
      <c r="D97" s="11" t="n">
        <v>21</v>
      </c>
      <c r="E97" s="5" t="n">
        <v>93</v>
      </c>
      <c r="F97" s="16" t="n">
        <f aca="false">IFERROR(INDEX($B$5:$C$173, MATCH($E97, $B$5:$B$175, 0), 2), 0)*investment!$C$2</f>
        <v>0</v>
      </c>
      <c r="G97" s="5" t="n">
        <f aca="false">demand!C95</f>
        <v>0</v>
      </c>
      <c r="H97" s="2" t="n">
        <f aca="false">solgen!C95</f>
        <v>0</v>
      </c>
      <c r="I97" s="2" t="n">
        <f aca="false">import!C95</f>
        <v>0</v>
      </c>
      <c r="J97" s="2" t="n">
        <f aca="false">-export!C95</f>
        <v>-0</v>
      </c>
      <c r="K97" s="2" t="n">
        <f aca="false">-charge!C95</f>
        <v>-0</v>
      </c>
      <c r="L97" s="2" t="n">
        <f aca="false">discharge!C95</f>
        <v>0</v>
      </c>
      <c r="M97" s="2" t="n">
        <f aca="false">soc!C95/investment!$E$2 *100</f>
        <v>51.1242315105407</v>
      </c>
      <c r="N97" s="4" t="n">
        <f aca="false">p_micro!C94</f>
        <v>0</v>
      </c>
    </row>
    <row r="98" customFormat="false" ht="13.8" hidden="false" customHeight="false" outlineLevel="0" collapsed="false">
      <c r="B98" s="10" t="n">
        <f aca="false">_xlfn.NUMBERVALUE(solar!B95)</f>
        <v>0</v>
      </c>
      <c r="C98" s="11" t="n">
        <f aca="false">solar!C95</f>
        <v>0</v>
      </c>
      <c r="D98" s="11" t="n">
        <v>22</v>
      </c>
      <c r="E98" s="5" t="n">
        <v>94</v>
      </c>
      <c r="F98" s="16" t="n">
        <f aca="false">IFERROR(INDEX($B$5:$C$173, MATCH($E98, $B$5:$B$175, 0), 2), 0)*investment!$C$2</f>
        <v>0</v>
      </c>
      <c r="G98" s="5" t="n">
        <f aca="false">demand!C96</f>
        <v>0</v>
      </c>
      <c r="H98" s="2" t="n">
        <f aca="false">solgen!C96</f>
        <v>0</v>
      </c>
      <c r="I98" s="2" t="n">
        <f aca="false">import!C96</f>
        <v>0</v>
      </c>
      <c r="J98" s="2" t="n">
        <f aca="false">-export!C96</f>
        <v>-0</v>
      </c>
      <c r="K98" s="2" t="n">
        <f aca="false">-charge!C96</f>
        <v>-0</v>
      </c>
      <c r="L98" s="2" t="n">
        <f aca="false">discharge!C96</f>
        <v>0</v>
      </c>
      <c r="M98" s="2" t="n">
        <f aca="false">soc!C96/investment!$E$2 *100</f>
        <v>42.5025903958454</v>
      </c>
      <c r="N98" s="4" t="n">
        <f aca="false">p_micro!C95</f>
        <v>0</v>
      </c>
    </row>
    <row r="99" customFormat="false" ht="13.8" hidden="false" customHeight="false" outlineLevel="0" collapsed="false">
      <c r="B99" s="10" t="n">
        <f aca="false">_xlfn.NUMBERVALUE(solar!B96)</f>
        <v>0</v>
      </c>
      <c r="C99" s="11" t="n">
        <f aca="false">solar!C96</f>
        <v>0</v>
      </c>
      <c r="D99" s="11" t="n">
        <v>23</v>
      </c>
      <c r="E99" s="5" t="n">
        <v>95</v>
      </c>
      <c r="F99" s="16" t="n">
        <f aca="false">IFERROR(INDEX($B$5:$C$173, MATCH($E99, $B$5:$B$175, 0), 2), 0)*investment!$C$2</f>
        <v>0</v>
      </c>
      <c r="G99" s="5" t="n">
        <f aca="false">demand!C97</f>
        <v>0</v>
      </c>
      <c r="H99" s="2" t="n">
        <f aca="false">solgen!C97</f>
        <v>0</v>
      </c>
      <c r="I99" s="2" t="n">
        <f aca="false">import!C97</f>
        <v>0</v>
      </c>
      <c r="J99" s="2" t="n">
        <f aca="false">-export!C97</f>
        <v>-0</v>
      </c>
      <c r="K99" s="2" t="n">
        <f aca="false">-charge!C97</f>
        <v>-0</v>
      </c>
      <c r="L99" s="2" t="n">
        <f aca="false">discharge!C97</f>
        <v>0</v>
      </c>
      <c r="M99" s="2" t="n">
        <f aca="false">soc!C97/investment!$E$2 *100</f>
        <v>35.9807263292908</v>
      </c>
      <c r="N99" s="4" t="n">
        <f aca="false">p_micro!C96</f>
        <v>0</v>
      </c>
    </row>
    <row r="100" customFormat="false" ht="13.8" hidden="false" customHeight="false" outlineLevel="0" collapsed="false">
      <c r="B100" s="10" t="n">
        <f aca="false">_xlfn.NUMBERVALUE(solar!B97)</f>
        <v>0</v>
      </c>
      <c r="C100" s="11" t="n">
        <f aca="false">solar!C97</f>
        <v>0</v>
      </c>
      <c r="D100" s="11" t="n">
        <v>24</v>
      </c>
      <c r="E100" s="5" t="n">
        <v>96</v>
      </c>
      <c r="F100" s="16" t="n">
        <f aca="false">IFERROR(INDEX($B$5:$C$173, MATCH($E100, $B$5:$B$175, 0), 2), 0)*investment!$C$2</f>
        <v>0</v>
      </c>
      <c r="G100" s="5" t="n">
        <f aca="false">demand!C98</f>
        <v>0</v>
      </c>
      <c r="H100" s="2" t="n">
        <f aca="false">solgen!C98</f>
        <v>0</v>
      </c>
      <c r="I100" s="2" t="n">
        <f aca="false">import!C98</f>
        <v>0</v>
      </c>
      <c r="J100" s="2" t="n">
        <f aca="false">-export!C98</f>
        <v>-0</v>
      </c>
      <c r="K100" s="2" t="n">
        <f aca="false">-charge!C98</f>
        <v>-0</v>
      </c>
      <c r="L100" s="2" t="n">
        <f aca="false">discharge!C98</f>
        <v>0</v>
      </c>
      <c r="M100" s="2" t="n">
        <f aca="false">soc!C98/investment!$E$2 *100</f>
        <v>29.4401113421056</v>
      </c>
      <c r="N100" s="4" t="n">
        <f aca="false">p_micro!C97</f>
        <v>0</v>
      </c>
    </row>
    <row r="101" customFormat="false" ht="13.8" hidden="false" customHeight="false" outlineLevel="0" collapsed="false">
      <c r="B101" s="10" t="n">
        <f aca="false">_xlfn.NUMBERVALUE(solar!B98)</f>
        <v>0</v>
      </c>
      <c r="C101" s="11" t="n">
        <f aca="false">solar!C98</f>
        <v>0</v>
      </c>
      <c r="D101" s="11" t="n">
        <v>1</v>
      </c>
      <c r="E101" s="5" t="n">
        <v>97</v>
      </c>
      <c r="F101" s="16" t="n">
        <f aca="false">IFERROR(INDEX($B$5:$C$173, MATCH($E101, $B$5:$B$175, 0), 2), 0)*investment!$C$2</f>
        <v>0</v>
      </c>
      <c r="G101" s="5" t="n">
        <f aca="false">demand!C99</f>
        <v>0</v>
      </c>
      <c r="H101" s="2" t="n">
        <f aca="false">solgen!C99</f>
        <v>0</v>
      </c>
      <c r="I101" s="2" t="n">
        <f aca="false">import!C99</f>
        <v>0</v>
      </c>
      <c r="J101" s="2" t="n">
        <f aca="false">-export!C99</f>
        <v>-0</v>
      </c>
      <c r="K101" s="2" t="n">
        <f aca="false">-charge!C99</f>
        <v>-0</v>
      </c>
      <c r="L101" s="2" t="n">
        <f aca="false">discharge!C99</f>
        <v>0</v>
      </c>
      <c r="M101" s="2" t="n">
        <f aca="false">soc!C99/investment!$E$2 *100</f>
        <v>23.95332312122</v>
      </c>
      <c r="N101" s="4" t="n">
        <f aca="false">p_micro!C98</f>
        <v>0</v>
      </c>
    </row>
    <row r="102" customFormat="false" ht="13.8" hidden="false" customHeight="false" outlineLevel="0" collapsed="false">
      <c r="B102" s="10" t="n">
        <f aca="false">_xlfn.NUMBERVALUE(solar!B99)</f>
        <v>0</v>
      </c>
      <c r="C102" s="11" t="n">
        <f aca="false">solar!C99</f>
        <v>0</v>
      </c>
      <c r="D102" s="11" t="n">
        <v>2</v>
      </c>
      <c r="E102" s="5" t="n">
        <v>98</v>
      </c>
      <c r="F102" s="16" t="n">
        <f aca="false">IFERROR(INDEX($B$5:$C$173, MATCH($E102, $B$5:$B$175, 0), 2), 0)*investment!$C$2</f>
        <v>0</v>
      </c>
      <c r="G102" s="5" t="n">
        <f aca="false">demand!C100</f>
        <v>0</v>
      </c>
      <c r="H102" s="2" t="n">
        <f aca="false">solgen!C100</f>
        <v>0</v>
      </c>
      <c r="I102" s="2" t="n">
        <f aca="false">import!C100</f>
        <v>0</v>
      </c>
      <c r="J102" s="2" t="n">
        <f aca="false">-export!C100</f>
        <v>-0</v>
      </c>
      <c r="K102" s="2" t="n">
        <f aca="false">-charge!C100</f>
        <v>-0</v>
      </c>
      <c r="L102" s="2" t="n">
        <f aca="false">discharge!C100</f>
        <v>0</v>
      </c>
      <c r="M102" s="2" t="n">
        <f aca="false">soc!C100/investment!$E$2 *100</f>
        <v>18.7797663781119</v>
      </c>
      <c r="N102" s="4" t="n">
        <f aca="false">p_micro!C99</f>
        <v>0</v>
      </c>
    </row>
    <row r="103" customFormat="false" ht="13.8" hidden="false" customHeight="false" outlineLevel="0" collapsed="false">
      <c r="B103" s="10" t="n">
        <f aca="false">_xlfn.NUMBERVALUE(solar!B100)</f>
        <v>0</v>
      </c>
      <c r="C103" s="11" t="n">
        <f aca="false">solar!C100</f>
        <v>0</v>
      </c>
      <c r="D103" s="11" t="n">
        <v>3</v>
      </c>
      <c r="E103" s="5" t="n">
        <v>99</v>
      </c>
      <c r="F103" s="16" t="n">
        <f aca="false">IFERROR(INDEX($B$5:$C$173, MATCH($E103, $B$5:$B$175, 0), 2), 0)*investment!$C$2</f>
        <v>0</v>
      </c>
      <c r="G103" s="5" t="n">
        <f aca="false">demand!C101</f>
        <v>0</v>
      </c>
      <c r="H103" s="2" t="n">
        <f aca="false">solgen!C101</f>
        <v>0</v>
      </c>
      <c r="I103" s="2" t="n">
        <f aca="false">import!C101</f>
        <v>0</v>
      </c>
      <c r="J103" s="2" t="n">
        <f aca="false">-export!C101</f>
        <v>-0</v>
      </c>
      <c r="K103" s="2" t="n">
        <f aca="false">-charge!C101</f>
        <v>-0</v>
      </c>
      <c r="L103" s="2" t="n">
        <f aca="false">discharge!C101</f>
        <v>0</v>
      </c>
      <c r="M103" s="2" t="n">
        <f aca="false">soc!C101/investment!$E$2 *100</f>
        <v>14.9544335671881</v>
      </c>
      <c r="N103" s="4" t="n">
        <f aca="false">p_micro!C100</f>
        <v>0</v>
      </c>
    </row>
    <row r="104" customFormat="false" ht="13.8" hidden="false" customHeight="false" outlineLevel="0" collapsed="false">
      <c r="B104" s="10" t="n">
        <f aca="false">_xlfn.NUMBERVALUE(solar!B101)</f>
        <v>0</v>
      </c>
      <c r="C104" s="11" t="n">
        <f aca="false">solar!C101</f>
        <v>0</v>
      </c>
      <c r="D104" s="11" t="n">
        <v>4</v>
      </c>
      <c r="E104" s="5" t="n">
        <v>100</v>
      </c>
      <c r="F104" s="16" t="n">
        <f aca="false">IFERROR(INDEX($B$5:$C$173, MATCH($E104, $B$5:$B$175, 0), 2), 0)*investment!$C$2</f>
        <v>0</v>
      </c>
      <c r="G104" s="5" t="n">
        <f aca="false">demand!C102</f>
        <v>0</v>
      </c>
      <c r="H104" s="2" t="n">
        <f aca="false">solgen!C102</f>
        <v>0</v>
      </c>
      <c r="I104" s="2" t="n">
        <f aca="false">import!C102</f>
        <v>0</v>
      </c>
      <c r="J104" s="2" t="n">
        <f aca="false">-export!C102</f>
        <v>-0</v>
      </c>
      <c r="K104" s="2" t="n">
        <f aca="false">-charge!C102</f>
        <v>-0</v>
      </c>
      <c r="L104" s="2" t="n">
        <f aca="false">discharge!C102</f>
        <v>0</v>
      </c>
      <c r="M104" s="2" t="n">
        <f aca="false">soc!C102/investment!$E$2 *100</f>
        <v>10.7257648198892</v>
      </c>
      <c r="N104" s="4" t="n">
        <f aca="false">p_micro!C101</f>
        <v>0</v>
      </c>
    </row>
    <row r="105" customFormat="false" ht="13.8" hidden="false" customHeight="false" outlineLevel="0" collapsed="false">
      <c r="B105" s="10" t="n">
        <f aca="false">_xlfn.NUMBERVALUE(solar!B102)</f>
        <v>0</v>
      </c>
      <c r="C105" s="11" t="n">
        <f aca="false">solar!C102</f>
        <v>0</v>
      </c>
      <c r="D105" s="11" t="n">
        <v>5</v>
      </c>
      <c r="E105" s="5" t="n">
        <v>101</v>
      </c>
      <c r="F105" s="16" t="n">
        <f aca="false">IFERROR(INDEX($B$5:$C$173, MATCH($E105, $B$5:$B$175, 0), 2), 0)*investment!$C$2</f>
        <v>0</v>
      </c>
      <c r="G105" s="5" t="n">
        <f aca="false">demand!C103</f>
        <v>0</v>
      </c>
      <c r="H105" s="2" t="n">
        <f aca="false">solgen!C103</f>
        <v>0</v>
      </c>
      <c r="I105" s="2" t="n">
        <f aca="false">import!C103</f>
        <v>0</v>
      </c>
      <c r="J105" s="2" t="n">
        <f aca="false">-export!C103</f>
        <v>-0</v>
      </c>
      <c r="K105" s="2" t="n">
        <f aca="false">-charge!C103</f>
        <v>-0</v>
      </c>
      <c r="L105" s="2" t="n">
        <f aca="false">discharge!C103</f>
        <v>0</v>
      </c>
      <c r="M105" s="2" t="n">
        <f aca="false">soc!C103/investment!$E$2 *100</f>
        <v>6.29613412632297</v>
      </c>
      <c r="N105" s="4" t="n">
        <f aca="false">p_micro!C102</f>
        <v>0</v>
      </c>
    </row>
    <row r="106" customFormat="false" ht="13.8" hidden="false" customHeight="false" outlineLevel="0" collapsed="false">
      <c r="B106" s="10" t="n">
        <f aca="false">_xlfn.NUMBERVALUE(solar!B103)</f>
        <v>0</v>
      </c>
      <c r="C106" s="11" t="n">
        <f aca="false">solar!C103</f>
        <v>0</v>
      </c>
      <c r="D106" s="11" t="n">
        <v>6</v>
      </c>
      <c r="E106" s="5" t="n">
        <v>102</v>
      </c>
      <c r="F106" s="16" t="n">
        <f aca="false">IFERROR(INDEX($B$5:$C$173, MATCH($E106, $B$5:$B$175, 0), 2), 0)*investment!$C$2</f>
        <v>0</v>
      </c>
      <c r="G106" s="5" t="n">
        <f aca="false">demand!C104</f>
        <v>0</v>
      </c>
      <c r="H106" s="2" t="n">
        <f aca="false">solgen!C104</f>
        <v>0</v>
      </c>
      <c r="I106" s="2" t="n">
        <f aca="false">import!C104</f>
        <v>0</v>
      </c>
      <c r="J106" s="2" t="n">
        <f aca="false">-export!C104</f>
        <v>-0</v>
      </c>
      <c r="K106" s="2" t="n">
        <f aca="false">-charge!C104</f>
        <v>-0</v>
      </c>
      <c r="L106" s="2" t="n">
        <f aca="false">discharge!C104</f>
        <v>0</v>
      </c>
      <c r="M106" s="2" t="n">
        <f aca="false">soc!C104/investment!$E$2 *100</f>
        <v>1.16582237039764</v>
      </c>
      <c r="N106" s="4" t="n">
        <f aca="false">p_micro!C103</f>
        <v>0</v>
      </c>
    </row>
    <row r="107" customFormat="false" ht="13.8" hidden="false" customHeight="false" outlineLevel="0" collapsed="false">
      <c r="B107" s="10" t="n">
        <f aca="false">_xlfn.NUMBERVALUE(solar!B104)</f>
        <v>0</v>
      </c>
      <c r="C107" s="11" t="n">
        <f aca="false">solar!C104</f>
        <v>0</v>
      </c>
      <c r="D107" s="11" t="n">
        <v>7</v>
      </c>
      <c r="E107" s="5" t="n">
        <v>103</v>
      </c>
      <c r="F107" s="16" t="n">
        <f aca="false">IFERROR(INDEX($B$5:$C$173, MATCH($E107, $B$5:$B$175, 0), 2), 0)*investment!$C$2</f>
        <v>0</v>
      </c>
      <c r="G107" s="5" t="n">
        <f aca="false">demand!C105</f>
        <v>0</v>
      </c>
      <c r="H107" s="2" t="n">
        <f aca="false">solgen!C105</f>
        <v>0</v>
      </c>
      <c r="I107" s="2" t="n">
        <f aca="false">import!C105</f>
        <v>0</v>
      </c>
      <c r="J107" s="2" t="n">
        <f aca="false">-export!C105</f>
        <v>-0</v>
      </c>
      <c r="K107" s="2" t="n">
        <f aca="false">-charge!C105</f>
        <v>-0</v>
      </c>
      <c r="L107" s="2" t="n">
        <f aca="false">discharge!C105</f>
        <v>0</v>
      </c>
      <c r="M107" s="2" t="n">
        <f aca="false">soc!C105/investment!$E$2 *100</f>
        <v>0</v>
      </c>
      <c r="N107" s="4" t="n">
        <f aca="false">p_micro!C104</f>
        <v>0</v>
      </c>
    </row>
    <row r="108" customFormat="false" ht="13.8" hidden="false" customHeight="false" outlineLevel="0" collapsed="false">
      <c r="B108" s="10" t="n">
        <f aca="false">_xlfn.NUMBERVALUE(solar!B105)</f>
        <v>0</v>
      </c>
      <c r="C108" s="11" t="n">
        <f aca="false">solar!C105</f>
        <v>0</v>
      </c>
      <c r="D108" s="11" t="n">
        <v>8</v>
      </c>
      <c r="E108" s="5" t="n">
        <v>104</v>
      </c>
      <c r="F108" s="16" t="n">
        <f aca="false">IFERROR(INDEX($B$5:$C$173, MATCH($E108, $B$5:$B$175, 0), 2), 0)*investment!$C$2</f>
        <v>0</v>
      </c>
      <c r="G108" s="5" t="n">
        <f aca="false">demand!C106</f>
        <v>0</v>
      </c>
      <c r="H108" s="2" t="n">
        <f aca="false">solgen!C106</f>
        <v>0</v>
      </c>
      <c r="I108" s="2" t="n">
        <f aca="false">import!C106</f>
        <v>0</v>
      </c>
      <c r="J108" s="2" t="n">
        <f aca="false">-export!C106</f>
        <v>-0</v>
      </c>
      <c r="K108" s="2" t="n">
        <f aca="false">-charge!C106</f>
        <v>-0</v>
      </c>
      <c r="L108" s="2" t="n">
        <f aca="false">discharge!C106</f>
        <v>0</v>
      </c>
      <c r="M108" s="2" t="n">
        <f aca="false">soc!C106/investment!$E$2 *100</f>
        <v>0</v>
      </c>
      <c r="N108" s="4" t="n">
        <f aca="false">p_micro!C105</f>
        <v>0</v>
      </c>
    </row>
    <row r="109" customFormat="false" ht="13.8" hidden="false" customHeight="false" outlineLevel="0" collapsed="false">
      <c r="B109" s="10" t="n">
        <f aca="false">_xlfn.NUMBERVALUE(solar!B106)</f>
        <v>0</v>
      </c>
      <c r="C109" s="11" t="n">
        <f aca="false">solar!C106</f>
        <v>0</v>
      </c>
      <c r="D109" s="11" t="n">
        <v>9</v>
      </c>
      <c r="E109" s="5" t="n">
        <v>105</v>
      </c>
      <c r="F109" s="16" t="n">
        <f aca="false">IFERROR(INDEX($B$5:$C$173, MATCH($E109, $B$5:$B$175, 0), 2), 0)*investment!$C$2</f>
        <v>0</v>
      </c>
      <c r="G109" s="5" t="n">
        <f aca="false">demand!C107</f>
        <v>0</v>
      </c>
      <c r="H109" s="2" t="n">
        <f aca="false">solgen!C107</f>
        <v>0</v>
      </c>
      <c r="I109" s="2" t="n">
        <f aca="false">import!C107</f>
        <v>0</v>
      </c>
      <c r="J109" s="2" t="n">
        <f aca="false">-export!C107</f>
        <v>-0</v>
      </c>
      <c r="K109" s="2" t="n">
        <f aca="false">-charge!C107</f>
        <v>-0</v>
      </c>
      <c r="L109" s="2" t="n">
        <f aca="false">discharge!C107</f>
        <v>0</v>
      </c>
      <c r="M109" s="2" t="n">
        <f aca="false">soc!C107/investment!$E$2 *100</f>
        <v>0</v>
      </c>
      <c r="N109" s="4" t="n">
        <f aca="false">p_micro!C106</f>
        <v>0</v>
      </c>
    </row>
    <row r="110" customFormat="false" ht="13.8" hidden="false" customHeight="false" outlineLevel="0" collapsed="false">
      <c r="B110" s="10" t="n">
        <f aca="false">_xlfn.NUMBERVALUE(solar!B107)</f>
        <v>0</v>
      </c>
      <c r="C110" s="11" t="n">
        <f aca="false">solar!C107</f>
        <v>0</v>
      </c>
      <c r="D110" s="11" t="n">
        <v>10</v>
      </c>
      <c r="E110" s="5" t="n">
        <v>106</v>
      </c>
      <c r="F110" s="16" t="n">
        <f aca="false">IFERROR(INDEX($B$5:$C$173, MATCH($E110, $B$5:$B$175, 0), 2), 0)*investment!$C$2</f>
        <v>0</v>
      </c>
      <c r="G110" s="5" t="n">
        <f aca="false">demand!C108</f>
        <v>0</v>
      </c>
      <c r="H110" s="2" t="n">
        <f aca="false">solgen!C108</f>
        <v>0</v>
      </c>
      <c r="I110" s="2" t="n">
        <f aca="false">import!C108</f>
        <v>0</v>
      </c>
      <c r="J110" s="2" t="n">
        <f aca="false">-export!C108</f>
        <v>-0</v>
      </c>
      <c r="K110" s="2" t="n">
        <f aca="false">-charge!C108</f>
        <v>-0</v>
      </c>
      <c r="L110" s="2" t="n">
        <f aca="false">discharge!C108</f>
        <v>0</v>
      </c>
      <c r="M110" s="2" t="n">
        <f aca="false">soc!C108/investment!$E$2 *100</f>
        <v>0</v>
      </c>
      <c r="N110" s="4" t="n">
        <f aca="false">p_micro!C107</f>
        <v>0</v>
      </c>
    </row>
    <row r="111" customFormat="false" ht="13.8" hidden="false" customHeight="false" outlineLevel="0" collapsed="false">
      <c r="B111" s="10" t="n">
        <f aca="false">_xlfn.NUMBERVALUE(solar!B108)</f>
        <v>0</v>
      </c>
      <c r="C111" s="11" t="n">
        <f aca="false">solar!C108</f>
        <v>0</v>
      </c>
      <c r="D111" s="11" t="n">
        <v>11</v>
      </c>
      <c r="E111" s="5" t="n">
        <v>107</v>
      </c>
      <c r="F111" s="16" t="n">
        <f aca="false">IFERROR(INDEX($B$5:$C$173, MATCH($E111, $B$5:$B$175, 0), 2), 0)*investment!$C$2</f>
        <v>0</v>
      </c>
      <c r="G111" s="5" t="n">
        <f aca="false">demand!C109</f>
        <v>0</v>
      </c>
      <c r="H111" s="2" t="n">
        <f aca="false">solgen!C109</f>
        <v>0</v>
      </c>
      <c r="I111" s="2" t="n">
        <f aca="false">import!C109</f>
        <v>0</v>
      </c>
      <c r="J111" s="2" t="n">
        <f aca="false">-export!C109</f>
        <v>-0</v>
      </c>
      <c r="K111" s="2" t="n">
        <f aca="false">-charge!C109</f>
        <v>-0</v>
      </c>
      <c r="L111" s="2" t="n">
        <f aca="false">discharge!C109</f>
        <v>0</v>
      </c>
      <c r="M111" s="2" t="n">
        <f aca="false">soc!C109/investment!$E$2 *100</f>
        <v>0</v>
      </c>
      <c r="N111" s="4" t="n">
        <f aca="false">p_micro!C108</f>
        <v>0</v>
      </c>
    </row>
    <row r="112" customFormat="false" ht="13.8" hidden="false" customHeight="false" outlineLevel="0" collapsed="false">
      <c r="B112" s="10" t="n">
        <f aca="false">_xlfn.NUMBERVALUE(solar!B109)</f>
        <v>0</v>
      </c>
      <c r="C112" s="11" t="n">
        <f aca="false">solar!C109</f>
        <v>0</v>
      </c>
      <c r="D112" s="11" t="n">
        <v>12</v>
      </c>
      <c r="E112" s="5" t="n">
        <v>108</v>
      </c>
      <c r="F112" s="16" t="n">
        <f aca="false">IFERROR(INDEX($B$5:$C$173, MATCH($E112, $B$5:$B$175, 0), 2), 0)*investment!$C$2</f>
        <v>0</v>
      </c>
      <c r="G112" s="5" t="n">
        <f aca="false">demand!C110</f>
        <v>0</v>
      </c>
      <c r="H112" s="2" t="n">
        <f aca="false">solgen!C110</f>
        <v>0</v>
      </c>
      <c r="I112" s="2" t="n">
        <f aca="false">import!C110</f>
        <v>0</v>
      </c>
      <c r="J112" s="2" t="n">
        <f aca="false">-export!C110</f>
        <v>-0</v>
      </c>
      <c r="K112" s="2" t="n">
        <f aca="false">-charge!C110</f>
        <v>-0</v>
      </c>
      <c r="L112" s="2" t="n">
        <f aca="false">discharge!C110</f>
        <v>0</v>
      </c>
      <c r="M112" s="2" t="n">
        <f aca="false">soc!C110/investment!$E$2 *100</f>
        <v>30.4390196191838</v>
      </c>
      <c r="N112" s="4" t="n">
        <f aca="false">p_micro!C109</f>
        <v>0</v>
      </c>
    </row>
    <row r="113" customFormat="false" ht="13.8" hidden="false" customHeight="false" outlineLevel="0" collapsed="false">
      <c r="B113" s="10" t="n">
        <f aca="false">_xlfn.NUMBERVALUE(solar!B110)</f>
        <v>0</v>
      </c>
      <c r="C113" s="11" t="n">
        <f aca="false">solar!C110</f>
        <v>0</v>
      </c>
      <c r="D113" s="11" t="n">
        <v>13</v>
      </c>
      <c r="E113" s="5" t="n">
        <v>109</v>
      </c>
      <c r="F113" s="16" t="n">
        <f aca="false">IFERROR(INDEX($B$5:$C$173, MATCH($E113, $B$5:$B$175, 0), 2), 0)*investment!$C$2</f>
        <v>0</v>
      </c>
      <c r="G113" s="5" t="n">
        <f aca="false">demand!C111</f>
        <v>0</v>
      </c>
      <c r="H113" s="2" t="n">
        <f aca="false">solgen!C111</f>
        <v>0</v>
      </c>
      <c r="I113" s="2" t="n">
        <f aca="false">import!C111</f>
        <v>0</v>
      </c>
      <c r="J113" s="2" t="n">
        <f aca="false">-export!C111</f>
        <v>-0</v>
      </c>
      <c r="K113" s="2" t="n">
        <f aca="false">-charge!C111</f>
        <v>-0</v>
      </c>
      <c r="L113" s="2" t="n">
        <f aca="false">discharge!C111</f>
        <v>0</v>
      </c>
      <c r="M113" s="2" t="n">
        <f aca="false">soc!C111/investment!$E$2 *100</f>
        <v>62.7374738657461</v>
      </c>
      <c r="N113" s="4" t="n">
        <f aca="false">p_micro!C110</f>
        <v>0</v>
      </c>
    </row>
    <row r="114" customFormat="false" ht="13.8" hidden="false" customHeight="false" outlineLevel="0" collapsed="false">
      <c r="B114" s="10" t="n">
        <f aca="false">_xlfn.NUMBERVALUE(solar!B111)</f>
        <v>0</v>
      </c>
      <c r="C114" s="11" t="n">
        <f aca="false">solar!C111</f>
        <v>0</v>
      </c>
      <c r="D114" s="11" t="n">
        <v>14</v>
      </c>
      <c r="E114" s="5" t="n">
        <v>110</v>
      </c>
      <c r="F114" s="16" t="n">
        <f aca="false">IFERROR(INDEX($B$5:$C$173, MATCH($E114, $B$5:$B$175, 0), 2), 0)*investment!$C$2</f>
        <v>0</v>
      </c>
      <c r="G114" s="5" t="n">
        <f aca="false">demand!C112</f>
        <v>0</v>
      </c>
      <c r="H114" s="2" t="n">
        <f aca="false">solgen!C112</f>
        <v>0</v>
      </c>
      <c r="I114" s="2" t="n">
        <f aca="false">import!C112</f>
        <v>0</v>
      </c>
      <c r="J114" s="2" t="n">
        <f aca="false">-export!C112</f>
        <v>-0</v>
      </c>
      <c r="K114" s="2" t="n">
        <f aca="false">-charge!C112</f>
        <v>-0</v>
      </c>
      <c r="L114" s="2" t="n">
        <f aca="false">discharge!C112</f>
        <v>0</v>
      </c>
      <c r="M114" s="2" t="n">
        <f aca="false">soc!C112/investment!$E$2 *100</f>
        <v>84.1832713009461</v>
      </c>
      <c r="N114" s="4" t="n">
        <f aca="false">p_micro!C111</f>
        <v>0</v>
      </c>
    </row>
    <row r="115" customFormat="false" ht="13.8" hidden="false" customHeight="false" outlineLevel="0" collapsed="false">
      <c r="B115" s="10" t="n">
        <f aca="false">_xlfn.NUMBERVALUE(solar!B112)</f>
        <v>0</v>
      </c>
      <c r="C115" s="11" t="n">
        <f aca="false">solar!C112</f>
        <v>0</v>
      </c>
      <c r="D115" s="11" t="n">
        <v>15</v>
      </c>
      <c r="E115" s="5" t="n">
        <v>111</v>
      </c>
      <c r="F115" s="16" t="n">
        <f aca="false">IFERROR(INDEX($B$5:$C$173, MATCH($E115, $B$5:$B$175, 0), 2), 0)*investment!$C$2</f>
        <v>0</v>
      </c>
      <c r="G115" s="5" t="n">
        <f aca="false">demand!C113</f>
        <v>0</v>
      </c>
      <c r="H115" s="2" t="n">
        <f aca="false">solgen!C113</f>
        <v>0</v>
      </c>
      <c r="I115" s="2" t="n">
        <f aca="false">import!C113</f>
        <v>0</v>
      </c>
      <c r="J115" s="2" t="n">
        <f aca="false">-export!C113</f>
        <v>-0</v>
      </c>
      <c r="K115" s="2" t="n">
        <f aca="false">-charge!C113</f>
        <v>-0</v>
      </c>
      <c r="L115" s="2" t="n">
        <f aca="false">discharge!C113</f>
        <v>0</v>
      </c>
      <c r="M115" s="2" t="n">
        <f aca="false">soc!C113/investment!$E$2 *100</f>
        <v>91.0825579914693</v>
      </c>
      <c r="N115" s="4" t="n">
        <f aca="false">p_micro!C112</f>
        <v>0</v>
      </c>
    </row>
    <row r="116" customFormat="false" ht="13.8" hidden="false" customHeight="false" outlineLevel="0" collapsed="false">
      <c r="B116" s="10" t="n">
        <f aca="false">_xlfn.NUMBERVALUE(solar!B113)</f>
        <v>0</v>
      </c>
      <c r="C116" s="11" t="n">
        <f aca="false">solar!C113</f>
        <v>0</v>
      </c>
      <c r="D116" s="11" t="n">
        <v>16</v>
      </c>
      <c r="E116" s="5" t="n">
        <v>112</v>
      </c>
      <c r="F116" s="16" t="n">
        <f aca="false">IFERROR(INDEX($B$5:$C$173, MATCH($E116, $B$5:$B$175, 0), 2), 0)*investment!$C$2</f>
        <v>0</v>
      </c>
      <c r="G116" s="5" t="n">
        <f aca="false">demand!C114</f>
        <v>0</v>
      </c>
      <c r="H116" s="2" t="n">
        <f aca="false">solgen!C114</f>
        <v>0</v>
      </c>
      <c r="I116" s="2" t="n">
        <f aca="false">import!C114</f>
        <v>0</v>
      </c>
      <c r="J116" s="2" t="n">
        <f aca="false">-export!C114</f>
        <v>-0</v>
      </c>
      <c r="K116" s="2" t="n">
        <f aca="false">-charge!C114</f>
        <v>-0</v>
      </c>
      <c r="L116" s="2" t="n">
        <f aca="false">discharge!C114</f>
        <v>0</v>
      </c>
      <c r="M116" s="2" t="n">
        <f aca="false">soc!C114/investment!$E$2 *100</f>
        <v>98.4259453393633</v>
      </c>
      <c r="N116" s="4" t="n">
        <f aca="false">p_micro!C113</f>
        <v>0</v>
      </c>
    </row>
    <row r="117" customFormat="false" ht="13.8" hidden="false" customHeight="false" outlineLevel="0" collapsed="false">
      <c r="B117" s="10" t="n">
        <f aca="false">_xlfn.NUMBERVALUE(solar!B114)</f>
        <v>0</v>
      </c>
      <c r="C117" s="11" t="n">
        <f aca="false">solar!C114</f>
        <v>0</v>
      </c>
      <c r="D117" s="11" t="n">
        <v>17</v>
      </c>
      <c r="E117" s="5" t="n">
        <v>113</v>
      </c>
      <c r="F117" s="16" t="n">
        <f aca="false">IFERROR(INDEX($B$5:$C$173, MATCH($E117, $B$5:$B$175, 0), 2), 0)*investment!$C$2</f>
        <v>0</v>
      </c>
      <c r="G117" s="5" t="n">
        <f aca="false">demand!C115</f>
        <v>0</v>
      </c>
      <c r="H117" s="2" t="n">
        <f aca="false">solgen!C115</f>
        <v>0</v>
      </c>
      <c r="I117" s="2" t="n">
        <f aca="false">import!C115</f>
        <v>0</v>
      </c>
      <c r="J117" s="2" t="n">
        <f aca="false">-export!C115</f>
        <v>-0</v>
      </c>
      <c r="K117" s="2" t="n">
        <f aca="false">-charge!C115</f>
        <v>-0</v>
      </c>
      <c r="L117" s="2" t="n">
        <f aca="false">discharge!C115</f>
        <v>0</v>
      </c>
      <c r="M117" s="2" t="n">
        <f aca="false">soc!C115/investment!$E$2 *100</f>
        <v>100</v>
      </c>
      <c r="N117" s="4" t="n">
        <f aca="false">p_micro!C114</f>
        <v>0</v>
      </c>
    </row>
    <row r="118" customFormat="false" ht="13.8" hidden="false" customHeight="false" outlineLevel="0" collapsed="false">
      <c r="B118" s="10" t="n">
        <f aca="false">_xlfn.NUMBERVALUE(solar!B115)</f>
        <v>0</v>
      </c>
      <c r="C118" s="11" t="n">
        <f aca="false">solar!C115</f>
        <v>0</v>
      </c>
      <c r="D118" s="11" t="n">
        <v>18</v>
      </c>
      <c r="E118" s="5" t="n">
        <v>114</v>
      </c>
      <c r="F118" s="16" t="n">
        <f aca="false">IFERROR(INDEX($B$5:$C$173, MATCH($E118, $B$5:$B$175, 0), 2), 0)*investment!$C$2</f>
        <v>0</v>
      </c>
      <c r="G118" s="5" t="n">
        <f aca="false">demand!C116</f>
        <v>0</v>
      </c>
      <c r="H118" s="2" t="n">
        <f aca="false">solgen!C116</f>
        <v>0</v>
      </c>
      <c r="I118" s="2" t="n">
        <f aca="false">import!C116</f>
        <v>0</v>
      </c>
      <c r="J118" s="2" t="n">
        <f aca="false">-export!C116</f>
        <v>-0</v>
      </c>
      <c r="K118" s="2" t="n">
        <f aca="false">-charge!C116</f>
        <v>-0</v>
      </c>
      <c r="L118" s="2" t="n">
        <f aca="false">discharge!C116</f>
        <v>0</v>
      </c>
      <c r="M118" s="2" t="n">
        <f aca="false">soc!C116/investment!$E$2 *100</f>
        <v>96.4029070745841</v>
      </c>
      <c r="N118" s="4" t="n">
        <f aca="false">p_micro!C115</f>
        <v>0</v>
      </c>
    </row>
    <row r="119" customFormat="false" ht="13.8" hidden="false" customHeight="false" outlineLevel="0" collapsed="false">
      <c r="B119" s="10" t="n">
        <f aca="false">_xlfn.NUMBERVALUE(solar!B116)</f>
        <v>0</v>
      </c>
      <c r="C119" s="11" t="n">
        <f aca="false">solar!C116</f>
        <v>0</v>
      </c>
      <c r="D119" s="11" t="n">
        <v>19</v>
      </c>
      <c r="E119" s="5" t="n">
        <v>115</v>
      </c>
      <c r="F119" s="16" t="n">
        <f aca="false">IFERROR(INDEX($B$5:$C$173, MATCH($E119, $B$5:$B$175, 0), 2), 0)*investment!$C$2</f>
        <v>0</v>
      </c>
      <c r="G119" s="5" t="n">
        <f aca="false">demand!C117</f>
        <v>0</v>
      </c>
      <c r="H119" s="2" t="n">
        <f aca="false">solgen!C117</f>
        <v>0</v>
      </c>
      <c r="I119" s="2" t="n">
        <f aca="false">import!C117</f>
        <v>0</v>
      </c>
      <c r="J119" s="2" t="n">
        <f aca="false">-export!C117</f>
        <v>-0</v>
      </c>
      <c r="K119" s="2" t="n">
        <f aca="false">-charge!C117</f>
        <v>-0</v>
      </c>
      <c r="L119" s="2" t="n">
        <f aca="false">discharge!C117</f>
        <v>0</v>
      </c>
      <c r="M119" s="2" t="n">
        <f aca="false">soc!C117/investment!$E$2 *100</f>
        <v>89.4646164475951</v>
      </c>
      <c r="N119" s="4" t="n">
        <f aca="false">p_micro!C116</f>
        <v>0</v>
      </c>
    </row>
    <row r="120" customFormat="false" ht="13.8" hidden="false" customHeight="false" outlineLevel="0" collapsed="false">
      <c r="B120" s="10" t="n">
        <f aca="false">_xlfn.NUMBERVALUE(solar!B117)</f>
        <v>0</v>
      </c>
      <c r="C120" s="11" t="n">
        <f aca="false">solar!C117</f>
        <v>0</v>
      </c>
      <c r="D120" s="11" t="n">
        <v>20</v>
      </c>
      <c r="E120" s="5" t="n">
        <v>116</v>
      </c>
      <c r="F120" s="16" t="n">
        <f aca="false">IFERROR(INDEX($B$5:$C$173, MATCH($E120, $B$5:$B$175, 0), 2), 0)*investment!$C$2</f>
        <v>0</v>
      </c>
      <c r="G120" s="5" t="n">
        <f aca="false">demand!C118</f>
        <v>0</v>
      </c>
      <c r="H120" s="2" t="n">
        <f aca="false">solgen!C118</f>
        <v>0</v>
      </c>
      <c r="I120" s="2" t="n">
        <f aca="false">import!C118</f>
        <v>0</v>
      </c>
      <c r="J120" s="2" t="n">
        <f aca="false">-export!C118</f>
        <v>-0</v>
      </c>
      <c r="K120" s="2" t="n">
        <f aca="false">-charge!C118</f>
        <v>-0</v>
      </c>
      <c r="L120" s="2" t="n">
        <f aca="false">discharge!C118</f>
        <v>0</v>
      </c>
      <c r="M120" s="2" t="n">
        <f aca="false">soc!C118/investment!$E$2 *100</f>
        <v>79.6330750991408</v>
      </c>
      <c r="N120" s="4" t="n">
        <f aca="false">p_micro!C117</f>
        <v>0</v>
      </c>
    </row>
    <row r="121" customFormat="false" ht="13.8" hidden="false" customHeight="false" outlineLevel="0" collapsed="false">
      <c r="B121" s="10" t="n">
        <f aca="false">_xlfn.NUMBERVALUE(solar!B118)</f>
        <v>0</v>
      </c>
      <c r="C121" s="11" t="n">
        <f aca="false">solar!C118</f>
        <v>0</v>
      </c>
      <c r="D121" s="11" t="n">
        <v>21</v>
      </c>
      <c r="E121" s="5" t="n">
        <v>117</v>
      </c>
      <c r="F121" s="16" t="n">
        <f aca="false">IFERROR(INDEX($B$5:$C$173, MATCH($E121, $B$5:$B$175, 0), 2), 0)*investment!$C$2</f>
        <v>0</v>
      </c>
      <c r="G121" s="5" t="n">
        <f aca="false">demand!C119</f>
        <v>0</v>
      </c>
      <c r="H121" s="2" t="n">
        <f aca="false">solgen!C119</f>
        <v>0</v>
      </c>
      <c r="I121" s="2" t="n">
        <f aca="false">import!C119</f>
        <v>0</v>
      </c>
      <c r="J121" s="2" t="n">
        <f aca="false">-export!C119</f>
        <v>-0</v>
      </c>
      <c r="K121" s="2" t="n">
        <f aca="false">-charge!C119</f>
        <v>-0</v>
      </c>
      <c r="L121" s="2" t="n">
        <f aca="false">discharge!C119</f>
        <v>0</v>
      </c>
      <c r="M121" s="2" t="n">
        <f aca="false">soc!C119/investment!$E$2 *100</f>
        <v>69.5528423403095</v>
      </c>
      <c r="N121" s="4" t="n">
        <f aca="false">p_micro!C118</f>
        <v>0</v>
      </c>
    </row>
    <row r="122" customFormat="false" ht="13.8" hidden="false" customHeight="false" outlineLevel="0" collapsed="false">
      <c r="B122" s="10" t="n">
        <f aca="false">_xlfn.NUMBERVALUE(solar!B119)</f>
        <v>0</v>
      </c>
      <c r="C122" s="11" t="n">
        <f aca="false">solar!C119</f>
        <v>0</v>
      </c>
      <c r="D122" s="11" t="n">
        <v>22</v>
      </c>
      <c r="E122" s="5" t="n">
        <v>118</v>
      </c>
      <c r="F122" s="16" t="n">
        <f aca="false">IFERROR(INDEX($B$5:$C$173, MATCH($E122, $B$5:$B$175, 0), 2), 0)*investment!$C$2</f>
        <v>0</v>
      </c>
      <c r="G122" s="5" t="n">
        <f aca="false">demand!C120</f>
        <v>0</v>
      </c>
      <c r="H122" s="2" t="n">
        <f aca="false">solgen!C120</f>
        <v>0</v>
      </c>
      <c r="I122" s="2" t="n">
        <f aca="false">import!C120</f>
        <v>0</v>
      </c>
      <c r="J122" s="2" t="n">
        <f aca="false">-export!C120</f>
        <v>-0</v>
      </c>
      <c r="K122" s="2" t="n">
        <f aca="false">-charge!C120</f>
        <v>-0</v>
      </c>
      <c r="L122" s="2" t="n">
        <f aca="false">discharge!C120</f>
        <v>0</v>
      </c>
      <c r="M122" s="2" t="n">
        <f aca="false">soc!C120/investment!$E$2 *100</f>
        <v>60.2879908269372</v>
      </c>
      <c r="N122" s="4" t="n">
        <f aca="false">p_micro!C119</f>
        <v>0</v>
      </c>
    </row>
    <row r="123" customFormat="false" ht="13.8" hidden="false" customHeight="false" outlineLevel="0" collapsed="false">
      <c r="B123" s="10" t="n">
        <f aca="false">_xlfn.NUMBERVALUE(solar!B120)</f>
        <v>0</v>
      </c>
      <c r="C123" s="11" t="n">
        <f aca="false">solar!C120</f>
        <v>0</v>
      </c>
      <c r="D123" s="11" t="n">
        <v>23</v>
      </c>
      <c r="E123" s="5" t="n">
        <v>119</v>
      </c>
      <c r="F123" s="16" t="n">
        <f aca="false">IFERROR(INDEX($B$5:$C$173, MATCH($E123, $B$5:$B$175, 0), 2), 0)*investment!$C$2</f>
        <v>0</v>
      </c>
      <c r="G123" s="5" t="n">
        <f aca="false">demand!C121</f>
        <v>0</v>
      </c>
      <c r="H123" s="2" t="n">
        <f aca="false">solgen!C121</f>
        <v>0</v>
      </c>
      <c r="I123" s="2" t="n">
        <f aca="false">import!C121</f>
        <v>0</v>
      </c>
      <c r="J123" s="2" t="n">
        <f aca="false">-export!C121</f>
        <v>-0</v>
      </c>
      <c r="K123" s="2" t="n">
        <f aca="false">-charge!C121</f>
        <v>-0</v>
      </c>
      <c r="L123" s="2" t="n">
        <f aca="false">discharge!C121</f>
        <v>0</v>
      </c>
      <c r="M123" s="2" t="n">
        <f aca="false">soc!C121/investment!$E$2 *100</f>
        <v>53.0455293804725</v>
      </c>
      <c r="N123" s="4" t="n">
        <f aca="false">p_micro!C120</f>
        <v>0</v>
      </c>
    </row>
    <row r="124" customFormat="false" ht="13.8" hidden="false" customHeight="false" outlineLevel="0" collapsed="false">
      <c r="B124" s="10" t="n">
        <f aca="false">_xlfn.NUMBERVALUE(solar!B121)</f>
        <v>0</v>
      </c>
      <c r="C124" s="11" t="n">
        <f aca="false">solar!C121</f>
        <v>0</v>
      </c>
      <c r="D124" s="11" t="n">
        <v>24</v>
      </c>
      <c r="E124" s="5" t="n">
        <v>120</v>
      </c>
      <c r="F124" s="16" t="n">
        <f aca="false">IFERROR(INDEX($B$5:$C$173, MATCH($E124, $B$5:$B$175, 0), 2), 0)*investment!$C$2</f>
        <v>0</v>
      </c>
      <c r="G124" s="5" t="n">
        <f aca="false">demand!C122</f>
        <v>0</v>
      </c>
      <c r="H124" s="2" t="n">
        <f aca="false">solgen!C122</f>
        <v>0</v>
      </c>
      <c r="I124" s="2" t="n">
        <f aca="false">import!C122</f>
        <v>0</v>
      </c>
      <c r="J124" s="2" t="n">
        <f aca="false">-export!C122</f>
        <v>-0</v>
      </c>
      <c r="K124" s="2" t="n">
        <f aca="false">-charge!C122</f>
        <v>-0</v>
      </c>
      <c r="L124" s="2" t="n">
        <f aca="false">discharge!C122</f>
        <v>0</v>
      </c>
      <c r="M124" s="2" t="n">
        <f aca="false">soc!C122/investment!$E$2 *100</f>
        <v>49.1597881473172</v>
      </c>
      <c r="N124" s="4" t="n">
        <f aca="false">p_micro!C121</f>
        <v>0</v>
      </c>
    </row>
    <row r="125" customFormat="false" ht="13.8" hidden="false" customHeight="false" outlineLevel="0" collapsed="false">
      <c r="B125" s="10" t="n">
        <f aca="false">_xlfn.NUMBERVALUE(solar!B122)</f>
        <v>0</v>
      </c>
      <c r="C125" s="11" t="n">
        <f aca="false">solar!C122</f>
        <v>0</v>
      </c>
      <c r="D125" s="11" t="n">
        <v>1</v>
      </c>
      <c r="E125" s="5" t="n">
        <v>121</v>
      </c>
      <c r="F125" s="16" t="n">
        <f aca="false">IFERROR(INDEX($B$5:$C$173, MATCH($E125, $B$5:$B$175, 0), 2), 0)*investment!$C$2</f>
        <v>0</v>
      </c>
      <c r="G125" s="5" t="n">
        <f aca="false">demand!C123</f>
        <v>0</v>
      </c>
      <c r="H125" s="2" t="n">
        <f aca="false">solgen!C123</f>
        <v>0</v>
      </c>
      <c r="I125" s="2" t="n">
        <f aca="false">import!C123</f>
        <v>0</v>
      </c>
      <c r="J125" s="2" t="n">
        <f aca="false">-export!C123</f>
        <v>-0</v>
      </c>
      <c r="K125" s="2" t="n">
        <f aca="false">-charge!C123</f>
        <v>-0</v>
      </c>
      <c r="L125" s="2" t="n">
        <f aca="false">discharge!C123</f>
        <v>0</v>
      </c>
      <c r="M125" s="2" t="n">
        <f aca="false">soc!C123/investment!$E$2 *100</f>
        <v>44.9009171470617</v>
      </c>
      <c r="N125" s="4" t="n">
        <f aca="false">p_micro!C122</f>
        <v>0</v>
      </c>
    </row>
    <row r="126" customFormat="false" ht="13.8" hidden="false" customHeight="false" outlineLevel="0" collapsed="false">
      <c r="B126" s="10" t="n">
        <f aca="false">_xlfn.NUMBERVALUE(solar!B123)</f>
        <v>0</v>
      </c>
      <c r="C126" s="11" t="n">
        <f aca="false">solar!C123</f>
        <v>0</v>
      </c>
      <c r="D126" s="11" t="n">
        <v>2</v>
      </c>
      <c r="E126" s="5" t="n">
        <v>122</v>
      </c>
      <c r="F126" s="16" t="n">
        <f aca="false">IFERROR(INDEX($B$5:$C$173, MATCH($E126, $B$5:$B$175, 0), 2), 0)*investment!$C$2</f>
        <v>0</v>
      </c>
      <c r="G126" s="5" t="n">
        <f aca="false">demand!C124</f>
        <v>0</v>
      </c>
      <c r="H126" s="2" t="n">
        <f aca="false">solgen!C124</f>
        <v>0</v>
      </c>
      <c r="I126" s="2" t="n">
        <f aca="false">import!C124</f>
        <v>0</v>
      </c>
      <c r="J126" s="2" t="n">
        <f aca="false">-export!C124</f>
        <v>-0</v>
      </c>
      <c r="K126" s="2" t="n">
        <f aca="false">-charge!C124</f>
        <v>-0</v>
      </c>
      <c r="L126" s="2" t="n">
        <f aca="false">discharge!C124</f>
        <v>0</v>
      </c>
      <c r="M126" s="2" t="n">
        <f aca="false">soc!C124/investment!$E$2 *100</f>
        <v>42.1703363585853</v>
      </c>
      <c r="N126" s="4" t="n">
        <f aca="false">p_micro!C123</f>
        <v>0</v>
      </c>
    </row>
    <row r="127" customFormat="false" ht="13.8" hidden="false" customHeight="false" outlineLevel="0" collapsed="false">
      <c r="B127" s="10" t="n">
        <f aca="false">_xlfn.NUMBERVALUE(solar!B124)</f>
        <v>0</v>
      </c>
      <c r="C127" s="11" t="n">
        <f aca="false">solar!C124</f>
        <v>0</v>
      </c>
      <c r="D127" s="11" t="n">
        <v>3</v>
      </c>
      <c r="E127" s="5" t="n">
        <v>123</v>
      </c>
      <c r="F127" s="16" t="n">
        <f aca="false">IFERROR(INDEX($B$5:$C$173, MATCH($E127, $B$5:$B$175, 0), 2), 0)*investment!$C$2</f>
        <v>0</v>
      </c>
      <c r="G127" s="5" t="n">
        <f aca="false">demand!C125</f>
        <v>0</v>
      </c>
      <c r="H127" s="2" t="n">
        <f aca="false">solgen!C125</f>
        <v>0</v>
      </c>
      <c r="I127" s="2" t="n">
        <f aca="false">import!C125</f>
        <v>0</v>
      </c>
      <c r="J127" s="2" t="n">
        <f aca="false">-export!C125</f>
        <v>-0</v>
      </c>
      <c r="K127" s="2" t="n">
        <f aca="false">-charge!C125</f>
        <v>-0</v>
      </c>
      <c r="L127" s="2" t="n">
        <f aca="false">discharge!C125</f>
        <v>0</v>
      </c>
      <c r="M127" s="2" t="n">
        <f aca="false">soc!C125/investment!$E$2 *100</f>
        <v>36.5042002792414</v>
      </c>
      <c r="N127" s="4" t="n">
        <f aca="false">p_micro!C124</f>
        <v>0</v>
      </c>
    </row>
    <row r="128" customFormat="false" ht="13.8" hidden="false" customHeight="false" outlineLevel="0" collapsed="false">
      <c r="B128" s="10" t="n">
        <f aca="false">_xlfn.NUMBERVALUE(solar!B125)</f>
        <v>0</v>
      </c>
      <c r="C128" s="11" t="n">
        <f aca="false">solar!C125</f>
        <v>0</v>
      </c>
      <c r="D128" s="11" t="n">
        <v>4</v>
      </c>
      <c r="E128" s="5" t="n">
        <v>124</v>
      </c>
      <c r="F128" s="16" t="n">
        <f aca="false">IFERROR(INDEX($B$5:$C$173, MATCH($E128, $B$5:$B$175, 0), 2), 0)*investment!$C$2</f>
        <v>0</v>
      </c>
      <c r="G128" s="5" t="n">
        <f aca="false">demand!C126</f>
        <v>0</v>
      </c>
      <c r="H128" s="2" t="n">
        <f aca="false">solgen!C126</f>
        <v>0</v>
      </c>
      <c r="I128" s="2" t="n">
        <f aca="false">import!C126</f>
        <v>0</v>
      </c>
      <c r="J128" s="2" t="n">
        <f aca="false">-export!C126</f>
        <v>-0</v>
      </c>
      <c r="K128" s="2" t="n">
        <f aca="false">-charge!C126</f>
        <v>-0</v>
      </c>
      <c r="L128" s="2" t="n">
        <f aca="false">discharge!C126</f>
        <v>0</v>
      </c>
      <c r="M128" s="2" t="n">
        <f aca="false">soc!C126/investment!$E$2 *100</f>
        <v>28.7991932711153</v>
      </c>
      <c r="N128" s="4" t="n">
        <f aca="false">p_micro!C125</f>
        <v>0</v>
      </c>
    </row>
    <row r="129" customFormat="false" ht="13.8" hidden="false" customHeight="false" outlineLevel="0" collapsed="false">
      <c r="B129" s="10" t="n">
        <f aca="false">_xlfn.NUMBERVALUE(solar!B126)</f>
        <v>0</v>
      </c>
      <c r="C129" s="11" t="n">
        <f aca="false">solar!C126</f>
        <v>0</v>
      </c>
      <c r="D129" s="11" t="n">
        <v>5</v>
      </c>
      <c r="E129" s="5" t="n">
        <v>125</v>
      </c>
      <c r="F129" s="16" t="n">
        <f aca="false">IFERROR(INDEX($B$5:$C$173, MATCH($E129, $B$5:$B$175, 0), 2), 0)*investment!$C$2</f>
        <v>0</v>
      </c>
      <c r="G129" s="5" t="n">
        <f aca="false">demand!C127</f>
        <v>0</v>
      </c>
      <c r="H129" s="2" t="n">
        <f aca="false">solgen!C127</f>
        <v>0</v>
      </c>
      <c r="I129" s="2" t="n">
        <f aca="false">import!C127</f>
        <v>0</v>
      </c>
      <c r="J129" s="2" t="n">
        <f aca="false">-export!C127</f>
        <v>-0</v>
      </c>
      <c r="K129" s="2" t="n">
        <f aca="false">-charge!C127</f>
        <v>-0</v>
      </c>
      <c r="L129" s="2" t="n">
        <f aca="false">discharge!C127</f>
        <v>0</v>
      </c>
      <c r="M129" s="2" t="n">
        <f aca="false">soc!C127/investment!$E$2 *100</f>
        <v>21.9653306726214</v>
      </c>
      <c r="N129" s="4" t="n">
        <f aca="false">p_micro!C126</f>
        <v>0</v>
      </c>
    </row>
    <row r="130" customFormat="false" ht="13.8" hidden="false" customHeight="false" outlineLevel="0" collapsed="false">
      <c r="B130" s="10" t="n">
        <f aca="false">_xlfn.NUMBERVALUE(solar!B127)</f>
        <v>0</v>
      </c>
      <c r="C130" s="11" t="n">
        <f aca="false">solar!C127</f>
        <v>0</v>
      </c>
      <c r="D130" s="11" t="n">
        <v>6</v>
      </c>
      <c r="E130" s="5" t="n">
        <v>126</v>
      </c>
      <c r="F130" s="16" t="n">
        <f aca="false">IFERROR(INDEX($B$5:$C$173, MATCH($E130, $B$5:$B$175, 0), 2), 0)*investment!$C$2</f>
        <v>0</v>
      </c>
      <c r="G130" s="5" t="n">
        <f aca="false">demand!C128</f>
        <v>0</v>
      </c>
      <c r="H130" s="2" t="n">
        <f aca="false">solgen!C128</f>
        <v>0</v>
      </c>
      <c r="I130" s="2" t="n">
        <f aca="false">import!C128</f>
        <v>0</v>
      </c>
      <c r="J130" s="2" t="n">
        <f aca="false">-export!C128</f>
        <v>-0</v>
      </c>
      <c r="K130" s="2" t="n">
        <f aca="false">-charge!C128</f>
        <v>-0</v>
      </c>
      <c r="L130" s="2" t="n">
        <f aca="false">discharge!C128</f>
        <v>0</v>
      </c>
      <c r="M130" s="2" t="n">
        <f aca="false">soc!C128/investment!$E$2 *100</f>
        <v>15.3677434403087</v>
      </c>
      <c r="N130" s="4" t="n">
        <f aca="false">p_micro!C127</f>
        <v>0</v>
      </c>
    </row>
    <row r="131" customFormat="false" ht="13.8" hidden="false" customHeight="false" outlineLevel="0" collapsed="false">
      <c r="B131" s="10" t="n">
        <f aca="false">_xlfn.NUMBERVALUE(solar!B128)</f>
        <v>0</v>
      </c>
      <c r="C131" s="11" t="n">
        <f aca="false">solar!C128</f>
        <v>0</v>
      </c>
      <c r="D131" s="11" t="n">
        <v>7</v>
      </c>
      <c r="E131" s="5" t="n">
        <v>127</v>
      </c>
      <c r="F131" s="16" t="n">
        <f aca="false">IFERROR(INDEX($B$5:$C$173, MATCH($E131, $B$5:$B$175, 0), 2), 0)*investment!$C$2</f>
        <v>0</v>
      </c>
      <c r="G131" s="5" t="n">
        <f aca="false">demand!C129</f>
        <v>0</v>
      </c>
      <c r="H131" s="2" t="n">
        <f aca="false">solgen!C129</f>
        <v>0</v>
      </c>
      <c r="I131" s="2" t="n">
        <f aca="false">import!C129</f>
        <v>0</v>
      </c>
      <c r="J131" s="2" t="n">
        <f aca="false">-export!C129</f>
        <v>-0</v>
      </c>
      <c r="K131" s="2" t="n">
        <f aca="false">-charge!C129</f>
        <v>-0</v>
      </c>
      <c r="L131" s="2" t="n">
        <f aca="false">discharge!C129</f>
        <v>0</v>
      </c>
      <c r="M131" s="2" t="n">
        <f aca="false">soc!C129/investment!$E$2 *100</f>
        <v>9.1927471531608</v>
      </c>
      <c r="N131" s="4" t="n">
        <f aca="false">p_micro!C128</f>
        <v>0</v>
      </c>
    </row>
    <row r="132" customFormat="false" ht="13.8" hidden="false" customHeight="false" outlineLevel="0" collapsed="false">
      <c r="B132" s="10" t="n">
        <f aca="false">_xlfn.NUMBERVALUE(solar!B129)</f>
        <v>0</v>
      </c>
      <c r="C132" s="11" t="n">
        <f aca="false">solar!C129</f>
        <v>0</v>
      </c>
      <c r="D132" s="11" t="n">
        <v>8</v>
      </c>
      <c r="E132" s="5" t="n">
        <v>128</v>
      </c>
      <c r="F132" s="16" t="n">
        <f aca="false">IFERROR(INDEX($B$5:$C$173, MATCH($E132, $B$5:$B$175, 0), 2), 0)*investment!$C$2</f>
        <v>0</v>
      </c>
      <c r="G132" s="5" t="n">
        <f aca="false">demand!C130</f>
        <v>0</v>
      </c>
      <c r="H132" s="2" t="n">
        <f aca="false">solgen!C130</f>
        <v>0</v>
      </c>
      <c r="I132" s="2" t="n">
        <f aca="false">import!C130</f>
        <v>0</v>
      </c>
      <c r="J132" s="2" t="n">
        <f aca="false">-export!C130</f>
        <v>-0</v>
      </c>
      <c r="K132" s="2" t="n">
        <f aca="false">-charge!C130</f>
        <v>-0</v>
      </c>
      <c r="L132" s="2" t="n">
        <f aca="false">discharge!C130</f>
        <v>0</v>
      </c>
      <c r="M132" s="2" t="n">
        <f aca="false">soc!C130/investment!$E$2 *100</f>
        <v>6.80467584508154</v>
      </c>
      <c r="N132" s="4" t="n">
        <f aca="false">p_micro!C129</f>
        <v>0</v>
      </c>
    </row>
    <row r="133" customFormat="false" ht="13.8" hidden="false" customHeight="false" outlineLevel="0" collapsed="false">
      <c r="B133" s="10" t="n">
        <f aca="false">_xlfn.NUMBERVALUE(solar!B130)</f>
        <v>0</v>
      </c>
      <c r="C133" s="11" t="n">
        <f aca="false">solar!C130</f>
        <v>0</v>
      </c>
      <c r="D133" s="11" t="n">
        <v>9</v>
      </c>
      <c r="E133" s="5" t="n">
        <v>129</v>
      </c>
      <c r="F133" s="16" t="n">
        <f aca="false">IFERROR(INDEX($B$5:$C$173, MATCH($E133, $B$5:$B$175, 0), 2), 0)*investment!$C$2</f>
        <v>0</v>
      </c>
      <c r="G133" s="5" t="n">
        <f aca="false">demand!C131</f>
        <v>0</v>
      </c>
      <c r="H133" s="2" t="n">
        <f aca="false">solgen!C131</f>
        <v>0</v>
      </c>
      <c r="I133" s="2" t="n">
        <f aca="false">import!C131</f>
        <v>0</v>
      </c>
      <c r="J133" s="2" t="n">
        <f aca="false">-export!C131</f>
        <v>-0</v>
      </c>
      <c r="K133" s="2" t="n">
        <f aca="false">-charge!C131</f>
        <v>-0</v>
      </c>
      <c r="L133" s="2" t="n">
        <f aca="false">discharge!C131</f>
        <v>0</v>
      </c>
      <c r="M133" s="2" t="n">
        <f aca="false">soc!C131/investment!$E$2 *100</f>
        <v>14.0168179389606</v>
      </c>
      <c r="N133" s="4" t="n">
        <f aca="false">p_micro!C130</f>
        <v>0</v>
      </c>
    </row>
    <row r="134" customFormat="false" ht="13.8" hidden="false" customHeight="false" outlineLevel="0" collapsed="false">
      <c r="B134" s="10" t="n">
        <f aca="false">_xlfn.NUMBERVALUE(solar!B131)</f>
        <v>0</v>
      </c>
      <c r="C134" s="11" t="n">
        <f aca="false">solar!C131</f>
        <v>0</v>
      </c>
      <c r="D134" s="11" t="n">
        <v>10</v>
      </c>
      <c r="E134" s="5" t="n">
        <v>130</v>
      </c>
      <c r="F134" s="16" t="n">
        <f aca="false">IFERROR(INDEX($B$5:$C$173, MATCH($E134, $B$5:$B$175, 0), 2), 0)*investment!$C$2</f>
        <v>0</v>
      </c>
      <c r="G134" s="5" t="n">
        <f aca="false">demand!C132</f>
        <v>0</v>
      </c>
      <c r="H134" s="2" t="n">
        <f aca="false">solgen!C132</f>
        <v>0</v>
      </c>
      <c r="I134" s="2" t="n">
        <f aca="false">import!C132</f>
        <v>0</v>
      </c>
      <c r="J134" s="2" t="n">
        <f aca="false">-export!C132</f>
        <v>-0</v>
      </c>
      <c r="K134" s="2" t="n">
        <f aca="false">-charge!C132</f>
        <v>-0</v>
      </c>
      <c r="L134" s="2" t="n">
        <f aca="false">discharge!C132</f>
        <v>0</v>
      </c>
      <c r="M134" s="2" t="n">
        <f aca="false">soc!C132/investment!$E$2 *100</f>
        <v>27.0914439834603</v>
      </c>
      <c r="N134" s="4" t="n">
        <f aca="false">p_micro!C131</f>
        <v>0</v>
      </c>
    </row>
    <row r="135" customFormat="false" ht="13.8" hidden="false" customHeight="false" outlineLevel="0" collapsed="false">
      <c r="B135" s="10" t="n">
        <f aca="false">_xlfn.NUMBERVALUE(solar!B132)</f>
        <v>0</v>
      </c>
      <c r="C135" s="11" t="n">
        <f aca="false">solar!C132</f>
        <v>0</v>
      </c>
      <c r="D135" s="11" t="n">
        <v>11</v>
      </c>
      <c r="E135" s="5" t="n">
        <v>131</v>
      </c>
      <c r="F135" s="16" t="n">
        <f aca="false">IFERROR(INDEX($B$5:$C$173, MATCH($E135, $B$5:$B$175, 0), 2), 0)*investment!$C$2</f>
        <v>0</v>
      </c>
      <c r="G135" s="5" t="n">
        <f aca="false">demand!C133</f>
        <v>0</v>
      </c>
      <c r="H135" s="2" t="n">
        <f aca="false">solgen!C133</f>
        <v>0</v>
      </c>
      <c r="I135" s="2" t="n">
        <f aca="false">import!C133</f>
        <v>0</v>
      </c>
      <c r="J135" s="2" t="n">
        <f aca="false">-export!C133</f>
        <v>-0</v>
      </c>
      <c r="K135" s="2" t="n">
        <f aca="false">-charge!C133</f>
        <v>-0</v>
      </c>
      <c r="L135" s="2" t="n">
        <f aca="false">discharge!C133</f>
        <v>0</v>
      </c>
      <c r="M135" s="2" t="n">
        <f aca="false">soc!C133/investment!$E$2 *100</f>
        <v>45.6554543154673</v>
      </c>
      <c r="N135" s="4" t="n">
        <f aca="false">p_micro!C132</f>
        <v>0</v>
      </c>
    </row>
    <row r="136" customFormat="false" ht="13.8" hidden="false" customHeight="false" outlineLevel="0" collapsed="false">
      <c r="B136" s="10" t="n">
        <f aca="false">_xlfn.NUMBERVALUE(solar!B133)</f>
        <v>0</v>
      </c>
      <c r="C136" s="11" t="n">
        <f aca="false">solar!C133</f>
        <v>0</v>
      </c>
      <c r="D136" s="11" t="n">
        <v>12</v>
      </c>
      <c r="E136" s="5" t="n">
        <v>132</v>
      </c>
      <c r="F136" s="16" t="n">
        <f aca="false">IFERROR(INDEX($B$5:$C$173, MATCH($E136, $B$5:$B$175, 0), 2), 0)*investment!$C$2</f>
        <v>0</v>
      </c>
      <c r="G136" s="5" t="n">
        <f aca="false">demand!C134</f>
        <v>0</v>
      </c>
      <c r="H136" s="2" t="n">
        <f aca="false">solgen!C134</f>
        <v>0</v>
      </c>
      <c r="I136" s="2" t="n">
        <f aca="false">import!C134</f>
        <v>0</v>
      </c>
      <c r="J136" s="2" t="n">
        <f aca="false">-export!C134</f>
        <v>-0</v>
      </c>
      <c r="K136" s="2" t="n">
        <f aca="false">-charge!C134</f>
        <v>-0</v>
      </c>
      <c r="L136" s="2" t="n">
        <f aca="false">discharge!C134</f>
        <v>0</v>
      </c>
      <c r="M136" s="2" t="n">
        <f aca="false">soc!C134/investment!$E$2 *100</f>
        <v>68.3221173576868</v>
      </c>
      <c r="N136" s="4" t="n">
        <f aca="false">p_micro!C133</f>
        <v>0</v>
      </c>
    </row>
    <row r="137" customFormat="false" ht="13.8" hidden="false" customHeight="false" outlineLevel="0" collapsed="false">
      <c r="B137" s="10" t="n">
        <f aca="false">_xlfn.NUMBERVALUE(solar!B134)</f>
        <v>0</v>
      </c>
      <c r="C137" s="11" t="n">
        <f aca="false">solar!C134</f>
        <v>0</v>
      </c>
      <c r="D137" s="11" t="n">
        <v>13</v>
      </c>
      <c r="E137" s="5" t="n">
        <v>133</v>
      </c>
      <c r="F137" s="16" t="n">
        <f aca="false">IFERROR(INDEX($B$5:$C$173, MATCH($E137, $B$5:$B$175, 0), 2), 0)*investment!$C$2</f>
        <v>0</v>
      </c>
      <c r="G137" s="5" t="n">
        <f aca="false">demand!C135</f>
        <v>0</v>
      </c>
      <c r="H137" s="2" t="n">
        <f aca="false">solgen!C135</f>
        <v>0</v>
      </c>
      <c r="I137" s="2" t="n">
        <f aca="false">import!C135</f>
        <v>0</v>
      </c>
      <c r="J137" s="2" t="n">
        <f aca="false">-export!C135</f>
        <v>-0</v>
      </c>
      <c r="K137" s="2" t="n">
        <f aca="false">-charge!C135</f>
        <v>-0</v>
      </c>
      <c r="L137" s="2" t="n">
        <f aca="false">discharge!C135</f>
        <v>0</v>
      </c>
      <c r="M137" s="2" t="n">
        <f aca="false">soc!C135/investment!$E$2 *100</f>
        <v>87.5733735307958</v>
      </c>
      <c r="N137" s="4" t="n">
        <f aca="false">p_micro!C134</f>
        <v>0</v>
      </c>
    </row>
    <row r="138" customFormat="false" ht="13.8" hidden="false" customHeight="false" outlineLevel="0" collapsed="false">
      <c r="B138" s="10" t="n">
        <f aca="false">_xlfn.NUMBERVALUE(solar!B135)</f>
        <v>0</v>
      </c>
      <c r="C138" s="11" t="n">
        <f aca="false">solar!C135</f>
        <v>0</v>
      </c>
      <c r="D138" s="11" t="n">
        <v>14</v>
      </c>
      <c r="E138" s="5" t="n">
        <v>134</v>
      </c>
      <c r="F138" s="16" t="n">
        <f aca="false">IFERROR(INDEX($B$5:$C$173, MATCH($E138, $B$5:$B$175, 0), 2), 0)*investment!$C$2</f>
        <v>0</v>
      </c>
      <c r="G138" s="5" t="n">
        <f aca="false">demand!C136</f>
        <v>0</v>
      </c>
      <c r="H138" s="2" t="n">
        <f aca="false">solgen!C136</f>
        <v>0</v>
      </c>
      <c r="I138" s="2" t="n">
        <f aca="false">import!C136</f>
        <v>0</v>
      </c>
      <c r="J138" s="2" t="n">
        <f aca="false">-export!C136</f>
        <v>-0</v>
      </c>
      <c r="K138" s="2" t="n">
        <f aca="false">-charge!C136</f>
        <v>-0</v>
      </c>
      <c r="L138" s="2" t="n">
        <f aca="false">discharge!C136</f>
        <v>0</v>
      </c>
      <c r="M138" s="2" t="n">
        <f aca="false">soc!C136/investment!$E$2 *100</f>
        <v>99.6944381524284</v>
      </c>
      <c r="N138" s="4" t="n">
        <f aca="false">p_micro!C135</f>
        <v>0</v>
      </c>
    </row>
    <row r="139" customFormat="false" ht="13.8" hidden="false" customHeight="false" outlineLevel="0" collapsed="false">
      <c r="B139" s="10" t="n">
        <f aca="false">_xlfn.NUMBERVALUE(solar!B136)</f>
        <v>0</v>
      </c>
      <c r="C139" s="11" t="n">
        <f aca="false">solar!C136</f>
        <v>0</v>
      </c>
      <c r="D139" s="11" t="n">
        <v>15</v>
      </c>
      <c r="E139" s="5" t="n">
        <v>135</v>
      </c>
      <c r="F139" s="16" t="n">
        <f aca="false">IFERROR(INDEX($B$5:$C$173, MATCH($E139, $B$5:$B$175, 0), 2), 0)*investment!$C$2</f>
        <v>0</v>
      </c>
      <c r="G139" s="5" t="n">
        <f aca="false">demand!C137</f>
        <v>0</v>
      </c>
      <c r="H139" s="2" t="n">
        <f aca="false">solgen!C137</f>
        <v>0</v>
      </c>
      <c r="I139" s="2" t="n">
        <f aca="false">import!C137</f>
        <v>0</v>
      </c>
      <c r="J139" s="2" t="n">
        <f aca="false">-export!C137</f>
        <v>-0</v>
      </c>
      <c r="K139" s="2" t="n">
        <f aca="false">-charge!C137</f>
        <v>-0</v>
      </c>
      <c r="L139" s="2" t="n">
        <f aca="false">discharge!C137</f>
        <v>0</v>
      </c>
      <c r="M139" s="2" t="n">
        <f aca="false">soc!C137/investment!$E$2 *100</f>
        <v>100</v>
      </c>
      <c r="N139" s="4" t="n">
        <f aca="false">p_micro!C136</f>
        <v>0</v>
      </c>
    </row>
    <row r="140" customFormat="false" ht="13.8" hidden="false" customHeight="false" outlineLevel="0" collapsed="false">
      <c r="B140" s="10" t="n">
        <f aca="false">_xlfn.NUMBERVALUE(solar!B137)</f>
        <v>0</v>
      </c>
      <c r="C140" s="11" t="n">
        <f aca="false">solar!C137</f>
        <v>0</v>
      </c>
      <c r="D140" s="11" t="n">
        <v>16</v>
      </c>
      <c r="E140" s="5" t="n">
        <v>136</v>
      </c>
      <c r="F140" s="16" t="n">
        <f aca="false">IFERROR(INDEX($B$5:$C$173, MATCH($E140, $B$5:$B$175, 0), 2), 0)*investment!$C$2</f>
        <v>0</v>
      </c>
      <c r="G140" s="5" t="n">
        <f aca="false">demand!C138</f>
        <v>0</v>
      </c>
      <c r="H140" s="2" t="n">
        <f aca="false">solgen!C138</f>
        <v>0</v>
      </c>
      <c r="I140" s="2" t="n">
        <f aca="false">import!C138</f>
        <v>0</v>
      </c>
      <c r="J140" s="2" t="n">
        <f aca="false">-export!C138</f>
        <v>-0</v>
      </c>
      <c r="K140" s="2" t="n">
        <f aca="false">-charge!C138</f>
        <v>-0</v>
      </c>
      <c r="L140" s="2" t="n">
        <f aca="false">discharge!C138</f>
        <v>0</v>
      </c>
      <c r="M140" s="2" t="n">
        <f aca="false">soc!C138/investment!$E$2 *100</f>
        <v>96.5337522491854</v>
      </c>
      <c r="N140" s="4" t="n">
        <f aca="false">p_micro!C137</f>
        <v>0</v>
      </c>
    </row>
    <row r="141" customFormat="false" ht="13.8" hidden="false" customHeight="false" outlineLevel="0" collapsed="false">
      <c r="B141" s="10" t="n">
        <f aca="false">_xlfn.NUMBERVALUE(solar!B138)</f>
        <v>0</v>
      </c>
      <c r="C141" s="11" t="n">
        <f aca="false">solar!C138</f>
        <v>0</v>
      </c>
      <c r="D141" s="11" t="n">
        <v>17</v>
      </c>
      <c r="E141" s="5" t="n">
        <v>137</v>
      </c>
      <c r="F141" s="16" t="n">
        <f aca="false">IFERROR(INDEX($B$5:$C$173, MATCH($E141, $B$5:$B$175, 0), 2), 0)*investment!$C$2</f>
        <v>0</v>
      </c>
      <c r="G141" s="5" t="n">
        <f aca="false">demand!C139</f>
        <v>0</v>
      </c>
      <c r="H141" s="2" t="n">
        <f aca="false">solgen!C139</f>
        <v>0</v>
      </c>
      <c r="I141" s="2" t="n">
        <f aca="false">import!C139</f>
        <v>0</v>
      </c>
      <c r="J141" s="2" t="n">
        <f aca="false">-export!C139</f>
        <v>-0</v>
      </c>
      <c r="K141" s="2" t="n">
        <f aca="false">-charge!C139</f>
        <v>-0</v>
      </c>
      <c r="L141" s="2" t="n">
        <f aca="false">discharge!C139</f>
        <v>0</v>
      </c>
      <c r="M141" s="2" t="n">
        <f aca="false">soc!C139/investment!$E$2 *100</f>
        <v>90.3910368270027</v>
      </c>
      <c r="N141" s="4" t="n">
        <f aca="false">p_micro!C138</f>
        <v>0</v>
      </c>
    </row>
    <row r="142" customFormat="false" ht="13.8" hidden="false" customHeight="false" outlineLevel="0" collapsed="false">
      <c r="B142" s="10" t="n">
        <f aca="false">_xlfn.NUMBERVALUE(solar!B139)</f>
        <v>0</v>
      </c>
      <c r="C142" s="11" t="n">
        <f aca="false">solar!C139</f>
        <v>0</v>
      </c>
      <c r="D142" s="11" t="n">
        <v>18</v>
      </c>
      <c r="E142" s="5" t="n">
        <v>138</v>
      </c>
      <c r="F142" s="16" t="n">
        <f aca="false">IFERROR(INDEX($B$5:$C$173, MATCH($E142, $B$5:$B$175, 0), 2), 0)*investment!$C$2</f>
        <v>0</v>
      </c>
      <c r="G142" s="5" t="n">
        <f aca="false">demand!C140</f>
        <v>0</v>
      </c>
      <c r="H142" s="2" t="n">
        <f aca="false">solgen!C140</f>
        <v>0</v>
      </c>
      <c r="I142" s="2" t="n">
        <f aca="false">import!C140</f>
        <v>0</v>
      </c>
      <c r="J142" s="2" t="n">
        <f aca="false">-export!C140</f>
        <v>-0</v>
      </c>
      <c r="K142" s="2" t="n">
        <f aca="false">-charge!C140</f>
        <v>-0</v>
      </c>
      <c r="L142" s="2" t="n">
        <f aca="false">discharge!C140</f>
        <v>0</v>
      </c>
      <c r="M142" s="2" t="n">
        <f aca="false">soc!C140/investment!$E$2 *100</f>
        <v>83.3286767287906</v>
      </c>
      <c r="N142" s="4" t="n">
        <f aca="false">p_micro!C139</f>
        <v>0</v>
      </c>
    </row>
    <row r="143" customFormat="false" ht="13.8" hidden="false" customHeight="false" outlineLevel="0" collapsed="false">
      <c r="B143" s="10" t="n">
        <f aca="false">_xlfn.NUMBERVALUE(solar!B140)</f>
        <v>0</v>
      </c>
      <c r="C143" s="11" t="n">
        <f aca="false">solar!C140</f>
        <v>0</v>
      </c>
      <c r="D143" s="11" t="n">
        <v>19</v>
      </c>
      <c r="E143" s="5" t="n">
        <v>139</v>
      </c>
      <c r="F143" s="16" t="n">
        <f aca="false">IFERROR(INDEX($B$5:$C$173, MATCH($E143, $B$5:$B$175, 0), 2), 0)*investment!$C$2</f>
        <v>0</v>
      </c>
      <c r="G143" s="5" t="n">
        <f aca="false">demand!C141</f>
        <v>0</v>
      </c>
      <c r="H143" s="2" t="n">
        <f aca="false">solgen!C141</f>
        <v>0</v>
      </c>
      <c r="I143" s="2" t="n">
        <f aca="false">import!C141</f>
        <v>0</v>
      </c>
      <c r="J143" s="2" t="n">
        <f aca="false">-export!C141</f>
        <v>-0</v>
      </c>
      <c r="K143" s="2" t="n">
        <f aca="false">-charge!C141</f>
        <v>-0</v>
      </c>
      <c r="L143" s="2" t="n">
        <f aca="false">discharge!C141</f>
        <v>0</v>
      </c>
      <c r="M143" s="2" t="n">
        <f aca="false">soc!C141/investment!$E$2 *100</f>
        <v>73.3062521845068</v>
      </c>
      <c r="N143" s="4" t="n">
        <f aca="false">p_micro!C140</f>
        <v>0</v>
      </c>
    </row>
    <row r="144" customFormat="false" ht="13.8" hidden="false" customHeight="false" outlineLevel="0" collapsed="false">
      <c r="B144" s="10" t="n">
        <f aca="false">_xlfn.NUMBERVALUE(solar!B141)</f>
        <v>0</v>
      </c>
      <c r="C144" s="11" t="n">
        <f aca="false">solar!C141</f>
        <v>0</v>
      </c>
      <c r="D144" s="11" t="n">
        <v>20</v>
      </c>
      <c r="E144" s="5" t="n">
        <v>140</v>
      </c>
      <c r="F144" s="16" t="n">
        <f aca="false">IFERROR(INDEX($B$5:$C$173, MATCH($E144, $B$5:$B$175, 0), 2), 0)*investment!$C$2</f>
        <v>0</v>
      </c>
      <c r="G144" s="5" t="n">
        <f aca="false">demand!C142</f>
        <v>0</v>
      </c>
      <c r="H144" s="2" t="n">
        <f aca="false">solgen!C142</f>
        <v>0</v>
      </c>
      <c r="I144" s="2" t="n">
        <f aca="false">import!C142</f>
        <v>0</v>
      </c>
      <c r="J144" s="2" t="n">
        <f aca="false">-export!C142</f>
        <v>-0</v>
      </c>
      <c r="K144" s="2" t="n">
        <f aca="false">-charge!C142</f>
        <v>-0</v>
      </c>
      <c r="L144" s="2" t="n">
        <f aca="false">discharge!C142</f>
        <v>0</v>
      </c>
      <c r="M144" s="2" t="n">
        <f aca="false">soc!C142/investment!$E$2 *100</f>
        <v>63.5957900158032</v>
      </c>
      <c r="N144" s="4" t="n">
        <f aca="false">p_micro!C141</f>
        <v>0</v>
      </c>
    </row>
    <row r="145" customFormat="false" ht="13.8" hidden="false" customHeight="false" outlineLevel="0" collapsed="false">
      <c r="B145" s="10" t="n">
        <f aca="false">_xlfn.NUMBERVALUE(solar!B142)</f>
        <v>0</v>
      </c>
      <c r="C145" s="11" t="n">
        <f aca="false">solar!C142</f>
        <v>0</v>
      </c>
      <c r="D145" s="11" t="n">
        <v>21</v>
      </c>
      <c r="E145" s="5" t="n">
        <v>141</v>
      </c>
      <c r="F145" s="16" t="n">
        <f aca="false">IFERROR(INDEX($B$5:$C$173, MATCH($E145, $B$5:$B$175, 0), 2), 0)*investment!$C$2</f>
        <v>0</v>
      </c>
      <c r="G145" s="5" t="n">
        <f aca="false">demand!C143</f>
        <v>0</v>
      </c>
      <c r="H145" s="2" t="n">
        <f aca="false">solgen!C143</f>
        <v>0</v>
      </c>
      <c r="I145" s="2" t="n">
        <f aca="false">import!C143</f>
        <v>0</v>
      </c>
      <c r="J145" s="2" t="n">
        <f aca="false">-export!C143</f>
        <v>-0</v>
      </c>
      <c r="K145" s="2" t="n">
        <f aca="false">-charge!C143</f>
        <v>-0</v>
      </c>
      <c r="L145" s="2" t="n">
        <f aca="false">discharge!C143</f>
        <v>0</v>
      </c>
      <c r="M145" s="2" t="n">
        <f aca="false">soc!C143/investment!$E$2 *100</f>
        <v>54.0058627232368</v>
      </c>
      <c r="N145" s="4" t="n">
        <f aca="false">p_micro!C142</f>
        <v>0</v>
      </c>
    </row>
    <row r="146" customFormat="false" ht="13.8" hidden="false" customHeight="false" outlineLevel="0" collapsed="false">
      <c r="B146" s="10" t="n">
        <f aca="false">_xlfn.NUMBERVALUE(solar!B143)</f>
        <v>0</v>
      </c>
      <c r="C146" s="11" t="n">
        <f aca="false">solar!C143</f>
        <v>0</v>
      </c>
      <c r="D146" s="11" t="n">
        <v>22</v>
      </c>
      <c r="E146" s="5" t="n">
        <v>142</v>
      </c>
      <c r="F146" s="16" t="n">
        <f aca="false">IFERROR(INDEX($B$5:$C$173, MATCH($E146, $B$5:$B$175, 0), 2), 0)*investment!$C$2</f>
        <v>0</v>
      </c>
      <c r="G146" s="5" t="n">
        <f aca="false">demand!C144</f>
        <v>0</v>
      </c>
      <c r="H146" s="2" t="n">
        <f aca="false">solgen!C144</f>
        <v>0</v>
      </c>
      <c r="I146" s="2" t="n">
        <f aca="false">import!C144</f>
        <v>0</v>
      </c>
      <c r="J146" s="2" t="n">
        <f aca="false">-export!C144</f>
        <v>-0</v>
      </c>
      <c r="K146" s="2" t="n">
        <f aca="false">-charge!C144</f>
        <v>-0</v>
      </c>
      <c r="L146" s="2" t="n">
        <f aca="false">discharge!C144</f>
        <v>0</v>
      </c>
      <c r="M146" s="2" t="n">
        <f aca="false">soc!C144/investment!$E$2 *100</f>
        <v>43.5724344904247</v>
      </c>
      <c r="N146" s="4" t="n">
        <f aca="false">p_micro!C143</f>
        <v>0</v>
      </c>
    </row>
    <row r="147" customFormat="false" ht="13.8" hidden="false" customHeight="false" outlineLevel="0" collapsed="false">
      <c r="B147" s="10" t="n">
        <f aca="false">_xlfn.NUMBERVALUE(solar!B144)</f>
        <v>0</v>
      </c>
      <c r="C147" s="11" t="n">
        <f aca="false">solar!C144</f>
        <v>0</v>
      </c>
      <c r="D147" s="11" t="n">
        <v>23</v>
      </c>
      <c r="E147" s="5" t="n">
        <v>143</v>
      </c>
      <c r="F147" s="16" t="n">
        <f aca="false">IFERROR(INDEX($B$5:$C$173, MATCH($E147, $B$5:$B$175, 0), 2), 0)*investment!$C$2</f>
        <v>0</v>
      </c>
      <c r="G147" s="5" t="n">
        <f aca="false">demand!C145</f>
        <v>0</v>
      </c>
      <c r="H147" s="2" t="n">
        <f aca="false">solgen!C145</f>
        <v>0</v>
      </c>
      <c r="I147" s="2" t="n">
        <f aca="false">import!C145</f>
        <v>0</v>
      </c>
      <c r="J147" s="2" t="n">
        <f aca="false">-export!C145</f>
        <v>-0</v>
      </c>
      <c r="K147" s="2" t="n">
        <f aca="false">-charge!C145</f>
        <v>-0</v>
      </c>
      <c r="L147" s="2" t="n">
        <f aca="false">discharge!C145</f>
        <v>0</v>
      </c>
      <c r="M147" s="2" t="n">
        <f aca="false">soc!C145/investment!$E$2 *100</f>
        <v>35.0057451777028</v>
      </c>
      <c r="N147" s="4" t="n">
        <f aca="false">p_micro!C144</f>
        <v>0</v>
      </c>
    </row>
    <row r="148" customFormat="false" ht="13.8" hidden="false" customHeight="false" outlineLevel="0" collapsed="false">
      <c r="B148" s="10" t="n">
        <f aca="false">_xlfn.NUMBERVALUE(solar!B145)</f>
        <v>0</v>
      </c>
      <c r="C148" s="11" t="n">
        <f aca="false">solar!C145</f>
        <v>0</v>
      </c>
      <c r="D148" s="11" t="n">
        <v>24</v>
      </c>
      <c r="E148" s="5" t="n">
        <v>144</v>
      </c>
      <c r="F148" s="16" t="n">
        <f aca="false">IFERROR(INDEX($B$5:$C$173, MATCH($E148, $B$5:$B$175, 0), 2), 0)*investment!$C$2</f>
        <v>0</v>
      </c>
      <c r="G148" s="5" t="n">
        <f aca="false">demand!C146</f>
        <v>0</v>
      </c>
      <c r="H148" s="2" t="n">
        <f aca="false">solgen!C146</f>
        <v>0</v>
      </c>
      <c r="I148" s="2" t="n">
        <f aca="false">import!C146</f>
        <v>0</v>
      </c>
      <c r="J148" s="2" t="n">
        <f aca="false">-export!C146</f>
        <v>-0</v>
      </c>
      <c r="K148" s="2" t="n">
        <f aca="false">-charge!C146</f>
        <v>-0</v>
      </c>
      <c r="L148" s="2" t="n">
        <f aca="false">discharge!C146</f>
        <v>0</v>
      </c>
      <c r="M148" s="2" t="n">
        <f aca="false">soc!C146/investment!$E$2 *100</f>
        <v>29.4234004672314</v>
      </c>
      <c r="N148" s="4" t="n">
        <f aca="false">p_micro!C145</f>
        <v>0</v>
      </c>
    </row>
    <row r="149" customFormat="false" ht="13.8" hidden="false" customHeight="false" outlineLevel="0" collapsed="false">
      <c r="B149" s="10" t="n">
        <f aca="false">_xlfn.NUMBERVALUE(solar!B146)</f>
        <v>0</v>
      </c>
      <c r="C149" s="11" t="n">
        <f aca="false">solar!C146</f>
        <v>0</v>
      </c>
      <c r="D149" s="11" t="n">
        <v>1</v>
      </c>
      <c r="E149" s="5" t="n">
        <v>145</v>
      </c>
      <c r="F149" s="16" t="n">
        <f aca="false">IFERROR(INDEX($B$5:$C$173, MATCH($E149, $B$5:$B$175, 0), 2), 0)*investment!$C$2</f>
        <v>0</v>
      </c>
      <c r="G149" s="5" t="n">
        <f aca="false">demand!C147</f>
        <v>0</v>
      </c>
      <c r="H149" s="2" t="n">
        <f aca="false">solgen!C147</f>
        <v>0</v>
      </c>
      <c r="I149" s="2" t="n">
        <f aca="false">import!C147</f>
        <v>0</v>
      </c>
      <c r="J149" s="2" t="n">
        <f aca="false">-export!C147</f>
        <v>-0</v>
      </c>
      <c r="K149" s="2" t="n">
        <f aca="false">-charge!C147</f>
        <v>-0</v>
      </c>
      <c r="L149" s="2" t="n">
        <f aca="false">discharge!C147</f>
        <v>0</v>
      </c>
      <c r="M149" s="2" t="n">
        <f aca="false">soc!C147/investment!$E$2 *100</f>
        <v>24.7739701841847</v>
      </c>
      <c r="N149" s="4" t="n">
        <f aca="false">p_micro!C146</f>
        <v>0</v>
      </c>
    </row>
    <row r="150" customFormat="false" ht="13.8" hidden="false" customHeight="false" outlineLevel="0" collapsed="false">
      <c r="B150" s="10" t="n">
        <f aca="false">_xlfn.NUMBERVALUE(solar!B147)</f>
        <v>0</v>
      </c>
      <c r="C150" s="11" t="n">
        <f aca="false">solar!C147</f>
        <v>0</v>
      </c>
      <c r="D150" s="11" t="n">
        <v>2</v>
      </c>
      <c r="E150" s="5" t="n">
        <v>146</v>
      </c>
      <c r="F150" s="16" t="n">
        <f aca="false">IFERROR(INDEX($B$5:$C$173, MATCH($E150, $B$5:$B$175, 0), 2), 0)*investment!$C$2</f>
        <v>0</v>
      </c>
      <c r="G150" s="5" t="n">
        <f aca="false">demand!C148</f>
        <v>0</v>
      </c>
      <c r="H150" s="2" t="n">
        <f aca="false">solgen!C148</f>
        <v>0</v>
      </c>
      <c r="I150" s="2" t="n">
        <f aca="false">import!C148</f>
        <v>0</v>
      </c>
      <c r="J150" s="2" t="n">
        <f aca="false">-export!C148</f>
        <v>-0</v>
      </c>
      <c r="K150" s="2" t="n">
        <f aca="false">-charge!C148</f>
        <v>-0</v>
      </c>
      <c r="L150" s="2" t="n">
        <f aca="false">discharge!C148</f>
        <v>0</v>
      </c>
      <c r="M150" s="2" t="n">
        <f aca="false">soc!C148/investment!$E$2 *100</f>
        <v>19.0472794534331</v>
      </c>
      <c r="N150" s="4" t="n">
        <f aca="false">p_micro!C147</f>
        <v>0</v>
      </c>
    </row>
    <row r="151" customFormat="false" ht="13.8" hidden="false" customHeight="false" outlineLevel="0" collapsed="false">
      <c r="B151" s="10" t="n">
        <f aca="false">_xlfn.NUMBERVALUE(solar!B148)</f>
        <v>0</v>
      </c>
      <c r="C151" s="11" t="n">
        <f aca="false">solar!C148</f>
        <v>0</v>
      </c>
      <c r="D151" s="11" t="n">
        <v>3</v>
      </c>
      <c r="E151" s="5" t="n">
        <v>147</v>
      </c>
      <c r="F151" s="16" t="n">
        <f aca="false">IFERROR(INDEX($B$5:$C$173, MATCH($E151, $B$5:$B$175, 0), 2), 0)*investment!$C$2</f>
        <v>0</v>
      </c>
      <c r="G151" s="5" t="n">
        <f aca="false">demand!C149</f>
        <v>0</v>
      </c>
      <c r="H151" s="2" t="n">
        <f aca="false">solgen!C149</f>
        <v>0</v>
      </c>
      <c r="I151" s="2" t="n">
        <f aca="false">import!C149</f>
        <v>0</v>
      </c>
      <c r="J151" s="2" t="n">
        <f aca="false">-export!C149</f>
        <v>-0</v>
      </c>
      <c r="K151" s="2" t="n">
        <f aca="false">-charge!C149</f>
        <v>-0</v>
      </c>
      <c r="L151" s="2" t="n">
        <f aca="false">discharge!C149</f>
        <v>0</v>
      </c>
      <c r="M151" s="2" t="n">
        <f aca="false">soc!C149/investment!$E$2 *100</f>
        <v>15.0052165975402</v>
      </c>
      <c r="N151" s="4" t="n">
        <f aca="false">p_micro!C148</f>
        <v>0</v>
      </c>
    </row>
    <row r="152" customFormat="false" ht="13.8" hidden="false" customHeight="false" outlineLevel="0" collapsed="false">
      <c r="B152" s="10" t="n">
        <f aca="false">_xlfn.NUMBERVALUE(solar!B149)</f>
        <v>0</v>
      </c>
      <c r="C152" s="11" t="n">
        <f aca="false">solar!C149</f>
        <v>0</v>
      </c>
      <c r="D152" s="11" t="n">
        <v>4</v>
      </c>
      <c r="E152" s="5" t="n">
        <v>148</v>
      </c>
      <c r="F152" s="16" t="n">
        <f aca="false">IFERROR(INDEX($B$5:$C$173, MATCH($E152, $B$5:$B$175, 0), 2), 0)*investment!$C$2</f>
        <v>0</v>
      </c>
      <c r="G152" s="5" t="n">
        <f aca="false">demand!C150</f>
        <v>0</v>
      </c>
      <c r="H152" s="2" t="n">
        <f aca="false">solgen!C150</f>
        <v>0</v>
      </c>
      <c r="I152" s="2" t="n">
        <f aca="false">import!C150</f>
        <v>0</v>
      </c>
      <c r="J152" s="2" t="n">
        <f aca="false">-export!C150</f>
        <v>-0</v>
      </c>
      <c r="K152" s="2" t="n">
        <f aca="false">-charge!C150</f>
        <v>-0</v>
      </c>
      <c r="L152" s="2" t="n">
        <f aca="false">discharge!C150</f>
        <v>0</v>
      </c>
      <c r="M152" s="2" t="n">
        <f aca="false">soc!C150/investment!$E$2 *100</f>
        <v>10.043575029554</v>
      </c>
      <c r="N152" s="4" t="n">
        <f aca="false">p_micro!C149</f>
        <v>0</v>
      </c>
    </row>
    <row r="153" customFormat="false" ht="13.8" hidden="false" customHeight="false" outlineLevel="0" collapsed="false">
      <c r="B153" s="10" t="n">
        <f aca="false">_xlfn.NUMBERVALUE(solar!B150)</f>
        <v>0</v>
      </c>
      <c r="C153" s="11" t="n">
        <f aca="false">solar!C150</f>
        <v>0</v>
      </c>
      <c r="D153" s="11" t="n">
        <v>5</v>
      </c>
      <c r="E153" s="5" t="n">
        <v>149</v>
      </c>
      <c r="F153" s="16" t="n">
        <f aca="false">IFERROR(INDEX($B$5:$C$173, MATCH($E153, $B$5:$B$175, 0), 2), 0)*investment!$C$2</f>
        <v>0</v>
      </c>
      <c r="G153" s="5" t="n">
        <f aca="false">demand!C151</f>
        <v>0</v>
      </c>
      <c r="H153" s="2" t="n">
        <f aca="false">solgen!C151</f>
        <v>0</v>
      </c>
      <c r="I153" s="2" t="n">
        <f aca="false">import!C151</f>
        <v>0</v>
      </c>
      <c r="J153" s="2" t="n">
        <f aca="false">-export!C151</f>
        <v>-0</v>
      </c>
      <c r="K153" s="2" t="n">
        <f aca="false">-charge!C151</f>
        <v>-0</v>
      </c>
      <c r="L153" s="2" t="n">
        <f aca="false">discharge!C151</f>
        <v>0</v>
      </c>
      <c r="M153" s="2" t="n">
        <f aca="false">soc!C151/investment!$E$2 *100</f>
        <v>6.4031717742698</v>
      </c>
      <c r="N153" s="4" t="n">
        <f aca="false">p_micro!C150</f>
        <v>0</v>
      </c>
    </row>
    <row r="154" customFormat="false" ht="13.8" hidden="false" customHeight="false" outlineLevel="0" collapsed="false">
      <c r="B154" s="10" t="n">
        <f aca="false">_xlfn.NUMBERVALUE(solar!B151)</f>
        <v>0</v>
      </c>
      <c r="C154" s="11" t="n">
        <f aca="false">solar!C151</f>
        <v>0</v>
      </c>
      <c r="D154" s="11" t="n">
        <v>6</v>
      </c>
      <c r="E154" s="5" t="n">
        <v>150</v>
      </c>
      <c r="F154" s="16" t="n">
        <f aca="false">IFERROR(INDEX($B$5:$C$173, MATCH($E154, $B$5:$B$175, 0), 2), 0)*investment!$C$2</f>
        <v>0</v>
      </c>
      <c r="G154" s="5" t="n">
        <f aca="false">demand!C152</f>
        <v>0</v>
      </c>
      <c r="H154" s="2" t="n">
        <f aca="false">solgen!C152</f>
        <v>0</v>
      </c>
      <c r="I154" s="2" t="n">
        <f aca="false">import!C152</f>
        <v>0</v>
      </c>
      <c r="J154" s="2" t="n">
        <f aca="false">-export!C152</f>
        <v>-0</v>
      </c>
      <c r="K154" s="2" t="n">
        <f aca="false">-charge!C152</f>
        <v>-0</v>
      </c>
      <c r="L154" s="2" t="n">
        <f aca="false">discharge!C152</f>
        <v>0</v>
      </c>
      <c r="M154" s="2" t="n">
        <f aca="false">soc!C152/investment!$E$2 *100</f>
        <v>1.48186204834895</v>
      </c>
      <c r="N154" s="4" t="n">
        <f aca="false">p_micro!C151</f>
        <v>0</v>
      </c>
    </row>
    <row r="155" customFormat="false" ht="13.8" hidden="false" customHeight="false" outlineLevel="0" collapsed="false">
      <c r="B155" s="10" t="n">
        <f aca="false">_xlfn.NUMBERVALUE(solar!B152)</f>
        <v>0</v>
      </c>
      <c r="C155" s="11" t="n">
        <f aca="false">solar!C152</f>
        <v>0</v>
      </c>
      <c r="D155" s="11" t="n">
        <v>7</v>
      </c>
      <c r="E155" s="5" t="n">
        <v>151</v>
      </c>
      <c r="F155" s="16" t="n">
        <f aca="false">IFERROR(INDEX($B$5:$C$173, MATCH($E155, $B$5:$B$175, 0), 2), 0)*investment!$C$2</f>
        <v>0</v>
      </c>
      <c r="G155" s="5" t="n">
        <f aca="false">demand!C153</f>
        <v>0</v>
      </c>
      <c r="H155" s="2" t="n">
        <f aca="false">solgen!C153</f>
        <v>0</v>
      </c>
      <c r="I155" s="2" t="n">
        <f aca="false">import!C153</f>
        <v>0</v>
      </c>
      <c r="J155" s="2" t="n">
        <f aca="false">-export!C153</f>
        <v>-0</v>
      </c>
      <c r="K155" s="2" t="n">
        <f aca="false">-charge!C153</f>
        <v>-0</v>
      </c>
      <c r="L155" s="2" t="n">
        <f aca="false">discharge!C153</f>
        <v>0</v>
      </c>
      <c r="M155" s="2" t="n">
        <f aca="false">soc!C153/investment!$E$2 *100</f>
        <v>0</v>
      </c>
      <c r="N155" s="4" t="n">
        <f aca="false">p_micro!C152</f>
        <v>0</v>
      </c>
    </row>
    <row r="156" customFormat="false" ht="13.8" hidden="false" customHeight="false" outlineLevel="0" collapsed="false">
      <c r="B156" s="10" t="n">
        <f aca="false">_xlfn.NUMBERVALUE(solar!B153)</f>
        <v>0</v>
      </c>
      <c r="C156" s="11" t="n">
        <f aca="false">solar!C153</f>
        <v>0</v>
      </c>
      <c r="D156" s="11" t="n">
        <v>8</v>
      </c>
      <c r="E156" s="5" t="n">
        <v>152</v>
      </c>
      <c r="F156" s="16" t="n">
        <f aca="false">IFERROR(INDEX($B$5:$C$173, MATCH($E156, $B$5:$B$175, 0), 2), 0)*investment!$C$2</f>
        <v>0</v>
      </c>
      <c r="G156" s="5" t="n">
        <f aca="false">demand!C154</f>
        <v>0</v>
      </c>
      <c r="H156" s="2" t="n">
        <f aca="false">solgen!C154</f>
        <v>0</v>
      </c>
      <c r="I156" s="2" t="n">
        <f aca="false">import!C154</f>
        <v>0</v>
      </c>
      <c r="J156" s="2" t="n">
        <f aca="false">-export!C154</f>
        <v>-0</v>
      </c>
      <c r="K156" s="2" t="n">
        <f aca="false">-charge!C154</f>
        <v>-0</v>
      </c>
      <c r="L156" s="2" t="n">
        <f aca="false">discharge!C154</f>
        <v>0</v>
      </c>
      <c r="M156" s="2" t="n">
        <f aca="false">soc!C154/investment!$E$2 *100</f>
        <v>0</v>
      </c>
      <c r="N156" s="4" t="n">
        <f aca="false">p_micro!C153</f>
        <v>0</v>
      </c>
    </row>
    <row r="157" customFormat="false" ht="13.8" hidden="false" customHeight="false" outlineLevel="0" collapsed="false">
      <c r="B157" s="10" t="n">
        <f aca="false">_xlfn.NUMBERVALUE(solar!B154)</f>
        <v>0</v>
      </c>
      <c r="C157" s="11" t="n">
        <f aca="false">solar!C154</f>
        <v>0</v>
      </c>
      <c r="D157" s="11" t="n">
        <v>9</v>
      </c>
      <c r="E157" s="5" t="n">
        <v>153</v>
      </c>
      <c r="F157" s="16" t="n">
        <f aca="false">IFERROR(INDEX($B$5:$C$173, MATCH($E157, $B$5:$B$175, 0), 2), 0)*investment!$C$2</f>
        <v>0</v>
      </c>
      <c r="G157" s="5" t="n">
        <f aca="false">demand!C155</f>
        <v>0</v>
      </c>
      <c r="H157" s="2" t="n">
        <f aca="false">solgen!C155</f>
        <v>0</v>
      </c>
      <c r="I157" s="2" t="n">
        <f aca="false">import!C155</f>
        <v>0</v>
      </c>
      <c r="J157" s="2" t="n">
        <f aca="false">-export!C155</f>
        <v>-0</v>
      </c>
      <c r="K157" s="2" t="n">
        <f aca="false">-charge!C155</f>
        <v>-0</v>
      </c>
      <c r="L157" s="2" t="n">
        <f aca="false">discharge!C155</f>
        <v>0</v>
      </c>
      <c r="M157" s="2" t="n">
        <f aca="false">soc!C155/investment!$E$2 *100</f>
        <v>0</v>
      </c>
      <c r="N157" s="4" t="n">
        <f aca="false">p_micro!C154</f>
        <v>0</v>
      </c>
    </row>
    <row r="158" customFormat="false" ht="13.8" hidden="false" customHeight="false" outlineLevel="0" collapsed="false">
      <c r="B158" s="10" t="n">
        <f aca="false">_xlfn.NUMBERVALUE(solar!B155)</f>
        <v>0</v>
      </c>
      <c r="C158" s="11" t="n">
        <f aca="false">solar!C155</f>
        <v>0</v>
      </c>
      <c r="D158" s="11" t="n">
        <v>10</v>
      </c>
      <c r="E158" s="5" t="n">
        <v>154</v>
      </c>
      <c r="F158" s="16" t="n">
        <f aca="false">IFERROR(INDEX($B$5:$C$173, MATCH($E158, $B$5:$B$175, 0), 2), 0)*investment!$C$2</f>
        <v>0</v>
      </c>
      <c r="G158" s="5" t="n">
        <f aca="false">demand!C156</f>
        <v>0</v>
      </c>
      <c r="H158" s="2" t="n">
        <f aca="false">solgen!C156</f>
        <v>0</v>
      </c>
      <c r="I158" s="2" t="n">
        <f aca="false">import!C156</f>
        <v>0</v>
      </c>
      <c r="J158" s="2" t="n">
        <f aca="false">-export!C156</f>
        <v>-0</v>
      </c>
      <c r="K158" s="2" t="n">
        <f aca="false">-charge!C156</f>
        <v>-0</v>
      </c>
      <c r="L158" s="2" t="n">
        <f aca="false">discharge!C156</f>
        <v>0</v>
      </c>
      <c r="M158" s="2" t="n">
        <f aca="false">soc!C156/investment!$E$2 *100</f>
        <v>0</v>
      </c>
      <c r="N158" s="4" t="n">
        <f aca="false">p_micro!C155</f>
        <v>0</v>
      </c>
    </row>
    <row r="159" customFormat="false" ht="13.8" hidden="false" customHeight="false" outlineLevel="0" collapsed="false">
      <c r="B159" s="10" t="n">
        <f aca="false">_xlfn.NUMBERVALUE(solar!B156)</f>
        <v>0</v>
      </c>
      <c r="C159" s="11" t="n">
        <f aca="false">solar!C156</f>
        <v>0</v>
      </c>
      <c r="D159" s="11" t="n">
        <v>11</v>
      </c>
      <c r="E159" s="5" t="n">
        <v>155</v>
      </c>
      <c r="F159" s="16" t="n">
        <f aca="false">IFERROR(INDEX($B$5:$C$173, MATCH($E159, $B$5:$B$175, 0), 2), 0)*investment!$C$2</f>
        <v>0</v>
      </c>
      <c r="G159" s="5" t="n">
        <f aca="false">demand!C157</f>
        <v>0</v>
      </c>
      <c r="H159" s="2" t="n">
        <f aca="false">solgen!C157</f>
        <v>0</v>
      </c>
      <c r="I159" s="2" t="n">
        <f aca="false">import!C157</f>
        <v>0</v>
      </c>
      <c r="J159" s="2" t="n">
        <f aca="false">-export!C157</f>
        <v>-0</v>
      </c>
      <c r="K159" s="2" t="n">
        <f aca="false">-charge!C157</f>
        <v>-0</v>
      </c>
      <c r="L159" s="2" t="n">
        <f aca="false">discharge!C157</f>
        <v>0</v>
      </c>
      <c r="M159" s="2" t="n">
        <f aca="false">soc!C157/investment!$E$2 *100</f>
        <v>0</v>
      </c>
      <c r="N159" s="4" t="n">
        <f aca="false">p_micro!C156</f>
        <v>0</v>
      </c>
    </row>
    <row r="160" customFormat="false" ht="13.8" hidden="false" customHeight="false" outlineLevel="0" collapsed="false">
      <c r="B160" s="10" t="n">
        <f aca="false">_xlfn.NUMBERVALUE(solar!B157)</f>
        <v>0</v>
      </c>
      <c r="C160" s="11" t="n">
        <f aca="false">solar!C157</f>
        <v>0</v>
      </c>
      <c r="D160" s="11" t="n">
        <v>12</v>
      </c>
      <c r="E160" s="5" t="n">
        <v>156</v>
      </c>
      <c r="F160" s="16" t="n">
        <f aca="false">IFERROR(INDEX($B$5:$C$173, MATCH($E160, $B$5:$B$175, 0), 2), 0)*investment!$C$2</f>
        <v>0</v>
      </c>
      <c r="G160" s="5" t="n">
        <f aca="false">demand!C158</f>
        <v>0</v>
      </c>
      <c r="H160" s="2" t="n">
        <f aca="false">solgen!C158</f>
        <v>0</v>
      </c>
      <c r="I160" s="2" t="n">
        <f aca="false">import!C158</f>
        <v>0</v>
      </c>
      <c r="J160" s="2" t="n">
        <f aca="false">-export!C158</f>
        <v>-0</v>
      </c>
      <c r="K160" s="2" t="n">
        <f aca="false">-charge!C158</f>
        <v>-0</v>
      </c>
      <c r="L160" s="2" t="n">
        <f aca="false">discharge!C158</f>
        <v>0</v>
      </c>
      <c r="M160" s="2" t="n">
        <f aca="false">soc!C158/investment!$E$2 *100</f>
        <v>15.0731400026213</v>
      </c>
      <c r="N160" s="4" t="n">
        <f aca="false">p_micro!C157</f>
        <v>0</v>
      </c>
    </row>
    <row r="161" customFormat="false" ht="13.8" hidden="false" customHeight="false" outlineLevel="0" collapsed="false">
      <c r="B161" s="10" t="n">
        <f aca="false">_xlfn.NUMBERVALUE(solar!B158)</f>
        <v>0</v>
      </c>
      <c r="C161" s="11" t="n">
        <f aca="false">solar!C158</f>
        <v>0</v>
      </c>
      <c r="D161" s="11" t="n">
        <v>13</v>
      </c>
      <c r="E161" s="5" t="n">
        <v>157</v>
      </c>
      <c r="F161" s="16" t="n">
        <f aca="false">IFERROR(INDEX($B$5:$C$173, MATCH($E161, $B$5:$B$175, 0), 2), 0)*investment!$C$2</f>
        <v>0</v>
      </c>
      <c r="G161" s="5" t="n">
        <f aca="false">demand!C159</f>
        <v>0</v>
      </c>
      <c r="H161" s="2" t="n">
        <f aca="false">solgen!C159</f>
        <v>0</v>
      </c>
      <c r="I161" s="2" t="n">
        <f aca="false">import!C159</f>
        <v>0</v>
      </c>
      <c r="J161" s="2" t="n">
        <f aca="false">-export!C159</f>
        <v>-0</v>
      </c>
      <c r="K161" s="2" t="n">
        <f aca="false">-charge!C159</f>
        <v>-0</v>
      </c>
      <c r="L161" s="2" t="n">
        <f aca="false">discharge!C159</f>
        <v>0</v>
      </c>
      <c r="M161" s="2" t="n">
        <f aca="false">soc!C159/investment!$E$2 *100</f>
        <v>38.25223401395</v>
      </c>
      <c r="N161" s="4" t="n">
        <f aca="false">p_micro!C158</f>
        <v>0</v>
      </c>
    </row>
    <row r="162" customFormat="false" ht="13.8" hidden="false" customHeight="false" outlineLevel="0" collapsed="false">
      <c r="B162" s="10" t="n">
        <f aca="false">_xlfn.NUMBERVALUE(solar!B159)</f>
        <v>0</v>
      </c>
      <c r="C162" s="11" t="n">
        <f aca="false">solar!C159</f>
        <v>0</v>
      </c>
      <c r="D162" s="11" t="n">
        <v>14</v>
      </c>
      <c r="E162" s="5" t="n">
        <v>158</v>
      </c>
      <c r="F162" s="16" t="n">
        <f aca="false">IFERROR(INDEX($B$5:$C$173, MATCH($E162, $B$5:$B$175, 0), 2), 0)*investment!$C$2</f>
        <v>0</v>
      </c>
      <c r="G162" s="5" t="n">
        <f aca="false">demand!C160</f>
        <v>0</v>
      </c>
      <c r="H162" s="2" t="n">
        <f aca="false">solgen!C160</f>
        <v>0</v>
      </c>
      <c r="I162" s="2" t="n">
        <f aca="false">import!C160</f>
        <v>0</v>
      </c>
      <c r="J162" s="2" t="n">
        <f aca="false">-export!C160</f>
        <v>-0</v>
      </c>
      <c r="K162" s="2" t="n">
        <f aca="false">-charge!C160</f>
        <v>-0</v>
      </c>
      <c r="L162" s="2" t="n">
        <f aca="false">discharge!C160</f>
        <v>0</v>
      </c>
      <c r="M162" s="2" t="n">
        <f aca="false">soc!C160/investment!$E$2 *100</f>
        <v>52.4215913856556</v>
      </c>
      <c r="N162" s="4" t="n">
        <f aca="false">p_micro!C159</f>
        <v>0</v>
      </c>
    </row>
    <row r="163" customFormat="false" ht="13.8" hidden="false" customHeight="false" outlineLevel="0" collapsed="false">
      <c r="B163" s="10" t="n">
        <f aca="false">_xlfn.NUMBERVALUE(solar!B160)</f>
        <v>0</v>
      </c>
      <c r="C163" s="11" t="n">
        <f aca="false">solar!C160</f>
        <v>0</v>
      </c>
      <c r="D163" s="11" t="n">
        <v>15</v>
      </c>
      <c r="E163" s="5" t="n">
        <v>159</v>
      </c>
      <c r="F163" s="16" t="n">
        <f aca="false">IFERROR(INDEX($B$5:$C$173, MATCH($E163, $B$5:$B$175, 0), 2), 0)*investment!$C$2</f>
        <v>0</v>
      </c>
      <c r="G163" s="5" t="n">
        <f aca="false">demand!C161</f>
        <v>0</v>
      </c>
      <c r="H163" s="2" t="n">
        <f aca="false">solgen!C161</f>
        <v>0</v>
      </c>
      <c r="I163" s="2" t="n">
        <f aca="false">import!C161</f>
        <v>0</v>
      </c>
      <c r="J163" s="2" t="n">
        <f aca="false">-export!C161</f>
        <v>-0</v>
      </c>
      <c r="K163" s="2" t="n">
        <f aca="false">-charge!C161</f>
        <v>-0</v>
      </c>
      <c r="L163" s="2" t="n">
        <f aca="false">discharge!C161</f>
        <v>0</v>
      </c>
      <c r="M163" s="2" t="n">
        <f aca="false">soc!C161/investment!$E$2 *100</f>
        <v>62.2383920306241</v>
      </c>
      <c r="N163" s="4" t="n">
        <f aca="false">p_micro!C160</f>
        <v>0</v>
      </c>
    </row>
    <row r="164" customFormat="false" ht="13.8" hidden="false" customHeight="false" outlineLevel="0" collapsed="false">
      <c r="B164" s="10" t="n">
        <f aca="false">_xlfn.NUMBERVALUE(solar!B161)</f>
        <v>0</v>
      </c>
      <c r="C164" s="11" t="n">
        <f aca="false">solar!C161</f>
        <v>0</v>
      </c>
      <c r="D164" s="11" t="n">
        <v>16</v>
      </c>
      <c r="E164" s="5" t="n">
        <v>160</v>
      </c>
      <c r="F164" s="16" t="n">
        <f aca="false">IFERROR(INDEX($B$5:$C$173, MATCH($E164, $B$5:$B$175, 0), 2), 0)*investment!$C$2</f>
        <v>0</v>
      </c>
      <c r="G164" s="5" t="n">
        <f aca="false">demand!C162</f>
        <v>0</v>
      </c>
      <c r="H164" s="2" t="n">
        <f aca="false">solgen!C162</f>
        <v>0</v>
      </c>
      <c r="I164" s="2" t="n">
        <f aca="false">import!C162</f>
        <v>0</v>
      </c>
      <c r="J164" s="2" t="n">
        <f aca="false">-export!C162</f>
        <v>-0</v>
      </c>
      <c r="K164" s="2" t="n">
        <f aca="false">-charge!C162</f>
        <v>-0</v>
      </c>
      <c r="L164" s="2" t="n">
        <f aca="false">discharge!C162</f>
        <v>0</v>
      </c>
      <c r="M164" s="2" t="n">
        <f aca="false">soc!C162/investment!$E$2 *100</f>
        <v>64.9152602179641</v>
      </c>
      <c r="N164" s="4" t="n">
        <f aca="false">p_micro!C161</f>
        <v>0</v>
      </c>
    </row>
    <row r="165" customFormat="false" ht="13.8" hidden="false" customHeight="false" outlineLevel="0" collapsed="false">
      <c r="B165" s="10" t="n">
        <f aca="false">_xlfn.NUMBERVALUE(solar!B162)</f>
        <v>0</v>
      </c>
      <c r="C165" s="11" t="n">
        <f aca="false">solar!C162</f>
        <v>0</v>
      </c>
      <c r="D165" s="11" t="n">
        <v>17</v>
      </c>
      <c r="E165" s="5" t="n">
        <v>161</v>
      </c>
      <c r="F165" s="16" t="n">
        <f aca="false">IFERROR(INDEX($B$5:$C$173, MATCH($E165, $B$5:$B$175, 0), 2), 0)*investment!$C$2</f>
        <v>0</v>
      </c>
      <c r="G165" s="5" t="n">
        <f aca="false">demand!C163</f>
        <v>0</v>
      </c>
      <c r="H165" s="2" t="n">
        <f aca="false">solgen!C163</f>
        <v>0</v>
      </c>
      <c r="I165" s="2" t="n">
        <f aca="false">import!C163</f>
        <v>0</v>
      </c>
      <c r="J165" s="2" t="n">
        <f aca="false">-export!C163</f>
        <v>-0</v>
      </c>
      <c r="K165" s="2" t="n">
        <f aca="false">-charge!C163</f>
        <v>-0</v>
      </c>
      <c r="L165" s="2" t="n">
        <f aca="false">discharge!C163</f>
        <v>0</v>
      </c>
      <c r="M165" s="2" t="n">
        <f aca="false">soc!C163/investment!$E$2 *100</f>
        <v>60.4619339257617</v>
      </c>
      <c r="N165" s="4" t="n">
        <f aca="false">p_micro!C162</f>
        <v>0</v>
      </c>
    </row>
    <row r="166" customFormat="false" ht="13.8" hidden="false" customHeight="false" outlineLevel="0" collapsed="false">
      <c r="B166" s="10" t="n">
        <f aca="false">_xlfn.NUMBERVALUE(solar!B163)</f>
        <v>0</v>
      </c>
      <c r="C166" s="11" t="n">
        <f aca="false">solar!C163</f>
        <v>0</v>
      </c>
      <c r="D166" s="11" t="n">
        <v>18</v>
      </c>
      <c r="E166" s="5" t="n">
        <v>162</v>
      </c>
      <c r="F166" s="16" t="n">
        <f aca="false">IFERROR(INDEX($B$5:$C$173, MATCH($E166, $B$5:$B$175, 0), 2), 0)*investment!$C$2</f>
        <v>0</v>
      </c>
      <c r="G166" s="5" t="n">
        <f aca="false">demand!C164</f>
        <v>0</v>
      </c>
      <c r="H166" s="2" t="n">
        <f aca="false">solgen!C164</f>
        <v>0</v>
      </c>
      <c r="I166" s="2" t="n">
        <f aca="false">import!C164</f>
        <v>0</v>
      </c>
      <c r="J166" s="2" t="n">
        <f aca="false">-export!C164</f>
        <v>-0</v>
      </c>
      <c r="K166" s="2" t="n">
        <f aca="false">-charge!C164</f>
        <v>-0</v>
      </c>
      <c r="L166" s="2" t="n">
        <f aca="false">discharge!C164</f>
        <v>0</v>
      </c>
      <c r="M166" s="2" t="n">
        <f aca="false">soc!C164/investment!$E$2 *100</f>
        <v>52.9652740133108</v>
      </c>
      <c r="N166" s="4" t="n">
        <f aca="false">p_micro!C163</f>
        <v>0</v>
      </c>
    </row>
    <row r="167" customFormat="false" ht="13.8" hidden="false" customHeight="false" outlineLevel="0" collapsed="false">
      <c r="B167" s="10" t="n">
        <f aca="false">_xlfn.NUMBERVALUE(solar!B164)</f>
        <v>0</v>
      </c>
      <c r="C167" s="11" t="n">
        <f aca="false">solar!C164</f>
        <v>0</v>
      </c>
      <c r="D167" s="11" t="n">
        <v>19</v>
      </c>
      <c r="E167" s="5" t="n">
        <v>163</v>
      </c>
      <c r="F167" s="16" t="n">
        <f aca="false">IFERROR(INDEX($B$5:$C$173, MATCH($E167, $B$5:$B$175, 0), 2), 0)*investment!$C$2</f>
        <v>0</v>
      </c>
      <c r="G167" s="5" t="n">
        <f aca="false">demand!C165</f>
        <v>0</v>
      </c>
      <c r="H167" s="2" t="n">
        <f aca="false">solgen!C165</f>
        <v>0</v>
      </c>
      <c r="I167" s="2" t="n">
        <f aca="false">import!C165</f>
        <v>0</v>
      </c>
      <c r="J167" s="2" t="n">
        <f aca="false">-export!C165</f>
        <v>-0</v>
      </c>
      <c r="K167" s="2" t="n">
        <f aca="false">-charge!C165</f>
        <v>-0</v>
      </c>
      <c r="L167" s="2" t="n">
        <f aca="false">discharge!C165</f>
        <v>0</v>
      </c>
      <c r="M167" s="2" t="n">
        <f aca="false">soc!C165/investment!$E$2 *100</f>
        <v>43.3860784199748</v>
      </c>
      <c r="N167" s="4" t="n">
        <f aca="false">p_micro!C164</f>
        <v>0</v>
      </c>
    </row>
    <row r="168" customFormat="false" ht="13.8" hidden="false" customHeight="false" outlineLevel="0" collapsed="false">
      <c r="B168" s="10" t="n">
        <f aca="false">_xlfn.NUMBERVALUE(solar!B165)</f>
        <v>0</v>
      </c>
      <c r="C168" s="11" t="n">
        <f aca="false">solar!C165</f>
        <v>0</v>
      </c>
      <c r="D168" s="11" t="n">
        <v>20</v>
      </c>
      <c r="E168" s="5" t="n">
        <v>164</v>
      </c>
      <c r="F168" s="16" t="n">
        <f aca="false">IFERROR(INDEX($B$5:$C$173, MATCH($E168, $B$5:$B$175, 0), 2), 0)*investment!$C$2</f>
        <v>0</v>
      </c>
      <c r="G168" s="5" t="n">
        <f aca="false">demand!C166</f>
        <v>0</v>
      </c>
      <c r="H168" s="2" t="n">
        <f aca="false">solgen!C166</f>
        <v>0</v>
      </c>
      <c r="I168" s="2" t="n">
        <f aca="false">import!C166</f>
        <v>0</v>
      </c>
      <c r="J168" s="2" t="n">
        <f aca="false">-export!C166</f>
        <v>-0</v>
      </c>
      <c r="K168" s="2" t="n">
        <f aca="false">-charge!C166</f>
        <v>-0</v>
      </c>
      <c r="L168" s="2" t="n">
        <f aca="false">discharge!C166</f>
        <v>0</v>
      </c>
      <c r="M168" s="2" t="n">
        <f aca="false">soc!C166/investment!$E$2 *100</f>
        <v>31.6365916815481</v>
      </c>
      <c r="N168" s="4" t="n">
        <f aca="false">p_micro!C165</f>
        <v>0</v>
      </c>
    </row>
    <row r="169" customFormat="false" ht="13.8" hidden="false" customHeight="false" outlineLevel="0" collapsed="false">
      <c r="B169" s="10" t="n">
        <f aca="false">_xlfn.NUMBERVALUE(solar!B166)</f>
        <v>0</v>
      </c>
      <c r="C169" s="11" t="n">
        <f aca="false">solar!C166</f>
        <v>0</v>
      </c>
      <c r="D169" s="11" t="n">
        <v>21</v>
      </c>
      <c r="E169" s="5" t="n">
        <v>165</v>
      </c>
      <c r="F169" s="16" t="n">
        <f aca="false">IFERROR(INDEX($B$5:$C$173, MATCH($E169, $B$5:$B$175, 0), 2), 0)*investment!$C$2</f>
        <v>0</v>
      </c>
      <c r="G169" s="5" t="n">
        <f aca="false">demand!C167</f>
        <v>0</v>
      </c>
      <c r="H169" s="2" t="n">
        <f aca="false">solgen!C167</f>
        <v>0</v>
      </c>
      <c r="I169" s="2" t="n">
        <f aca="false">import!C167</f>
        <v>0</v>
      </c>
      <c r="J169" s="2" t="n">
        <f aca="false">-export!C167</f>
        <v>-0</v>
      </c>
      <c r="K169" s="2" t="n">
        <f aca="false">-charge!C167</f>
        <v>-0</v>
      </c>
      <c r="L169" s="2" t="n">
        <f aca="false">discharge!C167</f>
        <v>0</v>
      </c>
      <c r="M169" s="2" t="n">
        <f aca="false">soc!C167/investment!$E$2 *100</f>
        <v>20.5117858715766</v>
      </c>
      <c r="N169" s="4" t="n">
        <f aca="false">p_micro!C166</f>
        <v>0</v>
      </c>
    </row>
    <row r="170" customFormat="false" ht="13.8" hidden="false" customHeight="false" outlineLevel="0" collapsed="false">
      <c r="B170" s="10" t="n">
        <f aca="false">_xlfn.NUMBERVALUE(solar!B167)</f>
        <v>0</v>
      </c>
      <c r="C170" s="11" t="n">
        <f aca="false">solar!C167</f>
        <v>0</v>
      </c>
      <c r="D170" s="11" t="n">
        <v>22</v>
      </c>
      <c r="E170" s="5" t="n">
        <v>166</v>
      </c>
      <c r="F170" s="16" t="n">
        <f aca="false">IFERROR(INDEX($B$5:$C$173, MATCH($E170, $B$5:$B$175, 0), 2), 0)*investment!$C$2</f>
        <v>0</v>
      </c>
      <c r="G170" s="5" t="n">
        <f aca="false">demand!C168</f>
        <v>0</v>
      </c>
      <c r="H170" s="2" t="n">
        <f aca="false">solgen!C168</f>
        <v>0</v>
      </c>
      <c r="I170" s="2" t="n">
        <f aca="false">import!C168</f>
        <v>0</v>
      </c>
      <c r="J170" s="2" t="n">
        <f aca="false">-export!C168</f>
        <v>-0</v>
      </c>
      <c r="K170" s="2" t="n">
        <f aca="false">-charge!C168</f>
        <v>-0</v>
      </c>
      <c r="L170" s="2" t="n">
        <f aca="false">discharge!C168</f>
        <v>0</v>
      </c>
      <c r="M170" s="2" t="n">
        <f aca="false">soc!C168/investment!$E$2 *100</f>
        <v>9.34835907708762</v>
      </c>
      <c r="N170" s="4" t="n">
        <f aca="false">p_micro!C167</f>
        <v>0</v>
      </c>
    </row>
    <row r="171" customFormat="false" ht="13.8" hidden="false" customHeight="false" outlineLevel="0" collapsed="false">
      <c r="B171" s="10" t="n">
        <f aca="false">_xlfn.NUMBERVALUE(solar!B168)</f>
        <v>0</v>
      </c>
      <c r="C171" s="11" t="n">
        <f aca="false">solar!C168</f>
        <v>0</v>
      </c>
      <c r="D171" s="11" t="n">
        <v>23</v>
      </c>
      <c r="E171" s="5" t="n">
        <v>167</v>
      </c>
      <c r="F171" s="16" t="n">
        <f aca="false">IFERROR(INDEX($B$5:$C$173, MATCH($E171, $B$5:$B$175, 0), 2), 0)*investment!$C$2</f>
        <v>0</v>
      </c>
      <c r="G171" s="5" t="n">
        <f aca="false">demand!C169</f>
        <v>0</v>
      </c>
      <c r="H171" s="2" t="n">
        <f aca="false">solgen!C169</f>
        <v>0</v>
      </c>
      <c r="I171" s="2" t="n">
        <f aca="false">import!C169</f>
        <v>0</v>
      </c>
      <c r="J171" s="2" t="n">
        <f aca="false">-export!C169</f>
        <v>-0</v>
      </c>
      <c r="K171" s="2" t="n">
        <f aca="false">-charge!C169</f>
        <v>-0</v>
      </c>
      <c r="L171" s="2" t="n">
        <f aca="false">discharge!C169</f>
        <v>0</v>
      </c>
      <c r="M171" s="2" t="n">
        <f aca="false">soc!C169/investment!$E$2 *100</f>
        <v>0</v>
      </c>
      <c r="N171" s="4" t="n">
        <f aca="false">p_micro!C168</f>
        <v>0</v>
      </c>
    </row>
    <row r="172" customFormat="false" ht="13.8" hidden="false" customHeight="false" outlineLevel="0" collapsed="false">
      <c r="B172" s="10" t="n">
        <f aca="false">_xlfn.NUMBERVALUE(solar!B169)</f>
        <v>0</v>
      </c>
      <c r="C172" s="11" t="n">
        <f aca="false">solar!C169</f>
        <v>0</v>
      </c>
      <c r="D172" s="11" t="n">
        <v>24</v>
      </c>
      <c r="E172" s="5" t="n">
        <v>168</v>
      </c>
      <c r="F172" s="16" t="n">
        <f aca="false">IFERROR(INDEX($B$5:$C$173, MATCH($E172, $B$5:$B$175, 0), 2), 0)*investment!$C$2</f>
        <v>0</v>
      </c>
      <c r="G172" s="5" t="n">
        <f aca="false">demand!C170</f>
        <v>0</v>
      </c>
      <c r="H172" s="2" t="n">
        <f aca="false">solgen!C170</f>
        <v>0</v>
      </c>
      <c r="I172" s="2" t="n">
        <f aca="false">import!C170</f>
        <v>0</v>
      </c>
      <c r="J172" s="2" t="n">
        <f aca="false">-export!C170</f>
        <v>-0</v>
      </c>
      <c r="K172" s="2" t="n">
        <f aca="false">-charge!C170</f>
        <v>-0</v>
      </c>
      <c r="L172" s="2" t="n">
        <f aca="false">discharge!C170</f>
        <v>0</v>
      </c>
      <c r="M172" s="2" t="n">
        <f aca="false">soc!C170/investment!$E$2 *100</f>
        <v>70</v>
      </c>
      <c r="N172" s="4" t="n">
        <f aca="false">p_micro!C169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2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H79" activeCellId="1" sqref="B12:F14 H79"/>
    </sheetView>
  </sheetViews>
  <sheetFormatPr defaultColWidth="8.54296875" defaultRowHeight="13.8" zeroHeight="false" outlineLevelRow="0" outlineLevelCol="0"/>
  <cols>
    <col collapsed="false" customWidth="true" hidden="false" outlineLevel="0" max="2" min="2" style="5" width="8.85"/>
    <col collapsed="false" customWidth="true" hidden="false" outlineLevel="0" max="4" min="4" style="5" width="8.85"/>
    <col collapsed="false" customWidth="true" hidden="false" outlineLevel="0" max="5" min="5" style="6" width="8.85"/>
    <col collapsed="false" customWidth="true" hidden="false" outlineLevel="0" max="6" min="6" style="2" width="9.43"/>
  </cols>
  <sheetData>
    <row r="2" customFormat="false" ht="13.8" hidden="false" customHeight="false" outlineLevel="0" collapsed="false">
      <c r="B2" s="7" t="s">
        <v>4</v>
      </c>
      <c r="C2" s="8" t="n">
        <v>2</v>
      </c>
      <c r="D2" s="9" t="s">
        <v>18</v>
      </c>
    </row>
    <row r="4" customFormat="false" ht="13.8" hidden="false" customHeight="false" outlineLevel="0" collapsed="false">
      <c r="B4" s="10" t="s">
        <v>6</v>
      </c>
      <c r="C4" s="11"/>
      <c r="D4" s="12" t="s">
        <v>8</v>
      </c>
      <c r="E4" s="13" t="s">
        <v>9</v>
      </c>
      <c r="F4" s="14" t="s">
        <v>10</v>
      </c>
      <c r="G4" s="14" t="s">
        <v>11</v>
      </c>
      <c r="H4" s="14" t="s">
        <v>12</v>
      </c>
      <c r="I4" s="14" t="s">
        <v>13</v>
      </c>
      <c r="J4" s="14" t="s">
        <v>14</v>
      </c>
      <c r="K4" s="14" t="s">
        <v>15</v>
      </c>
      <c r="L4" s="14" t="s">
        <v>16</v>
      </c>
    </row>
    <row r="5" customFormat="false" ht="13.8" hidden="false" customHeight="false" outlineLevel="0" collapsed="false">
      <c r="B5" s="10" t="n">
        <f aca="false">_xlfn.NUMBERVALUE(solar!B2)</f>
        <v>8</v>
      </c>
      <c r="C5" s="11" t="n">
        <f aca="false">solar!C2</f>
        <v>0</v>
      </c>
      <c r="D5" s="5" t="n">
        <v>1</v>
      </c>
      <c r="E5" s="16" t="n">
        <f aca="false">IFERROR(INDEX($B$5:$C$173, MATCH($D5, $B$5:$B$175, 0), 2), 0)*investment!$C$3</f>
        <v>0</v>
      </c>
      <c r="F5" s="17" t="n">
        <f aca="false">demand!D3</f>
        <v>0</v>
      </c>
      <c r="G5" s="2" t="n">
        <f aca="false">solgen!D3</f>
        <v>0</v>
      </c>
      <c r="H5" s="2" t="n">
        <f aca="false">import!D3</f>
        <v>0</v>
      </c>
      <c r="I5" s="2" t="n">
        <f aca="false">-export!D3</f>
        <v>-0</v>
      </c>
      <c r="J5" s="2" t="n">
        <f aca="false">-charge!D3</f>
        <v>-0</v>
      </c>
      <c r="K5" s="2" t="n">
        <f aca="false">discharge!D3</f>
        <v>0</v>
      </c>
      <c r="L5" s="2" t="n">
        <f aca="false">soc!D3/investment!$E$3 *100</f>
        <v>69.2803447712511</v>
      </c>
    </row>
    <row r="6" customFormat="false" ht="13.8" hidden="false" customHeight="false" outlineLevel="0" collapsed="false">
      <c r="B6" s="10" t="n">
        <f aca="false">_xlfn.NUMBERVALUE(solar!B3)</f>
        <v>9</v>
      </c>
      <c r="C6" s="11" t="n">
        <f aca="false">solar!C3</f>
        <v>0</v>
      </c>
      <c r="D6" s="5" t="n">
        <v>2</v>
      </c>
      <c r="E6" s="16" t="n">
        <f aca="false">IFERROR(INDEX($B$5:$C$173, MATCH($D6, $B$5:$B$175, 0), 2), 0)*investment!$C$3</f>
        <v>0</v>
      </c>
      <c r="F6" s="17" t="n">
        <f aca="false">demand!D4</f>
        <v>0</v>
      </c>
      <c r="G6" s="2" t="n">
        <f aca="false">solgen!D4</f>
        <v>0</v>
      </c>
      <c r="H6" s="2" t="n">
        <f aca="false">import!D4</f>
        <v>0</v>
      </c>
      <c r="I6" s="2" t="n">
        <f aca="false">-export!D4</f>
        <v>-0</v>
      </c>
      <c r="J6" s="2" t="n">
        <f aca="false">-charge!D4</f>
        <v>-0</v>
      </c>
      <c r="K6" s="2" t="n">
        <f aca="false">discharge!D4</f>
        <v>0</v>
      </c>
      <c r="L6" s="2" t="n">
        <f aca="false">soc!D4/investment!$E$3 *100</f>
        <v>60.6437892228179</v>
      </c>
    </row>
    <row r="7" customFormat="false" ht="13.8" hidden="false" customHeight="false" outlineLevel="0" collapsed="false">
      <c r="B7" s="10" t="n">
        <f aca="false">_xlfn.NUMBERVALUE(solar!B4)</f>
        <v>10</v>
      </c>
      <c r="C7" s="11" t="n">
        <f aca="false">solar!C4</f>
        <v>0</v>
      </c>
      <c r="D7" s="5" t="n">
        <v>3</v>
      </c>
      <c r="E7" s="16" t="n">
        <f aca="false">IFERROR(INDEX($B$5:$C$173, MATCH($D7, $B$5:$B$175, 0), 2), 0)*investment!$C$3</f>
        <v>0</v>
      </c>
      <c r="F7" s="17" t="n">
        <f aca="false">demand!D5</f>
        <v>0</v>
      </c>
      <c r="G7" s="2" t="n">
        <f aca="false">solgen!D5</f>
        <v>0</v>
      </c>
      <c r="H7" s="2" t="n">
        <f aca="false">import!D5</f>
        <v>0</v>
      </c>
      <c r="I7" s="2" t="n">
        <f aca="false">-export!D5</f>
        <v>-0</v>
      </c>
      <c r="J7" s="2" t="n">
        <f aca="false">-charge!D5</f>
        <v>-0</v>
      </c>
      <c r="K7" s="2" t="n">
        <f aca="false">discharge!D5</f>
        <v>0</v>
      </c>
      <c r="L7" s="2" t="n">
        <f aca="false">soc!D5/investment!$E$3 *100</f>
        <v>52.0073200399402</v>
      </c>
    </row>
    <row r="8" customFormat="false" ht="13.8" hidden="false" customHeight="false" outlineLevel="0" collapsed="false">
      <c r="B8" s="10" t="n">
        <f aca="false">_xlfn.NUMBERVALUE(solar!B5)</f>
        <v>11</v>
      </c>
      <c r="C8" s="11" t="n">
        <f aca="false">solar!C5</f>
        <v>0</v>
      </c>
      <c r="D8" s="5" t="n">
        <v>4</v>
      </c>
      <c r="E8" s="16" t="n">
        <f aca="false">IFERROR(INDEX($B$5:$C$173, MATCH($D8, $B$5:$B$175, 0), 2), 0)*investment!$C$3</f>
        <v>0</v>
      </c>
      <c r="F8" s="17" t="n">
        <f aca="false">demand!D6</f>
        <v>0</v>
      </c>
      <c r="G8" s="2" t="n">
        <f aca="false">solgen!D6</f>
        <v>0</v>
      </c>
      <c r="H8" s="2" t="n">
        <f aca="false">import!D6</f>
        <v>0</v>
      </c>
      <c r="I8" s="2" t="n">
        <f aca="false">-export!D6</f>
        <v>-0</v>
      </c>
      <c r="J8" s="2" t="n">
        <f aca="false">-charge!D6</f>
        <v>-0</v>
      </c>
      <c r="K8" s="2" t="n">
        <f aca="false">discharge!D6</f>
        <v>0</v>
      </c>
      <c r="L8" s="2" t="n">
        <f aca="false">soc!D6/investment!$E$3 *100</f>
        <v>43.3709372217544</v>
      </c>
    </row>
    <row r="9" customFormat="false" ht="13.8" hidden="false" customHeight="false" outlineLevel="0" collapsed="false">
      <c r="B9" s="10" t="n">
        <f aca="false">_xlfn.NUMBERVALUE(solar!B6)</f>
        <v>12</v>
      </c>
      <c r="C9" s="11" t="n">
        <f aca="false">solar!C6</f>
        <v>0</v>
      </c>
      <c r="D9" s="5" t="n">
        <v>5</v>
      </c>
      <c r="E9" s="16" t="n">
        <f aca="false">IFERROR(INDEX($B$5:$C$173, MATCH($D9, $B$5:$B$175, 0), 2), 0)*investment!$C$3</f>
        <v>0</v>
      </c>
      <c r="F9" s="17" t="n">
        <f aca="false">demand!D7</f>
        <v>0</v>
      </c>
      <c r="G9" s="2" t="n">
        <f aca="false">solgen!D7</f>
        <v>0</v>
      </c>
      <c r="H9" s="2" t="n">
        <f aca="false">import!D7</f>
        <v>0</v>
      </c>
      <c r="I9" s="2" t="n">
        <f aca="false">-export!D7</f>
        <v>-0</v>
      </c>
      <c r="J9" s="2" t="n">
        <f aca="false">-charge!D7</f>
        <v>-0</v>
      </c>
      <c r="K9" s="2" t="n">
        <f aca="false">discharge!D7</f>
        <v>0</v>
      </c>
      <c r="L9" s="2" t="n">
        <f aca="false">soc!D7/investment!$E$3 *100</f>
        <v>34.7346407673967</v>
      </c>
    </row>
    <row r="10" customFormat="false" ht="13.8" hidden="false" customHeight="false" outlineLevel="0" collapsed="false">
      <c r="B10" s="10" t="n">
        <f aca="false">_xlfn.NUMBERVALUE(solar!B7)</f>
        <v>13</v>
      </c>
      <c r="C10" s="11" t="n">
        <f aca="false">solar!C7</f>
        <v>0</v>
      </c>
      <c r="D10" s="5" t="n">
        <v>6</v>
      </c>
      <c r="E10" s="16" t="n">
        <f aca="false">IFERROR(INDEX($B$5:$C$173, MATCH($D10, $B$5:$B$175, 0), 2), 0)*investment!$C$3</f>
        <v>0</v>
      </c>
      <c r="F10" s="17" t="n">
        <f aca="false">demand!D8</f>
        <v>0</v>
      </c>
      <c r="G10" s="2" t="n">
        <f aca="false">solgen!D8</f>
        <v>0</v>
      </c>
      <c r="H10" s="2" t="n">
        <f aca="false">import!D8</f>
        <v>0</v>
      </c>
      <c r="I10" s="2" t="n">
        <f aca="false">-export!D8</f>
        <v>-0</v>
      </c>
      <c r="J10" s="2" t="n">
        <f aca="false">-charge!D8</f>
        <v>-0</v>
      </c>
      <c r="K10" s="2" t="n">
        <f aca="false">discharge!D8</f>
        <v>0</v>
      </c>
      <c r="L10" s="2" t="n">
        <f aca="false">soc!D8/investment!$E$3 *100</f>
        <v>32.5937576045784</v>
      </c>
    </row>
    <row r="11" customFormat="false" ht="13.8" hidden="false" customHeight="false" outlineLevel="0" collapsed="false">
      <c r="B11" s="10" t="n">
        <f aca="false">_xlfn.NUMBERVALUE(solar!B8)</f>
        <v>14</v>
      </c>
      <c r="C11" s="11" t="n">
        <f aca="false">solar!C8</f>
        <v>0</v>
      </c>
      <c r="D11" s="5" t="n">
        <v>7</v>
      </c>
      <c r="E11" s="16" t="n">
        <f aca="false">IFERROR(INDEX($B$5:$C$173, MATCH($D11, $B$5:$B$175, 0), 2), 0)*investment!$C$3</f>
        <v>0</v>
      </c>
      <c r="F11" s="17" t="n">
        <f aca="false">demand!D9</f>
        <v>0</v>
      </c>
      <c r="G11" s="2" t="n">
        <f aca="false">solgen!D9</f>
        <v>0</v>
      </c>
      <c r="H11" s="2" t="n">
        <f aca="false">import!D9</f>
        <v>0</v>
      </c>
      <c r="I11" s="2" t="n">
        <f aca="false">-export!D9</f>
        <v>-0</v>
      </c>
      <c r="J11" s="2" t="n">
        <f aca="false">-charge!D9</f>
        <v>-0</v>
      </c>
      <c r="K11" s="2" t="n">
        <f aca="false">discharge!D9</f>
        <v>0</v>
      </c>
      <c r="L11" s="2" t="n">
        <f aca="false">soc!D9/investment!$E$3 *100</f>
        <v>33.1148367236179</v>
      </c>
    </row>
    <row r="12" customFormat="false" ht="13.8" hidden="false" customHeight="false" outlineLevel="0" collapsed="false">
      <c r="B12" s="10" t="n">
        <f aca="false">_xlfn.NUMBERVALUE(solar!B9)</f>
        <v>15</v>
      </c>
      <c r="C12" s="11" t="n">
        <f aca="false">solar!C9</f>
        <v>0</v>
      </c>
      <c r="D12" s="5" t="n">
        <v>8</v>
      </c>
      <c r="E12" s="16" t="n">
        <f aca="false">IFERROR(INDEX($B$5:$C$173, MATCH($D12, $B$5:$B$175, 0), 2), 0)*investment!$C$3</f>
        <v>0</v>
      </c>
      <c r="F12" s="17" t="n">
        <f aca="false">demand!D10</f>
        <v>0</v>
      </c>
      <c r="G12" s="2" t="n">
        <f aca="false">solgen!D10</f>
        <v>0</v>
      </c>
      <c r="H12" s="2" t="n">
        <f aca="false">import!D10</f>
        <v>0</v>
      </c>
      <c r="I12" s="2" t="n">
        <f aca="false">-export!D10</f>
        <v>-0</v>
      </c>
      <c r="J12" s="2" t="n">
        <f aca="false">-charge!D10</f>
        <v>-0</v>
      </c>
      <c r="K12" s="2" t="n">
        <f aca="false">discharge!D10</f>
        <v>0</v>
      </c>
      <c r="L12" s="2" t="n">
        <f aca="false">soc!D10/investment!$E$3 *100</f>
        <v>33.1145055752507</v>
      </c>
    </row>
    <row r="13" customFormat="false" ht="13.8" hidden="false" customHeight="false" outlineLevel="0" collapsed="false">
      <c r="B13" s="10" t="n">
        <f aca="false">_xlfn.NUMBERVALUE(solar!B10)</f>
        <v>16</v>
      </c>
      <c r="C13" s="11" t="n">
        <f aca="false">solar!C10</f>
        <v>0</v>
      </c>
      <c r="D13" s="5" t="n">
        <v>9</v>
      </c>
      <c r="E13" s="16" t="n">
        <f aca="false">IFERROR(INDEX($B$5:$C$173, MATCH($D13, $B$5:$B$175, 0), 2), 0)*investment!$C$3</f>
        <v>0</v>
      </c>
      <c r="F13" s="17" t="n">
        <f aca="false">demand!D11</f>
        <v>0</v>
      </c>
      <c r="G13" s="2" t="n">
        <f aca="false">solgen!D11</f>
        <v>0</v>
      </c>
      <c r="H13" s="2" t="n">
        <f aca="false">import!D11</f>
        <v>0</v>
      </c>
      <c r="I13" s="2" t="n">
        <f aca="false">-export!D11</f>
        <v>-0</v>
      </c>
      <c r="J13" s="2" t="n">
        <f aca="false">-charge!D11</f>
        <v>-0</v>
      </c>
      <c r="K13" s="2" t="n">
        <f aca="false">discharge!D11</f>
        <v>0</v>
      </c>
      <c r="L13" s="2" t="n">
        <f aca="false">soc!D11/investment!$E$3 *100</f>
        <v>33.1141744301949</v>
      </c>
    </row>
    <row r="14" customFormat="false" ht="13.8" hidden="false" customHeight="false" outlineLevel="0" collapsed="false">
      <c r="B14" s="10" t="n">
        <f aca="false">_xlfn.NUMBERVALUE(solar!B11)</f>
        <v>17</v>
      </c>
      <c r="C14" s="11" t="n">
        <f aca="false">solar!C11</f>
        <v>0</v>
      </c>
      <c r="D14" s="5" t="n">
        <v>10</v>
      </c>
      <c r="E14" s="16" t="n">
        <f aca="false">IFERROR(INDEX($B$5:$C$173, MATCH($D14, $B$5:$B$175, 0), 2), 0)*investment!$C$3</f>
        <v>0</v>
      </c>
      <c r="F14" s="17" t="n">
        <f aca="false">demand!D12</f>
        <v>0</v>
      </c>
      <c r="G14" s="2" t="n">
        <f aca="false">solgen!D12</f>
        <v>0</v>
      </c>
      <c r="H14" s="2" t="n">
        <f aca="false">import!D12</f>
        <v>0</v>
      </c>
      <c r="I14" s="2" t="n">
        <f aca="false">-export!D12</f>
        <v>-0</v>
      </c>
      <c r="J14" s="2" t="n">
        <f aca="false">-charge!D12</f>
        <v>-0</v>
      </c>
      <c r="K14" s="2" t="n">
        <f aca="false">discharge!D12</f>
        <v>0</v>
      </c>
      <c r="L14" s="2" t="n">
        <f aca="false">soc!D12/investment!$E$3 *100</f>
        <v>33.1138432884506</v>
      </c>
    </row>
    <row r="15" customFormat="false" ht="13.8" hidden="false" customHeight="false" outlineLevel="0" collapsed="false">
      <c r="B15" s="10" t="n">
        <f aca="false">_xlfn.NUMBERVALUE(solar!B12)</f>
        <v>18</v>
      </c>
      <c r="C15" s="11" t="n">
        <f aca="false">solar!C12</f>
        <v>0</v>
      </c>
      <c r="D15" s="5" t="n">
        <v>11</v>
      </c>
      <c r="E15" s="16" t="n">
        <f aca="false">IFERROR(INDEX($B$5:$C$173, MATCH($D15, $B$5:$B$175, 0), 2), 0)*investment!$C$3</f>
        <v>0</v>
      </c>
      <c r="F15" s="17" t="n">
        <f aca="false">demand!D13</f>
        <v>0</v>
      </c>
      <c r="G15" s="2" t="n">
        <f aca="false">solgen!D13</f>
        <v>0</v>
      </c>
      <c r="H15" s="2" t="n">
        <f aca="false">import!D13</f>
        <v>0</v>
      </c>
      <c r="I15" s="2" t="n">
        <f aca="false">-export!D13</f>
        <v>-0</v>
      </c>
      <c r="J15" s="2" t="n">
        <f aca="false">-charge!D13</f>
        <v>-0</v>
      </c>
      <c r="K15" s="2" t="n">
        <f aca="false">discharge!D13</f>
        <v>0</v>
      </c>
      <c r="L15" s="2" t="n">
        <f aca="false">soc!D13/investment!$E$3 *100</f>
        <v>33.1135121500177</v>
      </c>
    </row>
    <row r="16" customFormat="false" ht="13.8" hidden="false" customHeight="false" outlineLevel="0" collapsed="false">
      <c r="B16" s="10" t="n">
        <f aca="false">_xlfn.NUMBERVALUE(solar!B13)</f>
        <v>19</v>
      </c>
      <c r="C16" s="11" t="n">
        <f aca="false">solar!C13</f>
        <v>0</v>
      </c>
      <c r="D16" s="5" t="n">
        <v>12</v>
      </c>
      <c r="E16" s="16" t="n">
        <f aca="false">IFERROR(INDEX($B$5:$C$173, MATCH($D16, $B$5:$B$175, 0), 2), 0)*investment!$C$3</f>
        <v>0</v>
      </c>
      <c r="F16" s="17" t="n">
        <f aca="false">demand!D14</f>
        <v>0</v>
      </c>
      <c r="G16" s="2" t="n">
        <f aca="false">solgen!D14</f>
        <v>0</v>
      </c>
      <c r="H16" s="2" t="n">
        <f aca="false">import!D14</f>
        <v>0</v>
      </c>
      <c r="I16" s="2" t="n">
        <f aca="false">-export!D14</f>
        <v>-0</v>
      </c>
      <c r="J16" s="2" t="n">
        <f aca="false">-charge!D14</f>
        <v>-0</v>
      </c>
      <c r="K16" s="2" t="n">
        <f aca="false">discharge!D14</f>
        <v>0</v>
      </c>
      <c r="L16" s="2" t="n">
        <f aca="false">soc!D14/investment!$E$3 *100</f>
        <v>33.1131810148962</v>
      </c>
    </row>
    <row r="17" customFormat="false" ht="13.8" hidden="false" customHeight="false" outlineLevel="0" collapsed="false">
      <c r="B17" s="10" t="n">
        <f aca="false">_xlfn.NUMBERVALUE(solar!B14)</f>
        <v>32</v>
      </c>
      <c r="C17" s="11" t="n">
        <f aca="false">solar!C14</f>
        <v>0</v>
      </c>
      <c r="D17" s="5" t="n">
        <v>13</v>
      </c>
      <c r="E17" s="16" t="n">
        <f aca="false">IFERROR(INDEX($B$5:$C$173, MATCH($D17, $B$5:$B$175, 0), 2), 0)*investment!$C$3</f>
        <v>0</v>
      </c>
      <c r="F17" s="17" t="n">
        <f aca="false">demand!D15</f>
        <v>0</v>
      </c>
      <c r="G17" s="2" t="n">
        <f aca="false">solgen!D15</f>
        <v>0</v>
      </c>
      <c r="H17" s="2" t="n">
        <f aca="false">import!D15</f>
        <v>0</v>
      </c>
      <c r="I17" s="2" t="n">
        <f aca="false">-export!D15</f>
        <v>-0</v>
      </c>
      <c r="J17" s="2" t="n">
        <f aca="false">-charge!D15</f>
        <v>-0</v>
      </c>
      <c r="K17" s="2" t="n">
        <f aca="false">discharge!D15</f>
        <v>0</v>
      </c>
      <c r="L17" s="2" t="n">
        <f aca="false">soc!D15/investment!$E$3 *100</f>
        <v>34.5616077349083</v>
      </c>
    </row>
    <row r="18" customFormat="false" ht="13.8" hidden="false" customHeight="false" outlineLevel="0" collapsed="false">
      <c r="B18" s="10" t="n">
        <f aca="false">_xlfn.NUMBERVALUE(solar!B15)</f>
        <v>33</v>
      </c>
      <c r="C18" s="11" t="n">
        <f aca="false">solar!C15</f>
        <v>0</v>
      </c>
      <c r="D18" s="5" t="n">
        <v>14</v>
      </c>
      <c r="E18" s="16" t="n">
        <f aca="false">IFERROR(INDEX($B$5:$C$173, MATCH($D18, $B$5:$B$175, 0), 2), 0)*investment!$C$3</f>
        <v>0</v>
      </c>
      <c r="F18" s="17" t="n">
        <f aca="false">demand!D16</f>
        <v>0</v>
      </c>
      <c r="G18" s="2" t="n">
        <f aca="false">solgen!D16</f>
        <v>0</v>
      </c>
      <c r="H18" s="2" t="n">
        <f aca="false">import!D16</f>
        <v>0</v>
      </c>
      <c r="I18" s="2" t="n">
        <f aca="false">-export!D16</f>
        <v>-0</v>
      </c>
      <c r="J18" s="2" t="n">
        <f aca="false">-charge!D16</f>
        <v>-0</v>
      </c>
      <c r="K18" s="2" t="n">
        <f aca="false">discharge!D16</f>
        <v>0</v>
      </c>
      <c r="L18" s="2" t="n">
        <f aca="false">soc!D16/investment!$E$3 *100</f>
        <v>56.521285378826</v>
      </c>
    </row>
    <row r="19" customFormat="false" ht="13.8" hidden="false" customHeight="false" outlineLevel="0" collapsed="false">
      <c r="B19" s="10" t="n">
        <f aca="false">_xlfn.NUMBERVALUE(solar!B16)</f>
        <v>34</v>
      </c>
      <c r="C19" s="11" t="n">
        <f aca="false">solar!C16</f>
        <v>0</v>
      </c>
      <c r="D19" s="5" t="n">
        <v>15</v>
      </c>
      <c r="E19" s="16" t="n">
        <f aca="false">IFERROR(INDEX($B$5:$C$173, MATCH($D19, $B$5:$B$175, 0), 2), 0)*investment!$C$3</f>
        <v>0</v>
      </c>
      <c r="F19" s="17" t="n">
        <f aca="false">demand!D17</f>
        <v>0</v>
      </c>
      <c r="G19" s="2" t="n">
        <f aca="false">solgen!D17</f>
        <v>0</v>
      </c>
      <c r="H19" s="2" t="n">
        <f aca="false">import!D17</f>
        <v>0</v>
      </c>
      <c r="I19" s="2" t="n">
        <f aca="false">-export!D17</f>
        <v>-0</v>
      </c>
      <c r="J19" s="2" t="n">
        <f aca="false">-charge!D17</f>
        <v>-0</v>
      </c>
      <c r="K19" s="2" t="n">
        <f aca="false">discharge!D17</f>
        <v>0</v>
      </c>
      <c r="L19" s="2" t="n">
        <f aca="false">soc!D17/investment!$E$3 *100</f>
        <v>73.3950753330883</v>
      </c>
    </row>
    <row r="20" customFormat="false" ht="13.8" hidden="false" customHeight="false" outlineLevel="0" collapsed="false">
      <c r="B20" s="10" t="n">
        <f aca="false">_xlfn.NUMBERVALUE(solar!B17)</f>
        <v>35</v>
      </c>
      <c r="C20" s="11" t="n">
        <f aca="false">solar!C17</f>
        <v>0</v>
      </c>
      <c r="D20" s="5" t="n">
        <v>16</v>
      </c>
      <c r="E20" s="16" t="n">
        <f aca="false">IFERROR(INDEX($B$5:$C$173, MATCH($D20, $B$5:$B$175, 0), 2), 0)*investment!$C$3</f>
        <v>0</v>
      </c>
      <c r="F20" s="17" t="n">
        <f aca="false">demand!D18</f>
        <v>0</v>
      </c>
      <c r="G20" s="2" t="n">
        <f aca="false">solgen!D18</f>
        <v>0</v>
      </c>
      <c r="H20" s="2" t="n">
        <f aca="false">import!D18</f>
        <v>0</v>
      </c>
      <c r="I20" s="2" t="n">
        <f aca="false">-export!D18</f>
        <v>-0</v>
      </c>
      <c r="J20" s="2" t="n">
        <f aca="false">-charge!D18</f>
        <v>-0</v>
      </c>
      <c r="K20" s="2" t="n">
        <f aca="false">discharge!D18</f>
        <v>0</v>
      </c>
      <c r="L20" s="2" t="n">
        <f aca="false">soc!D18/investment!$E$3 *100</f>
        <v>83.3669811348997</v>
      </c>
    </row>
    <row r="21" customFormat="false" ht="13.8" hidden="false" customHeight="false" outlineLevel="0" collapsed="false">
      <c r="B21" s="10" t="n">
        <f aca="false">_xlfn.NUMBERVALUE(solar!B18)</f>
        <v>36</v>
      </c>
      <c r="C21" s="11" t="n">
        <f aca="false">solar!C18</f>
        <v>0</v>
      </c>
      <c r="D21" s="5" t="n">
        <v>17</v>
      </c>
      <c r="E21" s="16" t="n">
        <f aca="false">IFERROR(INDEX($B$5:$C$173, MATCH($D21, $B$5:$B$175, 0), 2), 0)*investment!$C$3</f>
        <v>0</v>
      </c>
      <c r="F21" s="17" t="n">
        <f aca="false">demand!D19</f>
        <v>0</v>
      </c>
      <c r="G21" s="2" t="n">
        <f aca="false">solgen!D19</f>
        <v>0</v>
      </c>
      <c r="H21" s="2" t="n">
        <f aca="false">import!D19</f>
        <v>0</v>
      </c>
      <c r="I21" s="2" t="n">
        <f aca="false">-export!D19</f>
        <v>-0</v>
      </c>
      <c r="J21" s="2" t="n">
        <f aca="false">-charge!D19</f>
        <v>-0</v>
      </c>
      <c r="K21" s="2" t="n">
        <f aca="false">discharge!D19</f>
        <v>0</v>
      </c>
      <c r="L21" s="2" t="n">
        <f aca="false">soc!D19/investment!$E$3 *100</f>
        <v>88.9935575752973</v>
      </c>
    </row>
    <row r="22" customFormat="false" ht="13.8" hidden="false" customHeight="false" outlineLevel="0" collapsed="false">
      <c r="B22" s="10" t="n">
        <f aca="false">_xlfn.NUMBERVALUE(solar!B19)</f>
        <v>37</v>
      </c>
      <c r="C22" s="11" t="n">
        <f aca="false">solar!C19</f>
        <v>0</v>
      </c>
      <c r="D22" s="5" t="n">
        <v>18</v>
      </c>
      <c r="E22" s="16" t="n">
        <f aca="false">IFERROR(INDEX($B$5:$C$173, MATCH($D22, $B$5:$B$175, 0), 2), 0)*investment!$C$3</f>
        <v>0</v>
      </c>
      <c r="F22" s="17" t="n">
        <f aca="false">demand!D20</f>
        <v>0</v>
      </c>
      <c r="G22" s="2" t="n">
        <f aca="false">solgen!D20</f>
        <v>0</v>
      </c>
      <c r="H22" s="2" t="n">
        <f aca="false">import!D20</f>
        <v>0</v>
      </c>
      <c r="I22" s="2" t="n">
        <f aca="false">-export!D20</f>
        <v>-0</v>
      </c>
      <c r="J22" s="2" t="n">
        <f aca="false">-charge!D20</f>
        <v>-0</v>
      </c>
      <c r="K22" s="2" t="n">
        <f aca="false">discharge!D20</f>
        <v>0</v>
      </c>
      <c r="L22" s="2" t="n">
        <f aca="false">soc!D20/investment!$E$3 *100</f>
        <v>90.7929213642435</v>
      </c>
    </row>
    <row r="23" customFormat="false" ht="13.8" hidden="false" customHeight="false" outlineLevel="0" collapsed="false">
      <c r="B23" s="10" t="n">
        <f aca="false">_xlfn.NUMBERVALUE(solar!B20)</f>
        <v>38</v>
      </c>
      <c r="C23" s="11" t="n">
        <f aca="false">solar!C20</f>
        <v>0</v>
      </c>
      <c r="D23" s="5" t="n">
        <v>19</v>
      </c>
      <c r="E23" s="16" t="n">
        <f aca="false">IFERROR(INDEX($B$5:$C$173, MATCH($D23, $B$5:$B$175, 0), 2), 0)*investment!$C$3</f>
        <v>0</v>
      </c>
      <c r="F23" s="17" t="n">
        <f aca="false">demand!D21</f>
        <v>0</v>
      </c>
      <c r="G23" s="2" t="n">
        <f aca="false">solgen!D21</f>
        <v>0</v>
      </c>
      <c r="H23" s="2" t="n">
        <f aca="false">import!D21</f>
        <v>0</v>
      </c>
      <c r="I23" s="2" t="n">
        <f aca="false">-export!D21</f>
        <v>-0</v>
      </c>
      <c r="J23" s="2" t="n">
        <f aca="false">-charge!D21</f>
        <v>-0</v>
      </c>
      <c r="K23" s="2" t="n">
        <f aca="false">discharge!D21</f>
        <v>0</v>
      </c>
      <c r="L23" s="2" t="n">
        <f aca="false">soc!D21/investment!$E$3 *100</f>
        <v>90.7920134350298</v>
      </c>
    </row>
    <row r="24" customFormat="false" ht="13.8" hidden="false" customHeight="false" outlineLevel="0" collapsed="false">
      <c r="B24" s="10" t="n">
        <f aca="false">_xlfn.NUMBERVALUE(solar!B21)</f>
        <v>39</v>
      </c>
      <c r="C24" s="11" t="n">
        <f aca="false">solar!C21</f>
        <v>0</v>
      </c>
      <c r="D24" s="5" t="n">
        <v>20</v>
      </c>
      <c r="E24" s="16" t="n">
        <f aca="false">IFERROR(INDEX($B$5:$C$173, MATCH($D24, $B$5:$B$175, 0), 2), 0)*investment!$C$3</f>
        <v>0</v>
      </c>
      <c r="F24" s="17" t="n">
        <f aca="false">demand!D22</f>
        <v>0</v>
      </c>
      <c r="G24" s="2" t="n">
        <f aca="false">solgen!D22</f>
        <v>0</v>
      </c>
      <c r="H24" s="2" t="n">
        <f aca="false">import!D22</f>
        <v>0</v>
      </c>
      <c r="I24" s="2" t="n">
        <f aca="false">-export!D22</f>
        <v>-0</v>
      </c>
      <c r="J24" s="2" t="n">
        <f aca="false">-charge!D22</f>
        <v>-0</v>
      </c>
      <c r="K24" s="2" t="n">
        <f aca="false">discharge!D22</f>
        <v>0</v>
      </c>
      <c r="L24" s="2" t="n">
        <f aca="false">soc!D22/investment!$E$3 *100</f>
        <v>85.753518913654</v>
      </c>
    </row>
    <row r="25" customFormat="false" ht="13.8" hidden="false" customHeight="false" outlineLevel="0" collapsed="false">
      <c r="B25" s="10" t="n">
        <f aca="false">_xlfn.NUMBERVALUE(solar!B22)</f>
        <v>40</v>
      </c>
      <c r="C25" s="11" t="n">
        <f aca="false">solar!C22</f>
        <v>0</v>
      </c>
      <c r="D25" s="5" t="n">
        <v>21</v>
      </c>
      <c r="E25" s="16" t="n">
        <f aca="false">IFERROR(INDEX($B$5:$C$173, MATCH($D25, $B$5:$B$175, 0), 2), 0)*investment!$C$3</f>
        <v>0</v>
      </c>
      <c r="F25" s="17" t="n">
        <f aca="false">demand!D23</f>
        <v>0</v>
      </c>
      <c r="G25" s="2" t="n">
        <f aca="false">solgen!D23</f>
        <v>0</v>
      </c>
      <c r="H25" s="2" t="n">
        <f aca="false">import!D23</f>
        <v>0</v>
      </c>
      <c r="I25" s="2" t="n">
        <f aca="false">-export!D23</f>
        <v>-0</v>
      </c>
      <c r="J25" s="2" t="n">
        <f aca="false">-charge!D23</f>
        <v>-0</v>
      </c>
      <c r="K25" s="2" t="n">
        <f aca="false">discharge!D23</f>
        <v>0</v>
      </c>
      <c r="L25" s="2" t="n">
        <f aca="false">soc!D23/investment!$E$3 *100</f>
        <v>77.1167986334794</v>
      </c>
    </row>
    <row r="26" customFormat="false" ht="13.8" hidden="false" customHeight="false" outlineLevel="0" collapsed="false">
      <c r="B26" s="10" t="n">
        <f aca="false">_xlfn.NUMBERVALUE(solar!B23)</f>
        <v>41</v>
      </c>
      <c r="C26" s="11" t="n">
        <f aca="false">solar!C23</f>
        <v>0</v>
      </c>
      <c r="D26" s="5" t="n">
        <v>22</v>
      </c>
      <c r="E26" s="16" t="n">
        <f aca="false">IFERROR(INDEX($B$5:$C$173, MATCH($D26, $B$5:$B$175, 0), 2), 0)*investment!$C$3</f>
        <v>0</v>
      </c>
      <c r="F26" s="17" t="n">
        <f aca="false">demand!D24</f>
        <v>0</v>
      </c>
      <c r="G26" s="2" t="n">
        <f aca="false">solgen!D24</f>
        <v>0</v>
      </c>
      <c r="H26" s="2" t="n">
        <f aca="false">import!D24</f>
        <v>0</v>
      </c>
      <c r="I26" s="2" t="n">
        <f aca="false">-export!D24</f>
        <v>-0</v>
      </c>
      <c r="J26" s="2" t="n">
        <f aca="false">-charge!D24</f>
        <v>-0</v>
      </c>
      <c r="K26" s="2" t="n">
        <f aca="false">discharge!D24</f>
        <v>0</v>
      </c>
      <c r="L26" s="2" t="n">
        <f aca="false">soc!D24/investment!$E$3 *100</f>
        <v>68.4801647205076</v>
      </c>
    </row>
    <row r="27" customFormat="false" ht="13.8" hidden="false" customHeight="false" outlineLevel="0" collapsed="false">
      <c r="B27" s="10" t="n">
        <f aca="false">_xlfn.NUMBERVALUE(solar!B24)</f>
        <v>42</v>
      </c>
      <c r="C27" s="11" t="n">
        <f aca="false">solar!C24</f>
        <v>0</v>
      </c>
      <c r="D27" s="5" t="n">
        <v>23</v>
      </c>
      <c r="E27" s="16" t="n">
        <f aca="false">IFERROR(INDEX($B$5:$C$173, MATCH($D27, $B$5:$B$175, 0), 2), 0)*investment!$C$3</f>
        <v>0</v>
      </c>
      <c r="F27" s="17" t="n">
        <f aca="false">demand!D25</f>
        <v>0</v>
      </c>
      <c r="G27" s="2" t="n">
        <f aca="false">solgen!D25</f>
        <v>0</v>
      </c>
      <c r="H27" s="2" t="n">
        <f aca="false">import!D25</f>
        <v>0</v>
      </c>
      <c r="I27" s="2" t="n">
        <f aca="false">-export!D25</f>
        <v>-0</v>
      </c>
      <c r="J27" s="2" t="n">
        <f aca="false">-charge!D25</f>
        <v>-0</v>
      </c>
      <c r="K27" s="2" t="n">
        <f aca="false">discharge!D25</f>
        <v>0</v>
      </c>
      <c r="L27" s="2" t="n">
        <f aca="false">soc!D25/investment!$E$3 *100</f>
        <v>59.843617173875</v>
      </c>
    </row>
    <row r="28" customFormat="false" ht="13.8" hidden="false" customHeight="false" outlineLevel="0" collapsed="false">
      <c r="B28" s="10" t="n">
        <f aca="false">_xlfn.NUMBERVALUE(solar!B25)</f>
        <v>43</v>
      </c>
      <c r="C28" s="11" t="n">
        <f aca="false">solar!C25</f>
        <v>0</v>
      </c>
      <c r="D28" s="5" t="n">
        <v>24</v>
      </c>
      <c r="E28" s="16" t="n">
        <f aca="false">IFERROR(INDEX($B$5:$C$173, MATCH($D28, $B$5:$B$175, 0), 2), 0)*investment!$C$3</f>
        <v>0</v>
      </c>
      <c r="F28" s="17" t="n">
        <f aca="false">demand!D26</f>
        <v>0</v>
      </c>
      <c r="G28" s="2" t="n">
        <f aca="false">solgen!D26</f>
        <v>0</v>
      </c>
      <c r="H28" s="2" t="n">
        <f aca="false">import!D26</f>
        <v>0</v>
      </c>
      <c r="I28" s="2" t="n">
        <f aca="false">-export!D26</f>
        <v>-0</v>
      </c>
      <c r="J28" s="2" t="n">
        <f aca="false">-charge!D26</f>
        <v>-0</v>
      </c>
      <c r="K28" s="2" t="n">
        <f aca="false">discharge!D26</f>
        <v>0</v>
      </c>
      <c r="L28" s="2" t="n">
        <f aca="false">soc!D26/investment!$E$3 *100</f>
        <v>51.3510870384676</v>
      </c>
    </row>
    <row r="29" customFormat="false" ht="13.8" hidden="false" customHeight="false" outlineLevel="0" collapsed="false">
      <c r="B29" s="10" t="n">
        <f aca="false">_xlfn.NUMBERVALUE(solar!B26)</f>
        <v>56</v>
      </c>
      <c r="C29" s="11" t="n">
        <f aca="false">solar!C26</f>
        <v>0</v>
      </c>
      <c r="D29" s="5" t="n">
        <v>25</v>
      </c>
      <c r="E29" s="16" t="n">
        <f aca="false">IFERROR(INDEX($B$5:$C$173, MATCH($D29, $B$5:$B$175, 0), 2), 0)*investment!$C$3</f>
        <v>0</v>
      </c>
      <c r="F29" s="17" t="n">
        <f aca="false">demand!D27</f>
        <v>0</v>
      </c>
      <c r="G29" s="2" t="n">
        <f aca="false">solgen!D27</f>
        <v>0</v>
      </c>
      <c r="H29" s="2" t="n">
        <f aca="false">import!D27</f>
        <v>0</v>
      </c>
      <c r="I29" s="2" t="n">
        <f aca="false">-export!D27</f>
        <v>-0</v>
      </c>
      <c r="J29" s="2" t="n">
        <f aca="false">-charge!D27</f>
        <v>-0</v>
      </c>
      <c r="K29" s="2" t="n">
        <f aca="false">discharge!D27</f>
        <v>0</v>
      </c>
      <c r="L29" s="2" t="n">
        <f aca="false">soc!D27/investment!$E$3 *100</f>
        <v>42.7147107826118</v>
      </c>
    </row>
    <row r="30" customFormat="false" ht="13.8" hidden="false" customHeight="false" outlineLevel="0" collapsed="false">
      <c r="B30" s="10" t="n">
        <f aca="false">_xlfn.NUMBERVALUE(solar!B27)</f>
        <v>57</v>
      </c>
      <c r="C30" s="11" t="n">
        <f aca="false">solar!C27</f>
        <v>0</v>
      </c>
      <c r="D30" s="5" t="n">
        <v>26</v>
      </c>
      <c r="E30" s="16" t="n">
        <f aca="false">IFERROR(INDEX($B$5:$C$173, MATCH($D30, $B$5:$B$175, 0), 2), 0)*investment!$C$3</f>
        <v>0</v>
      </c>
      <c r="F30" s="17" t="n">
        <f aca="false">demand!D28</f>
        <v>0</v>
      </c>
      <c r="G30" s="2" t="n">
        <f aca="false">solgen!D28</f>
        <v>0</v>
      </c>
      <c r="H30" s="2" t="n">
        <f aca="false">import!D28</f>
        <v>0</v>
      </c>
      <c r="I30" s="2" t="n">
        <f aca="false">-export!D28</f>
        <v>-0</v>
      </c>
      <c r="J30" s="2" t="n">
        <f aca="false">-charge!D28</f>
        <v>-0</v>
      </c>
      <c r="K30" s="2" t="n">
        <f aca="false">discharge!D28</f>
        <v>0</v>
      </c>
      <c r="L30" s="2" t="n">
        <f aca="false">soc!D28/investment!$E$3 *100</f>
        <v>34.0784208905185</v>
      </c>
    </row>
    <row r="31" customFormat="false" ht="13.8" hidden="false" customHeight="false" outlineLevel="0" collapsed="false">
      <c r="B31" s="10" t="n">
        <f aca="false">_xlfn.NUMBERVALUE(solar!B28)</f>
        <v>58</v>
      </c>
      <c r="C31" s="11" t="n">
        <f aca="false">solar!C28</f>
        <v>0</v>
      </c>
      <c r="D31" s="5" t="n">
        <v>27</v>
      </c>
      <c r="E31" s="16" t="n">
        <f aca="false">IFERROR(INDEX($B$5:$C$173, MATCH($D31, $B$5:$B$175, 0), 2), 0)*investment!$C$3</f>
        <v>0</v>
      </c>
      <c r="F31" s="17" t="n">
        <f aca="false">demand!D29</f>
        <v>0</v>
      </c>
      <c r="G31" s="2" t="n">
        <f aca="false">solgen!D29</f>
        <v>0</v>
      </c>
      <c r="H31" s="2" t="n">
        <f aca="false">import!D29</f>
        <v>0</v>
      </c>
      <c r="I31" s="2" t="n">
        <f aca="false">-export!D29</f>
        <v>-0</v>
      </c>
      <c r="J31" s="2" t="n">
        <f aca="false">-charge!D29</f>
        <v>-0</v>
      </c>
      <c r="K31" s="2" t="n">
        <f aca="false">discharge!D29</f>
        <v>0</v>
      </c>
      <c r="L31" s="2" t="n">
        <f aca="false">soc!D29/investment!$E$3 *100</f>
        <v>25.4422173613242</v>
      </c>
    </row>
    <row r="32" customFormat="false" ht="13.8" hidden="false" customHeight="false" outlineLevel="0" collapsed="false">
      <c r="B32" s="10" t="n">
        <f aca="false">_xlfn.NUMBERVALUE(solar!B29)</f>
        <v>59</v>
      </c>
      <c r="C32" s="11" t="n">
        <f aca="false">solar!C29</f>
        <v>0</v>
      </c>
      <c r="D32" s="5" t="n">
        <v>28</v>
      </c>
      <c r="E32" s="16" t="n">
        <f aca="false">IFERROR(INDEX($B$5:$C$173, MATCH($D32, $B$5:$B$175, 0), 2), 0)*investment!$C$3</f>
        <v>0</v>
      </c>
      <c r="F32" s="17" t="n">
        <f aca="false">demand!D30</f>
        <v>0</v>
      </c>
      <c r="G32" s="2" t="n">
        <f aca="false">solgen!D30</f>
        <v>0</v>
      </c>
      <c r="H32" s="2" t="n">
        <f aca="false">import!D30</f>
        <v>0</v>
      </c>
      <c r="I32" s="2" t="n">
        <f aca="false">-export!D30</f>
        <v>-0</v>
      </c>
      <c r="J32" s="2" t="n">
        <f aca="false">-charge!D30</f>
        <v>-0</v>
      </c>
      <c r="K32" s="2" t="n">
        <f aca="false">discharge!D30</f>
        <v>0</v>
      </c>
      <c r="L32" s="2" t="n">
        <f aca="false">soc!D30/investment!$E$3 *100</f>
        <v>16.8061001941651</v>
      </c>
    </row>
    <row r="33" customFormat="false" ht="13.8" hidden="false" customHeight="false" outlineLevel="0" collapsed="false">
      <c r="B33" s="10" t="n">
        <f aca="false">_xlfn.NUMBERVALUE(solar!B30)</f>
        <v>60</v>
      </c>
      <c r="C33" s="11" t="n">
        <f aca="false">solar!C30</f>
        <v>0</v>
      </c>
      <c r="D33" s="5" t="n">
        <v>29</v>
      </c>
      <c r="E33" s="16" t="n">
        <f aca="false">IFERROR(INDEX($B$5:$C$173, MATCH($D33, $B$5:$B$175, 0), 2), 0)*investment!$C$3</f>
        <v>0</v>
      </c>
      <c r="F33" s="17" t="n">
        <f aca="false">demand!D31</f>
        <v>0</v>
      </c>
      <c r="G33" s="2" t="n">
        <f aca="false">solgen!D31</f>
        <v>0</v>
      </c>
      <c r="H33" s="2" t="n">
        <f aca="false">import!D31</f>
        <v>0</v>
      </c>
      <c r="I33" s="2" t="n">
        <f aca="false">-export!D31</f>
        <v>-0</v>
      </c>
      <c r="J33" s="2" t="n">
        <f aca="false">-charge!D31</f>
        <v>-0</v>
      </c>
      <c r="K33" s="2" t="n">
        <f aca="false">discharge!D31</f>
        <v>0</v>
      </c>
      <c r="L33" s="2" t="n">
        <f aca="false">soc!D31/investment!$E$3 *100</f>
        <v>8.17006938817776</v>
      </c>
    </row>
    <row r="34" customFormat="false" ht="13.8" hidden="false" customHeight="false" outlineLevel="0" collapsed="false">
      <c r="B34" s="10" t="n">
        <f aca="false">_xlfn.NUMBERVALUE(solar!B31)</f>
        <v>61</v>
      </c>
      <c r="C34" s="11" t="n">
        <f aca="false">solar!C31</f>
        <v>0</v>
      </c>
      <c r="D34" s="5" t="n">
        <v>30</v>
      </c>
      <c r="E34" s="16" t="n">
        <f aca="false">IFERROR(INDEX($B$5:$C$173, MATCH($D34, $B$5:$B$175, 0), 2), 0)*investment!$C$3</f>
        <v>0</v>
      </c>
      <c r="F34" s="17" t="n">
        <f aca="false">demand!D32</f>
        <v>0</v>
      </c>
      <c r="G34" s="2" t="n">
        <f aca="false">solgen!D32</f>
        <v>0</v>
      </c>
      <c r="H34" s="2" t="n">
        <f aca="false">import!D32</f>
        <v>0</v>
      </c>
      <c r="I34" s="2" t="n">
        <f aca="false">-export!D32</f>
        <v>-0</v>
      </c>
      <c r="J34" s="2" t="n">
        <f aca="false">-charge!D32</f>
        <v>-0</v>
      </c>
      <c r="K34" s="2" t="n">
        <f aca="false">discharge!D32</f>
        <v>0</v>
      </c>
      <c r="L34" s="2" t="n">
        <f aca="false">soc!D32/investment!$E$3 *100</f>
        <v>0</v>
      </c>
    </row>
    <row r="35" customFormat="false" ht="13.8" hidden="false" customHeight="false" outlineLevel="0" collapsed="false">
      <c r="B35" s="10" t="n">
        <f aca="false">_xlfn.NUMBERVALUE(solar!B32)</f>
        <v>62</v>
      </c>
      <c r="C35" s="11" t="n">
        <f aca="false">solar!C32</f>
        <v>0</v>
      </c>
      <c r="D35" s="5" t="n">
        <v>31</v>
      </c>
      <c r="E35" s="16" t="n">
        <f aca="false">IFERROR(INDEX($B$5:$C$173, MATCH($D35, $B$5:$B$175, 0), 2), 0)*investment!$C$3</f>
        <v>0</v>
      </c>
      <c r="F35" s="17" t="n">
        <f aca="false">demand!D33</f>
        <v>0</v>
      </c>
      <c r="G35" s="2" t="n">
        <f aca="false">solgen!D33</f>
        <v>0</v>
      </c>
      <c r="H35" s="2" t="n">
        <f aca="false">import!D33</f>
        <v>0</v>
      </c>
      <c r="I35" s="2" t="n">
        <f aca="false">-export!D33</f>
        <v>-0</v>
      </c>
      <c r="J35" s="2" t="n">
        <f aca="false">-charge!D33</f>
        <v>-0</v>
      </c>
      <c r="K35" s="2" t="n">
        <f aca="false">discharge!D33</f>
        <v>0</v>
      </c>
      <c r="L35" s="2" t="n">
        <f aca="false">soc!D33/investment!$E$3 *100</f>
        <v>0</v>
      </c>
    </row>
    <row r="36" customFormat="false" ht="13.8" hidden="false" customHeight="false" outlineLevel="0" collapsed="false">
      <c r="B36" s="10" t="n">
        <f aca="false">_xlfn.NUMBERVALUE(solar!B33)</f>
        <v>63</v>
      </c>
      <c r="C36" s="11" t="n">
        <f aca="false">solar!C33</f>
        <v>0</v>
      </c>
      <c r="D36" s="5" t="n">
        <v>32</v>
      </c>
      <c r="E36" s="16" t="n">
        <f aca="false">IFERROR(INDEX($B$5:$C$173, MATCH($D36, $B$5:$B$175, 0), 2), 0)*investment!$C$3</f>
        <v>0</v>
      </c>
      <c r="F36" s="17" t="n">
        <f aca="false">demand!D34</f>
        <v>0</v>
      </c>
      <c r="G36" s="2" t="n">
        <f aca="false">solgen!D34</f>
        <v>0</v>
      </c>
      <c r="H36" s="2" t="n">
        <f aca="false">import!D34</f>
        <v>0</v>
      </c>
      <c r="I36" s="2" t="n">
        <f aca="false">-export!D34</f>
        <v>-0</v>
      </c>
      <c r="J36" s="2" t="n">
        <f aca="false">-charge!D34</f>
        <v>-0</v>
      </c>
      <c r="K36" s="2" t="n">
        <f aca="false">discharge!D34</f>
        <v>0</v>
      </c>
      <c r="L36" s="2" t="n">
        <f aca="false">soc!D34/investment!$E$3 *100</f>
        <v>0</v>
      </c>
    </row>
    <row r="37" customFormat="false" ht="13.8" hidden="false" customHeight="false" outlineLevel="0" collapsed="false">
      <c r="B37" s="10" t="n">
        <f aca="false">_xlfn.NUMBERVALUE(solar!B34)</f>
        <v>64</v>
      </c>
      <c r="C37" s="11" t="n">
        <f aca="false">solar!C34</f>
        <v>0</v>
      </c>
      <c r="D37" s="5" t="n">
        <v>33</v>
      </c>
      <c r="E37" s="16" t="n">
        <f aca="false">IFERROR(INDEX($B$5:$C$173, MATCH($D37, $B$5:$B$175, 0), 2), 0)*investment!$C$3</f>
        <v>0</v>
      </c>
      <c r="F37" s="17" t="n">
        <f aca="false">demand!D35</f>
        <v>0</v>
      </c>
      <c r="G37" s="2" t="n">
        <f aca="false">solgen!D35</f>
        <v>0</v>
      </c>
      <c r="H37" s="2" t="n">
        <f aca="false">import!D35</f>
        <v>0</v>
      </c>
      <c r="I37" s="2" t="n">
        <f aca="false">-export!D35</f>
        <v>-0</v>
      </c>
      <c r="J37" s="2" t="n">
        <f aca="false">-charge!D35</f>
        <v>-0</v>
      </c>
      <c r="K37" s="2" t="n">
        <f aca="false">discharge!D35</f>
        <v>0</v>
      </c>
      <c r="L37" s="2" t="n">
        <f aca="false">soc!D35/investment!$E$3 *100</f>
        <v>0</v>
      </c>
    </row>
    <row r="38" customFormat="false" ht="13.8" hidden="false" customHeight="false" outlineLevel="0" collapsed="false">
      <c r="B38" s="10" t="n">
        <f aca="false">_xlfn.NUMBERVALUE(solar!B35)</f>
        <v>65</v>
      </c>
      <c r="C38" s="11" t="n">
        <f aca="false">solar!C35</f>
        <v>0</v>
      </c>
      <c r="D38" s="5" t="n">
        <v>34</v>
      </c>
      <c r="E38" s="16" t="n">
        <f aca="false">IFERROR(INDEX($B$5:$C$173, MATCH($D38, $B$5:$B$175, 0), 2), 0)*investment!$C$3</f>
        <v>0</v>
      </c>
      <c r="F38" s="17" t="n">
        <f aca="false">demand!D36</f>
        <v>0</v>
      </c>
      <c r="G38" s="2" t="n">
        <f aca="false">solgen!D36</f>
        <v>0</v>
      </c>
      <c r="H38" s="2" t="n">
        <f aca="false">import!D36</f>
        <v>0</v>
      </c>
      <c r="I38" s="2" t="n">
        <f aca="false">-export!D36</f>
        <v>-0</v>
      </c>
      <c r="J38" s="2" t="n">
        <f aca="false">-charge!D36</f>
        <v>-0</v>
      </c>
      <c r="K38" s="2" t="n">
        <f aca="false">discharge!D36</f>
        <v>0</v>
      </c>
      <c r="L38" s="2" t="n">
        <f aca="false">soc!D36/investment!$E$3 *100</f>
        <v>0</v>
      </c>
    </row>
    <row r="39" customFormat="false" ht="13.8" hidden="false" customHeight="false" outlineLevel="0" collapsed="false">
      <c r="B39" s="10" t="n">
        <f aca="false">_xlfn.NUMBERVALUE(solar!B36)</f>
        <v>66</v>
      </c>
      <c r="C39" s="11" t="n">
        <f aca="false">solar!C36</f>
        <v>0</v>
      </c>
      <c r="D39" s="5" t="n">
        <v>35</v>
      </c>
      <c r="E39" s="16" t="n">
        <f aca="false">IFERROR(INDEX($B$5:$C$173, MATCH($D39, $B$5:$B$175, 0), 2), 0)*investment!$C$3</f>
        <v>0</v>
      </c>
      <c r="F39" s="17" t="n">
        <f aca="false">demand!D37</f>
        <v>0</v>
      </c>
      <c r="G39" s="2" t="n">
        <f aca="false">solgen!D37</f>
        <v>0</v>
      </c>
      <c r="H39" s="2" t="n">
        <f aca="false">import!D37</f>
        <v>0</v>
      </c>
      <c r="I39" s="2" t="n">
        <f aca="false">-export!D37</f>
        <v>-0</v>
      </c>
      <c r="J39" s="2" t="n">
        <f aca="false">-charge!D37</f>
        <v>-0</v>
      </c>
      <c r="K39" s="2" t="n">
        <f aca="false">discharge!D37</f>
        <v>0</v>
      </c>
      <c r="L39" s="2" t="n">
        <f aca="false">soc!D37/investment!$E$3 *100</f>
        <v>0</v>
      </c>
    </row>
    <row r="40" customFormat="false" ht="13.8" hidden="false" customHeight="false" outlineLevel="0" collapsed="false">
      <c r="B40" s="10" t="n">
        <f aca="false">_xlfn.NUMBERVALUE(solar!B37)</f>
        <v>67</v>
      </c>
      <c r="C40" s="11" t="n">
        <f aca="false">solar!C37</f>
        <v>0</v>
      </c>
      <c r="D40" s="5" t="n">
        <v>36</v>
      </c>
      <c r="E40" s="16" t="n">
        <f aca="false">IFERROR(INDEX($B$5:$C$173, MATCH($D40, $B$5:$B$175, 0), 2), 0)*investment!$C$3</f>
        <v>0</v>
      </c>
      <c r="F40" s="17" t="n">
        <f aca="false">demand!D38</f>
        <v>0</v>
      </c>
      <c r="G40" s="2" t="n">
        <f aca="false">solgen!D38</f>
        <v>0</v>
      </c>
      <c r="H40" s="2" t="n">
        <f aca="false">import!D38</f>
        <v>0</v>
      </c>
      <c r="I40" s="2" t="n">
        <f aca="false">-export!D38</f>
        <v>-0</v>
      </c>
      <c r="J40" s="2" t="n">
        <f aca="false">-charge!D38</f>
        <v>-0</v>
      </c>
      <c r="K40" s="2" t="n">
        <f aca="false">discharge!D38</f>
        <v>0</v>
      </c>
      <c r="L40" s="2" t="n">
        <f aca="false">soc!D38/investment!$E$3 *100</f>
        <v>1.23060431452352</v>
      </c>
    </row>
    <row r="41" customFormat="false" ht="13.8" hidden="false" customHeight="false" outlineLevel="0" collapsed="false">
      <c r="B41" s="10" t="n">
        <f aca="false">_xlfn.NUMBERVALUE(solar!B38)</f>
        <v>80</v>
      </c>
      <c r="C41" s="11" t="n">
        <f aca="false">solar!C38</f>
        <v>0</v>
      </c>
      <c r="D41" s="5" t="n">
        <v>37</v>
      </c>
      <c r="E41" s="16" t="n">
        <f aca="false">IFERROR(INDEX($B$5:$C$173, MATCH($D41, $B$5:$B$175, 0), 2), 0)*investment!$C$3</f>
        <v>0</v>
      </c>
      <c r="F41" s="17" t="n">
        <f aca="false">demand!D39</f>
        <v>0</v>
      </c>
      <c r="G41" s="2" t="n">
        <f aca="false">solgen!D39</f>
        <v>0</v>
      </c>
      <c r="H41" s="2" t="n">
        <f aca="false">import!D39</f>
        <v>0</v>
      </c>
      <c r="I41" s="2" t="n">
        <f aca="false">-export!D39</f>
        <v>-0</v>
      </c>
      <c r="J41" s="2" t="n">
        <f aca="false">-charge!D39</f>
        <v>-0</v>
      </c>
      <c r="K41" s="2" t="n">
        <f aca="false">discharge!D39</f>
        <v>0</v>
      </c>
      <c r="L41" s="2" t="n">
        <f aca="false">soc!D39/investment!$E$3 *100</f>
        <v>25.9455378530893</v>
      </c>
    </row>
    <row r="42" customFormat="false" ht="13.8" hidden="false" customHeight="false" outlineLevel="0" collapsed="false">
      <c r="B42" s="10" t="n">
        <f aca="false">_xlfn.NUMBERVALUE(solar!B39)</f>
        <v>81</v>
      </c>
      <c r="C42" s="11" t="n">
        <f aca="false">solar!C39</f>
        <v>0</v>
      </c>
      <c r="D42" s="5" t="n">
        <v>38</v>
      </c>
      <c r="E42" s="16" t="n">
        <f aca="false">IFERROR(INDEX($B$5:$C$173, MATCH($D42, $B$5:$B$175, 0), 2), 0)*investment!$C$3</f>
        <v>0</v>
      </c>
      <c r="F42" s="17" t="n">
        <f aca="false">demand!D40</f>
        <v>0</v>
      </c>
      <c r="G42" s="2" t="n">
        <f aca="false">solgen!D40</f>
        <v>0</v>
      </c>
      <c r="H42" s="2" t="n">
        <f aca="false">import!D40</f>
        <v>0</v>
      </c>
      <c r="I42" s="2" t="n">
        <f aca="false">-export!D40</f>
        <v>-0</v>
      </c>
      <c r="J42" s="2" t="n">
        <f aca="false">-charge!D40</f>
        <v>-0</v>
      </c>
      <c r="K42" s="2" t="n">
        <f aca="false">discharge!D40</f>
        <v>0</v>
      </c>
      <c r="L42" s="2" t="n">
        <f aca="false">soc!D40/investment!$E$3 *100</f>
        <v>48.3199160355058</v>
      </c>
    </row>
    <row r="43" customFormat="false" ht="13.8" hidden="false" customHeight="false" outlineLevel="0" collapsed="false">
      <c r="B43" s="10" t="n">
        <f aca="false">_xlfn.NUMBERVALUE(solar!B40)</f>
        <v>82</v>
      </c>
      <c r="C43" s="11" t="n">
        <f aca="false">solar!C40</f>
        <v>0</v>
      </c>
      <c r="D43" s="5" t="n">
        <v>39</v>
      </c>
      <c r="E43" s="16" t="n">
        <f aca="false">IFERROR(INDEX($B$5:$C$173, MATCH($D43, $B$5:$B$175, 0), 2), 0)*investment!$C$3</f>
        <v>0</v>
      </c>
      <c r="F43" s="17" t="n">
        <f aca="false">demand!D41</f>
        <v>0</v>
      </c>
      <c r="G43" s="2" t="n">
        <f aca="false">solgen!D41</f>
        <v>0</v>
      </c>
      <c r="H43" s="2" t="n">
        <f aca="false">import!D41</f>
        <v>0</v>
      </c>
      <c r="I43" s="2" t="n">
        <f aca="false">-export!D41</f>
        <v>-0</v>
      </c>
      <c r="J43" s="2" t="n">
        <f aca="false">-charge!D41</f>
        <v>-0</v>
      </c>
      <c r="K43" s="2" t="n">
        <f aca="false">discharge!D41</f>
        <v>0</v>
      </c>
      <c r="L43" s="2" t="n">
        <f aca="false">soc!D41/investment!$E$3 *100</f>
        <v>66.1303699495565</v>
      </c>
    </row>
    <row r="44" customFormat="false" ht="13.8" hidden="false" customHeight="false" outlineLevel="0" collapsed="false">
      <c r="B44" s="10" t="n">
        <f aca="false">_xlfn.NUMBERVALUE(solar!B41)</f>
        <v>83</v>
      </c>
      <c r="C44" s="11" t="n">
        <f aca="false">solar!C41</f>
        <v>0</v>
      </c>
      <c r="D44" s="5" t="n">
        <v>40</v>
      </c>
      <c r="E44" s="16" t="n">
        <f aca="false">IFERROR(INDEX($B$5:$C$173, MATCH($D44, $B$5:$B$175, 0), 2), 0)*investment!$C$3</f>
        <v>0</v>
      </c>
      <c r="F44" s="17" t="n">
        <f aca="false">demand!D42</f>
        <v>0</v>
      </c>
      <c r="G44" s="2" t="n">
        <f aca="false">solgen!D42</f>
        <v>0</v>
      </c>
      <c r="H44" s="2" t="n">
        <f aca="false">import!D42</f>
        <v>0</v>
      </c>
      <c r="I44" s="2" t="n">
        <f aca="false">-export!D42</f>
        <v>-0</v>
      </c>
      <c r="J44" s="2" t="n">
        <f aca="false">-charge!D42</f>
        <v>-0</v>
      </c>
      <c r="K44" s="2" t="n">
        <f aca="false">discharge!D42</f>
        <v>0</v>
      </c>
      <c r="L44" s="2" t="n">
        <f aca="false">soc!D42/investment!$E$3 *100</f>
        <v>78.2681481742537</v>
      </c>
    </row>
    <row r="45" customFormat="false" ht="13.8" hidden="false" customHeight="false" outlineLevel="0" collapsed="false">
      <c r="B45" s="10" t="n">
        <f aca="false">_xlfn.NUMBERVALUE(solar!B42)</f>
        <v>84</v>
      </c>
      <c r="C45" s="11" t="n">
        <f aca="false">solar!C42</f>
        <v>0</v>
      </c>
      <c r="D45" s="5" t="n">
        <v>41</v>
      </c>
      <c r="E45" s="16" t="n">
        <f aca="false">IFERROR(INDEX($B$5:$C$173, MATCH($D45, $B$5:$B$175, 0), 2), 0)*investment!$C$3</f>
        <v>0</v>
      </c>
      <c r="F45" s="17" t="n">
        <f aca="false">demand!D43</f>
        <v>0</v>
      </c>
      <c r="G45" s="2" t="n">
        <f aca="false">solgen!D43</f>
        <v>0</v>
      </c>
      <c r="H45" s="2" t="n">
        <f aca="false">import!D43</f>
        <v>0</v>
      </c>
      <c r="I45" s="2" t="n">
        <f aca="false">-export!D43</f>
        <v>-0</v>
      </c>
      <c r="J45" s="2" t="n">
        <f aca="false">-charge!D43</f>
        <v>-0</v>
      </c>
      <c r="K45" s="2" t="n">
        <f aca="false">discharge!D43</f>
        <v>0</v>
      </c>
      <c r="L45" s="2" t="n">
        <f aca="false">soc!D43/investment!$E$3 *100</f>
        <v>85.5324634521746</v>
      </c>
    </row>
    <row r="46" customFormat="false" ht="13.8" hidden="false" customHeight="false" outlineLevel="0" collapsed="false">
      <c r="B46" s="10" t="n">
        <f aca="false">_xlfn.NUMBERVALUE(solar!B43)</f>
        <v>85</v>
      </c>
      <c r="C46" s="11" t="n">
        <f aca="false">solar!C43</f>
        <v>0</v>
      </c>
      <c r="D46" s="5" t="n">
        <v>42</v>
      </c>
      <c r="E46" s="16" t="n">
        <f aca="false">IFERROR(INDEX($B$5:$C$173, MATCH($D46, $B$5:$B$175, 0), 2), 0)*investment!$C$3</f>
        <v>0</v>
      </c>
      <c r="F46" s="17" t="n">
        <f aca="false">demand!D44</f>
        <v>0</v>
      </c>
      <c r="G46" s="2" t="n">
        <f aca="false">solgen!D44</f>
        <v>0</v>
      </c>
      <c r="H46" s="2" t="n">
        <f aca="false">import!D44</f>
        <v>0</v>
      </c>
      <c r="I46" s="2" t="n">
        <f aca="false">-export!D44</f>
        <v>-0</v>
      </c>
      <c r="J46" s="2" t="n">
        <f aca="false">-charge!D44</f>
        <v>-0</v>
      </c>
      <c r="K46" s="2" t="n">
        <f aca="false">discharge!D44</f>
        <v>0</v>
      </c>
      <c r="L46" s="2" t="n">
        <f aca="false">soc!D44/investment!$E$3 *100</f>
        <v>87.9068785987312</v>
      </c>
    </row>
    <row r="47" customFormat="false" ht="13.8" hidden="false" customHeight="false" outlineLevel="0" collapsed="false">
      <c r="B47" s="10" t="n">
        <f aca="false">_xlfn.NUMBERVALUE(solar!B44)</f>
        <v>86</v>
      </c>
      <c r="C47" s="11" t="n">
        <f aca="false">solar!C44</f>
        <v>0</v>
      </c>
      <c r="D47" s="5" t="n">
        <v>43</v>
      </c>
      <c r="E47" s="16" t="n">
        <f aca="false">IFERROR(INDEX($B$5:$C$173, MATCH($D47, $B$5:$B$175, 0), 2), 0)*investment!$C$3</f>
        <v>0</v>
      </c>
      <c r="F47" s="17" t="n">
        <f aca="false">demand!D45</f>
        <v>0</v>
      </c>
      <c r="G47" s="2" t="n">
        <f aca="false">solgen!D45</f>
        <v>0</v>
      </c>
      <c r="H47" s="2" t="n">
        <f aca="false">import!D45</f>
        <v>0</v>
      </c>
      <c r="I47" s="2" t="n">
        <f aca="false">-export!D45</f>
        <v>-0</v>
      </c>
      <c r="J47" s="2" t="n">
        <f aca="false">-charge!D45</f>
        <v>-0</v>
      </c>
      <c r="K47" s="2" t="n">
        <f aca="false">discharge!D45</f>
        <v>0</v>
      </c>
      <c r="L47" s="2" t="n">
        <f aca="false">soc!D45/investment!$E$3 *100</f>
        <v>87.9059995299452</v>
      </c>
    </row>
    <row r="48" customFormat="false" ht="13.8" hidden="false" customHeight="false" outlineLevel="0" collapsed="false">
      <c r="B48" s="10" t="n">
        <f aca="false">_xlfn.NUMBERVALUE(solar!B45)</f>
        <v>87</v>
      </c>
      <c r="C48" s="11" t="n">
        <f aca="false">solar!C45</f>
        <v>0</v>
      </c>
      <c r="D48" s="5" t="n">
        <v>44</v>
      </c>
      <c r="E48" s="16" t="n">
        <f aca="false">IFERROR(INDEX($B$5:$C$173, MATCH($D48, $B$5:$B$175, 0), 2), 0)*investment!$C$3</f>
        <v>0</v>
      </c>
      <c r="F48" s="17" t="n">
        <f aca="false">demand!D46</f>
        <v>0</v>
      </c>
      <c r="G48" s="2" t="n">
        <f aca="false">solgen!D46</f>
        <v>0</v>
      </c>
      <c r="H48" s="2" t="n">
        <f aca="false">import!D46</f>
        <v>0</v>
      </c>
      <c r="I48" s="2" t="n">
        <f aca="false">-export!D46</f>
        <v>-0</v>
      </c>
      <c r="J48" s="2" t="n">
        <f aca="false">-charge!D46</f>
        <v>-0</v>
      </c>
      <c r="K48" s="2" t="n">
        <f aca="false">discharge!D46</f>
        <v>0</v>
      </c>
      <c r="L48" s="2" t="n">
        <f aca="false">soc!D46/investment!$E$3 *100</f>
        <v>82.0039475942098</v>
      </c>
    </row>
    <row r="49" customFormat="false" ht="13.8" hidden="false" customHeight="false" outlineLevel="0" collapsed="false">
      <c r="B49" s="10" t="n">
        <f aca="false">_xlfn.NUMBERVALUE(solar!B46)</f>
        <v>88</v>
      </c>
      <c r="C49" s="11" t="n">
        <f aca="false">solar!C46</f>
        <v>0</v>
      </c>
      <c r="D49" s="5" t="n">
        <v>45</v>
      </c>
      <c r="E49" s="16" t="n">
        <f aca="false">IFERROR(INDEX($B$5:$C$173, MATCH($D49, $B$5:$B$175, 0), 2), 0)*investment!$C$3</f>
        <v>0</v>
      </c>
      <c r="F49" s="17" t="n">
        <f aca="false">demand!D47</f>
        <v>0</v>
      </c>
      <c r="G49" s="2" t="n">
        <f aca="false">solgen!D47</f>
        <v>0</v>
      </c>
      <c r="H49" s="2" t="n">
        <f aca="false">import!D47</f>
        <v>0</v>
      </c>
      <c r="I49" s="2" t="n">
        <f aca="false">-export!D47</f>
        <v>-0</v>
      </c>
      <c r="J49" s="2" t="n">
        <f aca="false">-charge!D47</f>
        <v>-0</v>
      </c>
      <c r="K49" s="2" t="n">
        <f aca="false">discharge!D47</f>
        <v>0</v>
      </c>
      <c r="L49" s="2" t="n">
        <f aca="false">soc!D47/investment!$E$3 *100</f>
        <v>73.3672648097485</v>
      </c>
    </row>
    <row r="50" customFormat="false" ht="13.8" hidden="false" customHeight="false" outlineLevel="0" collapsed="false">
      <c r="B50" s="10" t="n">
        <f aca="false">_xlfn.NUMBERVALUE(solar!B47)</f>
        <v>89</v>
      </c>
      <c r="C50" s="11" t="n">
        <f aca="false">solar!C47</f>
        <v>0</v>
      </c>
      <c r="D50" s="5" t="n">
        <v>46</v>
      </c>
      <c r="E50" s="16" t="n">
        <f aca="false">IFERROR(INDEX($B$5:$C$173, MATCH($D50, $B$5:$B$175, 0), 2), 0)*investment!$C$3</f>
        <v>0</v>
      </c>
      <c r="F50" s="17" t="n">
        <f aca="false">demand!D48</f>
        <v>0</v>
      </c>
      <c r="G50" s="2" t="n">
        <f aca="false">solgen!D48</f>
        <v>0</v>
      </c>
      <c r="H50" s="2" t="n">
        <f aca="false">import!D48</f>
        <v>0</v>
      </c>
      <c r="I50" s="2" t="n">
        <f aca="false">-export!D48</f>
        <v>-0</v>
      </c>
      <c r="J50" s="2" t="n">
        <f aca="false">-charge!D48</f>
        <v>-0</v>
      </c>
      <c r="K50" s="2" t="n">
        <f aca="false">discharge!D48</f>
        <v>0</v>
      </c>
      <c r="L50" s="2" t="n">
        <f aca="false">soc!D48/investment!$E$3 *100</f>
        <v>64.730668392115</v>
      </c>
    </row>
    <row r="51" customFormat="false" ht="13.8" hidden="false" customHeight="false" outlineLevel="0" collapsed="false">
      <c r="B51" s="10" t="n">
        <f aca="false">_xlfn.NUMBERVALUE(solar!B48)</f>
        <v>90</v>
      </c>
      <c r="C51" s="11" t="n">
        <f aca="false">solar!C48</f>
        <v>0</v>
      </c>
      <c r="D51" s="5" t="n">
        <v>47</v>
      </c>
      <c r="E51" s="16" t="n">
        <f aca="false">IFERROR(INDEX($B$5:$C$173, MATCH($D51, $B$5:$B$175, 0), 2), 0)*investment!$C$3</f>
        <v>0</v>
      </c>
      <c r="F51" s="17" t="n">
        <f aca="false">demand!D49</f>
        <v>0</v>
      </c>
      <c r="G51" s="2" t="n">
        <f aca="false">solgen!D49</f>
        <v>0</v>
      </c>
      <c r="H51" s="2" t="n">
        <f aca="false">import!D49</f>
        <v>0</v>
      </c>
      <c r="I51" s="2" t="n">
        <f aca="false">-export!D49</f>
        <v>-0</v>
      </c>
      <c r="J51" s="2" t="n">
        <f aca="false">-charge!D49</f>
        <v>-0</v>
      </c>
      <c r="K51" s="2" t="n">
        <f aca="false">discharge!D49</f>
        <v>0</v>
      </c>
      <c r="L51" s="2" t="n">
        <f aca="false">soc!D49/investment!$E$3 *100</f>
        <v>56.0941583404456</v>
      </c>
    </row>
    <row r="52" customFormat="false" ht="13.8" hidden="false" customHeight="false" outlineLevel="0" collapsed="false">
      <c r="B52" s="10" t="n">
        <f aca="false">_xlfn.NUMBERVALUE(solar!B49)</f>
        <v>91</v>
      </c>
      <c r="C52" s="11" t="n">
        <f aca="false">solar!C49</f>
        <v>0</v>
      </c>
      <c r="D52" s="5" t="n">
        <v>48</v>
      </c>
      <c r="E52" s="16" t="n">
        <f aca="false">IFERROR(INDEX($B$5:$C$173, MATCH($D52, $B$5:$B$175, 0), 2), 0)*investment!$C$3</f>
        <v>0</v>
      </c>
      <c r="F52" s="17" t="n">
        <f aca="false">demand!D50</f>
        <v>0</v>
      </c>
      <c r="G52" s="2" t="n">
        <f aca="false">solgen!D50</f>
        <v>0</v>
      </c>
      <c r="H52" s="2" t="n">
        <f aca="false">import!D50</f>
        <v>0</v>
      </c>
      <c r="I52" s="2" t="n">
        <f aca="false">-export!D50</f>
        <v>-0</v>
      </c>
      <c r="J52" s="2" t="n">
        <f aca="false">-charge!D50</f>
        <v>-0</v>
      </c>
      <c r="K52" s="2" t="n">
        <f aca="false">discharge!D50</f>
        <v>0</v>
      </c>
      <c r="L52" s="2" t="n">
        <f aca="false">soc!D50/investment!$E$3 *100</f>
        <v>50.0484934773724</v>
      </c>
    </row>
    <row r="53" customFormat="false" ht="13.8" hidden="false" customHeight="false" outlineLevel="0" collapsed="false">
      <c r="B53" s="10" t="n">
        <f aca="false">_xlfn.NUMBERVALUE(solar!B50)</f>
        <v>104</v>
      </c>
      <c r="C53" s="11" t="n">
        <f aca="false">solar!C50</f>
        <v>0</v>
      </c>
      <c r="D53" s="5" t="n">
        <v>49</v>
      </c>
      <c r="E53" s="16" t="n">
        <f aca="false">IFERROR(INDEX($B$5:$C$173, MATCH($D53, $B$5:$B$175, 0), 2), 0)*investment!$C$3</f>
        <v>0</v>
      </c>
      <c r="F53" s="17" t="n">
        <f aca="false">demand!D51</f>
        <v>0</v>
      </c>
      <c r="G53" s="2" t="n">
        <f aca="false">solgen!D51</f>
        <v>0</v>
      </c>
      <c r="H53" s="2" t="n">
        <f aca="false">import!D51</f>
        <v>0</v>
      </c>
      <c r="I53" s="2" t="n">
        <f aca="false">-export!D51</f>
        <v>-0</v>
      </c>
      <c r="J53" s="2" t="n">
        <f aca="false">-charge!D51</f>
        <v>-0</v>
      </c>
      <c r="K53" s="2" t="n">
        <f aca="false">discharge!D51</f>
        <v>0</v>
      </c>
      <c r="L53" s="2" t="n">
        <f aca="false">soc!D51/investment!$E$3 *100</f>
        <v>45.8739926656947</v>
      </c>
    </row>
    <row r="54" customFormat="false" ht="13.8" hidden="false" customHeight="false" outlineLevel="0" collapsed="false">
      <c r="B54" s="10" t="n">
        <f aca="false">_xlfn.NUMBERVALUE(solar!B51)</f>
        <v>105</v>
      </c>
      <c r="C54" s="11" t="n">
        <f aca="false">solar!C51</f>
        <v>0</v>
      </c>
      <c r="D54" s="5" t="n">
        <v>50</v>
      </c>
      <c r="E54" s="16" t="n">
        <f aca="false">IFERROR(INDEX($B$5:$C$173, MATCH($D54, $B$5:$B$175, 0), 2), 0)*investment!$C$3</f>
        <v>0</v>
      </c>
      <c r="F54" s="17" t="n">
        <f aca="false">demand!D52</f>
        <v>0</v>
      </c>
      <c r="G54" s="2" t="n">
        <f aca="false">solgen!D52</f>
        <v>0</v>
      </c>
      <c r="H54" s="2" t="n">
        <f aca="false">import!D52</f>
        <v>0</v>
      </c>
      <c r="I54" s="2" t="n">
        <f aca="false">-export!D52</f>
        <v>-0</v>
      </c>
      <c r="J54" s="2" t="n">
        <f aca="false">-charge!D52</f>
        <v>-0</v>
      </c>
      <c r="K54" s="2" t="n">
        <f aca="false">discharge!D52</f>
        <v>0</v>
      </c>
      <c r="L54" s="2" t="n">
        <f aca="false">soc!D52/investment!$E$3 *100</f>
        <v>37.2376711807826</v>
      </c>
    </row>
    <row r="55" customFormat="false" ht="13.8" hidden="false" customHeight="false" outlineLevel="0" collapsed="false">
      <c r="B55" s="10" t="n">
        <f aca="false">_xlfn.NUMBERVALUE(solar!B52)</f>
        <v>106</v>
      </c>
      <c r="C55" s="11" t="n">
        <f aca="false">solar!C52</f>
        <v>0</v>
      </c>
      <c r="D55" s="5" t="n">
        <v>51</v>
      </c>
      <c r="E55" s="16" t="n">
        <f aca="false">IFERROR(INDEX($B$5:$C$173, MATCH($D55, $B$5:$B$175, 0), 2), 0)*investment!$C$3</f>
        <v>0</v>
      </c>
      <c r="F55" s="17" t="n">
        <f aca="false">demand!D53</f>
        <v>0</v>
      </c>
      <c r="G55" s="2" t="n">
        <f aca="false">solgen!D53</f>
        <v>0</v>
      </c>
      <c r="H55" s="2" t="n">
        <f aca="false">import!D53</f>
        <v>0</v>
      </c>
      <c r="I55" s="2" t="n">
        <f aca="false">-export!D53</f>
        <v>-0</v>
      </c>
      <c r="J55" s="2" t="n">
        <f aca="false">-charge!D53</f>
        <v>-0</v>
      </c>
      <c r="K55" s="2" t="n">
        <f aca="false">discharge!D53</f>
        <v>0</v>
      </c>
      <c r="L55" s="2" t="n">
        <f aca="false">soc!D53/investment!$E$3 *100</f>
        <v>28.6014360590853</v>
      </c>
    </row>
    <row r="56" customFormat="false" ht="13.8" hidden="false" customHeight="false" outlineLevel="0" collapsed="false">
      <c r="B56" s="10" t="n">
        <f aca="false">_xlfn.NUMBERVALUE(solar!B53)</f>
        <v>107</v>
      </c>
      <c r="C56" s="11" t="n">
        <f aca="false">solar!C53</f>
        <v>0</v>
      </c>
      <c r="D56" s="5" t="n">
        <v>52</v>
      </c>
      <c r="E56" s="16" t="n">
        <f aca="false">IFERROR(INDEX($B$5:$C$173, MATCH($D56, $B$5:$B$175, 0), 2), 0)*investment!$C$3</f>
        <v>0</v>
      </c>
      <c r="F56" s="17" t="n">
        <f aca="false">demand!D54</f>
        <v>0</v>
      </c>
      <c r="G56" s="2" t="n">
        <f aca="false">solgen!D54</f>
        <v>0</v>
      </c>
      <c r="H56" s="2" t="n">
        <f aca="false">import!D54</f>
        <v>0</v>
      </c>
      <c r="I56" s="2" t="n">
        <f aca="false">-export!D54</f>
        <v>-0</v>
      </c>
      <c r="J56" s="2" t="n">
        <f aca="false">-charge!D54</f>
        <v>-0</v>
      </c>
      <c r="K56" s="2" t="n">
        <f aca="false">discharge!D54</f>
        <v>0</v>
      </c>
      <c r="L56" s="2" t="n">
        <f aca="false">soc!D54/investment!$E$3 *100</f>
        <v>19.9652872997393</v>
      </c>
    </row>
    <row r="57" customFormat="false" ht="13.8" hidden="false" customHeight="false" outlineLevel="0" collapsed="false">
      <c r="B57" s="10" t="n">
        <f aca="false">_xlfn.NUMBERVALUE(solar!B54)</f>
        <v>108</v>
      </c>
      <c r="C57" s="11" t="n">
        <f aca="false">solar!C54</f>
        <v>0</v>
      </c>
      <c r="D57" s="5" t="n">
        <v>53</v>
      </c>
      <c r="E57" s="16" t="n">
        <f aca="false">IFERROR(INDEX($B$5:$C$173, MATCH($D57, $B$5:$B$175, 0), 2), 0)*investment!$C$3</f>
        <v>0</v>
      </c>
      <c r="F57" s="17" t="n">
        <f aca="false">demand!D55</f>
        <v>0</v>
      </c>
      <c r="G57" s="2" t="n">
        <f aca="false">solgen!D55</f>
        <v>0</v>
      </c>
      <c r="H57" s="2" t="n">
        <f aca="false">import!D55</f>
        <v>0</v>
      </c>
      <c r="I57" s="2" t="n">
        <f aca="false">-export!D55</f>
        <v>-0</v>
      </c>
      <c r="J57" s="2" t="n">
        <f aca="false">-charge!D55</f>
        <v>-0</v>
      </c>
      <c r="K57" s="2" t="n">
        <f aca="false">discharge!D55</f>
        <v>0</v>
      </c>
      <c r="L57" s="2" t="n">
        <f aca="false">soc!D55/investment!$E$3 *100</f>
        <v>11.3292249018809</v>
      </c>
    </row>
    <row r="58" customFormat="false" ht="13.8" hidden="false" customHeight="false" outlineLevel="0" collapsed="false">
      <c r="B58" s="10" t="n">
        <f aca="false">_xlfn.NUMBERVALUE(solar!B55)</f>
        <v>109</v>
      </c>
      <c r="C58" s="11" t="n">
        <f aca="false">solar!C55</f>
        <v>0</v>
      </c>
      <c r="D58" s="5" t="n">
        <v>54</v>
      </c>
      <c r="E58" s="16" t="n">
        <f aca="false">IFERROR(INDEX($B$5:$C$173, MATCH($D58, $B$5:$B$175, 0), 2), 0)*investment!$C$3</f>
        <v>0</v>
      </c>
      <c r="F58" s="17" t="n">
        <f aca="false">demand!D56</f>
        <v>0</v>
      </c>
      <c r="G58" s="2" t="n">
        <f aca="false">solgen!D56</f>
        <v>0</v>
      </c>
      <c r="H58" s="2" t="n">
        <f aca="false">import!D56</f>
        <v>0</v>
      </c>
      <c r="I58" s="2" t="n">
        <f aca="false">-export!D56</f>
        <v>-0</v>
      </c>
      <c r="J58" s="2" t="n">
        <f aca="false">-charge!D56</f>
        <v>-0</v>
      </c>
      <c r="K58" s="2" t="n">
        <f aca="false">discharge!D56</f>
        <v>0</v>
      </c>
      <c r="L58" s="2" t="n">
        <f aca="false">soc!D56/investment!$E$3 *100</f>
        <v>3.07771197539503</v>
      </c>
    </row>
    <row r="59" customFormat="false" ht="13.8" hidden="false" customHeight="false" outlineLevel="0" collapsed="false">
      <c r="B59" s="10" t="n">
        <f aca="false">_xlfn.NUMBERVALUE(solar!B56)</f>
        <v>110</v>
      </c>
      <c r="C59" s="11" t="n">
        <f aca="false">solar!C56</f>
        <v>0</v>
      </c>
      <c r="D59" s="5" t="n">
        <v>55</v>
      </c>
      <c r="E59" s="16" t="n">
        <f aca="false">IFERROR(INDEX($B$5:$C$173, MATCH($D59, $B$5:$B$175, 0), 2), 0)*investment!$C$3</f>
        <v>0</v>
      </c>
      <c r="F59" s="17" t="n">
        <f aca="false">demand!D57</f>
        <v>0</v>
      </c>
      <c r="G59" s="2" t="n">
        <f aca="false">solgen!D57</f>
        <v>0</v>
      </c>
      <c r="H59" s="2" t="n">
        <f aca="false">import!D57</f>
        <v>0</v>
      </c>
      <c r="I59" s="2" t="n">
        <f aca="false">-export!D57</f>
        <v>-0</v>
      </c>
      <c r="J59" s="2" t="n">
        <f aca="false">-charge!D57</f>
        <v>-0</v>
      </c>
      <c r="K59" s="2" t="n">
        <f aca="false">discharge!D57</f>
        <v>0</v>
      </c>
      <c r="L59" s="2" t="n">
        <f aca="false">soc!D57/investment!$E$3 *100</f>
        <v>0</v>
      </c>
    </row>
    <row r="60" customFormat="false" ht="13.8" hidden="false" customHeight="false" outlineLevel="0" collapsed="false">
      <c r="B60" s="10" t="n">
        <f aca="false">_xlfn.NUMBERVALUE(solar!B57)</f>
        <v>111</v>
      </c>
      <c r="C60" s="11" t="n">
        <f aca="false">solar!C57</f>
        <v>0</v>
      </c>
      <c r="D60" s="5" t="n">
        <v>56</v>
      </c>
      <c r="E60" s="16" t="n">
        <f aca="false">IFERROR(INDEX($B$5:$C$173, MATCH($D60, $B$5:$B$175, 0), 2), 0)*investment!$C$3</f>
        <v>0</v>
      </c>
      <c r="F60" s="17" t="n">
        <f aca="false">demand!D58</f>
        <v>0</v>
      </c>
      <c r="G60" s="2" t="n">
        <f aca="false">solgen!D58</f>
        <v>0</v>
      </c>
      <c r="H60" s="2" t="n">
        <f aca="false">import!D58</f>
        <v>0</v>
      </c>
      <c r="I60" s="2" t="n">
        <f aca="false">-export!D58</f>
        <v>-0</v>
      </c>
      <c r="J60" s="2" t="n">
        <f aca="false">-charge!D58</f>
        <v>-0</v>
      </c>
      <c r="K60" s="2" t="n">
        <f aca="false">discharge!D58</f>
        <v>0</v>
      </c>
      <c r="L60" s="2" t="n">
        <f aca="false">soc!D58/investment!$E$3 *100</f>
        <v>0</v>
      </c>
    </row>
    <row r="61" customFormat="false" ht="13.8" hidden="false" customHeight="false" outlineLevel="0" collapsed="false">
      <c r="B61" s="10" t="n">
        <f aca="false">_xlfn.NUMBERVALUE(solar!B58)</f>
        <v>112</v>
      </c>
      <c r="C61" s="11" t="n">
        <f aca="false">solar!C58</f>
        <v>0</v>
      </c>
      <c r="D61" s="5" t="n">
        <v>57</v>
      </c>
      <c r="E61" s="16" t="n">
        <f aca="false">IFERROR(INDEX($B$5:$C$173, MATCH($D61, $B$5:$B$175, 0), 2), 0)*investment!$C$3</f>
        <v>0</v>
      </c>
      <c r="F61" s="17" t="n">
        <f aca="false">demand!D59</f>
        <v>0</v>
      </c>
      <c r="G61" s="2" t="n">
        <f aca="false">solgen!D59</f>
        <v>0</v>
      </c>
      <c r="H61" s="2" t="n">
        <f aca="false">import!D59</f>
        <v>0</v>
      </c>
      <c r="I61" s="2" t="n">
        <f aca="false">-export!D59</f>
        <v>-0</v>
      </c>
      <c r="J61" s="2" t="n">
        <f aca="false">-charge!D59</f>
        <v>-0</v>
      </c>
      <c r="K61" s="2" t="n">
        <f aca="false">discharge!D59</f>
        <v>0</v>
      </c>
      <c r="L61" s="2" t="n">
        <f aca="false">soc!D59/investment!$E$3 *100</f>
        <v>0</v>
      </c>
    </row>
    <row r="62" customFormat="false" ht="13.8" hidden="false" customHeight="false" outlineLevel="0" collapsed="false">
      <c r="B62" s="10" t="n">
        <f aca="false">_xlfn.NUMBERVALUE(solar!B59)</f>
        <v>113</v>
      </c>
      <c r="C62" s="11" t="n">
        <f aca="false">solar!C59</f>
        <v>0</v>
      </c>
      <c r="D62" s="5" t="n">
        <v>58</v>
      </c>
      <c r="E62" s="16" t="n">
        <f aca="false">IFERROR(INDEX($B$5:$C$173, MATCH($D62, $B$5:$B$175, 0), 2), 0)*investment!$C$3</f>
        <v>0</v>
      </c>
      <c r="F62" s="17" t="n">
        <f aca="false">demand!D60</f>
        <v>0</v>
      </c>
      <c r="G62" s="2" t="n">
        <f aca="false">solgen!D60</f>
        <v>0</v>
      </c>
      <c r="H62" s="2" t="n">
        <f aca="false">import!D60</f>
        <v>0</v>
      </c>
      <c r="I62" s="2" t="n">
        <f aca="false">-export!D60</f>
        <v>-0</v>
      </c>
      <c r="J62" s="2" t="n">
        <f aca="false">-charge!D60</f>
        <v>-0</v>
      </c>
      <c r="K62" s="2" t="n">
        <f aca="false">discharge!D60</f>
        <v>0</v>
      </c>
      <c r="L62" s="2" t="n">
        <f aca="false">soc!D60/investment!$E$3 *100</f>
        <v>0</v>
      </c>
    </row>
    <row r="63" customFormat="false" ht="13.8" hidden="false" customHeight="false" outlineLevel="0" collapsed="false">
      <c r="B63" s="10" t="n">
        <f aca="false">_xlfn.NUMBERVALUE(solar!B60)</f>
        <v>114</v>
      </c>
      <c r="C63" s="11" t="n">
        <f aca="false">solar!C60</f>
        <v>0</v>
      </c>
      <c r="D63" s="5" t="n">
        <v>59</v>
      </c>
      <c r="E63" s="16" t="n">
        <f aca="false">IFERROR(INDEX($B$5:$C$173, MATCH($D63, $B$5:$B$175, 0), 2), 0)*investment!$C$3</f>
        <v>0</v>
      </c>
      <c r="F63" s="17" t="n">
        <f aca="false">demand!D61</f>
        <v>0</v>
      </c>
      <c r="G63" s="2" t="n">
        <f aca="false">solgen!D61</f>
        <v>0</v>
      </c>
      <c r="H63" s="2" t="n">
        <f aca="false">import!D61</f>
        <v>0</v>
      </c>
      <c r="I63" s="2" t="n">
        <f aca="false">-export!D61</f>
        <v>-0</v>
      </c>
      <c r="J63" s="2" t="n">
        <f aca="false">-charge!D61</f>
        <v>-0</v>
      </c>
      <c r="K63" s="2" t="n">
        <f aca="false">discharge!D61</f>
        <v>0</v>
      </c>
      <c r="L63" s="2" t="n">
        <f aca="false">soc!D61/investment!$E$3 *100</f>
        <v>0</v>
      </c>
    </row>
    <row r="64" customFormat="false" ht="13.8" hidden="false" customHeight="false" outlineLevel="0" collapsed="false">
      <c r="B64" s="10" t="n">
        <f aca="false">_xlfn.NUMBERVALUE(solar!B61)</f>
        <v>115</v>
      </c>
      <c r="C64" s="11" t="n">
        <f aca="false">solar!C61</f>
        <v>0</v>
      </c>
      <c r="D64" s="5" t="n">
        <v>60</v>
      </c>
      <c r="E64" s="16" t="n">
        <f aca="false">IFERROR(INDEX($B$5:$C$173, MATCH($D64, $B$5:$B$175, 0), 2), 0)*investment!$C$3</f>
        <v>0</v>
      </c>
      <c r="F64" s="17" t="n">
        <f aca="false">demand!D62</f>
        <v>0</v>
      </c>
      <c r="G64" s="2" t="n">
        <f aca="false">solgen!D62</f>
        <v>0</v>
      </c>
      <c r="H64" s="2" t="n">
        <f aca="false">import!D62</f>
        <v>0</v>
      </c>
      <c r="I64" s="2" t="n">
        <f aca="false">-export!D62</f>
        <v>-0</v>
      </c>
      <c r="J64" s="2" t="n">
        <f aca="false">-charge!D62</f>
        <v>-0</v>
      </c>
      <c r="K64" s="2" t="n">
        <f aca="false">discharge!D62</f>
        <v>0</v>
      </c>
      <c r="L64" s="2" t="n">
        <f aca="false">soc!D62/investment!$E$3 *100</f>
        <v>14.2310836481103</v>
      </c>
    </row>
    <row r="65" customFormat="false" ht="13.8" hidden="false" customHeight="false" outlineLevel="0" collapsed="false">
      <c r="B65" s="10" t="n">
        <f aca="false">_xlfn.NUMBERVALUE(solar!B62)</f>
        <v>128</v>
      </c>
      <c r="C65" s="11" t="n">
        <f aca="false">solar!C62</f>
        <v>0</v>
      </c>
      <c r="D65" s="5" t="n">
        <v>61</v>
      </c>
      <c r="E65" s="16" t="n">
        <f aca="false">IFERROR(INDEX($B$5:$C$173, MATCH($D65, $B$5:$B$175, 0), 2), 0)*investment!$C$3</f>
        <v>0</v>
      </c>
      <c r="F65" s="17" t="n">
        <f aca="false">demand!D63</f>
        <v>0</v>
      </c>
      <c r="G65" s="2" t="n">
        <f aca="false">solgen!D63</f>
        <v>0</v>
      </c>
      <c r="H65" s="2" t="n">
        <f aca="false">import!D63</f>
        <v>0</v>
      </c>
      <c r="I65" s="2" t="n">
        <f aca="false">-export!D63</f>
        <v>-0</v>
      </c>
      <c r="J65" s="2" t="n">
        <f aca="false">-charge!D63</f>
        <v>-0</v>
      </c>
      <c r="K65" s="2" t="n">
        <f aca="false">discharge!D63</f>
        <v>0</v>
      </c>
      <c r="L65" s="2" t="n">
        <f aca="false">soc!D63/investment!$E$3 *100</f>
        <v>38.8466687756737</v>
      </c>
    </row>
    <row r="66" customFormat="false" ht="13.8" hidden="false" customHeight="false" outlineLevel="0" collapsed="false">
      <c r="B66" s="10" t="n">
        <f aca="false">_xlfn.NUMBERVALUE(solar!B63)</f>
        <v>129</v>
      </c>
      <c r="C66" s="11" t="n">
        <f aca="false">solar!C63</f>
        <v>0</v>
      </c>
      <c r="D66" s="5" t="n">
        <v>62</v>
      </c>
      <c r="E66" s="16" t="n">
        <f aca="false">IFERROR(INDEX($B$5:$C$173, MATCH($D66, $B$5:$B$175, 0), 2), 0)*investment!$C$3</f>
        <v>0</v>
      </c>
      <c r="F66" s="17" t="n">
        <f aca="false">demand!D64</f>
        <v>0</v>
      </c>
      <c r="G66" s="2" t="n">
        <f aca="false">solgen!D64</f>
        <v>0</v>
      </c>
      <c r="H66" s="2" t="n">
        <f aca="false">import!D64</f>
        <v>0</v>
      </c>
      <c r="I66" s="2" t="n">
        <f aca="false">-export!D64</f>
        <v>-0</v>
      </c>
      <c r="J66" s="2" t="n">
        <f aca="false">-charge!D64</f>
        <v>-0</v>
      </c>
      <c r="K66" s="2" t="n">
        <f aca="false">discharge!D64</f>
        <v>0</v>
      </c>
      <c r="L66" s="2" t="n">
        <f aca="false">soc!D64/investment!$E$3 *100</f>
        <v>61.6154982547708</v>
      </c>
    </row>
    <row r="67" customFormat="false" ht="13.8" hidden="false" customHeight="false" outlineLevel="0" collapsed="false">
      <c r="B67" s="10" t="n">
        <f aca="false">_xlfn.NUMBERVALUE(solar!B64)</f>
        <v>130</v>
      </c>
      <c r="C67" s="11" t="n">
        <f aca="false">solar!C64</f>
        <v>0</v>
      </c>
      <c r="D67" s="5" t="n">
        <v>63</v>
      </c>
      <c r="E67" s="16" t="n">
        <f aca="false">IFERROR(INDEX($B$5:$C$173, MATCH($D67, $B$5:$B$175, 0), 2), 0)*investment!$C$3</f>
        <v>0</v>
      </c>
      <c r="F67" s="17" t="n">
        <f aca="false">demand!D65</f>
        <v>0</v>
      </c>
      <c r="G67" s="2" t="n">
        <f aca="false">solgen!D65</f>
        <v>0</v>
      </c>
      <c r="H67" s="2" t="n">
        <f aca="false">import!D65</f>
        <v>0</v>
      </c>
      <c r="I67" s="2" t="n">
        <f aca="false">-export!D65</f>
        <v>-0</v>
      </c>
      <c r="J67" s="2" t="n">
        <f aca="false">-charge!D65</f>
        <v>-0</v>
      </c>
      <c r="K67" s="2" t="n">
        <f aca="false">discharge!D65</f>
        <v>0</v>
      </c>
      <c r="L67" s="2" t="n">
        <f aca="false">soc!D65/investment!$E$3 *100</f>
        <v>80.7358656440441</v>
      </c>
    </row>
    <row r="68" customFormat="false" ht="13.8" hidden="false" customHeight="false" outlineLevel="0" collapsed="false">
      <c r="B68" s="10" t="n">
        <f aca="false">_xlfn.NUMBERVALUE(solar!B65)</f>
        <v>131</v>
      </c>
      <c r="C68" s="11" t="n">
        <f aca="false">solar!C65</f>
        <v>0</v>
      </c>
      <c r="D68" s="5" t="n">
        <v>64</v>
      </c>
      <c r="E68" s="16" t="n">
        <f aca="false">IFERROR(INDEX($B$5:$C$173, MATCH($D68, $B$5:$B$175, 0), 2), 0)*investment!$C$3</f>
        <v>0</v>
      </c>
      <c r="F68" s="17" t="n">
        <f aca="false">demand!D66</f>
        <v>0</v>
      </c>
      <c r="G68" s="2" t="n">
        <f aca="false">solgen!D66</f>
        <v>0</v>
      </c>
      <c r="H68" s="2" t="n">
        <f aca="false">import!D66</f>
        <v>0</v>
      </c>
      <c r="I68" s="2" t="n">
        <f aca="false">-export!D66</f>
        <v>-0</v>
      </c>
      <c r="J68" s="2" t="n">
        <f aca="false">-charge!D66</f>
        <v>-0</v>
      </c>
      <c r="K68" s="2" t="n">
        <f aca="false">discharge!D66</f>
        <v>0</v>
      </c>
      <c r="L68" s="2" t="n">
        <f aca="false">soc!D66/investment!$E$3 *100</f>
        <v>91.5054694096387</v>
      </c>
    </row>
    <row r="69" customFormat="false" ht="13.8" hidden="false" customHeight="false" outlineLevel="0" collapsed="false">
      <c r="B69" s="10" t="n">
        <f aca="false">_xlfn.NUMBERVALUE(solar!B66)</f>
        <v>132</v>
      </c>
      <c r="C69" s="11" t="n">
        <f aca="false">solar!C66</f>
        <v>0</v>
      </c>
      <c r="D69" s="5" t="n">
        <v>65</v>
      </c>
      <c r="E69" s="16" t="n">
        <f aca="false">IFERROR(INDEX($B$5:$C$173, MATCH($D69, $B$5:$B$175, 0), 2), 0)*investment!$C$3</f>
        <v>0</v>
      </c>
      <c r="F69" s="17" t="n">
        <f aca="false">demand!D67</f>
        <v>0</v>
      </c>
      <c r="G69" s="2" t="n">
        <f aca="false">solgen!D67</f>
        <v>0</v>
      </c>
      <c r="H69" s="2" t="n">
        <f aca="false">import!D67</f>
        <v>0</v>
      </c>
      <c r="I69" s="2" t="n">
        <f aca="false">-export!D67</f>
        <v>-0</v>
      </c>
      <c r="J69" s="2" t="n">
        <f aca="false">-charge!D67</f>
        <v>-0</v>
      </c>
      <c r="K69" s="2" t="n">
        <f aca="false">discharge!D67</f>
        <v>0</v>
      </c>
      <c r="L69" s="2" t="n">
        <f aca="false">soc!D67/investment!$E$3 *100</f>
        <v>93.1189628746396</v>
      </c>
    </row>
    <row r="70" customFormat="false" ht="13.8" hidden="false" customHeight="false" outlineLevel="0" collapsed="false">
      <c r="B70" s="10" t="n">
        <f aca="false">_xlfn.NUMBERVALUE(solar!B67)</f>
        <v>133</v>
      </c>
      <c r="C70" s="11" t="n">
        <f aca="false">solar!C67</f>
        <v>0</v>
      </c>
      <c r="D70" s="5" t="n">
        <v>66</v>
      </c>
      <c r="E70" s="16" t="n">
        <f aca="false">IFERROR(INDEX($B$5:$C$173, MATCH($D70, $B$5:$B$175, 0), 2), 0)*investment!$C$3</f>
        <v>0</v>
      </c>
      <c r="F70" s="17" t="n">
        <f aca="false">demand!D68</f>
        <v>0</v>
      </c>
      <c r="G70" s="2" t="n">
        <f aca="false">solgen!D68</f>
        <v>0</v>
      </c>
      <c r="H70" s="2" t="n">
        <f aca="false">import!D68</f>
        <v>0</v>
      </c>
      <c r="I70" s="2" t="n">
        <f aca="false">-export!D68</f>
        <v>-0</v>
      </c>
      <c r="J70" s="2" t="n">
        <f aca="false">-charge!D68</f>
        <v>-0</v>
      </c>
      <c r="K70" s="2" t="n">
        <f aca="false">discharge!D68</f>
        <v>0</v>
      </c>
      <c r="L70" s="2" t="n">
        <f aca="false">soc!D68/investment!$E$3 *100</f>
        <v>92.3397926455367</v>
      </c>
    </row>
    <row r="71" customFormat="false" ht="13.8" hidden="false" customHeight="false" outlineLevel="0" collapsed="false">
      <c r="B71" s="10" t="n">
        <f aca="false">_xlfn.NUMBERVALUE(solar!B68)</f>
        <v>134</v>
      </c>
      <c r="C71" s="11" t="n">
        <f aca="false">solar!C68</f>
        <v>0</v>
      </c>
      <c r="D71" s="5" t="n">
        <v>67</v>
      </c>
      <c r="E71" s="16" t="n">
        <f aca="false">IFERROR(INDEX($B$5:$C$173, MATCH($D71, $B$5:$B$175, 0), 2), 0)*investment!$C$3</f>
        <v>0</v>
      </c>
      <c r="F71" s="17" t="n">
        <f aca="false">demand!D69</f>
        <v>0</v>
      </c>
      <c r="G71" s="2" t="n">
        <f aca="false">solgen!D69</f>
        <v>0</v>
      </c>
      <c r="H71" s="2" t="n">
        <f aca="false">import!D69</f>
        <v>0</v>
      </c>
      <c r="I71" s="2" t="n">
        <f aca="false">-export!D69</f>
        <v>-0</v>
      </c>
      <c r="J71" s="2" t="n">
        <f aca="false">-charge!D69</f>
        <v>-0</v>
      </c>
      <c r="K71" s="2" t="n">
        <f aca="false">discharge!D69</f>
        <v>0</v>
      </c>
      <c r="L71" s="2" t="n">
        <f aca="false">soc!D69/investment!$E$3 *100</f>
        <v>83.7030065026248</v>
      </c>
    </row>
    <row r="72" customFormat="false" ht="13.8" hidden="false" customHeight="false" outlineLevel="0" collapsed="false">
      <c r="B72" s="10" t="n">
        <f aca="false">_xlfn.NUMBERVALUE(solar!B69)</f>
        <v>135</v>
      </c>
      <c r="C72" s="11" t="n">
        <f aca="false">solar!C69</f>
        <v>0</v>
      </c>
      <c r="D72" s="5" t="n">
        <v>68</v>
      </c>
      <c r="E72" s="16" t="n">
        <f aca="false">IFERROR(INDEX($B$5:$C$173, MATCH($D72, $B$5:$B$175, 0), 2), 0)*investment!$C$3</f>
        <v>0</v>
      </c>
      <c r="F72" s="17" t="n">
        <f aca="false">demand!D70</f>
        <v>0</v>
      </c>
      <c r="G72" s="2" t="n">
        <f aca="false">solgen!D70</f>
        <v>0</v>
      </c>
      <c r="H72" s="2" t="n">
        <f aca="false">import!D70</f>
        <v>0</v>
      </c>
      <c r="I72" s="2" t="n">
        <f aca="false">-export!D70</f>
        <v>-0</v>
      </c>
      <c r="J72" s="2" t="n">
        <f aca="false">-charge!D70</f>
        <v>-0</v>
      </c>
      <c r="K72" s="2" t="n">
        <f aca="false">discharge!D70</f>
        <v>0</v>
      </c>
      <c r="L72" s="2" t="n">
        <f aca="false">soc!D70/investment!$E$3 *100</f>
        <v>75.0663067275743</v>
      </c>
    </row>
    <row r="73" customFormat="false" ht="13.8" hidden="false" customHeight="false" outlineLevel="0" collapsed="false">
      <c r="B73" s="10" t="n">
        <f aca="false">_xlfn.NUMBERVALUE(solar!B70)</f>
        <v>136</v>
      </c>
      <c r="C73" s="11" t="n">
        <f aca="false">solar!C70</f>
        <v>0</v>
      </c>
      <c r="D73" s="5" t="n">
        <v>69</v>
      </c>
      <c r="E73" s="16" t="n">
        <f aca="false">IFERROR(INDEX($B$5:$C$173, MATCH($D73, $B$5:$B$175, 0), 2), 0)*investment!$C$3</f>
        <v>0</v>
      </c>
      <c r="F73" s="17" t="n">
        <f aca="false">demand!D71</f>
        <v>0</v>
      </c>
      <c r="G73" s="2" t="n">
        <f aca="false">solgen!D71</f>
        <v>0</v>
      </c>
      <c r="H73" s="2" t="n">
        <f aca="false">import!D71</f>
        <v>0</v>
      </c>
      <c r="I73" s="2" t="n">
        <f aca="false">-export!D71</f>
        <v>-0</v>
      </c>
      <c r="J73" s="2" t="n">
        <f aca="false">-charge!D71</f>
        <v>-0</v>
      </c>
      <c r="K73" s="2" t="n">
        <f aca="false">discharge!D71</f>
        <v>0</v>
      </c>
      <c r="L73" s="2" t="n">
        <f aca="false">soc!D71/investment!$E$3 *100</f>
        <v>66.4296933195216</v>
      </c>
    </row>
    <row r="74" customFormat="false" ht="13.8" hidden="false" customHeight="false" outlineLevel="0" collapsed="false">
      <c r="B74" s="10" t="n">
        <f aca="false">_xlfn.NUMBERVALUE(solar!B71)</f>
        <v>137</v>
      </c>
      <c r="C74" s="11" t="n">
        <f aca="false">solar!C71</f>
        <v>0</v>
      </c>
      <c r="D74" s="5" t="n">
        <v>70</v>
      </c>
      <c r="E74" s="16" t="n">
        <f aca="false">IFERROR(INDEX($B$5:$C$173, MATCH($D74, $B$5:$B$175, 0), 2), 0)*investment!$C$3</f>
        <v>0</v>
      </c>
      <c r="F74" s="17" t="n">
        <f aca="false">demand!D72</f>
        <v>0</v>
      </c>
      <c r="G74" s="2" t="n">
        <f aca="false">solgen!D72</f>
        <v>0</v>
      </c>
      <c r="H74" s="2" t="n">
        <f aca="false">import!D72</f>
        <v>0</v>
      </c>
      <c r="I74" s="2" t="n">
        <f aca="false">-export!D72</f>
        <v>-0</v>
      </c>
      <c r="J74" s="2" t="n">
        <f aca="false">-charge!D72</f>
        <v>-0</v>
      </c>
      <c r="K74" s="2" t="n">
        <f aca="false">discharge!D72</f>
        <v>0</v>
      </c>
      <c r="L74" s="2" t="n">
        <f aca="false">soc!D72/investment!$E$3 *100</f>
        <v>57.793166277603</v>
      </c>
    </row>
    <row r="75" customFormat="false" ht="13.8" hidden="false" customHeight="false" outlineLevel="0" collapsed="false">
      <c r="B75" s="10" t="n">
        <f aca="false">_xlfn.NUMBERVALUE(solar!B72)</f>
        <v>138</v>
      </c>
      <c r="C75" s="11" t="n">
        <f aca="false">solar!C72</f>
        <v>0</v>
      </c>
      <c r="D75" s="5" t="n">
        <v>71</v>
      </c>
      <c r="E75" s="16" t="n">
        <f aca="false">IFERROR(INDEX($B$5:$C$173, MATCH($D75, $B$5:$B$175, 0), 2), 0)*investment!$C$3</f>
        <v>0</v>
      </c>
      <c r="F75" s="17" t="n">
        <f aca="false">demand!D73</f>
        <v>0</v>
      </c>
      <c r="G75" s="2" t="n">
        <f aca="false">solgen!D73</f>
        <v>0</v>
      </c>
      <c r="H75" s="2" t="n">
        <f aca="false">import!D73</f>
        <v>0</v>
      </c>
      <c r="I75" s="2" t="n">
        <f aca="false">-export!D73</f>
        <v>-0</v>
      </c>
      <c r="J75" s="2" t="n">
        <f aca="false">-charge!D73</f>
        <v>-0</v>
      </c>
      <c r="K75" s="2" t="n">
        <f aca="false">discharge!D73</f>
        <v>0</v>
      </c>
      <c r="L75" s="2" t="n">
        <f aca="false">soc!D73/investment!$E$3 *100</f>
        <v>49.1567256009548</v>
      </c>
    </row>
    <row r="76" customFormat="false" ht="13.8" hidden="false" customHeight="false" outlineLevel="0" collapsed="false">
      <c r="B76" s="10" t="n">
        <f aca="false">_xlfn.NUMBERVALUE(solar!B73)</f>
        <v>139</v>
      </c>
      <c r="C76" s="11" t="n">
        <f aca="false">solar!C73</f>
        <v>0</v>
      </c>
      <c r="D76" s="5" t="n">
        <v>72</v>
      </c>
      <c r="E76" s="16" t="n">
        <f aca="false">IFERROR(INDEX($B$5:$C$173, MATCH($D76, $B$5:$B$175, 0), 2), 0)*investment!$C$3</f>
        <v>0</v>
      </c>
      <c r="F76" s="17" t="n">
        <f aca="false">demand!D74</f>
        <v>0</v>
      </c>
      <c r="G76" s="2" t="n">
        <f aca="false">solgen!D74</f>
        <v>0</v>
      </c>
      <c r="H76" s="2" t="n">
        <f aca="false">import!D74</f>
        <v>0</v>
      </c>
      <c r="I76" s="2" t="n">
        <f aca="false">-export!D74</f>
        <v>-0</v>
      </c>
      <c r="J76" s="2" t="n">
        <f aca="false">-charge!D74</f>
        <v>-0</v>
      </c>
      <c r="K76" s="2" t="n">
        <f aca="false">discharge!D74</f>
        <v>0</v>
      </c>
      <c r="L76" s="2" t="n">
        <f aca="false">soc!D74/investment!$E$3 *100</f>
        <v>40.5203712887133</v>
      </c>
    </row>
    <row r="77" customFormat="false" ht="13.8" hidden="false" customHeight="false" outlineLevel="0" collapsed="false">
      <c r="B77" s="10" t="n">
        <f aca="false">_xlfn.NUMBERVALUE(solar!B74)</f>
        <v>152</v>
      </c>
      <c r="C77" s="11" t="n">
        <f aca="false">solar!C74</f>
        <v>0</v>
      </c>
      <c r="D77" s="5" t="n">
        <v>73</v>
      </c>
      <c r="E77" s="16" t="n">
        <f aca="false">IFERROR(INDEX($B$5:$C$173, MATCH($D77, $B$5:$B$175, 0), 2), 0)*investment!$C$3</f>
        <v>0</v>
      </c>
      <c r="F77" s="17" t="n">
        <f aca="false">demand!D75</f>
        <v>0</v>
      </c>
      <c r="G77" s="2" t="n">
        <f aca="false">solgen!D75</f>
        <v>0</v>
      </c>
      <c r="H77" s="2" t="n">
        <f aca="false">import!D75</f>
        <v>0</v>
      </c>
      <c r="I77" s="2" t="n">
        <f aca="false">-export!D75</f>
        <v>-0</v>
      </c>
      <c r="J77" s="2" t="n">
        <f aca="false">-charge!D75</f>
        <v>-0</v>
      </c>
      <c r="K77" s="2" t="n">
        <f aca="false">discharge!D75</f>
        <v>0</v>
      </c>
      <c r="L77" s="2" t="n">
        <f aca="false">soc!D75/investment!$E$3 *100</f>
        <v>35.4823794837589</v>
      </c>
    </row>
    <row r="78" customFormat="false" ht="13.8" hidden="false" customHeight="false" outlineLevel="0" collapsed="false">
      <c r="B78" s="10" t="n">
        <f aca="false">_xlfn.NUMBERVALUE(solar!B75)</f>
        <v>153</v>
      </c>
      <c r="C78" s="11" t="n">
        <f aca="false">solar!C75</f>
        <v>0</v>
      </c>
      <c r="D78" s="5" t="n">
        <v>74</v>
      </c>
      <c r="E78" s="16" t="n">
        <f aca="false">IFERROR(INDEX($B$5:$C$173, MATCH($D78, $B$5:$B$175, 0), 2), 0)*investment!$C$3</f>
        <v>0</v>
      </c>
      <c r="F78" s="17" t="n">
        <f aca="false">demand!D76</f>
        <v>0</v>
      </c>
      <c r="G78" s="2" t="n">
        <f aca="false">solgen!D76</f>
        <v>0</v>
      </c>
      <c r="H78" s="2" t="n">
        <f aca="false">import!D76</f>
        <v>0</v>
      </c>
      <c r="I78" s="2" t="n">
        <f aca="false">-export!D76</f>
        <v>-0</v>
      </c>
      <c r="J78" s="2" t="n">
        <f aca="false">-charge!D76</f>
        <v>-0</v>
      </c>
      <c r="K78" s="2" t="n">
        <f aca="false">discharge!D76</f>
        <v>0</v>
      </c>
      <c r="L78" s="2" t="n">
        <f aca="false">soc!D76/investment!$E$3 *100</f>
        <v>26.8461619149787</v>
      </c>
    </row>
    <row r="79" customFormat="false" ht="13.8" hidden="false" customHeight="false" outlineLevel="0" collapsed="false">
      <c r="B79" s="10" t="n">
        <f aca="false">_xlfn.NUMBERVALUE(solar!B76)</f>
        <v>154</v>
      </c>
      <c r="C79" s="11" t="n">
        <f aca="false">solar!C76</f>
        <v>0</v>
      </c>
      <c r="D79" s="5" t="n">
        <v>75</v>
      </c>
      <c r="E79" s="16" t="n">
        <f aca="false">IFERROR(INDEX($B$5:$C$173, MATCH($D79, $B$5:$B$175, 0), 2), 0)*investment!$C$3</f>
        <v>0</v>
      </c>
      <c r="F79" s="17" t="n">
        <f aca="false">demand!D77</f>
        <v>0</v>
      </c>
      <c r="G79" s="2" t="n">
        <f aca="false">solgen!D77</f>
        <v>0</v>
      </c>
      <c r="H79" s="2" t="n">
        <f aca="false">import!D77</f>
        <v>0</v>
      </c>
      <c r="I79" s="2" t="n">
        <f aca="false">-export!D77</f>
        <v>-0</v>
      </c>
      <c r="J79" s="2" t="n">
        <f aca="false">-charge!D77</f>
        <v>-0</v>
      </c>
      <c r="K79" s="2" t="n">
        <f aca="false">discharge!D77</f>
        <v>0</v>
      </c>
      <c r="L79" s="2" t="n">
        <f aca="false">soc!D77/investment!$E$3 *100</f>
        <v>18.2100307083741</v>
      </c>
    </row>
    <row r="80" customFormat="false" ht="13.8" hidden="false" customHeight="false" outlineLevel="0" collapsed="false">
      <c r="B80" s="10" t="n">
        <f aca="false">_xlfn.NUMBERVALUE(solar!B77)</f>
        <v>155</v>
      </c>
      <c r="C80" s="11" t="n">
        <f aca="false">solar!C77</f>
        <v>0</v>
      </c>
      <c r="D80" s="5" t="n">
        <v>76</v>
      </c>
      <c r="E80" s="16" t="n">
        <f aca="false">IFERROR(INDEX($B$5:$C$173, MATCH($D80, $B$5:$B$175, 0), 2), 0)*investment!$C$3</f>
        <v>0</v>
      </c>
      <c r="F80" s="17" t="n">
        <f aca="false">demand!D78</f>
        <v>0</v>
      </c>
      <c r="G80" s="2" t="n">
        <f aca="false">solgen!D78</f>
        <v>0</v>
      </c>
      <c r="H80" s="2" t="n">
        <f aca="false">import!D78</f>
        <v>0</v>
      </c>
      <c r="I80" s="2" t="n">
        <f aca="false">-export!D78</f>
        <v>-0</v>
      </c>
      <c r="J80" s="2" t="n">
        <f aca="false">-charge!D78</f>
        <v>-0</v>
      </c>
      <c r="K80" s="2" t="n">
        <f aca="false">discharge!D78</f>
        <v>0</v>
      </c>
      <c r="L80" s="2" t="n">
        <f aca="false">soc!D78/investment!$E$3 *100</f>
        <v>9.57398586308158</v>
      </c>
    </row>
    <row r="81" customFormat="false" ht="13.8" hidden="false" customHeight="false" outlineLevel="0" collapsed="false">
      <c r="B81" s="10" t="n">
        <f aca="false">_xlfn.NUMBERVALUE(solar!B78)</f>
        <v>156</v>
      </c>
      <c r="C81" s="11" t="n">
        <f aca="false">solar!C78</f>
        <v>0</v>
      </c>
      <c r="D81" s="5" t="n">
        <v>77</v>
      </c>
      <c r="E81" s="16" t="n">
        <f aca="false">IFERROR(INDEX($B$5:$C$173, MATCH($D81, $B$5:$B$175, 0), 2), 0)*investment!$C$3</f>
        <v>0</v>
      </c>
      <c r="F81" s="17" t="n">
        <f aca="false">demand!D79</f>
        <v>0</v>
      </c>
      <c r="G81" s="2" t="n">
        <f aca="false">solgen!D79</f>
        <v>0</v>
      </c>
      <c r="H81" s="2" t="n">
        <f aca="false">import!D79</f>
        <v>0</v>
      </c>
      <c r="I81" s="2" t="n">
        <f aca="false">-export!D79</f>
        <v>-0</v>
      </c>
      <c r="J81" s="2" t="n">
        <f aca="false">-charge!D79</f>
        <v>-0</v>
      </c>
      <c r="K81" s="2" t="n">
        <f aca="false">discharge!D79</f>
        <v>0</v>
      </c>
      <c r="L81" s="2" t="n">
        <f aca="false">soc!D79/investment!$E$3 *100</f>
        <v>0.938027378237508</v>
      </c>
    </row>
    <row r="82" customFormat="false" ht="13.8" hidden="false" customHeight="false" outlineLevel="0" collapsed="false">
      <c r="B82" s="10" t="n">
        <f aca="false">_xlfn.NUMBERVALUE(solar!B79)</f>
        <v>157</v>
      </c>
      <c r="C82" s="11" t="n">
        <f aca="false">solar!C79</f>
        <v>0</v>
      </c>
      <c r="D82" s="5" t="n">
        <v>78</v>
      </c>
      <c r="E82" s="16" t="n">
        <f aca="false">IFERROR(INDEX($B$5:$C$173, MATCH($D82, $B$5:$B$175, 0), 2), 0)*investment!$C$3</f>
        <v>0</v>
      </c>
      <c r="F82" s="17" t="n">
        <f aca="false">demand!D80</f>
        <v>0</v>
      </c>
      <c r="G82" s="2" t="n">
        <f aca="false">solgen!D80</f>
        <v>0</v>
      </c>
      <c r="H82" s="2" t="n">
        <f aca="false">import!D80</f>
        <v>0</v>
      </c>
      <c r="I82" s="2" t="n">
        <f aca="false">-export!D80</f>
        <v>-0</v>
      </c>
      <c r="J82" s="2" t="n">
        <f aca="false">-charge!D80</f>
        <v>-0</v>
      </c>
      <c r="K82" s="2" t="n">
        <f aca="false">discharge!D80</f>
        <v>0</v>
      </c>
      <c r="L82" s="2" t="n">
        <f aca="false">soc!D80/investment!$E$3 *100</f>
        <v>0</v>
      </c>
    </row>
    <row r="83" customFormat="false" ht="13.8" hidden="false" customHeight="false" outlineLevel="0" collapsed="false">
      <c r="B83" s="10" t="n">
        <f aca="false">_xlfn.NUMBERVALUE(solar!B80)</f>
        <v>158</v>
      </c>
      <c r="C83" s="11" t="n">
        <f aca="false">solar!C80</f>
        <v>0</v>
      </c>
      <c r="D83" s="5" t="n">
        <v>79</v>
      </c>
      <c r="E83" s="16" t="n">
        <f aca="false">IFERROR(INDEX($B$5:$C$173, MATCH($D83, $B$5:$B$175, 0), 2), 0)*investment!$C$3</f>
        <v>0</v>
      </c>
      <c r="F83" s="17" t="n">
        <f aca="false">demand!D81</f>
        <v>0</v>
      </c>
      <c r="G83" s="2" t="n">
        <f aca="false">solgen!D81</f>
        <v>0</v>
      </c>
      <c r="H83" s="2" t="n">
        <f aca="false">import!D81</f>
        <v>0</v>
      </c>
      <c r="I83" s="2" t="n">
        <f aca="false">-export!D81</f>
        <v>-0</v>
      </c>
      <c r="J83" s="2" t="n">
        <f aca="false">-charge!D81</f>
        <v>-0</v>
      </c>
      <c r="K83" s="2" t="n">
        <f aca="false">discharge!D81</f>
        <v>0</v>
      </c>
      <c r="L83" s="2" t="n">
        <f aca="false">soc!D81/investment!$E$3 *100</f>
        <v>0</v>
      </c>
    </row>
    <row r="84" customFormat="false" ht="13.8" hidden="false" customHeight="false" outlineLevel="0" collapsed="false">
      <c r="B84" s="10" t="n">
        <f aca="false">_xlfn.NUMBERVALUE(solar!B81)</f>
        <v>159</v>
      </c>
      <c r="C84" s="11" t="n">
        <f aca="false">solar!C81</f>
        <v>0</v>
      </c>
      <c r="D84" s="5" t="n">
        <v>80</v>
      </c>
      <c r="E84" s="16" t="n">
        <f aca="false">IFERROR(INDEX($B$5:$C$173, MATCH($D84, $B$5:$B$175, 0), 2), 0)*investment!$C$3</f>
        <v>0</v>
      </c>
      <c r="F84" s="17" t="n">
        <f aca="false">demand!D82</f>
        <v>0</v>
      </c>
      <c r="G84" s="2" t="n">
        <f aca="false">solgen!D82</f>
        <v>0</v>
      </c>
      <c r="H84" s="2" t="n">
        <f aca="false">import!D82</f>
        <v>0</v>
      </c>
      <c r="I84" s="2" t="n">
        <f aca="false">-export!D82</f>
        <v>-0</v>
      </c>
      <c r="J84" s="2" t="n">
        <f aca="false">-charge!D82</f>
        <v>-0</v>
      </c>
      <c r="K84" s="2" t="n">
        <f aca="false">discharge!D82</f>
        <v>0</v>
      </c>
      <c r="L84" s="2" t="n">
        <f aca="false">soc!D82/investment!$E$3 *100</f>
        <v>0</v>
      </c>
    </row>
    <row r="85" customFormat="false" ht="13.8" hidden="false" customHeight="false" outlineLevel="0" collapsed="false">
      <c r="B85" s="10" t="n">
        <f aca="false">_xlfn.NUMBERVALUE(solar!B82)</f>
        <v>160</v>
      </c>
      <c r="C85" s="11" t="n">
        <f aca="false">solar!C82</f>
        <v>0</v>
      </c>
      <c r="D85" s="5" t="n">
        <v>81</v>
      </c>
      <c r="E85" s="16" t="n">
        <f aca="false">IFERROR(INDEX($B$5:$C$173, MATCH($D85, $B$5:$B$175, 0), 2), 0)*investment!$C$3</f>
        <v>0</v>
      </c>
      <c r="F85" s="17" t="n">
        <f aca="false">demand!D83</f>
        <v>0</v>
      </c>
      <c r="G85" s="2" t="n">
        <f aca="false">solgen!D83</f>
        <v>0</v>
      </c>
      <c r="H85" s="2" t="n">
        <f aca="false">import!D83</f>
        <v>0</v>
      </c>
      <c r="I85" s="2" t="n">
        <f aca="false">-export!D83</f>
        <v>-0</v>
      </c>
      <c r="J85" s="2" t="n">
        <f aca="false">-charge!D83</f>
        <v>-0</v>
      </c>
      <c r="K85" s="2" t="n">
        <f aca="false">discharge!D83</f>
        <v>0</v>
      </c>
      <c r="L85" s="2" t="n">
        <f aca="false">soc!D83/investment!$E$3 *100</f>
        <v>0</v>
      </c>
    </row>
    <row r="86" customFormat="false" ht="13.8" hidden="false" customHeight="false" outlineLevel="0" collapsed="false">
      <c r="B86" s="10" t="n">
        <f aca="false">_xlfn.NUMBERVALUE(solar!B83)</f>
        <v>161</v>
      </c>
      <c r="C86" s="11" t="n">
        <f aca="false">solar!C83</f>
        <v>0</v>
      </c>
      <c r="D86" s="5" t="n">
        <v>82</v>
      </c>
      <c r="E86" s="16" t="n">
        <f aca="false">IFERROR(INDEX($B$5:$C$173, MATCH($D86, $B$5:$B$175, 0), 2), 0)*investment!$C$3</f>
        <v>0</v>
      </c>
      <c r="F86" s="17" t="n">
        <f aca="false">demand!D84</f>
        <v>0</v>
      </c>
      <c r="G86" s="2" t="n">
        <f aca="false">solgen!D84</f>
        <v>0</v>
      </c>
      <c r="H86" s="2" t="n">
        <f aca="false">import!D84</f>
        <v>0</v>
      </c>
      <c r="I86" s="2" t="n">
        <f aca="false">-export!D84</f>
        <v>-0</v>
      </c>
      <c r="J86" s="2" t="n">
        <f aca="false">-charge!D84</f>
        <v>-0</v>
      </c>
      <c r="K86" s="2" t="n">
        <f aca="false">discharge!D84</f>
        <v>0</v>
      </c>
      <c r="L86" s="2" t="n">
        <f aca="false">soc!D84/investment!$E$3 *100</f>
        <v>0</v>
      </c>
    </row>
    <row r="87" customFormat="false" ht="13.8" hidden="false" customHeight="false" outlineLevel="0" collapsed="false">
      <c r="B87" s="10" t="n">
        <f aca="false">_xlfn.NUMBERVALUE(solar!B84)</f>
        <v>162</v>
      </c>
      <c r="C87" s="11" t="n">
        <f aca="false">solar!C84</f>
        <v>0</v>
      </c>
      <c r="D87" s="5" t="n">
        <v>83</v>
      </c>
      <c r="E87" s="16" t="n">
        <f aca="false">IFERROR(INDEX($B$5:$C$173, MATCH($D87, $B$5:$B$175, 0), 2), 0)*investment!$C$3</f>
        <v>0</v>
      </c>
      <c r="F87" s="17" t="n">
        <f aca="false">demand!D85</f>
        <v>0</v>
      </c>
      <c r="G87" s="2" t="n">
        <f aca="false">solgen!D85</f>
        <v>0</v>
      </c>
      <c r="H87" s="2" t="n">
        <f aca="false">import!D85</f>
        <v>0</v>
      </c>
      <c r="I87" s="2" t="n">
        <f aca="false">-export!D85</f>
        <v>-0</v>
      </c>
      <c r="J87" s="2" t="n">
        <f aca="false">-charge!D85</f>
        <v>-0</v>
      </c>
      <c r="K87" s="2" t="n">
        <f aca="false">discharge!D85</f>
        <v>0</v>
      </c>
      <c r="L87" s="2" t="n">
        <f aca="false">soc!D85/investment!$E$3 *100</f>
        <v>0</v>
      </c>
    </row>
    <row r="88" customFormat="false" ht="13.8" hidden="false" customHeight="false" outlineLevel="0" collapsed="false">
      <c r="B88" s="10" t="n">
        <f aca="false">_xlfn.NUMBERVALUE(solar!B85)</f>
        <v>163</v>
      </c>
      <c r="C88" s="11" t="n">
        <f aca="false">solar!C85</f>
        <v>0</v>
      </c>
      <c r="D88" s="5" t="n">
        <v>84</v>
      </c>
      <c r="E88" s="16" t="n">
        <f aca="false">IFERROR(INDEX($B$5:$C$173, MATCH($D88, $B$5:$B$175, 0), 2), 0)*investment!$C$3</f>
        <v>0</v>
      </c>
      <c r="F88" s="17" t="n">
        <f aca="false">demand!D86</f>
        <v>0</v>
      </c>
      <c r="G88" s="2" t="n">
        <f aca="false">solgen!D86</f>
        <v>0</v>
      </c>
      <c r="H88" s="2" t="n">
        <f aca="false">import!D86</f>
        <v>0</v>
      </c>
      <c r="I88" s="2" t="n">
        <f aca="false">-export!D86</f>
        <v>-0</v>
      </c>
      <c r="J88" s="2" t="n">
        <f aca="false">-charge!D86</f>
        <v>-0</v>
      </c>
      <c r="K88" s="2" t="n">
        <f aca="false">discharge!D86</f>
        <v>0</v>
      </c>
      <c r="L88" s="2" t="n">
        <f aca="false">soc!D86/investment!$E$3 *100</f>
        <v>16.2190113403584</v>
      </c>
    </row>
    <row r="89" customFormat="false" ht="13.8" hidden="false" customHeight="false" outlineLevel="0" collapsed="false">
      <c r="B89" s="10" t="n">
        <f aca="false">_xlfn.NUMBERVALUE(solar!B86)</f>
        <v>0</v>
      </c>
      <c r="C89" s="11" t="n">
        <f aca="false">solar!C86</f>
        <v>0</v>
      </c>
      <c r="D89" s="5" t="n">
        <v>85</v>
      </c>
      <c r="E89" s="16" t="n">
        <f aca="false">IFERROR(INDEX($B$5:$C$173, MATCH($D89, $B$5:$B$175, 0), 2), 0)*investment!$C$3</f>
        <v>0</v>
      </c>
      <c r="F89" s="17" t="n">
        <f aca="false">demand!D87</f>
        <v>0</v>
      </c>
      <c r="G89" s="2" t="n">
        <f aca="false">solgen!D87</f>
        <v>0</v>
      </c>
      <c r="H89" s="2" t="n">
        <f aca="false">import!D87</f>
        <v>0</v>
      </c>
      <c r="I89" s="2" t="n">
        <f aca="false">-export!D87</f>
        <v>-0</v>
      </c>
      <c r="J89" s="2" t="n">
        <f aca="false">-charge!D87</f>
        <v>-0</v>
      </c>
      <c r="K89" s="2" t="n">
        <f aca="false">discharge!D87</f>
        <v>0</v>
      </c>
      <c r="L89" s="2" t="n">
        <f aca="false">soc!D87/investment!$E$3 *100</f>
        <v>38.7997122237106</v>
      </c>
    </row>
    <row r="90" customFormat="false" ht="13.8" hidden="false" customHeight="false" outlineLevel="0" collapsed="false">
      <c r="B90" s="10" t="n">
        <f aca="false">_xlfn.NUMBERVALUE(solar!B87)</f>
        <v>0</v>
      </c>
      <c r="C90" s="11" t="n">
        <f aca="false">solar!C87</f>
        <v>0</v>
      </c>
      <c r="D90" s="5" t="n">
        <v>86</v>
      </c>
      <c r="E90" s="16" t="n">
        <f aca="false">IFERROR(INDEX($B$5:$C$173, MATCH($D90, $B$5:$B$175, 0), 2), 0)*investment!$C$3</f>
        <v>0</v>
      </c>
      <c r="F90" s="17" t="n">
        <f aca="false">demand!D88</f>
        <v>0</v>
      </c>
      <c r="G90" s="2" t="n">
        <f aca="false">solgen!D88</f>
        <v>0</v>
      </c>
      <c r="H90" s="2" t="n">
        <f aca="false">import!D88</f>
        <v>0</v>
      </c>
      <c r="I90" s="2" t="n">
        <f aca="false">-export!D88</f>
        <v>-0</v>
      </c>
      <c r="J90" s="2" t="n">
        <f aca="false">-charge!D88</f>
        <v>-0</v>
      </c>
      <c r="K90" s="2" t="n">
        <f aca="false">discharge!D88</f>
        <v>0</v>
      </c>
      <c r="L90" s="2" t="n">
        <f aca="false">soc!D88/investment!$E$3 *100</f>
        <v>57.2230529092424</v>
      </c>
    </row>
    <row r="91" customFormat="false" ht="13.8" hidden="false" customHeight="false" outlineLevel="0" collapsed="false">
      <c r="B91" s="10" t="n">
        <f aca="false">_xlfn.NUMBERVALUE(solar!B88)</f>
        <v>0</v>
      </c>
      <c r="C91" s="11" t="n">
        <f aca="false">solar!C88</f>
        <v>0</v>
      </c>
      <c r="D91" s="5" t="n">
        <v>87</v>
      </c>
      <c r="E91" s="16" t="n">
        <f aca="false">IFERROR(INDEX($B$5:$C$173, MATCH($D91, $B$5:$B$175, 0), 2), 0)*investment!$C$3</f>
        <v>0</v>
      </c>
      <c r="F91" s="17" t="n">
        <f aca="false">demand!D89</f>
        <v>0</v>
      </c>
      <c r="G91" s="2" t="n">
        <f aca="false">solgen!D89</f>
        <v>0</v>
      </c>
      <c r="H91" s="2" t="n">
        <f aca="false">import!D89</f>
        <v>0</v>
      </c>
      <c r="I91" s="2" t="n">
        <f aca="false">-export!D89</f>
        <v>-0</v>
      </c>
      <c r="J91" s="2" t="n">
        <f aca="false">-charge!D89</f>
        <v>-0</v>
      </c>
      <c r="K91" s="2" t="n">
        <f aca="false">discharge!D89</f>
        <v>0</v>
      </c>
      <c r="L91" s="2" t="n">
        <f aca="false">soc!D89/investment!$E$3 *100</f>
        <v>68.7672973048936</v>
      </c>
    </row>
    <row r="92" customFormat="false" ht="13.8" hidden="false" customHeight="false" outlineLevel="0" collapsed="false">
      <c r="B92" s="10" t="n">
        <f aca="false">_xlfn.NUMBERVALUE(solar!B89)</f>
        <v>0</v>
      </c>
      <c r="C92" s="11" t="n">
        <f aca="false">solar!C89</f>
        <v>0</v>
      </c>
      <c r="D92" s="5" t="n">
        <v>88</v>
      </c>
      <c r="E92" s="16" t="n">
        <f aca="false">IFERROR(INDEX($B$5:$C$173, MATCH($D92, $B$5:$B$175, 0), 2), 0)*investment!$C$3</f>
        <v>0</v>
      </c>
      <c r="F92" s="17" t="n">
        <f aca="false">demand!D90</f>
        <v>0</v>
      </c>
      <c r="G92" s="2" t="n">
        <f aca="false">solgen!D90</f>
        <v>0</v>
      </c>
      <c r="H92" s="2" t="n">
        <f aca="false">import!D90</f>
        <v>0</v>
      </c>
      <c r="I92" s="2" t="n">
        <f aca="false">-export!D90</f>
        <v>-0</v>
      </c>
      <c r="J92" s="2" t="n">
        <f aca="false">-charge!D90</f>
        <v>-0</v>
      </c>
      <c r="K92" s="2" t="n">
        <f aca="false">discharge!D90</f>
        <v>0</v>
      </c>
      <c r="L92" s="2" t="n">
        <f aca="false">soc!D90/investment!$E$3 *100</f>
        <v>75.1806706906167</v>
      </c>
    </row>
    <row r="93" customFormat="false" ht="13.8" hidden="false" customHeight="false" outlineLevel="0" collapsed="false">
      <c r="B93" s="10" t="n">
        <f aca="false">_xlfn.NUMBERVALUE(solar!B90)</f>
        <v>0</v>
      </c>
      <c r="C93" s="11" t="n">
        <f aca="false">solar!C90</f>
        <v>0</v>
      </c>
      <c r="D93" s="5" t="n">
        <v>89</v>
      </c>
      <c r="E93" s="16" t="n">
        <f aca="false">IFERROR(INDEX($B$5:$C$173, MATCH($D93, $B$5:$B$175, 0), 2), 0)*investment!$C$3</f>
        <v>0</v>
      </c>
      <c r="F93" s="17" t="n">
        <f aca="false">demand!D91</f>
        <v>0</v>
      </c>
      <c r="G93" s="2" t="n">
        <f aca="false">solgen!D91</f>
        <v>0</v>
      </c>
      <c r="H93" s="2" t="n">
        <f aca="false">import!D91</f>
        <v>0</v>
      </c>
      <c r="I93" s="2" t="n">
        <f aca="false">-export!D91</f>
        <v>-0</v>
      </c>
      <c r="J93" s="2" t="n">
        <f aca="false">-charge!D91</f>
        <v>-0</v>
      </c>
      <c r="K93" s="2" t="n">
        <f aca="false">discharge!D91</f>
        <v>0</v>
      </c>
      <c r="L93" s="2" t="n">
        <f aca="false">soc!D91/investment!$E$3 *100</f>
        <v>76.7885724764239</v>
      </c>
    </row>
    <row r="94" customFormat="false" ht="13.8" hidden="false" customHeight="false" outlineLevel="0" collapsed="false">
      <c r="B94" s="10" t="n">
        <f aca="false">_xlfn.NUMBERVALUE(solar!B91)</f>
        <v>0</v>
      </c>
      <c r="C94" s="11" t="n">
        <f aca="false">solar!C91</f>
        <v>0</v>
      </c>
      <c r="D94" s="5" t="n">
        <v>90</v>
      </c>
      <c r="E94" s="16" t="n">
        <f aca="false">IFERROR(INDEX($B$5:$C$173, MATCH($D94, $B$5:$B$175, 0), 2), 0)*investment!$C$3</f>
        <v>0</v>
      </c>
      <c r="F94" s="17" t="n">
        <f aca="false">demand!D92</f>
        <v>0</v>
      </c>
      <c r="G94" s="2" t="n">
        <f aca="false">solgen!D92</f>
        <v>0</v>
      </c>
      <c r="H94" s="2" t="n">
        <f aca="false">import!D92</f>
        <v>0</v>
      </c>
      <c r="I94" s="2" t="n">
        <f aca="false">-export!D92</f>
        <v>-0</v>
      </c>
      <c r="J94" s="2" t="n">
        <f aca="false">-charge!D92</f>
        <v>-0</v>
      </c>
      <c r="K94" s="2" t="n">
        <f aca="false">discharge!D92</f>
        <v>0</v>
      </c>
      <c r="L94" s="2" t="n">
        <f aca="false">soc!D92/investment!$E$3 *100</f>
        <v>77.2960122579148</v>
      </c>
    </row>
    <row r="95" customFormat="false" ht="13.8" hidden="false" customHeight="false" outlineLevel="0" collapsed="false">
      <c r="B95" s="10" t="n">
        <f aca="false">_xlfn.NUMBERVALUE(solar!B92)</f>
        <v>0</v>
      </c>
      <c r="C95" s="11" t="n">
        <f aca="false">solar!C92</f>
        <v>0</v>
      </c>
      <c r="D95" s="5" t="n">
        <v>91</v>
      </c>
      <c r="E95" s="16" t="n">
        <f aca="false">IFERROR(INDEX($B$5:$C$173, MATCH($D95, $B$5:$B$175, 0), 2), 0)*investment!$C$3</f>
        <v>0</v>
      </c>
      <c r="F95" s="17" t="n">
        <f aca="false">demand!D93</f>
        <v>0</v>
      </c>
      <c r="G95" s="2" t="n">
        <f aca="false">solgen!D93</f>
        <v>0</v>
      </c>
      <c r="H95" s="2" t="n">
        <f aca="false">import!D93</f>
        <v>0</v>
      </c>
      <c r="I95" s="2" t="n">
        <f aca="false">-export!D93</f>
        <v>-0</v>
      </c>
      <c r="J95" s="2" t="n">
        <f aca="false">-charge!D93</f>
        <v>-0</v>
      </c>
      <c r="K95" s="2" t="n">
        <f aca="false">discharge!D93</f>
        <v>0</v>
      </c>
      <c r="L95" s="2" t="n">
        <f aca="false">soc!D93/investment!$E$3 *100</f>
        <v>77.2952392977922</v>
      </c>
    </row>
    <row r="96" customFormat="false" ht="13.8" hidden="false" customHeight="false" outlineLevel="0" collapsed="false">
      <c r="B96" s="10" t="n">
        <f aca="false">_xlfn.NUMBERVALUE(solar!B93)</f>
        <v>0</v>
      </c>
      <c r="C96" s="11" t="n">
        <f aca="false">solar!C93</f>
        <v>0</v>
      </c>
      <c r="D96" s="5" t="n">
        <v>92</v>
      </c>
      <c r="E96" s="16" t="n">
        <f aca="false">IFERROR(INDEX($B$5:$C$173, MATCH($D96, $B$5:$B$175, 0), 2), 0)*investment!$C$3</f>
        <v>0</v>
      </c>
      <c r="F96" s="17" t="n">
        <f aca="false">demand!D94</f>
        <v>0</v>
      </c>
      <c r="G96" s="2" t="n">
        <f aca="false">solgen!D94</f>
        <v>0</v>
      </c>
      <c r="H96" s="2" t="n">
        <f aca="false">import!D94</f>
        <v>0</v>
      </c>
      <c r="I96" s="2" t="n">
        <f aca="false">-export!D94</f>
        <v>-0</v>
      </c>
      <c r="J96" s="2" t="n">
        <f aca="false">-charge!D94</f>
        <v>-0</v>
      </c>
      <c r="K96" s="2" t="n">
        <f aca="false">discharge!D94</f>
        <v>0</v>
      </c>
      <c r="L96" s="2" t="n">
        <f aca="false">soc!D94/investment!$E$3 *100</f>
        <v>68.6586036004138</v>
      </c>
    </row>
    <row r="97" customFormat="false" ht="13.8" hidden="false" customHeight="false" outlineLevel="0" collapsed="false">
      <c r="B97" s="10" t="n">
        <f aca="false">_xlfn.NUMBERVALUE(solar!B94)</f>
        <v>0</v>
      </c>
      <c r="C97" s="11" t="n">
        <f aca="false">solar!C94</f>
        <v>0</v>
      </c>
      <c r="D97" s="5" t="n">
        <v>93</v>
      </c>
      <c r="E97" s="16" t="n">
        <f aca="false">IFERROR(INDEX($B$5:$C$173, MATCH($D97, $B$5:$B$175, 0), 2), 0)*investment!$C$3</f>
        <v>0</v>
      </c>
      <c r="F97" s="17" t="n">
        <f aca="false">demand!D95</f>
        <v>0</v>
      </c>
      <c r="G97" s="2" t="n">
        <f aca="false">solgen!D95</f>
        <v>0</v>
      </c>
      <c r="H97" s="2" t="n">
        <f aca="false">import!D95</f>
        <v>0</v>
      </c>
      <c r="I97" s="2" t="n">
        <f aca="false">-export!D95</f>
        <v>-0</v>
      </c>
      <c r="J97" s="2" t="n">
        <f aca="false">-charge!D95</f>
        <v>-0</v>
      </c>
      <c r="K97" s="2" t="n">
        <f aca="false">discharge!D95</f>
        <v>0</v>
      </c>
      <c r="L97" s="2" t="n">
        <f aca="false">soc!D95/investment!$E$3 *100</f>
        <v>60.0220542693924</v>
      </c>
    </row>
    <row r="98" customFormat="false" ht="13.8" hidden="false" customHeight="false" outlineLevel="0" collapsed="false">
      <c r="B98" s="10" t="n">
        <f aca="false">_xlfn.NUMBERVALUE(solar!B95)</f>
        <v>0</v>
      </c>
      <c r="C98" s="11" t="n">
        <f aca="false">solar!C95</f>
        <v>0</v>
      </c>
      <c r="D98" s="5" t="n">
        <v>94</v>
      </c>
      <c r="E98" s="16" t="n">
        <f aca="false">IFERROR(INDEX($B$5:$C$173, MATCH($D98, $B$5:$B$175, 0), 2), 0)*investment!$C$3</f>
        <v>0</v>
      </c>
      <c r="F98" s="17" t="n">
        <f aca="false">demand!D96</f>
        <v>0</v>
      </c>
      <c r="G98" s="2" t="n">
        <f aca="false">solgen!D96</f>
        <v>0</v>
      </c>
      <c r="H98" s="2" t="n">
        <f aca="false">import!D96</f>
        <v>0</v>
      </c>
      <c r="I98" s="2" t="n">
        <f aca="false">-export!D96</f>
        <v>-0</v>
      </c>
      <c r="J98" s="2" t="n">
        <f aca="false">-charge!D96</f>
        <v>-0</v>
      </c>
      <c r="K98" s="2" t="n">
        <f aca="false">discharge!D96</f>
        <v>0</v>
      </c>
      <c r="L98" s="2" t="n">
        <f aca="false">soc!D96/investment!$E$3 *100</f>
        <v>51.3855913038642</v>
      </c>
    </row>
    <row r="99" customFormat="false" ht="13.8" hidden="false" customHeight="false" outlineLevel="0" collapsed="false">
      <c r="B99" s="10" t="n">
        <f aca="false">_xlfn.NUMBERVALUE(solar!B96)</f>
        <v>0</v>
      </c>
      <c r="C99" s="11" t="n">
        <f aca="false">solar!C96</f>
        <v>0</v>
      </c>
      <c r="D99" s="5" t="n">
        <v>95</v>
      </c>
      <c r="E99" s="16" t="n">
        <f aca="false">IFERROR(INDEX($B$5:$C$173, MATCH($D99, $B$5:$B$175, 0), 2), 0)*investment!$C$3</f>
        <v>0</v>
      </c>
      <c r="F99" s="17" t="n">
        <f aca="false">demand!D97</f>
        <v>0</v>
      </c>
      <c r="G99" s="2" t="n">
        <f aca="false">solgen!D97</f>
        <v>0</v>
      </c>
      <c r="H99" s="2" t="n">
        <f aca="false">import!D97</f>
        <v>0</v>
      </c>
      <c r="I99" s="2" t="n">
        <f aca="false">-export!D97</f>
        <v>-0</v>
      </c>
      <c r="J99" s="2" t="n">
        <f aca="false">-charge!D97</f>
        <v>-0</v>
      </c>
      <c r="K99" s="2" t="n">
        <f aca="false">discharge!D97</f>
        <v>0</v>
      </c>
      <c r="L99" s="2" t="n">
        <f aca="false">soc!D97/investment!$E$3 *100</f>
        <v>42.7492147029658</v>
      </c>
    </row>
    <row r="100" customFormat="false" ht="13.8" hidden="false" customHeight="false" outlineLevel="0" collapsed="false">
      <c r="B100" s="10" t="n">
        <f aca="false">_xlfn.NUMBERVALUE(solar!B97)</f>
        <v>0</v>
      </c>
      <c r="C100" s="11" t="n">
        <f aca="false">solar!C97</f>
        <v>0</v>
      </c>
      <c r="D100" s="5" t="n">
        <v>96</v>
      </c>
      <c r="E100" s="16" t="n">
        <f aca="false">IFERROR(INDEX($B$5:$C$173, MATCH($D100, $B$5:$B$175, 0), 2), 0)*investment!$C$3</f>
        <v>0</v>
      </c>
      <c r="F100" s="17" t="n">
        <f aca="false">demand!D98</f>
        <v>0</v>
      </c>
      <c r="G100" s="2" t="n">
        <f aca="false">solgen!D98</f>
        <v>0</v>
      </c>
      <c r="H100" s="2" t="n">
        <f aca="false">import!D98</f>
        <v>0</v>
      </c>
      <c r="I100" s="2" t="n">
        <f aca="false">-export!D98</f>
        <v>-0</v>
      </c>
      <c r="J100" s="2" t="n">
        <f aca="false">-charge!D98</f>
        <v>-0</v>
      </c>
      <c r="K100" s="2" t="n">
        <f aca="false">discharge!D98</f>
        <v>0</v>
      </c>
      <c r="L100" s="2" t="n">
        <f aca="false">soc!D98/investment!$E$3 *100</f>
        <v>40.3019594330729</v>
      </c>
    </row>
    <row r="101" customFormat="false" ht="13.8" hidden="false" customHeight="false" outlineLevel="0" collapsed="false">
      <c r="B101" s="10" t="n">
        <f aca="false">_xlfn.NUMBERVALUE(solar!B98)</f>
        <v>0</v>
      </c>
      <c r="C101" s="11" t="n">
        <f aca="false">solar!C98</f>
        <v>0</v>
      </c>
      <c r="D101" s="5" t="n">
        <v>97</v>
      </c>
      <c r="E101" s="16" t="n">
        <f aca="false">IFERROR(INDEX($B$5:$C$173, MATCH($D101, $B$5:$B$175, 0), 2), 0)*investment!$C$3</f>
        <v>0</v>
      </c>
      <c r="F101" s="17" t="n">
        <f aca="false">demand!D99</f>
        <v>0</v>
      </c>
      <c r="G101" s="2" t="n">
        <f aca="false">solgen!D99</f>
        <v>0</v>
      </c>
      <c r="H101" s="2" t="n">
        <f aca="false">import!D99</f>
        <v>0</v>
      </c>
      <c r="I101" s="2" t="n">
        <f aca="false">-export!D99</f>
        <v>-0</v>
      </c>
      <c r="J101" s="2" t="n">
        <f aca="false">-charge!D99</f>
        <v>-0</v>
      </c>
      <c r="K101" s="2" t="n">
        <f aca="false">discharge!D99</f>
        <v>0</v>
      </c>
      <c r="L101" s="2" t="n">
        <f aca="false">soc!D99/investment!$E$3 *100</f>
        <v>34.5443145834883</v>
      </c>
    </row>
    <row r="102" customFormat="false" ht="13.8" hidden="false" customHeight="false" outlineLevel="0" collapsed="false">
      <c r="B102" s="10" t="n">
        <f aca="false">_xlfn.NUMBERVALUE(solar!B99)</f>
        <v>0</v>
      </c>
      <c r="C102" s="11" t="n">
        <f aca="false">solar!C99</f>
        <v>0</v>
      </c>
      <c r="D102" s="5" t="n">
        <v>98</v>
      </c>
      <c r="E102" s="16" t="n">
        <f aca="false">IFERROR(INDEX($B$5:$C$173, MATCH($D102, $B$5:$B$175, 0), 2), 0)*investment!$C$3</f>
        <v>0</v>
      </c>
      <c r="F102" s="17" t="n">
        <f aca="false">demand!D100</f>
        <v>0</v>
      </c>
      <c r="G102" s="2" t="n">
        <f aca="false">solgen!D100</f>
        <v>0</v>
      </c>
      <c r="H102" s="2" t="n">
        <f aca="false">import!D100</f>
        <v>0</v>
      </c>
      <c r="I102" s="2" t="n">
        <f aca="false">-export!D100</f>
        <v>-0</v>
      </c>
      <c r="J102" s="2" t="n">
        <f aca="false">-charge!D100</f>
        <v>-0</v>
      </c>
      <c r="K102" s="2" t="n">
        <f aca="false">discharge!D100</f>
        <v>0</v>
      </c>
      <c r="L102" s="2" t="n">
        <f aca="false">soc!D100/investment!$E$3 *100</f>
        <v>25.908106395357</v>
      </c>
    </row>
    <row r="103" customFormat="false" ht="13.8" hidden="false" customHeight="false" outlineLevel="0" collapsed="false">
      <c r="B103" s="10" t="n">
        <f aca="false">_xlfn.NUMBERVALUE(solar!B100)</f>
        <v>0</v>
      </c>
      <c r="C103" s="11" t="n">
        <f aca="false">solar!C100</f>
        <v>0</v>
      </c>
      <c r="D103" s="5" t="n">
        <v>99</v>
      </c>
      <c r="E103" s="16" t="n">
        <f aca="false">IFERROR(INDEX($B$5:$C$173, MATCH($D103, $B$5:$B$175, 0), 2), 0)*investment!$C$3</f>
        <v>0</v>
      </c>
      <c r="F103" s="17" t="n">
        <f aca="false">demand!D101</f>
        <v>0</v>
      </c>
      <c r="G103" s="2" t="n">
        <f aca="false">solgen!D101</f>
        <v>0</v>
      </c>
      <c r="H103" s="2" t="n">
        <f aca="false">import!D101</f>
        <v>0</v>
      </c>
      <c r="I103" s="2" t="n">
        <f aca="false">-export!D101</f>
        <v>-0</v>
      </c>
      <c r="J103" s="2" t="n">
        <f aca="false">-charge!D101</f>
        <v>-0</v>
      </c>
      <c r="K103" s="2" t="n">
        <f aca="false">discharge!D101</f>
        <v>0</v>
      </c>
      <c r="L103" s="2" t="n">
        <f aca="false">soc!D101/investment!$E$3 *100</f>
        <v>17.2719845693076</v>
      </c>
    </row>
    <row r="104" customFormat="false" ht="13.8" hidden="false" customHeight="false" outlineLevel="0" collapsed="false">
      <c r="B104" s="10" t="n">
        <f aca="false">_xlfn.NUMBERVALUE(solar!B101)</f>
        <v>0</v>
      </c>
      <c r="C104" s="11" t="n">
        <f aca="false">solar!C101</f>
        <v>0</v>
      </c>
      <c r="D104" s="5" t="n">
        <v>100</v>
      </c>
      <c r="E104" s="16" t="n">
        <f aca="false">IFERROR(INDEX($B$5:$C$173, MATCH($D104, $B$5:$B$175, 0), 2), 0)*investment!$C$3</f>
        <v>0</v>
      </c>
      <c r="F104" s="17" t="n">
        <f aca="false">demand!D102</f>
        <v>0</v>
      </c>
      <c r="G104" s="2" t="n">
        <f aca="false">solgen!D102</f>
        <v>0</v>
      </c>
      <c r="H104" s="2" t="n">
        <f aca="false">import!D102</f>
        <v>0</v>
      </c>
      <c r="I104" s="2" t="n">
        <f aca="false">-export!D102</f>
        <v>-0</v>
      </c>
      <c r="J104" s="2" t="n">
        <f aca="false">-charge!D102</f>
        <v>-0</v>
      </c>
      <c r="K104" s="2" t="n">
        <f aca="false">discharge!D102</f>
        <v>0</v>
      </c>
      <c r="L104" s="2" t="n">
        <f aca="false">soc!D102/investment!$E$3 *100</f>
        <v>8.63594910447648</v>
      </c>
    </row>
    <row r="105" customFormat="false" ht="13.8" hidden="false" customHeight="false" outlineLevel="0" collapsed="false">
      <c r="B105" s="10" t="n">
        <f aca="false">_xlfn.NUMBERVALUE(solar!B102)</f>
        <v>0</v>
      </c>
      <c r="C105" s="11" t="n">
        <f aca="false">solar!C102</f>
        <v>0</v>
      </c>
      <c r="D105" s="5" t="n">
        <v>101</v>
      </c>
      <c r="E105" s="16" t="n">
        <f aca="false">IFERROR(INDEX($B$5:$C$173, MATCH($D105, $B$5:$B$175, 0), 2), 0)*investment!$C$3</f>
        <v>0</v>
      </c>
      <c r="F105" s="17" t="n">
        <f aca="false">demand!D103</f>
        <v>0</v>
      </c>
      <c r="G105" s="2" t="n">
        <f aca="false">solgen!D103</f>
        <v>0</v>
      </c>
      <c r="H105" s="2" t="n">
        <f aca="false">import!D103</f>
        <v>0</v>
      </c>
      <c r="I105" s="2" t="n">
        <f aca="false">-export!D103</f>
        <v>-0</v>
      </c>
      <c r="J105" s="2" t="n">
        <f aca="false">-charge!D103</f>
        <v>-0</v>
      </c>
      <c r="K105" s="2" t="n">
        <f aca="false">discharge!D103</f>
        <v>0</v>
      </c>
      <c r="L105" s="2" t="n">
        <f aca="false">soc!D103/investment!$E$3 *100</f>
        <v>0</v>
      </c>
    </row>
    <row r="106" customFormat="false" ht="13.8" hidden="false" customHeight="false" outlineLevel="0" collapsed="false">
      <c r="B106" s="10" t="n">
        <f aca="false">_xlfn.NUMBERVALUE(solar!B103)</f>
        <v>0</v>
      </c>
      <c r="C106" s="11" t="n">
        <f aca="false">solar!C103</f>
        <v>0</v>
      </c>
      <c r="D106" s="5" t="n">
        <v>102</v>
      </c>
      <c r="E106" s="16" t="n">
        <f aca="false">IFERROR(INDEX($B$5:$C$173, MATCH($D106, $B$5:$B$175, 0), 2), 0)*investment!$C$3</f>
        <v>0</v>
      </c>
      <c r="F106" s="17" t="n">
        <f aca="false">demand!D104</f>
        <v>0</v>
      </c>
      <c r="G106" s="2" t="n">
        <f aca="false">solgen!D104</f>
        <v>0</v>
      </c>
      <c r="H106" s="2" t="n">
        <f aca="false">import!D104</f>
        <v>0</v>
      </c>
      <c r="I106" s="2" t="n">
        <f aca="false">-export!D104</f>
        <v>-0</v>
      </c>
      <c r="J106" s="2" t="n">
        <f aca="false">-charge!D104</f>
        <v>-0</v>
      </c>
      <c r="K106" s="2" t="n">
        <f aca="false">discharge!D104</f>
        <v>0</v>
      </c>
      <c r="L106" s="2" t="n">
        <f aca="false">soc!D104/investment!$E$3 *100</f>
        <v>0</v>
      </c>
    </row>
    <row r="107" customFormat="false" ht="13.8" hidden="false" customHeight="false" outlineLevel="0" collapsed="false">
      <c r="B107" s="10" t="n">
        <f aca="false">_xlfn.NUMBERVALUE(solar!B104)</f>
        <v>0</v>
      </c>
      <c r="C107" s="11" t="n">
        <f aca="false">solar!C104</f>
        <v>0</v>
      </c>
      <c r="D107" s="5" t="n">
        <v>103</v>
      </c>
      <c r="E107" s="16" t="n">
        <f aca="false">IFERROR(INDEX($B$5:$C$173, MATCH($D107, $B$5:$B$175, 0), 2), 0)*investment!$C$3</f>
        <v>0</v>
      </c>
      <c r="F107" s="17" t="n">
        <f aca="false">demand!D105</f>
        <v>0</v>
      </c>
      <c r="G107" s="2" t="n">
        <f aca="false">solgen!D105</f>
        <v>0</v>
      </c>
      <c r="H107" s="2" t="n">
        <f aca="false">import!D105</f>
        <v>0</v>
      </c>
      <c r="I107" s="2" t="n">
        <f aca="false">-export!D105</f>
        <v>-0</v>
      </c>
      <c r="J107" s="2" t="n">
        <f aca="false">-charge!D105</f>
        <v>-0</v>
      </c>
      <c r="K107" s="2" t="n">
        <f aca="false">discharge!D105</f>
        <v>0</v>
      </c>
      <c r="L107" s="2" t="n">
        <f aca="false">soc!D105/investment!$E$3 *100</f>
        <v>0</v>
      </c>
    </row>
    <row r="108" customFormat="false" ht="13.8" hidden="false" customHeight="false" outlineLevel="0" collapsed="false">
      <c r="B108" s="10" t="n">
        <f aca="false">_xlfn.NUMBERVALUE(solar!B105)</f>
        <v>0</v>
      </c>
      <c r="C108" s="11" t="n">
        <f aca="false">solar!C105</f>
        <v>0</v>
      </c>
      <c r="D108" s="5" t="n">
        <v>104</v>
      </c>
      <c r="E108" s="16" t="n">
        <f aca="false">IFERROR(INDEX($B$5:$C$173, MATCH($D108, $B$5:$B$175, 0), 2), 0)*investment!$C$3</f>
        <v>0</v>
      </c>
      <c r="F108" s="17" t="n">
        <f aca="false">demand!D106</f>
        <v>0</v>
      </c>
      <c r="G108" s="2" t="n">
        <f aca="false">solgen!D106</f>
        <v>0</v>
      </c>
      <c r="H108" s="2" t="n">
        <f aca="false">import!D106</f>
        <v>0</v>
      </c>
      <c r="I108" s="2" t="n">
        <f aca="false">-export!D106</f>
        <v>-0</v>
      </c>
      <c r="J108" s="2" t="n">
        <f aca="false">-charge!D106</f>
        <v>-0</v>
      </c>
      <c r="K108" s="2" t="n">
        <f aca="false">discharge!D106</f>
        <v>0</v>
      </c>
      <c r="L108" s="2" t="n">
        <f aca="false">soc!D106/investment!$E$3 *100</f>
        <v>0</v>
      </c>
    </row>
    <row r="109" customFormat="false" ht="13.8" hidden="false" customHeight="false" outlineLevel="0" collapsed="false">
      <c r="B109" s="10" t="n">
        <f aca="false">_xlfn.NUMBERVALUE(solar!B106)</f>
        <v>0</v>
      </c>
      <c r="C109" s="11" t="n">
        <f aca="false">solar!C106</f>
        <v>0</v>
      </c>
      <c r="D109" s="5" t="n">
        <v>105</v>
      </c>
      <c r="E109" s="16" t="n">
        <f aca="false">IFERROR(INDEX($B$5:$C$173, MATCH($D109, $B$5:$B$175, 0), 2), 0)*investment!$C$3</f>
        <v>0</v>
      </c>
      <c r="F109" s="17" t="n">
        <f aca="false">demand!D107</f>
        <v>0</v>
      </c>
      <c r="G109" s="2" t="n">
        <f aca="false">solgen!D107</f>
        <v>0</v>
      </c>
      <c r="H109" s="2" t="n">
        <f aca="false">import!D107</f>
        <v>0</v>
      </c>
      <c r="I109" s="2" t="n">
        <f aca="false">-export!D107</f>
        <v>-0</v>
      </c>
      <c r="J109" s="2" t="n">
        <f aca="false">-charge!D107</f>
        <v>-0</v>
      </c>
      <c r="K109" s="2" t="n">
        <f aca="false">discharge!D107</f>
        <v>0</v>
      </c>
      <c r="L109" s="2" t="n">
        <f aca="false">soc!D107/investment!$E$3 *100</f>
        <v>0</v>
      </c>
    </row>
    <row r="110" customFormat="false" ht="13.8" hidden="false" customHeight="false" outlineLevel="0" collapsed="false">
      <c r="B110" s="10" t="n">
        <f aca="false">_xlfn.NUMBERVALUE(solar!B107)</f>
        <v>0</v>
      </c>
      <c r="C110" s="11" t="n">
        <f aca="false">solar!C107</f>
        <v>0</v>
      </c>
      <c r="D110" s="5" t="n">
        <v>106</v>
      </c>
      <c r="E110" s="16" t="n">
        <f aca="false">IFERROR(INDEX($B$5:$C$173, MATCH($D110, $B$5:$B$175, 0), 2), 0)*investment!$C$3</f>
        <v>0</v>
      </c>
      <c r="F110" s="17" t="n">
        <f aca="false">demand!D108</f>
        <v>0</v>
      </c>
      <c r="G110" s="2" t="n">
        <f aca="false">solgen!D108</f>
        <v>0</v>
      </c>
      <c r="H110" s="2" t="n">
        <f aca="false">import!D108</f>
        <v>0</v>
      </c>
      <c r="I110" s="2" t="n">
        <f aca="false">-export!D108</f>
        <v>-0</v>
      </c>
      <c r="J110" s="2" t="n">
        <f aca="false">-charge!D108</f>
        <v>-0</v>
      </c>
      <c r="K110" s="2" t="n">
        <f aca="false">discharge!D108</f>
        <v>0</v>
      </c>
      <c r="L110" s="2" t="n">
        <f aca="false">soc!D108/investment!$E$3 *100</f>
        <v>0</v>
      </c>
    </row>
    <row r="111" customFormat="false" ht="13.8" hidden="false" customHeight="false" outlineLevel="0" collapsed="false">
      <c r="B111" s="10" t="n">
        <f aca="false">_xlfn.NUMBERVALUE(solar!B108)</f>
        <v>0</v>
      </c>
      <c r="C111" s="11" t="n">
        <f aca="false">solar!C108</f>
        <v>0</v>
      </c>
      <c r="D111" s="5" t="n">
        <v>107</v>
      </c>
      <c r="E111" s="16" t="n">
        <f aca="false">IFERROR(INDEX($B$5:$C$173, MATCH($D111, $B$5:$B$175, 0), 2), 0)*investment!$C$3</f>
        <v>0</v>
      </c>
      <c r="F111" s="17" t="n">
        <f aca="false">demand!D109</f>
        <v>0</v>
      </c>
      <c r="G111" s="2" t="n">
        <f aca="false">solgen!D109</f>
        <v>0</v>
      </c>
      <c r="H111" s="2" t="n">
        <f aca="false">import!D109</f>
        <v>0</v>
      </c>
      <c r="I111" s="2" t="n">
        <f aca="false">-export!D109</f>
        <v>-0</v>
      </c>
      <c r="J111" s="2" t="n">
        <f aca="false">-charge!D109</f>
        <v>-0</v>
      </c>
      <c r="K111" s="2" t="n">
        <f aca="false">discharge!D109</f>
        <v>0</v>
      </c>
      <c r="L111" s="2" t="n">
        <f aca="false">soc!D109/investment!$E$3 *100</f>
        <v>10.4318360268858</v>
      </c>
    </row>
    <row r="112" customFormat="false" ht="13.8" hidden="false" customHeight="false" outlineLevel="0" collapsed="false">
      <c r="B112" s="10" t="n">
        <f aca="false">_xlfn.NUMBERVALUE(solar!B109)</f>
        <v>0</v>
      </c>
      <c r="C112" s="11" t="n">
        <f aca="false">solar!C109</f>
        <v>0</v>
      </c>
      <c r="D112" s="5" t="n">
        <v>108</v>
      </c>
      <c r="E112" s="16" t="n">
        <f aca="false">IFERROR(INDEX($B$5:$C$173, MATCH($D112, $B$5:$B$175, 0), 2), 0)*investment!$C$3</f>
        <v>0</v>
      </c>
      <c r="F112" s="17" t="n">
        <f aca="false">demand!D110</f>
        <v>0</v>
      </c>
      <c r="G112" s="2" t="n">
        <f aca="false">solgen!D110</f>
        <v>0</v>
      </c>
      <c r="H112" s="2" t="n">
        <f aca="false">import!D110</f>
        <v>0</v>
      </c>
      <c r="I112" s="2" t="n">
        <f aca="false">-export!D110</f>
        <v>-0</v>
      </c>
      <c r="J112" s="2" t="n">
        <f aca="false">-charge!D110</f>
        <v>-0</v>
      </c>
      <c r="K112" s="2" t="n">
        <f aca="false">discharge!D110</f>
        <v>0</v>
      </c>
      <c r="L112" s="2" t="n">
        <f aca="false">soc!D110/investment!$E$3 *100</f>
        <v>34.04285655776</v>
      </c>
    </row>
    <row r="113" customFormat="false" ht="13.8" hidden="false" customHeight="false" outlineLevel="0" collapsed="false">
      <c r="B113" s="10" t="n">
        <f aca="false">_xlfn.NUMBERVALUE(solar!B110)</f>
        <v>0</v>
      </c>
      <c r="C113" s="11" t="n">
        <f aca="false">solar!C110</f>
        <v>0</v>
      </c>
      <c r="D113" s="5" t="n">
        <v>109</v>
      </c>
      <c r="E113" s="16" t="n">
        <f aca="false">IFERROR(INDEX($B$5:$C$173, MATCH($D113, $B$5:$B$175, 0), 2), 0)*investment!$C$3</f>
        <v>0</v>
      </c>
      <c r="F113" s="17" t="n">
        <f aca="false">demand!D111</f>
        <v>0</v>
      </c>
      <c r="G113" s="2" t="n">
        <f aca="false">solgen!D111</f>
        <v>0</v>
      </c>
      <c r="H113" s="2" t="n">
        <f aca="false">import!D111</f>
        <v>0</v>
      </c>
      <c r="I113" s="2" t="n">
        <f aca="false">-export!D111</f>
        <v>-0</v>
      </c>
      <c r="J113" s="2" t="n">
        <f aca="false">-charge!D111</f>
        <v>-0</v>
      </c>
      <c r="K113" s="2" t="n">
        <f aca="false">discharge!D111</f>
        <v>0</v>
      </c>
      <c r="L113" s="2" t="n">
        <f aca="false">soc!D111/investment!$E$3 *100</f>
        <v>58.7757219683172</v>
      </c>
    </row>
    <row r="114" customFormat="false" ht="13.8" hidden="false" customHeight="false" outlineLevel="0" collapsed="false">
      <c r="B114" s="10" t="n">
        <f aca="false">_xlfn.NUMBERVALUE(solar!B111)</f>
        <v>0</v>
      </c>
      <c r="C114" s="11" t="n">
        <f aca="false">solar!C111</f>
        <v>0</v>
      </c>
      <c r="D114" s="5" t="n">
        <v>110</v>
      </c>
      <c r="E114" s="16" t="n">
        <f aca="false">IFERROR(INDEX($B$5:$C$173, MATCH($D114, $B$5:$B$175, 0), 2), 0)*investment!$C$3</f>
        <v>0</v>
      </c>
      <c r="F114" s="17" t="n">
        <f aca="false">demand!D112</f>
        <v>0</v>
      </c>
      <c r="G114" s="2" t="n">
        <f aca="false">solgen!D112</f>
        <v>0</v>
      </c>
      <c r="H114" s="2" t="n">
        <f aca="false">import!D112</f>
        <v>0</v>
      </c>
      <c r="I114" s="2" t="n">
        <f aca="false">-export!D112</f>
        <v>-0</v>
      </c>
      <c r="J114" s="2" t="n">
        <f aca="false">-charge!D112</f>
        <v>-0</v>
      </c>
      <c r="K114" s="2" t="n">
        <f aca="false">discharge!D112</f>
        <v>0</v>
      </c>
      <c r="L114" s="2" t="n">
        <f aca="false">soc!D112/investment!$E$3 *100</f>
        <v>76.5233296369979</v>
      </c>
    </row>
    <row r="115" customFormat="false" ht="13.8" hidden="false" customHeight="false" outlineLevel="0" collapsed="false">
      <c r="B115" s="10" t="n">
        <f aca="false">_xlfn.NUMBERVALUE(solar!B112)</f>
        <v>0</v>
      </c>
      <c r="C115" s="11" t="n">
        <f aca="false">solar!C112</f>
        <v>0</v>
      </c>
      <c r="D115" s="5" t="n">
        <v>111</v>
      </c>
      <c r="E115" s="16" t="n">
        <f aca="false">IFERROR(INDEX($B$5:$C$173, MATCH($D115, $B$5:$B$175, 0), 2), 0)*investment!$C$3</f>
        <v>0</v>
      </c>
      <c r="F115" s="17" t="n">
        <f aca="false">demand!D113</f>
        <v>0</v>
      </c>
      <c r="G115" s="2" t="n">
        <f aca="false">solgen!D113</f>
        <v>0</v>
      </c>
      <c r="H115" s="2" t="n">
        <f aca="false">import!D113</f>
        <v>0</v>
      </c>
      <c r="I115" s="2" t="n">
        <f aca="false">-export!D113</f>
        <v>-0</v>
      </c>
      <c r="J115" s="2" t="n">
        <f aca="false">-charge!D113</f>
        <v>-0</v>
      </c>
      <c r="K115" s="2" t="n">
        <f aca="false">discharge!D113</f>
        <v>0</v>
      </c>
      <c r="L115" s="2" t="n">
        <f aca="false">soc!D113/investment!$E$3 *100</f>
        <v>84.4814123442425</v>
      </c>
    </row>
    <row r="116" customFormat="false" ht="13.8" hidden="false" customHeight="false" outlineLevel="0" collapsed="false">
      <c r="B116" s="10" t="n">
        <f aca="false">_xlfn.NUMBERVALUE(solar!B113)</f>
        <v>0</v>
      </c>
      <c r="C116" s="11" t="n">
        <f aca="false">solar!C113</f>
        <v>0</v>
      </c>
      <c r="D116" s="5" t="n">
        <v>112</v>
      </c>
      <c r="E116" s="16" t="n">
        <f aca="false">IFERROR(INDEX($B$5:$C$173, MATCH($D116, $B$5:$B$175, 0), 2), 0)*investment!$C$3</f>
        <v>0</v>
      </c>
      <c r="F116" s="17" t="n">
        <f aca="false">demand!D114</f>
        <v>0</v>
      </c>
      <c r="G116" s="2" t="n">
        <f aca="false">solgen!D114</f>
        <v>0</v>
      </c>
      <c r="H116" s="2" t="n">
        <f aca="false">import!D114</f>
        <v>0</v>
      </c>
      <c r="I116" s="2" t="n">
        <f aca="false">-export!D114</f>
        <v>-0</v>
      </c>
      <c r="J116" s="2" t="n">
        <f aca="false">-charge!D114</f>
        <v>-0</v>
      </c>
      <c r="K116" s="2" t="n">
        <f aca="false">discharge!D114</f>
        <v>0</v>
      </c>
      <c r="L116" s="2" t="n">
        <f aca="false">soc!D114/investment!$E$3 *100</f>
        <v>92.8993769438403</v>
      </c>
    </row>
    <row r="117" customFormat="false" ht="13.8" hidden="false" customHeight="false" outlineLevel="0" collapsed="false">
      <c r="B117" s="10" t="n">
        <f aca="false">_xlfn.NUMBERVALUE(solar!B114)</f>
        <v>0</v>
      </c>
      <c r="C117" s="11" t="n">
        <f aca="false">solar!C114</f>
        <v>0</v>
      </c>
      <c r="D117" s="5" t="n">
        <v>113</v>
      </c>
      <c r="E117" s="16" t="n">
        <f aca="false">IFERROR(INDEX($B$5:$C$173, MATCH($D117, $B$5:$B$175, 0), 2), 0)*investment!$C$3</f>
        <v>0</v>
      </c>
      <c r="F117" s="17" t="n">
        <f aca="false">demand!D115</f>
        <v>0</v>
      </c>
      <c r="G117" s="2" t="n">
        <f aca="false">solgen!D115</f>
        <v>0</v>
      </c>
      <c r="H117" s="2" t="n">
        <f aca="false">import!D115</f>
        <v>0</v>
      </c>
      <c r="I117" s="2" t="n">
        <f aca="false">-export!D115</f>
        <v>-0</v>
      </c>
      <c r="J117" s="2" t="n">
        <f aca="false">-charge!D115</f>
        <v>-0</v>
      </c>
      <c r="K117" s="2" t="n">
        <f aca="false">discharge!D115</f>
        <v>0</v>
      </c>
      <c r="L117" s="2" t="n">
        <f aca="false">soc!D115/investment!$E$3 *100</f>
        <v>98.003414520564</v>
      </c>
    </row>
    <row r="118" customFormat="false" ht="13.8" hidden="false" customHeight="false" outlineLevel="0" collapsed="false">
      <c r="B118" s="10" t="n">
        <f aca="false">_xlfn.NUMBERVALUE(solar!B115)</f>
        <v>0</v>
      </c>
      <c r="C118" s="11" t="n">
        <f aca="false">solar!C115</f>
        <v>0</v>
      </c>
      <c r="D118" s="5" t="n">
        <v>114</v>
      </c>
      <c r="E118" s="16" t="n">
        <f aca="false">IFERROR(INDEX($B$5:$C$173, MATCH($D118, $B$5:$B$175, 0), 2), 0)*investment!$C$3</f>
        <v>0</v>
      </c>
      <c r="F118" s="17" t="n">
        <f aca="false">demand!D116</f>
        <v>0</v>
      </c>
      <c r="G118" s="2" t="n">
        <f aca="false">solgen!D116</f>
        <v>0</v>
      </c>
      <c r="H118" s="2" t="n">
        <f aca="false">import!D116</f>
        <v>0</v>
      </c>
      <c r="I118" s="2" t="n">
        <f aca="false">-export!D116</f>
        <v>-0</v>
      </c>
      <c r="J118" s="2" t="n">
        <f aca="false">-charge!D116</f>
        <v>-0</v>
      </c>
      <c r="K118" s="2" t="n">
        <f aca="false">discharge!D116</f>
        <v>0</v>
      </c>
      <c r="L118" s="2" t="n">
        <f aca="false">soc!D116/investment!$E$3 *100</f>
        <v>100</v>
      </c>
    </row>
    <row r="119" customFormat="false" ht="13.8" hidden="false" customHeight="false" outlineLevel="0" collapsed="false">
      <c r="B119" s="10" t="n">
        <f aca="false">_xlfn.NUMBERVALUE(solar!B116)</f>
        <v>0</v>
      </c>
      <c r="C119" s="11" t="n">
        <f aca="false">solar!C116</f>
        <v>0</v>
      </c>
      <c r="D119" s="5" t="n">
        <v>115</v>
      </c>
      <c r="E119" s="16" t="n">
        <f aca="false">IFERROR(INDEX($B$5:$C$173, MATCH($D119, $B$5:$B$175, 0), 2), 0)*investment!$C$3</f>
        <v>0</v>
      </c>
      <c r="F119" s="17" t="n">
        <f aca="false">demand!D117</f>
        <v>0</v>
      </c>
      <c r="G119" s="2" t="n">
        <f aca="false">solgen!D117</f>
        <v>0</v>
      </c>
      <c r="H119" s="2" t="n">
        <f aca="false">import!D117</f>
        <v>0</v>
      </c>
      <c r="I119" s="2" t="n">
        <f aca="false">-export!D117</f>
        <v>-0</v>
      </c>
      <c r="J119" s="2" t="n">
        <f aca="false">-charge!D117</f>
        <v>-0</v>
      </c>
      <c r="K119" s="2" t="n">
        <f aca="false">discharge!D117</f>
        <v>0</v>
      </c>
      <c r="L119" s="2" t="n">
        <f aca="false">soc!D117/investment!$E$3 *100</f>
        <v>91.8149628594771</v>
      </c>
    </row>
    <row r="120" customFormat="false" ht="13.8" hidden="false" customHeight="false" outlineLevel="0" collapsed="false">
      <c r="B120" s="10" t="n">
        <f aca="false">_xlfn.NUMBERVALUE(solar!B117)</f>
        <v>0</v>
      </c>
      <c r="C120" s="11" t="n">
        <f aca="false">solar!C117</f>
        <v>0</v>
      </c>
      <c r="D120" s="5" t="n">
        <v>116</v>
      </c>
      <c r="E120" s="16" t="n">
        <f aca="false">IFERROR(INDEX($B$5:$C$173, MATCH($D120, $B$5:$B$175, 0), 2), 0)*investment!$C$3</f>
        <v>0</v>
      </c>
      <c r="F120" s="17" t="n">
        <f aca="false">demand!D118</f>
        <v>0</v>
      </c>
      <c r="G120" s="2" t="n">
        <f aca="false">solgen!D118</f>
        <v>0</v>
      </c>
      <c r="H120" s="2" t="n">
        <f aca="false">import!D118</f>
        <v>0</v>
      </c>
      <c r="I120" s="2" t="n">
        <f aca="false">-export!D118</f>
        <v>-0</v>
      </c>
      <c r="J120" s="2" t="n">
        <f aca="false">-charge!D118</f>
        <v>-0</v>
      </c>
      <c r="K120" s="2" t="n">
        <f aca="false">discharge!D118</f>
        <v>0</v>
      </c>
      <c r="L120" s="2" t="n">
        <f aca="false">soc!D118/investment!$E$3 *100</f>
        <v>83.1781819648631</v>
      </c>
    </row>
    <row r="121" customFormat="false" ht="13.8" hidden="false" customHeight="false" outlineLevel="0" collapsed="false">
      <c r="B121" s="10" t="n">
        <f aca="false">_xlfn.NUMBERVALUE(solar!B118)</f>
        <v>0</v>
      </c>
      <c r="C121" s="11" t="n">
        <f aca="false">solar!C118</f>
        <v>0</v>
      </c>
      <c r="D121" s="5" t="n">
        <v>117</v>
      </c>
      <c r="E121" s="16" t="n">
        <f aca="false">IFERROR(INDEX($B$5:$C$173, MATCH($D121, $B$5:$B$175, 0), 2), 0)*investment!$C$3</f>
        <v>0</v>
      </c>
      <c r="F121" s="17" t="n">
        <f aca="false">demand!D119</f>
        <v>0</v>
      </c>
      <c r="G121" s="2" t="n">
        <f aca="false">solgen!D119</f>
        <v>0</v>
      </c>
      <c r="H121" s="2" t="n">
        <f aca="false">import!D119</f>
        <v>0</v>
      </c>
      <c r="I121" s="2" t="n">
        <f aca="false">-export!D119</f>
        <v>-0</v>
      </c>
      <c r="J121" s="2" t="n">
        <f aca="false">-charge!D119</f>
        <v>-0</v>
      </c>
      <c r="K121" s="2" t="n">
        <f aca="false">discharge!D119</f>
        <v>0</v>
      </c>
      <c r="L121" s="2" t="n">
        <f aca="false">soc!D119/investment!$E$3 *100</f>
        <v>74.541487438058</v>
      </c>
    </row>
    <row r="122" customFormat="false" ht="13.8" hidden="false" customHeight="false" outlineLevel="0" collapsed="false">
      <c r="B122" s="10" t="n">
        <f aca="false">_xlfn.NUMBERVALUE(solar!B119)</f>
        <v>0</v>
      </c>
      <c r="C122" s="11" t="n">
        <f aca="false">solar!C119</f>
        <v>0</v>
      </c>
      <c r="D122" s="5" t="n">
        <v>118</v>
      </c>
      <c r="E122" s="16" t="n">
        <f aca="false">IFERROR(INDEX($B$5:$C$173, MATCH($D122, $B$5:$B$175, 0), 2), 0)*investment!$C$3</f>
        <v>0</v>
      </c>
      <c r="F122" s="17" t="n">
        <f aca="false">demand!D120</f>
        <v>0</v>
      </c>
      <c r="G122" s="2" t="n">
        <f aca="false">solgen!D120</f>
        <v>0</v>
      </c>
      <c r="H122" s="2" t="n">
        <f aca="false">import!D120</f>
        <v>0</v>
      </c>
      <c r="I122" s="2" t="n">
        <f aca="false">-export!D120</f>
        <v>-0</v>
      </c>
      <c r="J122" s="2" t="n">
        <f aca="false">-charge!D120</f>
        <v>-0</v>
      </c>
      <c r="K122" s="2" t="n">
        <f aca="false">discharge!D120</f>
        <v>0</v>
      </c>
      <c r="L122" s="2" t="n">
        <f aca="false">soc!D120/investment!$E$3 *100</f>
        <v>65.9048792781982</v>
      </c>
    </row>
    <row r="123" customFormat="false" ht="13.8" hidden="false" customHeight="false" outlineLevel="0" collapsed="false">
      <c r="B123" s="10" t="n">
        <f aca="false">_xlfn.NUMBERVALUE(solar!B120)</f>
        <v>0</v>
      </c>
      <c r="C123" s="11" t="n">
        <f aca="false">solar!C120</f>
        <v>0</v>
      </c>
      <c r="D123" s="5" t="n">
        <v>119</v>
      </c>
      <c r="E123" s="16" t="n">
        <f aca="false">IFERROR(INDEX($B$5:$C$173, MATCH($D123, $B$5:$B$175, 0), 2), 0)*investment!$C$3</f>
        <v>0</v>
      </c>
      <c r="F123" s="17" t="n">
        <f aca="false">demand!D121</f>
        <v>0</v>
      </c>
      <c r="G123" s="2" t="n">
        <f aca="false">solgen!D121</f>
        <v>0</v>
      </c>
      <c r="H123" s="2" t="n">
        <f aca="false">import!D121</f>
        <v>0</v>
      </c>
      <c r="I123" s="2" t="n">
        <f aca="false">-export!D121</f>
        <v>-0</v>
      </c>
      <c r="J123" s="2" t="n">
        <f aca="false">-charge!D121</f>
        <v>-0</v>
      </c>
      <c r="K123" s="2" t="n">
        <f aca="false">discharge!D121</f>
        <v>0</v>
      </c>
      <c r="L123" s="2" t="n">
        <f aca="false">soc!D121/investment!$E$3 *100</f>
        <v>57.2683574844201</v>
      </c>
    </row>
    <row r="124" customFormat="false" ht="13.8" hidden="false" customHeight="false" outlineLevel="0" collapsed="false">
      <c r="B124" s="10" t="n">
        <f aca="false">_xlfn.NUMBERVALUE(solar!B121)</f>
        <v>0</v>
      </c>
      <c r="C124" s="11" t="n">
        <f aca="false">solar!C121</f>
        <v>0</v>
      </c>
      <c r="D124" s="5" t="n">
        <v>120</v>
      </c>
      <c r="E124" s="16" t="n">
        <f aca="false">IFERROR(INDEX($B$5:$C$173, MATCH($D124, $B$5:$B$175, 0), 2), 0)*investment!$C$3</f>
        <v>0</v>
      </c>
      <c r="F124" s="17" t="n">
        <f aca="false">demand!D122</f>
        <v>0</v>
      </c>
      <c r="G124" s="2" t="n">
        <f aca="false">solgen!D122</f>
        <v>0</v>
      </c>
      <c r="H124" s="2" t="n">
        <f aca="false">import!D122</f>
        <v>0</v>
      </c>
      <c r="I124" s="2" t="n">
        <f aca="false">-export!D122</f>
        <v>-0</v>
      </c>
      <c r="J124" s="2" t="n">
        <f aca="false">-charge!D122</f>
        <v>-0</v>
      </c>
      <c r="K124" s="2" t="n">
        <f aca="false">discharge!D122</f>
        <v>0</v>
      </c>
      <c r="L124" s="2" t="n">
        <f aca="false">soc!D122/investment!$E$3 *100</f>
        <v>48.6319220558598</v>
      </c>
    </row>
    <row r="125" customFormat="false" ht="13.8" hidden="false" customHeight="false" outlineLevel="0" collapsed="false">
      <c r="B125" s="10" t="n">
        <f aca="false">_xlfn.NUMBERVALUE(solar!B122)</f>
        <v>0</v>
      </c>
      <c r="C125" s="11" t="n">
        <f aca="false">solar!C122</f>
        <v>0</v>
      </c>
      <c r="D125" s="5" t="n">
        <v>121</v>
      </c>
      <c r="E125" s="16" t="n">
        <f aca="false">IFERROR(INDEX($B$5:$C$173, MATCH($D125, $B$5:$B$175, 0), 2), 0)*investment!$C$3</f>
        <v>0</v>
      </c>
      <c r="F125" s="17" t="n">
        <f aca="false">demand!D123</f>
        <v>0</v>
      </c>
      <c r="G125" s="2" t="n">
        <f aca="false">solgen!D123</f>
        <v>0</v>
      </c>
      <c r="H125" s="2" t="n">
        <f aca="false">import!D123</f>
        <v>0</v>
      </c>
      <c r="I125" s="2" t="n">
        <f aca="false">-export!D123</f>
        <v>-0</v>
      </c>
      <c r="J125" s="2" t="n">
        <f aca="false">-charge!D123</f>
        <v>-0</v>
      </c>
      <c r="K125" s="2" t="n">
        <f aca="false">discharge!D123</f>
        <v>0</v>
      </c>
      <c r="L125" s="2" t="n">
        <f aca="false">soc!D123/investment!$E$3 *100</f>
        <v>40.7152282204027</v>
      </c>
    </row>
    <row r="126" customFormat="false" ht="13.8" hidden="false" customHeight="false" outlineLevel="0" collapsed="false">
      <c r="B126" s="10" t="n">
        <f aca="false">_xlfn.NUMBERVALUE(solar!B123)</f>
        <v>0</v>
      </c>
      <c r="C126" s="11" t="n">
        <f aca="false">solar!C123</f>
        <v>0</v>
      </c>
      <c r="D126" s="5" t="n">
        <v>122</v>
      </c>
      <c r="E126" s="16" t="n">
        <f aca="false">IFERROR(INDEX($B$5:$C$173, MATCH($D126, $B$5:$B$175, 0), 2), 0)*investment!$C$3</f>
        <v>0</v>
      </c>
      <c r="F126" s="17" t="n">
        <f aca="false">demand!D124</f>
        <v>0</v>
      </c>
      <c r="G126" s="2" t="n">
        <f aca="false">solgen!D124</f>
        <v>0</v>
      </c>
      <c r="H126" s="2" t="n">
        <f aca="false">import!D124</f>
        <v>0</v>
      </c>
      <c r="I126" s="2" t="n">
        <f aca="false">-export!D124</f>
        <v>-0</v>
      </c>
      <c r="J126" s="2" t="n">
        <f aca="false">-charge!D124</f>
        <v>-0</v>
      </c>
      <c r="K126" s="2" t="n">
        <f aca="false">discharge!D124</f>
        <v>0</v>
      </c>
      <c r="L126" s="2" t="n">
        <f aca="false">soc!D124/investment!$E$3 *100</f>
        <v>32.0789583231351</v>
      </c>
    </row>
    <row r="127" customFormat="false" ht="13.8" hidden="false" customHeight="false" outlineLevel="0" collapsed="false">
      <c r="B127" s="10" t="n">
        <f aca="false">_xlfn.NUMBERVALUE(solar!B124)</f>
        <v>0</v>
      </c>
      <c r="C127" s="11" t="n">
        <f aca="false">solar!C124</f>
        <v>0</v>
      </c>
      <c r="D127" s="5" t="n">
        <v>123</v>
      </c>
      <c r="E127" s="16" t="n">
        <f aca="false">IFERROR(INDEX($B$5:$C$173, MATCH($D127, $B$5:$B$175, 0), 2), 0)*investment!$C$3</f>
        <v>0</v>
      </c>
      <c r="F127" s="17" t="n">
        <f aca="false">demand!D125</f>
        <v>0</v>
      </c>
      <c r="G127" s="2" t="n">
        <f aca="false">solgen!D125</f>
        <v>0</v>
      </c>
      <c r="H127" s="2" t="n">
        <f aca="false">import!D125</f>
        <v>0</v>
      </c>
      <c r="I127" s="2" t="n">
        <f aca="false">-export!D125</f>
        <v>-0</v>
      </c>
      <c r="J127" s="2" t="n">
        <f aca="false">-charge!D125</f>
        <v>-0</v>
      </c>
      <c r="K127" s="2" t="n">
        <f aca="false">discharge!D125</f>
        <v>0</v>
      </c>
      <c r="L127" s="2" t="n">
        <f aca="false">soc!D125/investment!$E$3 *100</f>
        <v>23.4427747885664</v>
      </c>
    </row>
    <row r="128" customFormat="false" ht="13.8" hidden="false" customHeight="false" outlineLevel="0" collapsed="false">
      <c r="B128" s="10" t="n">
        <f aca="false">_xlfn.NUMBERVALUE(solar!B125)</f>
        <v>0</v>
      </c>
      <c r="C128" s="11" t="n">
        <f aca="false">solar!C125</f>
        <v>0</v>
      </c>
      <c r="D128" s="5" t="n">
        <v>124</v>
      </c>
      <c r="E128" s="16" t="n">
        <f aca="false">IFERROR(INDEX($B$5:$C$173, MATCH($D128, $B$5:$B$175, 0), 2), 0)*investment!$C$3</f>
        <v>0</v>
      </c>
      <c r="F128" s="17" t="n">
        <f aca="false">demand!D126</f>
        <v>0</v>
      </c>
      <c r="G128" s="2" t="n">
        <f aca="false">solgen!D126</f>
        <v>0</v>
      </c>
      <c r="H128" s="2" t="n">
        <f aca="false">import!D126</f>
        <v>0</v>
      </c>
      <c r="I128" s="2" t="n">
        <f aca="false">-export!D126</f>
        <v>-0</v>
      </c>
      <c r="J128" s="2" t="n">
        <f aca="false">-charge!D126</f>
        <v>-0</v>
      </c>
      <c r="K128" s="2" t="n">
        <f aca="false">discharge!D126</f>
        <v>0</v>
      </c>
      <c r="L128" s="2" t="n">
        <f aca="false">soc!D126/investment!$E$3 *100</f>
        <v>14.8066776158331</v>
      </c>
    </row>
    <row r="129" customFormat="false" ht="13.8" hidden="false" customHeight="false" outlineLevel="0" collapsed="false">
      <c r="B129" s="10" t="n">
        <f aca="false">_xlfn.NUMBERVALUE(solar!B126)</f>
        <v>0</v>
      </c>
      <c r="C129" s="11" t="n">
        <f aca="false">solar!C126</f>
        <v>0</v>
      </c>
      <c r="D129" s="5" t="n">
        <v>125</v>
      </c>
      <c r="E129" s="16" t="n">
        <f aca="false">IFERROR(INDEX($B$5:$C$173, MATCH($D129, $B$5:$B$175, 0), 2), 0)*investment!$C$3</f>
        <v>0</v>
      </c>
      <c r="F129" s="17" t="n">
        <f aca="false">demand!D127</f>
        <v>0</v>
      </c>
      <c r="G129" s="2" t="n">
        <f aca="false">solgen!D127</f>
        <v>0</v>
      </c>
      <c r="H129" s="2" t="n">
        <f aca="false">import!D127</f>
        <v>0</v>
      </c>
      <c r="I129" s="2" t="n">
        <f aca="false">-export!D127</f>
        <v>-0</v>
      </c>
      <c r="J129" s="2" t="n">
        <f aca="false">-charge!D127</f>
        <v>-0</v>
      </c>
      <c r="K129" s="2" t="n">
        <f aca="false">discharge!D127</f>
        <v>0</v>
      </c>
      <c r="L129" s="2" t="n">
        <f aca="false">soc!D127/investment!$E$3 *100</f>
        <v>6.17066680407157</v>
      </c>
    </row>
    <row r="130" customFormat="false" ht="13.8" hidden="false" customHeight="false" outlineLevel="0" collapsed="false">
      <c r="B130" s="10" t="n">
        <f aca="false">_xlfn.NUMBERVALUE(solar!B127)</f>
        <v>0</v>
      </c>
      <c r="C130" s="11" t="n">
        <f aca="false">solar!C127</f>
        <v>0</v>
      </c>
      <c r="D130" s="5" t="n">
        <v>126</v>
      </c>
      <c r="E130" s="16" t="n">
        <f aca="false">IFERROR(INDEX($B$5:$C$173, MATCH($D130, $B$5:$B$175, 0), 2), 0)*investment!$C$3</f>
        <v>0</v>
      </c>
      <c r="F130" s="17" t="n">
        <f aca="false">demand!D128</f>
        <v>0</v>
      </c>
      <c r="G130" s="2" t="n">
        <f aca="false">solgen!D128</f>
        <v>0</v>
      </c>
      <c r="H130" s="2" t="n">
        <f aca="false">import!D128</f>
        <v>0</v>
      </c>
      <c r="I130" s="2" t="n">
        <f aca="false">-export!D128</f>
        <v>-0</v>
      </c>
      <c r="J130" s="2" t="n">
        <f aca="false">-charge!D128</f>
        <v>-0</v>
      </c>
      <c r="K130" s="2" t="n">
        <f aca="false">discharge!D128</f>
        <v>0</v>
      </c>
      <c r="L130" s="2" t="n">
        <f aca="false">soc!D128/investment!$E$3 *100</f>
        <v>0</v>
      </c>
    </row>
    <row r="131" customFormat="false" ht="13.8" hidden="false" customHeight="false" outlineLevel="0" collapsed="false">
      <c r="B131" s="10" t="n">
        <f aca="false">_xlfn.NUMBERVALUE(solar!B128)</f>
        <v>0</v>
      </c>
      <c r="C131" s="11" t="n">
        <f aca="false">solar!C128</f>
        <v>0</v>
      </c>
      <c r="D131" s="5" t="n">
        <v>127</v>
      </c>
      <c r="E131" s="16" t="n">
        <f aca="false">IFERROR(INDEX($B$5:$C$173, MATCH($D131, $B$5:$B$175, 0), 2), 0)*investment!$C$3</f>
        <v>0</v>
      </c>
      <c r="F131" s="17" t="n">
        <f aca="false">demand!D129</f>
        <v>0</v>
      </c>
      <c r="G131" s="2" t="n">
        <f aca="false">solgen!D129</f>
        <v>0</v>
      </c>
      <c r="H131" s="2" t="n">
        <f aca="false">import!D129</f>
        <v>0</v>
      </c>
      <c r="I131" s="2" t="n">
        <f aca="false">-export!D129</f>
        <v>-0</v>
      </c>
      <c r="J131" s="2" t="n">
        <f aca="false">-charge!D129</f>
        <v>-0</v>
      </c>
      <c r="K131" s="2" t="n">
        <f aca="false">discharge!D129</f>
        <v>0</v>
      </c>
      <c r="L131" s="2" t="n">
        <f aca="false">soc!D129/investment!$E$3 *100</f>
        <v>0.197008898155222</v>
      </c>
    </row>
    <row r="132" customFormat="false" ht="13.8" hidden="false" customHeight="false" outlineLevel="0" collapsed="false">
      <c r="B132" s="10" t="n">
        <f aca="false">_xlfn.NUMBERVALUE(solar!B129)</f>
        <v>0</v>
      </c>
      <c r="C132" s="11" t="n">
        <f aca="false">solar!C129</f>
        <v>0</v>
      </c>
      <c r="D132" s="5" t="n">
        <v>128</v>
      </c>
      <c r="E132" s="16" t="n">
        <f aca="false">IFERROR(INDEX($B$5:$C$173, MATCH($D132, $B$5:$B$175, 0), 2), 0)*investment!$C$3</f>
        <v>0</v>
      </c>
      <c r="F132" s="17" t="n">
        <f aca="false">demand!D130</f>
        <v>0</v>
      </c>
      <c r="G132" s="2" t="n">
        <f aca="false">solgen!D130</f>
        <v>0</v>
      </c>
      <c r="H132" s="2" t="n">
        <f aca="false">import!D130</f>
        <v>0</v>
      </c>
      <c r="I132" s="2" t="n">
        <f aca="false">-export!D130</f>
        <v>-0</v>
      </c>
      <c r="J132" s="2" t="n">
        <f aca="false">-charge!D130</f>
        <v>-0</v>
      </c>
      <c r="K132" s="2" t="n">
        <f aca="false">discharge!D130</f>
        <v>0</v>
      </c>
      <c r="L132" s="2" t="n">
        <f aca="false">soc!D130/investment!$E$3 *100</f>
        <v>2.84526864425208</v>
      </c>
    </row>
    <row r="133" customFormat="false" ht="13.8" hidden="false" customHeight="false" outlineLevel="0" collapsed="false">
      <c r="B133" s="10" t="n">
        <f aca="false">_xlfn.NUMBERVALUE(solar!B130)</f>
        <v>0</v>
      </c>
      <c r="C133" s="11" t="n">
        <f aca="false">solar!C130</f>
        <v>0</v>
      </c>
      <c r="D133" s="5" t="n">
        <v>129</v>
      </c>
      <c r="E133" s="16" t="n">
        <f aca="false">IFERROR(INDEX($B$5:$C$173, MATCH($D133, $B$5:$B$175, 0), 2), 0)*investment!$C$3</f>
        <v>0</v>
      </c>
      <c r="F133" s="17" t="n">
        <f aca="false">demand!D131</f>
        <v>0</v>
      </c>
      <c r="G133" s="2" t="n">
        <f aca="false">solgen!D131</f>
        <v>0</v>
      </c>
      <c r="H133" s="2" t="n">
        <f aca="false">import!D131</f>
        <v>0</v>
      </c>
      <c r="I133" s="2" t="n">
        <f aca="false">-export!D131</f>
        <v>-0</v>
      </c>
      <c r="J133" s="2" t="n">
        <f aca="false">-charge!D131</f>
        <v>-0</v>
      </c>
      <c r="K133" s="2" t="n">
        <f aca="false">discharge!D131</f>
        <v>0</v>
      </c>
      <c r="L133" s="2" t="n">
        <f aca="false">soc!D131/investment!$E$3 *100</f>
        <v>11.0239869285979</v>
      </c>
    </row>
    <row r="134" customFormat="false" ht="13.8" hidden="false" customHeight="false" outlineLevel="0" collapsed="false">
      <c r="B134" s="10" t="n">
        <f aca="false">_xlfn.NUMBERVALUE(solar!B131)</f>
        <v>0</v>
      </c>
      <c r="C134" s="11" t="n">
        <f aca="false">solar!C131</f>
        <v>0</v>
      </c>
      <c r="D134" s="5" t="n">
        <v>130</v>
      </c>
      <c r="E134" s="16" t="n">
        <f aca="false">IFERROR(INDEX($B$5:$C$173, MATCH($D134, $B$5:$B$175, 0), 2), 0)*investment!$C$3</f>
        <v>0</v>
      </c>
      <c r="F134" s="17" t="n">
        <f aca="false">demand!D132</f>
        <v>0</v>
      </c>
      <c r="G134" s="2" t="n">
        <f aca="false">solgen!D132</f>
        <v>0</v>
      </c>
      <c r="H134" s="2" t="n">
        <f aca="false">import!D132</f>
        <v>0</v>
      </c>
      <c r="I134" s="2" t="n">
        <f aca="false">-export!D132</f>
        <v>-0</v>
      </c>
      <c r="J134" s="2" t="n">
        <f aca="false">-charge!D132</f>
        <v>-0</v>
      </c>
      <c r="K134" s="2" t="n">
        <f aca="false">discharge!D132</f>
        <v>0</v>
      </c>
      <c r="L134" s="2" t="n">
        <f aca="false">soc!D132/investment!$E$3 *100</f>
        <v>23.0901849117828</v>
      </c>
    </row>
    <row r="135" customFormat="false" ht="13.8" hidden="false" customHeight="false" outlineLevel="0" collapsed="false">
      <c r="B135" s="10" t="n">
        <f aca="false">_xlfn.NUMBERVALUE(solar!B132)</f>
        <v>0</v>
      </c>
      <c r="C135" s="11" t="n">
        <f aca="false">solar!C132</f>
        <v>0</v>
      </c>
      <c r="D135" s="5" t="n">
        <v>131</v>
      </c>
      <c r="E135" s="16" t="n">
        <f aca="false">IFERROR(INDEX($B$5:$C$173, MATCH($D135, $B$5:$B$175, 0), 2), 0)*investment!$C$3</f>
        <v>0</v>
      </c>
      <c r="F135" s="17" t="n">
        <f aca="false">demand!D133</f>
        <v>0</v>
      </c>
      <c r="G135" s="2" t="n">
        <f aca="false">solgen!D133</f>
        <v>0</v>
      </c>
      <c r="H135" s="2" t="n">
        <f aca="false">import!D133</f>
        <v>0</v>
      </c>
      <c r="I135" s="2" t="n">
        <f aca="false">-export!D133</f>
        <v>-0</v>
      </c>
      <c r="J135" s="2" t="n">
        <f aca="false">-charge!D133</f>
        <v>-0</v>
      </c>
      <c r="K135" s="2" t="n">
        <f aca="false">discharge!D133</f>
        <v>0</v>
      </c>
      <c r="L135" s="2" t="n">
        <f aca="false">soc!D133/investment!$E$3 *100</f>
        <v>38.9708270110836</v>
      </c>
    </row>
    <row r="136" customFormat="false" ht="13.8" hidden="false" customHeight="false" outlineLevel="0" collapsed="false">
      <c r="B136" s="10" t="n">
        <f aca="false">_xlfn.NUMBERVALUE(solar!B133)</f>
        <v>0</v>
      </c>
      <c r="C136" s="11" t="n">
        <f aca="false">solar!C133</f>
        <v>0</v>
      </c>
      <c r="D136" s="5" t="n">
        <v>132</v>
      </c>
      <c r="E136" s="16" t="n">
        <f aca="false">IFERROR(INDEX($B$5:$C$173, MATCH($D136, $B$5:$B$175, 0), 2), 0)*investment!$C$3</f>
        <v>0</v>
      </c>
      <c r="F136" s="17" t="n">
        <f aca="false">demand!D134</f>
        <v>0</v>
      </c>
      <c r="G136" s="2" t="n">
        <f aca="false">solgen!D134</f>
        <v>0</v>
      </c>
      <c r="H136" s="2" t="n">
        <f aca="false">import!D134</f>
        <v>0</v>
      </c>
      <c r="I136" s="2" t="n">
        <f aca="false">-export!D134</f>
        <v>-0</v>
      </c>
      <c r="J136" s="2" t="n">
        <f aca="false">-charge!D134</f>
        <v>-0</v>
      </c>
      <c r="K136" s="2" t="n">
        <f aca="false">discharge!D134</f>
        <v>0</v>
      </c>
      <c r="L136" s="2" t="n">
        <f aca="false">soc!D134/investment!$E$3 *100</f>
        <v>57.7533945979175</v>
      </c>
    </row>
    <row r="137" customFormat="false" ht="13.8" hidden="false" customHeight="false" outlineLevel="0" collapsed="false">
      <c r="B137" s="10" t="n">
        <f aca="false">_xlfn.NUMBERVALUE(solar!B134)</f>
        <v>0</v>
      </c>
      <c r="C137" s="11" t="n">
        <f aca="false">solar!C134</f>
        <v>0</v>
      </c>
      <c r="D137" s="5" t="n">
        <v>133</v>
      </c>
      <c r="E137" s="16" t="n">
        <f aca="false">IFERROR(INDEX($B$5:$C$173, MATCH($D137, $B$5:$B$175, 0), 2), 0)*investment!$C$3</f>
        <v>0</v>
      </c>
      <c r="F137" s="17" t="n">
        <f aca="false">demand!D135</f>
        <v>0</v>
      </c>
      <c r="G137" s="2" t="n">
        <f aca="false">solgen!D135</f>
        <v>0</v>
      </c>
      <c r="H137" s="2" t="n">
        <f aca="false">import!D135</f>
        <v>0</v>
      </c>
      <c r="I137" s="2" t="n">
        <f aca="false">-export!D135</f>
        <v>-0</v>
      </c>
      <c r="J137" s="2" t="n">
        <f aca="false">-charge!D135</f>
        <v>-0</v>
      </c>
      <c r="K137" s="2" t="n">
        <f aca="false">discharge!D135</f>
        <v>0</v>
      </c>
      <c r="L137" s="2" t="n">
        <f aca="false">soc!D135/investment!$E$3 *100</f>
        <v>73.6551520491946</v>
      </c>
    </row>
    <row r="138" customFormat="false" ht="13.8" hidden="false" customHeight="false" outlineLevel="0" collapsed="false">
      <c r="B138" s="10" t="n">
        <f aca="false">_xlfn.NUMBERVALUE(solar!B135)</f>
        <v>0</v>
      </c>
      <c r="C138" s="11" t="n">
        <f aca="false">solar!C135</f>
        <v>0</v>
      </c>
      <c r="D138" s="5" t="n">
        <v>134</v>
      </c>
      <c r="E138" s="16" t="n">
        <f aca="false">IFERROR(INDEX($B$5:$C$173, MATCH($D138, $B$5:$B$175, 0), 2), 0)*investment!$C$3</f>
        <v>0</v>
      </c>
      <c r="F138" s="17" t="n">
        <f aca="false">demand!D136</f>
        <v>0</v>
      </c>
      <c r="G138" s="2" t="n">
        <f aca="false">solgen!D136</f>
        <v>0</v>
      </c>
      <c r="H138" s="2" t="n">
        <f aca="false">import!D136</f>
        <v>0</v>
      </c>
      <c r="I138" s="2" t="n">
        <f aca="false">-export!D136</f>
        <v>-0</v>
      </c>
      <c r="J138" s="2" t="n">
        <f aca="false">-charge!D136</f>
        <v>-0</v>
      </c>
      <c r="K138" s="2" t="n">
        <f aca="false">discharge!D136</f>
        <v>0</v>
      </c>
      <c r="L138" s="2" t="n">
        <f aca="false">soc!D136/investment!$E$3 *100</f>
        <v>84.8840092327802</v>
      </c>
    </row>
    <row r="139" customFormat="false" ht="13.8" hidden="false" customHeight="false" outlineLevel="0" collapsed="false">
      <c r="B139" s="10" t="n">
        <f aca="false">_xlfn.NUMBERVALUE(solar!B136)</f>
        <v>0</v>
      </c>
      <c r="C139" s="11" t="n">
        <f aca="false">solar!C136</f>
        <v>0</v>
      </c>
      <c r="D139" s="5" t="n">
        <v>135</v>
      </c>
      <c r="E139" s="16" t="n">
        <f aca="false">IFERROR(INDEX($B$5:$C$173, MATCH($D139, $B$5:$B$175, 0), 2), 0)*investment!$C$3</f>
        <v>0</v>
      </c>
      <c r="F139" s="17" t="n">
        <f aca="false">demand!D137</f>
        <v>0</v>
      </c>
      <c r="G139" s="2" t="n">
        <f aca="false">solgen!D137</f>
        <v>0</v>
      </c>
      <c r="H139" s="2" t="n">
        <f aca="false">import!D137</f>
        <v>0</v>
      </c>
      <c r="I139" s="2" t="n">
        <f aca="false">-export!D137</f>
        <v>-0</v>
      </c>
      <c r="J139" s="2" t="n">
        <f aca="false">-charge!D137</f>
        <v>-0</v>
      </c>
      <c r="K139" s="2" t="n">
        <f aca="false">discharge!D137</f>
        <v>0</v>
      </c>
      <c r="L139" s="2" t="n">
        <f aca="false">soc!D137/investment!$E$3 *100</f>
        <v>88.5420392459951</v>
      </c>
    </row>
    <row r="140" customFormat="false" ht="13.8" hidden="false" customHeight="false" outlineLevel="0" collapsed="false">
      <c r="B140" s="10" t="n">
        <f aca="false">_xlfn.NUMBERVALUE(solar!B137)</f>
        <v>0</v>
      </c>
      <c r="C140" s="11" t="n">
        <f aca="false">solar!C137</f>
        <v>0</v>
      </c>
      <c r="D140" s="5" t="n">
        <v>136</v>
      </c>
      <c r="E140" s="16" t="n">
        <f aca="false">IFERROR(INDEX($B$5:$C$173, MATCH($D140, $B$5:$B$175, 0), 2), 0)*investment!$C$3</f>
        <v>0</v>
      </c>
      <c r="F140" s="17" t="n">
        <f aca="false">demand!D138</f>
        <v>0</v>
      </c>
      <c r="G140" s="2" t="n">
        <f aca="false">solgen!D138</f>
        <v>0</v>
      </c>
      <c r="H140" s="2" t="n">
        <f aca="false">import!D138</f>
        <v>0</v>
      </c>
      <c r="I140" s="2" t="n">
        <f aca="false">-export!D138</f>
        <v>-0</v>
      </c>
      <c r="J140" s="2" t="n">
        <f aca="false">-charge!D138</f>
        <v>-0</v>
      </c>
      <c r="K140" s="2" t="n">
        <f aca="false">discharge!D138</f>
        <v>0</v>
      </c>
      <c r="L140" s="2" t="n">
        <f aca="false">soc!D138/investment!$E$3 *100</f>
        <v>89.5969449775876</v>
      </c>
    </row>
    <row r="141" customFormat="false" ht="13.8" hidden="false" customHeight="false" outlineLevel="0" collapsed="false">
      <c r="B141" s="10" t="n">
        <f aca="false">_xlfn.NUMBERVALUE(solar!B138)</f>
        <v>0</v>
      </c>
      <c r="C141" s="11" t="n">
        <f aca="false">solar!C138</f>
        <v>0</v>
      </c>
      <c r="D141" s="5" t="n">
        <v>137</v>
      </c>
      <c r="E141" s="16" t="n">
        <f aca="false">IFERROR(INDEX($B$5:$C$173, MATCH($D141, $B$5:$B$175, 0), 2), 0)*investment!$C$3</f>
        <v>0</v>
      </c>
      <c r="F141" s="17" t="n">
        <f aca="false">demand!D139</f>
        <v>0</v>
      </c>
      <c r="G141" s="2" t="n">
        <f aca="false">solgen!D139</f>
        <v>0</v>
      </c>
      <c r="H141" s="2" t="n">
        <f aca="false">import!D139</f>
        <v>0</v>
      </c>
      <c r="I141" s="2" t="n">
        <f aca="false">-export!D139</f>
        <v>-0</v>
      </c>
      <c r="J141" s="2" t="n">
        <f aca="false">-charge!D139</f>
        <v>-0</v>
      </c>
      <c r="K141" s="2" t="n">
        <f aca="false">discharge!D139</f>
        <v>0</v>
      </c>
      <c r="L141" s="2" t="n">
        <f aca="false">soc!D139/investment!$E$3 *100</f>
        <v>90.2408172030447</v>
      </c>
    </row>
    <row r="142" customFormat="false" ht="13.8" hidden="false" customHeight="false" outlineLevel="0" collapsed="false">
      <c r="B142" s="10" t="n">
        <f aca="false">_xlfn.NUMBERVALUE(solar!B139)</f>
        <v>0</v>
      </c>
      <c r="C142" s="11" t="n">
        <f aca="false">solar!C139</f>
        <v>0</v>
      </c>
      <c r="D142" s="5" t="n">
        <v>138</v>
      </c>
      <c r="E142" s="16" t="n">
        <f aca="false">IFERROR(INDEX($B$5:$C$173, MATCH($D142, $B$5:$B$175, 0), 2), 0)*investment!$C$3</f>
        <v>0</v>
      </c>
      <c r="F142" s="17" t="n">
        <f aca="false">demand!D140</f>
        <v>0</v>
      </c>
      <c r="G142" s="2" t="n">
        <f aca="false">solgen!D140</f>
        <v>0</v>
      </c>
      <c r="H142" s="2" t="n">
        <f aca="false">import!D140</f>
        <v>0</v>
      </c>
      <c r="I142" s="2" t="n">
        <f aca="false">-export!D140</f>
        <v>-0</v>
      </c>
      <c r="J142" s="2" t="n">
        <f aca="false">-charge!D140</f>
        <v>-0</v>
      </c>
      <c r="K142" s="2" t="n">
        <f aca="false">discharge!D140</f>
        <v>0</v>
      </c>
      <c r="L142" s="2" t="n">
        <f aca="false">soc!D140/investment!$E$3 *100</f>
        <v>90.3079065998489</v>
      </c>
    </row>
    <row r="143" customFormat="false" ht="13.8" hidden="false" customHeight="false" outlineLevel="0" collapsed="false">
      <c r="B143" s="10" t="n">
        <f aca="false">_xlfn.NUMBERVALUE(solar!B140)</f>
        <v>0</v>
      </c>
      <c r="C143" s="11" t="n">
        <f aca="false">solar!C140</f>
        <v>0</v>
      </c>
      <c r="D143" s="5" t="n">
        <v>139</v>
      </c>
      <c r="E143" s="16" t="n">
        <f aca="false">IFERROR(INDEX($B$5:$C$173, MATCH($D143, $B$5:$B$175, 0), 2), 0)*investment!$C$3</f>
        <v>0</v>
      </c>
      <c r="F143" s="17" t="n">
        <f aca="false">demand!D141</f>
        <v>0</v>
      </c>
      <c r="G143" s="2" t="n">
        <f aca="false">solgen!D141</f>
        <v>0</v>
      </c>
      <c r="H143" s="2" t="n">
        <f aca="false">import!D141</f>
        <v>0</v>
      </c>
      <c r="I143" s="2" t="n">
        <f aca="false">-export!D141</f>
        <v>-0</v>
      </c>
      <c r="J143" s="2" t="n">
        <f aca="false">-charge!D141</f>
        <v>-0</v>
      </c>
      <c r="K143" s="2" t="n">
        <f aca="false">discharge!D141</f>
        <v>0</v>
      </c>
      <c r="L143" s="2" t="n">
        <f aca="false">soc!D141/investment!$E$3 *100</f>
        <v>81.6711407757974</v>
      </c>
    </row>
    <row r="144" customFormat="false" ht="13.8" hidden="false" customHeight="false" outlineLevel="0" collapsed="false">
      <c r="B144" s="10" t="n">
        <f aca="false">_xlfn.NUMBERVALUE(solar!B141)</f>
        <v>0</v>
      </c>
      <c r="C144" s="11" t="n">
        <f aca="false">solar!C141</f>
        <v>0</v>
      </c>
      <c r="D144" s="5" t="n">
        <v>140</v>
      </c>
      <c r="E144" s="16" t="n">
        <f aca="false">IFERROR(INDEX($B$5:$C$173, MATCH($D144, $B$5:$B$175, 0), 2), 0)*investment!$C$3</f>
        <v>0</v>
      </c>
      <c r="F144" s="17" t="n">
        <f aca="false">demand!D142</f>
        <v>0</v>
      </c>
      <c r="G144" s="2" t="n">
        <f aca="false">solgen!D142</f>
        <v>0</v>
      </c>
      <c r="H144" s="2" t="n">
        <f aca="false">import!D142</f>
        <v>0</v>
      </c>
      <c r="I144" s="2" t="n">
        <f aca="false">-export!D142</f>
        <v>-0</v>
      </c>
      <c r="J144" s="2" t="n">
        <f aca="false">-charge!D142</f>
        <v>-0</v>
      </c>
      <c r="K144" s="2" t="n">
        <f aca="false">discharge!D142</f>
        <v>0</v>
      </c>
      <c r="L144" s="2" t="n">
        <f aca="false">soc!D142/investment!$E$3 *100</f>
        <v>73.0344613194042</v>
      </c>
    </row>
    <row r="145" customFormat="false" ht="13.8" hidden="false" customHeight="false" outlineLevel="0" collapsed="false">
      <c r="B145" s="10" t="n">
        <f aca="false">_xlfn.NUMBERVALUE(solar!B142)</f>
        <v>0</v>
      </c>
      <c r="C145" s="11" t="n">
        <f aca="false">solar!C142</f>
        <v>0</v>
      </c>
      <c r="D145" s="5" t="n">
        <v>141</v>
      </c>
      <c r="E145" s="16" t="n">
        <f aca="false">IFERROR(INDEX($B$5:$C$173, MATCH($D145, $B$5:$B$175, 0), 2), 0)*investment!$C$3</f>
        <v>0</v>
      </c>
      <c r="F145" s="17" t="n">
        <f aca="false">demand!D143</f>
        <v>0</v>
      </c>
      <c r="G145" s="2" t="n">
        <f aca="false">solgen!D143</f>
        <v>0</v>
      </c>
      <c r="H145" s="2" t="n">
        <f aca="false">import!D143</f>
        <v>0</v>
      </c>
      <c r="I145" s="2" t="n">
        <f aca="false">-export!D143</f>
        <v>-0</v>
      </c>
      <c r="J145" s="2" t="n">
        <f aca="false">-charge!D143</f>
        <v>-0</v>
      </c>
      <c r="K145" s="2" t="n">
        <f aca="false">discharge!D143</f>
        <v>0</v>
      </c>
      <c r="L145" s="2" t="n">
        <f aca="false">soc!D143/investment!$E$3 *100</f>
        <v>64.3978682298056</v>
      </c>
    </row>
    <row r="146" customFormat="false" ht="13.8" hidden="false" customHeight="false" outlineLevel="0" collapsed="false">
      <c r="B146" s="10" t="n">
        <f aca="false">_xlfn.NUMBERVALUE(solar!B143)</f>
        <v>0</v>
      </c>
      <c r="C146" s="11" t="n">
        <f aca="false">solar!C143</f>
        <v>0</v>
      </c>
      <c r="D146" s="5" t="n">
        <v>142</v>
      </c>
      <c r="E146" s="16" t="n">
        <f aca="false">IFERROR(INDEX($B$5:$C$173, MATCH($D146, $B$5:$B$175, 0), 2), 0)*investment!$C$3</f>
        <v>0</v>
      </c>
      <c r="F146" s="17" t="n">
        <f aca="false">demand!D144</f>
        <v>0</v>
      </c>
      <c r="G146" s="2" t="n">
        <f aca="false">solgen!D144</f>
        <v>0</v>
      </c>
      <c r="H146" s="2" t="n">
        <f aca="false">import!D144</f>
        <v>0</v>
      </c>
      <c r="I146" s="2" t="n">
        <f aca="false">-export!D144</f>
        <v>-0</v>
      </c>
      <c r="J146" s="2" t="n">
        <f aca="false">-charge!D144</f>
        <v>-0</v>
      </c>
      <c r="K146" s="2" t="n">
        <f aca="false">discharge!D144</f>
        <v>0</v>
      </c>
      <c r="L146" s="2" t="n">
        <f aca="false">soc!D144/investment!$E$3 *100</f>
        <v>55.7613615061379</v>
      </c>
    </row>
    <row r="147" customFormat="false" ht="13.8" hidden="false" customHeight="false" outlineLevel="0" collapsed="false">
      <c r="B147" s="10" t="n">
        <f aca="false">_xlfn.NUMBERVALUE(solar!B144)</f>
        <v>0</v>
      </c>
      <c r="C147" s="11" t="n">
        <f aca="false">solar!C144</f>
        <v>0</v>
      </c>
      <c r="D147" s="5" t="n">
        <v>143</v>
      </c>
      <c r="E147" s="16" t="n">
        <f aca="false">IFERROR(INDEX($B$5:$C$173, MATCH($D147, $B$5:$B$175, 0), 2), 0)*investment!$C$3</f>
        <v>0</v>
      </c>
      <c r="F147" s="17" t="n">
        <f aca="false">demand!D145</f>
        <v>0</v>
      </c>
      <c r="G147" s="2" t="n">
        <f aca="false">solgen!D145</f>
        <v>0</v>
      </c>
      <c r="H147" s="2" t="n">
        <f aca="false">import!D145</f>
        <v>0</v>
      </c>
      <c r="I147" s="2" t="n">
        <f aca="false">-export!D145</f>
        <v>-0</v>
      </c>
      <c r="J147" s="2" t="n">
        <f aca="false">-charge!D145</f>
        <v>-0</v>
      </c>
      <c r="K147" s="2" t="n">
        <f aca="false">discharge!D145</f>
        <v>0</v>
      </c>
      <c r="L147" s="2" t="n">
        <f aca="false">soc!D145/investment!$E$3 *100</f>
        <v>47.1249411475374</v>
      </c>
    </row>
    <row r="148" customFormat="false" ht="13.8" hidden="false" customHeight="false" outlineLevel="0" collapsed="false">
      <c r="B148" s="10" t="n">
        <f aca="false">_xlfn.NUMBERVALUE(solar!B145)</f>
        <v>0</v>
      </c>
      <c r="C148" s="11" t="n">
        <f aca="false">solar!C145</f>
        <v>0</v>
      </c>
      <c r="D148" s="5" t="n">
        <v>144</v>
      </c>
      <c r="E148" s="16" t="n">
        <f aca="false">IFERROR(INDEX($B$5:$C$173, MATCH($D148, $B$5:$B$175, 0), 2), 0)*investment!$C$3</f>
        <v>0</v>
      </c>
      <c r="F148" s="17" t="n">
        <f aca="false">demand!D146</f>
        <v>0</v>
      </c>
      <c r="G148" s="2" t="n">
        <f aca="false">solgen!D146</f>
        <v>0</v>
      </c>
      <c r="H148" s="2" t="n">
        <f aca="false">import!D146</f>
        <v>0</v>
      </c>
      <c r="I148" s="2" t="n">
        <f aca="false">-export!D146</f>
        <v>-0</v>
      </c>
      <c r="J148" s="2" t="n">
        <f aca="false">-charge!D146</f>
        <v>-0</v>
      </c>
      <c r="K148" s="2" t="n">
        <f aca="false">discharge!D146</f>
        <v>0</v>
      </c>
      <c r="L148" s="2" t="n">
        <f aca="false">soc!D146/investment!$E$3 *100</f>
        <v>38.4886071531405</v>
      </c>
    </row>
    <row r="149" customFormat="false" ht="13.8" hidden="false" customHeight="false" outlineLevel="0" collapsed="false">
      <c r="B149" s="10" t="n">
        <f aca="false">_xlfn.NUMBERVALUE(solar!B146)</f>
        <v>0</v>
      </c>
      <c r="C149" s="11" t="n">
        <f aca="false">solar!C146</f>
        <v>0</v>
      </c>
      <c r="D149" s="5" t="n">
        <v>145</v>
      </c>
      <c r="E149" s="16" t="n">
        <f aca="false">IFERROR(INDEX($B$5:$C$173, MATCH($D149, $B$5:$B$175, 0), 2), 0)*investment!$C$3</f>
        <v>0</v>
      </c>
      <c r="F149" s="17" t="n">
        <f aca="false">demand!D147</f>
        <v>0</v>
      </c>
      <c r="G149" s="2" t="n">
        <f aca="false">solgen!D147</f>
        <v>0</v>
      </c>
      <c r="H149" s="2" t="n">
        <f aca="false">import!D147</f>
        <v>0</v>
      </c>
      <c r="I149" s="2" t="n">
        <f aca="false">-export!D147</f>
        <v>-0</v>
      </c>
      <c r="J149" s="2" t="n">
        <f aca="false">-charge!D147</f>
        <v>-0</v>
      </c>
      <c r="K149" s="2" t="n">
        <f aca="false">discharge!D147</f>
        <v>0</v>
      </c>
      <c r="L149" s="2" t="n">
        <f aca="false">soc!D147/investment!$E$3 *100</f>
        <v>38.2003601755694</v>
      </c>
    </row>
    <row r="150" customFormat="false" ht="13.8" hidden="false" customHeight="false" outlineLevel="0" collapsed="false">
      <c r="B150" s="10" t="n">
        <f aca="false">_xlfn.NUMBERVALUE(solar!B147)</f>
        <v>0</v>
      </c>
      <c r="C150" s="11" t="n">
        <f aca="false">solar!C147</f>
        <v>0</v>
      </c>
      <c r="D150" s="5" t="n">
        <v>146</v>
      </c>
      <c r="E150" s="16" t="n">
        <f aca="false">IFERROR(INDEX($B$5:$C$173, MATCH($D150, $B$5:$B$175, 0), 2), 0)*investment!$C$3</f>
        <v>0</v>
      </c>
      <c r="F150" s="17" t="n">
        <f aca="false">demand!D148</f>
        <v>0</v>
      </c>
      <c r="G150" s="2" t="n">
        <f aca="false">solgen!D148</f>
        <v>0</v>
      </c>
      <c r="H150" s="2" t="n">
        <f aca="false">import!D148</f>
        <v>0</v>
      </c>
      <c r="I150" s="2" t="n">
        <f aca="false">-export!D148</f>
        <v>-0</v>
      </c>
      <c r="J150" s="2" t="n">
        <f aca="false">-charge!D148</f>
        <v>-0</v>
      </c>
      <c r="K150" s="2" t="n">
        <f aca="false">discharge!D148</f>
        <v>0</v>
      </c>
      <c r="L150" s="2" t="n">
        <f aca="false">soc!D148/investment!$E$3 *100</f>
        <v>29.5641154269822</v>
      </c>
    </row>
    <row r="151" customFormat="false" ht="13.8" hidden="false" customHeight="false" outlineLevel="0" collapsed="false">
      <c r="B151" s="10" t="n">
        <f aca="false">_xlfn.NUMBERVALUE(solar!B148)</f>
        <v>0</v>
      </c>
      <c r="C151" s="11" t="n">
        <f aca="false">solar!C148</f>
        <v>0</v>
      </c>
      <c r="D151" s="5" t="n">
        <v>147</v>
      </c>
      <c r="E151" s="16" t="n">
        <f aca="false">IFERROR(INDEX($B$5:$C$173, MATCH($D151, $B$5:$B$175, 0), 2), 0)*investment!$C$3</f>
        <v>0</v>
      </c>
      <c r="F151" s="17" t="n">
        <f aca="false">demand!D149</f>
        <v>0</v>
      </c>
      <c r="G151" s="2" t="n">
        <f aca="false">solgen!D149</f>
        <v>0</v>
      </c>
      <c r="H151" s="2" t="n">
        <f aca="false">import!D149</f>
        <v>0</v>
      </c>
      <c r="I151" s="2" t="n">
        <f aca="false">-export!D149</f>
        <v>-0</v>
      </c>
      <c r="J151" s="2" t="n">
        <f aca="false">-charge!D149</f>
        <v>-0</v>
      </c>
      <c r="K151" s="2" t="n">
        <f aca="false">discharge!D149</f>
        <v>0</v>
      </c>
      <c r="L151" s="2" t="n">
        <f aca="false">soc!D149/investment!$E$3 *100</f>
        <v>20.9279570408425</v>
      </c>
    </row>
    <row r="152" customFormat="false" ht="13.8" hidden="false" customHeight="false" outlineLevel="0" collapsed="false">
      <c r="B152" s="10" t="n">
        <f aca="false">_xlfn.NUMBERVALUE(solar!B149)</f>
        <v>0</v>
      </c>
      <c r="C152" s="11" t="n">
        <f aca="false">solar!C149</f>
        <v>0</v>
      </c>
      <c r="D152" s="5" t="n">
        <v>148</v>
      </c>
      <c r="E152" s="16" t="n">
        <f aca="false">IFERROR(INDEX($B$5:$C$173, MATCH($D152, $B$5:$B$175, 0), 2), 0)*investment!$C$3</f>
        <v>0</v>
      </c>
      <c r="F152" s="17" t="n">
        <f aca="false">demand!D150</f>
        <v>0</v>
      </c>
      <c r="G152" s="2" t="n">
        <f aca="false">solgen!D150</f>
        <v>0</v>
      </c>
      <c r="H152" s="2" t="n">
        <f aca="false">import!D150</f>
        <v>0</v>
      </c>
      <c r="I152" s="2" t="n">
        <f aca="false">-export!D150</f>
        <v>-0</v>
      </c>
      <c r="J152" s="2" t="n">
        <f aca="false">-charge!D150</f>
        <v>-0</v>
      </c>
      <c r="K152" s="2" t="n">
        <f aca="false">discharge!D150</f>
        <v>0</v>
      </c>
      <c r="L152" s="2" t="n">
        <f aca="false">soc!D150/investment!$E$3 *100</f>
        <v>12.2918850162867</v>
      </c>
    </row>
    <row r="153" customFormat="false" ht="13.8" hidden="false" customHeight="false" outlineLevel="0" collapsed="false">
      <c r="B153" s="10" t="n">
        <f aca="false">_xlfn.NUMBERVALUE(solar!B150)</f>
        <v>0</v>
      </c>
      <c r="C153" s="11" t="n">
        <f aca="false">solar!C150</f>
        <v>0</v>
      </c>
      <c r="D153" s="5" t="n">
        <v>149</v>
      </c>
      <c r="E153" s="16" t="n">
        <f aca="false">IFERROR(INDEX($B$5:$C$173, MATCH($D153, $B$5:$B$175, 0), 2), 0)*investment!$C$3</f>
        <v>0</v>
      </c>
      <c r="F153" s="17" t="n">
        <f aca="false">demand!D151</f>
        <v>0</v>
      </c>
      <c r="G153" s="2" t="n">
        <f aca="false">solgen!D151</f>
        <v>0</v>
      </c>
      <c r="H153" s="2" t="n">
        <f aca="false">import!D151</f>
        <v>0</v>
      </c>
      <c r="I153" s="2" t="n">
        <f aca="false">-export!D151</f>
        <v>-0</v>
      </c>
      <c r="J153" s="2" t="n">
        <f aca="false">-charge!D151</f>
        <v>-0</v>
      </c>
      <c r="K153" s="2" t="n">
        <f aca="false">discharge!D151</f>
        <v>0</v>
      </c>
      <c r="L153" s="2" t="n">
        <f aca="false">soc!D151/investment!$E$3 *100</f>
        <v>3.65589935245107</v>
      </c>
    </row>
    <row r="154" customFormat="false" ht="13.8" hidden="false" customHeight="false" outlineLevel="0" collapsed="false">
      <c r="B154" s="10" t="n">
        <f aca="false">_xlfn.NUMBERVALUE(solar!B151)</f>
        <v>0</v>
      </c>
      <c r="C154" s="11" t="n">
        <f aca="false">solar!C151</f>
        <v>0</v>
      </c>
      <c r="D154" s="5" t="n">
        <v>150</v>
      </c>
      <c r="E154" s="16" t="n">
        <f aca="false">IFERROR(INDEX($B$5:$C$173, MATCH($D154, $B$5:$B$175, 0), 2), 0)*investment!$C$3</f>
        <v>0</v>
      </c>
      <c r="F154" s="17" t="n">
        <f aca="false">demand!D152</f>
        <v>0</v>
      </c>
      <c r="G154" s="2" t="n">
        <f aca="false">solgen!D152</f>
        <v>0</v>
      </c>
      <c r="H154" s="2" t="n">
        <f aca="false">import!D152</f>
        <v>0</v>
      </c>
      <c r="I154" s="2" t="n">
        <f aca="false">-export!D152</f>
        <v>-0</v>
      </c>
      <c r="J154" s="2" t="n">
        <f aca="false">-charge!D152</f>
        <v>-0</v>
      </c>
      <c r="K154" s="2" t="n">
        <f aca="false">discharge!D152</f>
        <v>0</v>
      </c>
      <c r="L154" s="2" t="n">
        <f aca="false">soc!D152/investment!$E$3 *100</f>
        <v>0</v>
      </c>
    </row>
    <row r="155" customFormat="false" ht="13.8" hidden="false" customHeight="false" outlineLevel="0" collapsed="false">
      <c r="B155" s="10" t="n">
        <f aca="false">_xlfn.NUMBERVALUE(solar!B152)</f>
        <v>0</v>
      </c>
      <c r="C155" s="11" t="n">
        <f aca="false">solar!C152</f>
        <v>0</v>
      </c>
      <c r="D155" s="5" t="n">
        <v>151</v>
      </c>
      <c r="E155" s="16" t="n">
        <f aca="false">IFERROR(INDEX($B$5:$C$173, MATCH($D155, $B$5:$B$175, 0), 2), 0)*investment!$C$3</f>
        <v>0</v>
      </c>
      <c r="F155" s="17" t="n">
        <f aca="false">demand!D153</f>
        <v>0</v>
      </c>
      <c r="G155" s="2" t="n">
        <f aca="false">solgen!D153</f>
        <v>0</v>
      </c>
      <c r="H155" s="2" t="n">
        <f aca="false">import!D153</f>
        <v>0</v>
      </c>
      <c r="I155" s="2" t="n">
        <f aca="false">-export!D153</f>
        <v>-0</v>
      </c>
      <c r="J155" s="2" t="n">
        <f aca="false">-charge!D153</f>
        <v>-0</v>
      </c>
      <c r="K155" s="2" t="n">
        <f aca="false">discharge!D153</f>
        <v>0</v>
      </c>
      <c r="L155" s="2" t="n">
        <f aca="false">soc!D153/investment!$E$3 *100</f>
        <v>0</v>
      </c>
    </row>
    <row r="156" customFormat="false" ht="13.8" hidden="false" customHeight="false" outlineLevel="0" collapsed="false">
      <c r="B156" s="10" t="n">
        <f aca="false">_xlfn.NUMBERVALUE(solar!B153)</f>
        <v>0</v>
      </c>
      <c r="C156" s="11" t="n">
        <f aca="false">solar!C153</f>
        <v>0</v>
      </c>
      <c r="D156" s="5" t="n">
        <v>152</v>
      </c>
      <c r="E156" s="16" t="n">
        <f aca="false">IFERROR(INDEX($B$5:$C$173, MATCH($D156, $B$5:$B$175, 0), 2), 0)*investment!$C$3</f>
        <v>0</v>
      </c>
      <c r="F156" s="17" t="n">
        <f aca="false">demand!D154</f>
        <v>0</v>
      </c>
      <c r="G156" s="2" t="n">
        <f aca="false">solgen!D154</f>
        <v>0</v>
      </c>
      <c r="H156" s="2" t="n">
        <f aca="false">import!D154</f>
        <v>0</v>
      </c>
      <c r="I156" s="2" t="n">
        <f aca="false">-export!D154</f>
        <v>-0</v>
      </c>
      <c r="J156" s="2" t="n">
        <f aca="false">-charge!D154</f>
        <v>-0</v>
      </c>
      <c r="K156" s="2" t="n">
        <f aca="false">discharge!D154</f>
        <v>0</v>
      </c>
      <c r="L156" s="2" t="n">
        <f aca="false">soc!D154/investment!$E$3 *100</f>
        <v>0</v>
      </c>
    </row>
    <row r="157" customFormat="false" ht="13.8" hidden="false" customHeight="false" outlineLevel="0" collapsed="false">
      <c r="B157" s="10" t="n">
        <f aca="false">_xlfn.NUMBERVALUE(solar!B154)</f>
        <v>0</v>
      </c>
      <c r="C157" s="11" t="n">
        <f aca="false">solar!C154</f>
        <v>0</v>
      </c>
      <c r="D157" s="5" t="n">
        <v>153</v>
      </c>
      <c r="E157" s="16" t="n">
        <f aca="false">IFERROR(INDEX($B$5:$C$173, MATCH($D157, $B$5:$B$175, 0), 2), 0)*investment!$C$3</f>
        <v>0</v>
      </c>
      <c r="F157" s="17" t="n">
        <f aca="false">demand!D155</f>
        <v>0</v>
      </c>
      <c r="G157" s="2" t="n">
        <f aca="false">solgen!D155</f>
        <v>0</v>
      </c>
      <c r="H157" s="2" t="n">
        <f aca="false">import!D155</f>
        <v>0</v>
      </c>
      <c r="I157" s="2" t="n">
        <f aca="false">-export!D155</f>
        <v>-0</v>
      </c>
      <c r="J157" s="2" t="n">
        <f aca="false">-charge!D155</f>
        <v>-0</v>
      </c>
      <c r="K157" s="2" t="n">
        <f aca="false">discharge!D155</f>
        <v>0</v>
      </c>
      <c r="L157" s="2" t="n">
        <f aca="false">soc!D155/investment!$E$3 *100</f>
        <v>0</v>
      </c>
    </row>
    <row r="158" customFormat="false" ht="13.8" hidden="false" customHeight="false" outlineLevel="0" collapsed="false">
      <c r="B158" s="10" t="n">
        <f aca="false">_xlfn.NUMBERVALUE(solar!B155)</f>
        <v>0</v>
      </c>
      <c r="C158" s="11" t="n">
        <f aca="false">solar!C155</f>
        <v>0</v>
      </c>
      <c r="D158" s="5" t="n">
        <v>154</v>
      </c>
      <c r="E158" s="16" t="n">
        <f aca="false">IFERROR(INDEX($B$5:$C$173, MATCH($D158, $B$5:$B$175, 0), 2), 0)*investment!$C$3</f>
        <v>0</v>
      </c>
      <c r="F158" s="17" t="n">
        <f aca="false">demand!D156</f>
        <v>0</v>
      </c>
      <c r="G158" s="2" t="n">
        <f aca="false">solgen!D156</f>
        <v>0</v>
      </c>
      <c r="H158" s="2" t="n">
        <f aca="false">import!D156</f>
        <v>0</v>
      </c>
      <c r="I158" s="2" t="n">
        <f aca="false">-export!D156</f>
        <v>-0</v>
      </c>
      <c r="J158" s="2" t="n">
        <f aca="false">-charge!D156</f>
        <v>-0</v>
      </c>
      <c r="K158" s="2" t="n">
        <f aca="false">discharge!D156</f>
        <v>0</v>
      </c>
      <c r="L158" s="2" t="n">
        <f aca="false">soc!D156/investment!$E$3 *100</f>
        <v>0</v>
      </c>
    </row>
    <row r="159" customFormat="false" ht="13.8" hidden="false" customHeight="false" outlineLevel="0" collapsed="false">
      <c r="B159" s="10" t="n">
        <f aca="false">_xlfn.NUMBERVALUE(solar!B156)</f>
        <v>0</v>
      </c>
      <c r="C159" s="11" t="n">
        <f aca="false">solar!C156</f>
        <v>0</v>
      </c>
      <c r="D159" s="5" t="n">
        <v>155</v>
      </c>
      <c r="E159" s="16" t="n">
        <f aca="false">IFERROR(INDEX($B$5:$C$173, MATCH($D159, $B$5:$B$175, 0), 2), 0)*investment!$C$3</f>
        <v>0</v>
      </c>
      <c r="F159" s="17" t="n">
        <f aca="false">demand!D157</f>
        <v>0</v>
      </c>
      <c r="G159" s="2" t="n">
        <f aca="false">solgen!D157</f>
        <v>0</v>
      </c>
      <c r="H159" s="2" t="n">
        <f aca="false">import!D157</f>
        <v>0</v>
      </c>
      <c r="I159" s="2" t="n">
        <f aca="false">-export!D157</f>
        <v>-0</v>
      </c>
      <c r="J159" s="2" t="n">
        <f aca="false">-charge!D157</f>
        <v>-0</v>
      </c>
      <c r="K159" s="2" t="n">
        <f aca="false">discharge!D157</f>
        <v>0</v>
      </c>
      <c r="L159" s="2" t="n">
        <f aca="false">soc!D157/investment!$E$3 *100</f>
        <v>0</v>
      </c>
    </row>
    <row r="160" customFormat="false" ht="13.8" hidden="false" customHeight="false" outlineLevel="0" collapsed="false">
      <c r="B160" s="10" t="n">
        <f aca="false">_xlfn.NUMBERVALUE(solar!B157)</f>
        <v>0</v>
      </c>
      <c r="C160" s="11" t="n">
        <f aca="false">solar!C157</f>
        <v>0</v>
      </c>
      <c r="D160" s="5" t="n">
        <v>156</v>
      </c>
      <c r="E160" s="16" t="n">
        <f aca="false">IFERROR(INDEX($B$5:$C$173, MATCH($D160, $B$5:$B$175, 0), 2), 0)*investment!$C$3</f>
        <v>0</v>
      </c>
      <c r="F160" s="17" t="n">
        <f aca="false">demand!D158</f>
        <v>0</v>
      </c>
      <c r="G160" s="2" t="n">
        <f aca="false">solgen!D158</f>
        <v>0</v>
      </c>
      <c r="H160" s="2" t="n">
        <f aca="false">import!D158</f>
        <v>0</v>
      </c>
      <c r="I160" s="2" t="n">
        <f aca="false">-export!D158</f>
        <v>-0</v>
      </c>
      <c r="J160" s="2" t="n">
        <f aca="false">-charge!D158</f>
        <v>-0</v>
      </c>
      <c r="K160" s="2" t="n">
        <f aca="false">discharge!D158</f>
        <v>0</v>
      </c>
      <c r="L160" s="2" t="n">
        <f aca="false">soc!D158/investment!$E$3 *100</f>
        <v>0</v>
      </c>
    </row>
    <row r="161" customFormat="false" ht="13.8" hidden="false" customHeight="false" outlineLevel="0" collapsed="false">
      <c r="B161" s="10" t="n">
        <f aca="false">_xlfn.NUMBERVALUE(solar!B158)</f>
        <v>0</v>
      </c>
      <c r="C161" s="11" t="n">
        <f aca="false">solar!C158</f>
        <v>0</v>
      </c>
      <c r="D161" s="5" t="n">
        <v>157</v>
      </c>
      <c r="E161" s="16" t="n">
        <f aca="false">IFERROR(INDEX($B$5:$C$173, MATCH($D161, $B$5:$B$175, 0), 2), 0)*investment!$C$3</f>
        <v>0</v>
      </c>
      <c r="F161" s="17" t="n">
        <f aca="false">demand!D159</f>
        <v>0</v>
      </c>
      <c r="G161" s="2" t="n">
        <f aca="false">solgen!D159</f>
        <v>0</v>
      </c>
      <c r="H161" s="2" t="n">
        <f aca="false">import!D159</f>
        <v>0</v>
      </c>
      <c r="I161" s="2" t="n">
        <f aca="false">-export!D159</f>
        <v>-0</v>
      </c>
      <c r="J161" s="2" t="n">
        <f aca="false">-charge!D159</f>
        <v>-0</v>
      </c>
      <c r="K161" s="2" t="n">
        <f aca="false">discharge!D159</f>
        <v>0</v>
      </c>
      <c r="L161" s="2" t="n">
        <f aca="false">soc!D159/investment!$E$3 *100</f>
        <v>9.43018723904727</v>
      </c>
    </row>
    <row r="162" customFormat="false" ht="13.8" hidden="false" customHeight="false" outlineLevel="0" collapsed="false">
      <c r="B162" s="10" t="n">
        <f aca="false">_xlfn.NUMBERVALUE(solar!B159)</f>
        <v>0</v>
      </c>
      <c r="C162" s="11" t="n">
        <f aca="false">solar!C159</f>
        <v>0</v>
      </c>
      <c r="D162" s="5" t="n">
        <v>158</v>
      </c>
      <c r="E162" s="16" t="n">
        <f aca="false">IFERROR(INDEX($B$5:$C$173, MATCH($D162, $B$5:$B$175, 0), 2), 0)*investment!$C$3</f>
        <v>0</v>
      </c>
      <c r="F162" s="17" t="n">
        <f aca="false">demand!D160</f>
        <v>0</v>
      </c>
      <c r="G162" s="2" t="n">
        <f aca="false">solgen!D160</f>
        <v>0</v>
      </c>
      <c r="H162" s="2" t="n">
        <f aca="false">import!D160</f>
        <v>0</v>
      </c>
      <c r="I162" s="2" t="n">
        <f aca="false">-export!D160</f>
        <v>-0</v>
      </c>
      <c r="J162" s="2" t="n">
        <f aca="false">-charge!D160</f>
        <v>-0</v>
      </c>
      <c r="K162" s="2" t="n">
        <f aca="false">discharge!D160</f>
        <v>0</v>
      </c>
      <c r="L162" s="2" t="n">
        <f aca="false">soc!D160/investment!$E$3 *100</f>
        <v>21.6129708882392</v>
      </c>
    </row>
    <row r="163" customFormat="false" ht="13.8" hidden="false" customHeight="false" outlineLevel="0" collapsed="false">
      <c r="B163" s="10" t="n">
        <f aca="false">_xlfn.NUMBERVALUE(solar!B160)</f>
        <v>0</v>
      </c>
      <c r="C163" s="11" t="n">
        <f aca="false">solar!C160</f>
        <v>0</v>
      </c>
      <c r="D163" s="5" t="n">
        <v>159</v>
      </c>
      <c r="E163" s="16" t="n">
        <f aca="false">IFERROR(INDEX($B$5:$C$173, MATCH($D163, $B$5:$B$175, 0), 2), 0)*investment!$C$3</f>
        <v>0</v>
      </c>
      <c r="F163" s="17" t="n">
        <f aca="false">demand!D161</f>
        <v>0</v>
      </c>
      <c r="G163" s="2" t="n">
        <f aca="false">solgen!D161</f>
        <v>0</v>
      </c>
      <c r="H163" s="2" t="n">
        <f aca="false">import!D161</f>
        <v>0</v>
      </c>
      <c r="I163" s="2" t="n">
        <f aca="false">-export!D161</f>
        <v>-0</v>
      </c>
      <c r="J163" s="2" t="n">
        <f aca="false">-charge!D161</f>
        <v>-0</v>
      </c>
      <c r="K163" s="2" t="n">
        <f aca="false">discharge!D161</f>
        <v>0</v>
      </c>
      <c r="L163" s="2" t="n">
        <f aca="false">soc!D161/investment!$E$3 *100</f>
        <v>31.7480901968107</v>
      </c>
    </row>
    <row r="164" customFormat="false" ht="13.8" hidden="false" customHeight="false" outlineLevel="0" collapsed="false">
      <c r="B164" s="10" t="n">
        <f aca="false">_xlfn.NUMBERVALUE(solar!B161)</f>
        <v>0</v>
      </c>
      <c r="C164" s="11" t="n">
        <f aca="false">solar!C161</f>
        <v>0</v>
      </c>
      <c r="D164" s="5" t="n">
        <v>160</v>
      </c>
      <c r="E164" s="16" t="n">
        <f aca="false">IFERROR(INDEX($B$5:$C$173, MATCH($D164, $B$5:$B$175, 0), 2), 0)*investment!$C$3</f>
        <v>0</v>
      </c>
      <c r="F164" s="17" t="n">
        <f aca="false">demand!D162</f>
        <v>0</v>
      </c>
      <c r="G164" s="2" t="n">
        <f aca="false">solgen!D162</f>
        <v>0</v>
      </c>
      <c r="H164" s="2" t="n">
        <f aca="false">import!D162</f>
        <v>0</v>
      </c>
      <c r="I164" s="2" t="n">
        <f aca="false">-export!D162</f>
        <v>-0</v>
      </c>
      <c r="J164" s="2" t="n">
        <f aca="false">-charge!D162</f>
        <v>-0</v>
      </c>
      <c r="K164" s="2" t="n">
        <f aca="false">discharge!D162</f>
        <v>0</v>
      </c>
      <c r="L164" s="2" t="n">
        <f aca="false">soc!D162/investment!$E$3 *100</f>
        <v>37.1563225127267</v>
      </c>
    </row>
    <row r="165" customFormat="false" ht="13.8" hidden="false" customHeight="false" outlineLevel="0" collapsed="false">
      <c r="B165" s="10" t="n">
        <f aca="false">_xlfn.NUMBERVALUE(solar!B162)</f>
        <v>0</v>
      </c>
      <c r="C165" s="11" t="n">
        <f aca="false">solar!C162</f>
        <v>0</v>
      </c>
      <c r="D165" s="5" t="n">
        <v>161</v>
      </c>
      <c r="E165" s="16" t="n">
        <f aca="false">IFERROR(INDEX($B$5:$C$173, MATCH($D165, $B$5:$B$175, 0), 2), 0)*investment!$C$3</f>
        <v>0</v>
      </c>
      <c r="F165" s="17" t="n">
        <f aca="false">demand!D163</f>
        <v>0</v>
      </c>
      <c r="G165" s="2" t="n">
        <f aca="false">solgen!D163</f>
        <v>0</v>
      </c>
      <c r="H165" s="2" t="n">
        <f aca="false">import!D163</f>
        <v>0</v>
      </c>
      <c r="I165" s="2" t="n">
        <f aca="false">-export!D163</f>
        <v>-0</v>
      </c>
      <c r="J165" s="2" t="n">
        <f aca="false">-charge!D163</f>
        <v>-0</v>
      </c>
      <c r="K165" s="2" t="n">
        <f aca="false">discharge!D163</f>
        <v>0</v>
      </c>
      <c r="L165" s="2" t="n">
        <f aca="false">soc!D163/investment!$E$3 *100</f>
        <v>38.2268866466995</v>
      </c>
    </row>
    <row r="166" customFormat="false" ht="13.8" hidden="false" customHeight="false" outlineLevel="0" collapsed="false">
      <c r="B166" s="10" t="n">
        <f aca="false">_xlfn.NUMBERVALUE(solar!B163)</f>
        <v>0</v>
      </c>
      <c r="C166" s="11" t="n">
        <f aca="false">solar!C163</f>
        <v>0</v>
      </c>
      <c r="D166" s="5" t="n">
        <v>162</v>
      </c>
      <c r="E166" s="16" t="n">
        <f aca="false">IFERROR(INDEX($B$5:$C$173, MATCH($D166, $B$5:$B$175, 0), 2), 0)*investment!$C$3</f>
        <v>0</v>
      </c>
      <c r="F166" s="17" t="n">
        <f aca="false">demand!D164</f>
        <v>0</v>
      </c>
      <c r="G166" s="2" t="n">
        <f aca="false">solgen!D164</f>
        <v>0</v>
      </c>
      <c r="H166" s="2" t="n">
        <f aca="false">import!D164</f>
        <v>0</v>
      </c>
      <c r="I166" s="2" t="n">
        <f aca="false">-export!D164</f>
        <v>-0</v>
      </c>
      <c r="J166" s="2" t="n">
        <f aca="false">-charge!D164</f>
        <v>-0</v>
      </c>
      <c r="K166" s="2" t="n">
        <f aca="false">discharge!D164</f>
        <v>0</v>
      </c>
      <c r="L166" s="2" t="n">
        <f aca="false">soc!D164/investment!$E$3 *100</f>
        <v>38.7187020972522</v>
      </c>
    </row>
    <row r="167" customFormat="false" ht="13.8" hidden="false" customHeight="false" outlineLevel="0" collapsed="false">
      <c r="B167" s="10" t="n">
        <f aca="false">_xlfn.NUMBERVALUE(solar!B164)</f>
        <v>0</v>
      </c>
      <c r="C167" s="11" t="n">
        <f aca="false">solar!C164</f>
        <v>0</v>
      </c>
      <c r="D167" s="5" t="n">
        <v>163</v>
      </c>
      <c r="E167" s="16" t="n">
        <f aca="false">IFERROR(INDEX($B$5:$C$173, MATCH($D167, $B$5:$B$175, 0), 2), 0)*investment!$C$3</f>
        <v>0</v>
      </c>
      <c r="F167" s="17" t="n">
        <f aca="false">demand!D165</f>
        <v>0</v>
      </c>
      <c r="G167" s="2" t="n">
        <f aca="false">solgen!D165</f>
        <v>0</v>
      </c>
      <c r="H167" s="2" t="n">
        <f aca="false">import!D165</f>
        <v>0</v>
      </c>
      <c r="I167" s="2" t="n">
        <f aca="false">-export!D165</f>
        <v>-0</v>
      </c>
      <c r="J167" s="2" t="n">
        <f aca="false">-charge!D165</f>
        <v>-0</v>
      </c>
      <c r="K167" s="2" t="n">
        <f aca="false">discharge!D165</f>
        <v>0</v>
      </c>
      <c r="L167" s="2" t="n">
        <f aca="false">soc!D165/investment!$E$3 *100</f>
        <v>34.5443145834883</v>
      </c>
    </row>
    <row r="168" customFormat="false" ht="13.8" hidden="false" customHeight="false" outlineLevel="0" collapsed="false">
      <c r="B168" s="10" t="n">
        <f aca="false">_xlfn.NUMBERVALUE(solar!B165)</f>
        <v>0</v>
      </c>
      <c r="C168" s="11" t="n">
        <f aca="false">solar!C165</f>
        <v>0</v>
      </c>
      <c r="D168" s="5" t="n">
        <v>164</v>
      </c>
      <c r="E168" s="16" t="n">
        <f aca="false">IFERROR(INDEX($B$5:$C$173, MATCH($D168, $B$5:$B$175, 0), 2), 0)*investment!$C$3</f>
        <v>0</v>
      </c>
      <c r="F168" s="17" t="n">
        <f aca="false">demand!D166</f>
        <v>0</v>
      </c>
      <c r="G168" s="2" t="n">
        <f aca="false">solgen!D166</f>
        <v>0</v>
      </c>
      <c r="H168" s="2" t="n">
        <f aca="false">import!D166</f>
        <v>0</v>
      </c>
      <c r="I168" s="2" t="n">
        <f aca="false">-export!D166</f>
        <v>-0</v>
      </c>
      <c r="J168" s="2" t="n">
        <f aca="false">-charge!D166</f>
        <v>-0</v>
      </c>
      <c r="K168" s="2" t="n">
        <f aca="false">discharge!D166</f>
        <v>0</v>
      </c>
      <c r="L168" s="2" t="n">
        <f aca="false">soc!D166/investment!$E$3 *100</f>
        <v>25.908106395357</v>
      </c>
    </row>
    <row r="169" customFormat="false" ht="13.8" hidden="false" customHeight="false" outlineLevel="0" collapsed="false">
      <c r="B169" s="10" t="n">
        <f aca="false">_xlfn.NUMBERVALUE(solar!B166)</f>
        <v>0</v>
      </c>
      <c r="C169" s="11" t="n">
        <f aca="false">solar!C166</f>
        <v>0</v>
      </c>
      <c r="D169" s="5" t="n">
        <v>165</v>
      </c>
      <c r="E169" s="16" t="n">
        <f aca="false">IFERROR(INDEX($B$5:$C$173, MATCH($D169, $B$5:$B$175, 0), 2), 0)*investment!$C$3</f>
        <v>0</v>
      </c>
      <c r="F169" s="17" t="n">
        <f aca="false">demand!D167</f>
        <v>0</v>
      </c>
      <c r="G169" s="2" t="n">
        <f aca="false">solgen!D167</f>
        <v>0</v>
      </c>
      <c r="H169" s="2" t="n">
        <f aca="false">import!D167</f>
        <v>0</v>
      </c>
      <c r="I169" s="2" t="n">
        <f aca="false">-export!D167</f>
        <v>-0</v>
      </c>
      <c r="J169" s="2" t="n">
        <f aca="false">-charge!D167</f>
        <v>-0</v>
      </c>
      <c r="K169" s="2" t="n">
        <f aca="false">discharge!D167</f>
        <v>0</v>
      </c>
      <c r="L169" s="2" t="n">
        <f aca="false">soc!D167/investment!$E$3 *100</f>
        <v>17.2719845693076</v>
      </c>
    </row>
    <row r="170" customFormat="false" ht="13.8" hidden="false" customHeight="false" outlineLevel="0" collapsed="false">
      <c r="B170" s="10" t="n">
        <f aca="false">_xlfn.NUMBERVALUE(solar!B167)</f>
        <v>0</v>
      </c>
      <c r="C170" s="11" t="n">
        <f aca="false">solar!C167</f>
        <v>0</v>
      </c>
      <c r="D170" s="5" t="n">
        <v>166</v>
      </c>
      <c r="E170" s="16" t="n">
        <f aca="false">IFERROR(INDEX($B$5:$C$173, MATCH($D170, $B$5:$B$175, 0), 2), 0)*investment!$C$3</f>
        <v>0</v>
      </c>
      <c r="F170" s="17" t="n">
        <f aca="false">demand!D168</f>
        <v>0</v>
      </c>
      <c r="G170" s="2" t="n">
        <f aca="false">solgen!D168</f>
        <v>0</v>
      </c>
      <c r="H170" s="2" t="n">
        <f aca="false">import!D168</f>
        <v>0</v>
      </c>
      <c r="I170" s="2" t="n">
        <f aca="false">-export!D168</f>
        <v>-0</v>
      </c>
      <c r="J170" s="2" t="n">
        <f aca="false">-charge!D168</f>
        <v>-0</v>
      </c>
      <c r="K170" s="2" t="n">
        <f aca="false">discharge!D168</f>
        <v>0</v>
      </c>
      <c r="L170" s="2" t="n">
        <f aca="false">soc!D168/investment!$E$3 *100</f>
        <v>8.63594910447648</v>
      </c>
    </row>
    <row r="171" customFormat="false" ht="13.8" hidden="false" customHeight="false" outlineLevel="0" collapsed="false">
      <c r="B171" s="10" t="n">
        <f aca="false">_xlfn.NUMBERVALUE(solar!B168)</f>
        <v>0</v>
      </c>
      <c r="C171" s="11" t="n">
        <f aca="false">solar!C168</f>
        <v>0</v>
      </c>
      <c r="D171" s="5" t="n">
        <v>167</v>
      </c>
      <c r="E171" s="16" t="n">
        <f aca="false">IFERROR(INDEX($B$5:$C$173, MATCH($D171, $B$5:$B$175, 0), 2), 0)*investment!$C$3</f>
        <v>0</v>
      </c>
      <c r="F171" s="17" t="n">
        <f aca="false">demand!D169</f>
        <v>0</v>
      </c>
      <c r="G171" s="2" t="n">
        <f aca="false">solgen!D169</f>
        <v>0</v>
      </c>
      <c r="H171" s="2" t="n">
        <f aca="false">import!D169</f>
        <v>0</v>
      </c>
      <c r="I171" s="2" t="n">
        <f aca="false">-export!D169</f>
        <v>-0</v>
      </c>
      <c r="J171" s="2" t="n">
        <f aca="false">-charge!D169</f>
        <v>-0</v>
      </c>
      <c r="K171" s="2" t="n">
        <f aca="false">discharge!D169</f>
        <v>0</v>
      </c>
      <c r="L171" s="2" t="n">
        <f aca="false">soc!D169/investment!$E$3 *100</f>
        <v>0</v>
      </c>
    </row>
    <row r="172" customFormat="false" ht="13.8" hidden="false" customHeight="false" outlineLevel="0" collapsed="false">
      <c r="B172" s="10" t="n">
        <f aca="false">_xlfn.NUMBERVALUE(solar!B169)</f>
        <v>0</v>
      </c>
      <c r="C172" s="11" t="n">
        <f aca="false">solar!C169</f>
        <v>0</v>
      </c>
      <c r="D172" s="5" t="n">
        <v>168</v>
      </c>
      <c r="E172" s="16" t="n">
        <f aca="false">IFERROR(INDEX($B$5:$C$173, MATCH($D172, $B$5:$B$175, 0), 2), 0)*investment!$C$3</f>
        <v>0</v>
      </c>
      <c r="F172" s="17" t="n">
        <f aca="false">demand!D170</f>
        <v>0</v>
      </c>
      <c r="G172" s="2" t="n">
        <f aca="false">solgen!D170</f>
        <v>0</v>
      </c>
      <c r="H172" s="2" t="n">
        <f aca="false">import!D170</f>
        <v>0</v>
      </c>
      <c r="I172" s="2" t="n">
        <f aca="false">-export!D170</f>
        <v>-0</v>
      </c>
      <c r="J172" s="2" t="n">
        <f aca="false">-charge!D170</f>
        <v>-0</v>
      </c>
      <c r="K172" s="2" t="n">
        <f aca="false">discharge!D170</f>
        <v>0</v>
      </c>
      <c r="L172" s="2" t="n">
        <f aca="false">soc!D170/investment!$E$3 *100</f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5" activeCellId="1" sqref="B12:F14 L5"/>
    </sheetView>
  </sheetViews>
  <sheetFormatPr defaultColWidth="8.54296875" defaultRowHeight="13.8" zeroHeight="false" outlineLevelRow="0" outlineLevelCol="0"/>
  <cols>
    <col collapsed="false" customWidth="true" hidden="false" outlineLevel="0" max="2" min="2" style="5" width="8.85"/>
    <col collapsed="false" customWidth="true" hidden="false" outlineLevel="0" max="4" min="4" style="5" width="8.85"/>
    <col collapsed="false" customWidth="true" hidden="false" outlineLevel="0" max="5" min="5" style="6" width="8.85"/>
    <col collapsed="false" customWidth="true" hidden="false" outlineLevel="0" max="6" min="6" style="2" width="9.43"/>
  </cols>
  <sheetData>
    <row r="2" customFormat="false" ht="13.8" hidden="false" customHeight="false" outlineLevel="0" collapsed="false">
      <c r="B2" s="7" t="s">
        <v>4</v>
      </c>
      <c r="C2" s="8" t="n">
        <v>3</v>
      </c>
      <c r="D2" s="9" t="s">
        <v>19</v>
      </c>
    </row>
    <row r="4" customFormat="false" ht="13.8" hidden="false" customHeight="false" outlineLevel="0" collapsed="false">
      <c r="B4" s="10" t="s">
        <v>6</v>
      </c>
      <c r="C4" s="11"/>
      <c r="D4" s="12" t="s">
        <v>8</v>
      </c>
      <c r="E4" s="13" t="s">
        <v>9</v>
      </c>
      <c r="F4" s="14" t="s">
        <v>10</v>
      </c>
      <c r="G4" s="14" t="s">
        <v>11</v>
      </c>
      <c r="H4" s="14" t="s">
        <v>12</v>
      </c>
      <c r="I4" s="14" t="s">
        <v>13</v>
      </c>
      <c r="J4" s="14" t="s">
        <v>14</v>
      </c>
      <c r="K4" s="14" t="s">
        <v>15</v>
      </c>
      <c r="L4" s="14" t="s">
        <v>16</v>
      </c>
    </row>
    <row r="5" customFormat="false" ht="13.8" hidden="false" customHeight="false" outlineLevel="0" collapsed="false">
      <c r="B5" s="10" t="n">
        <f aca="false">_xlfn.NUMBERVALUE(solar!B2)</f>
        <v>8</v>
      </c>
      <c r="C5" s="11" t="n">
        <f aca="false">solar!C2</f>
        <v>0</v>
      </c>
      <c r="D5" s="5" t="n">
        <v>1</v>
      </c>
      <c r="E5" s="16" t="n">
        <f aca="false">IFERROR(INDEX($B$5:$C$173, MATCH($D5, $B$5:$B$175, 0), 2), 0)*investment!$C$4</f>
        <v>0</v>
      </c>
      <c r="F5" s="17" t="n">
        <f aca="false">demand!E3</f>
        <v>0</v>
      </c>
      <c r="G5" s="2" t="n">
        <f aca="false">solgen!E3</f>
        <v>0</v>
      </c>
      <c r="H5" s="2" t="n">
        <f aca="false">import!E3</f>
        <v>0</v>
      </c>
      <c r="I5" s="2" t="n">
        <f aca="false">-export!E3</f>
        <v>-0</v>
      </c>
      <c r="J5" s="2" t="n">
        <f aca="false">-charge!E3</f>
        <v>-0</v>
      </c>
      <c r="K5" s="2" t="n">
        <f aca="false">discharge!E3</f>
        <v>0</v>
      </c>
      <c r="L5" s="2" t="n">
        <f aca="false">soc!E3/investment!$E$4 *100</f>
        <v>66.948082456703</v>
      </c>
    </row>
    <row r="6" customFormat="false" ht="13.8" hidden="false" customHeight="false" outlineLevel="0" collapsed="false">
      <c r="B6" s="10" t="n">
        <f aca="false">_xlfn.NUMBERVALUE(solar!B3)</f>
        <v>9</v>
      </c>
      <c r="C6" s="11" t="n">
        <f aca="false">solar!C3</f>
        <v>0</v>
      </c>
      <c r="D6" s="5" t="n">
        <v>2</v>
      </c>
      <c r="E6" s="16" t="n">
        <f aca="false">IFERROR(INDEX($B$5:$C$173, MATCH($D6, $B$5:$B$175, 0), 2), 0)*investment!$C$4</f>
        <v>0</v>
      </c>
      <c r="F6" s="17" t="n">
        <f aca="false">demand!E4</f>
        <v>0</v>
      </c>
      <c r="G6" s="2" t="n">
        <f aca="false">solgen!E4</f>
        <v>0</v>
      </c>
      <c r="H6" s="2" t="n">
        <f aca="false">import!E4</f>
        <v>0</v>
      </c>
      <c r="I6" s="2" t="n">
        <f aca="false">-export!E4</f>
        <v>-0</v>
      </c>
      <c r="J6" s="2" t="n">
        <f aca="false">-charge!E4</f>
        <v>-0</v>
      </c>
      <c r="K6" s="2" t="n">
        <f aca="false">discharge!E4</f>
        <v>0</v>
      </c>
      <c r="L6" s="2" t="n">
        <f aca="false">soc!E4/investment!$E$4 *100</f>
        <v>63.2851359903137</v>
      </c>
    </row>
    <row r="7" customFormat="false" ht="13.8" hidden="false" customHeight="false" outlineLevel="0" collapsed="false">
      <c r="B7" s="10" t="n">
        <f aca="false">_xlfn.NUMBERVALUE(solar!B4)</f>
        <v>10</v>
      </c>
      <c r="C7" s="11" t="n">
        <f aca="false">solar!C4</f>
        <v>0</v>
      </c>
      <c r="D7" s="5" t="n">
        <v>3</v>
      </c>
      <c r="E7" s="16" t="n">
        <f aca="false">IFERROR(INDEX($B$5:$C$173, MATCH($D7, $B$5:$B$175, 0), 2), 0)*investment!$C$4</f>
        <v>0</v>
      </c>
      <c r="F7" s="17" t="n">
        <f aca="false">demand!E5</f>
        <v>0</v>
      </c>
      <c r="G7" s="2" t="n">
        <f aca="false">solgen!E5</f>
        <v>0</v>
      </c>
      <c r="H7" s="2" t="n">
        <f aca="false">import!E5</f>
        <v>0</v>
      </c>
      <c r="I7" s="2" t="n">
        <f aca="false">-export!E5</f>
        <v>-0</v>
      </c>
      <c r="J7" s="2" t="n">
        <f aca="false">-charge!E5</f>
        <v>-0</v>
      </c>
      <c r="K7" s="2" t="n">
        <f aca="false">discharge!E5</f>
        <v>0</v>
      </c>
      <c r="L7" s="2" t="n">
        <f aca="false">soc!E5/investment!$E$4 *100</f>
        <v>59.8837990552587</v>
      </c>
    </row>
    <row r="8" customFormat="false" ht="13.8" hidden="false" customHeight="false" outlineLevel="0" collapsed="false">
      <c r="B8" s="10" t="n">
        <f aca="false">_xlfn.NUMBERVALUE(solar!B5)</f>
        <v>11</v>
      </c>
      <c r="C8" s="11" t="n">
        <f aca="false">solar!C5</f>
        <v>0</v>
      </c>
      <c r="D8" s="5" t="n">
        <v>4</v>
      </c>
      <c r="E8" s="16" t="n">
        <f aca="false">IFERROR(INDEX($B$5:$C$173, MATCH($D8, $B$5:$B$175, 0), 2), 0)*investment!$C$4</f>
        <v>0</v>
      </c>
      <c r="F8" s="17" t="n">
        <f aca="false">demand!E6</f>
        <v>0</v>
      </c>
      <c r="G8" s="2" t="n">
        <f aca="false">solgen!E6</f>
        <v>0</v>
      </c>
      <c r="H8" s="2" t="n">
        <f aca="false">import!E6</f>
        <v>0</v>
      </c>
      <c r="I8" s="2" t="n">
        <f aca="false">-export!E6</f>
        <v>-0</v>
      </c>
      <c r="J8" s="2" t="n">
        <f aca="false">-charge!E6</f>
        <v>-0</v>
      </c>
      <c r="K8" s="2" t="n">
        <f aca="false">discharge!E6</f>
        <v>0</v>
      </c>
      <c r="L8" s="2" t="n">
        <f aca="false">soc!E6/investment!$E$4 *100</f>
        <v>56.7441030423005</v>
      </c>
    </row>
    <row r="9" customFormat="false" ht="13.8" hidden="false" customHeight="false" outlineLevel="0" collapsed="false">
      <c r="B9" s="10" t="n">
        <f aca="false">_xlfn.NUMBERVALUE(solar!B6)</f>
        <v>12</v>
      </c>
      <c r="C9" s="11" t="n">
        <f aca="false">solar!C6</f>
        <v>0</v>
      </c>
      <c r="D9" s="5" t="n">
        <v>5</v>
      </c>
      <c r="E9" s="16" t="n">
        <f aca="false">IFERROR(INDEX($B$5:$C$173, MATCH($D9, $B$5:$B$175, 0), 2), 0)*investment!$C$4</f>
        <v>0</v>
      </c>
      <c r="F9" s="17" t="n">
        <f aca="false">demand!E7</f>
        <v>0</v>
      </c>
      <c r="G9" s="2" t="n">
        <f aca="false">solgen!E7</f>
        <v>0</v>
      </c>
      <c r="H9" s="2" t="n">
        <f aca="false">import!E7</f>
        <v>0</v>
      </c>
      <c r="I9" s="2" t="n">
        <f aca="false">-export!E7</f>
        <v>-0</v>
      </c>
      <c r="J9" s="2" t="n">
        <f aca="false">-charge!E7</f>
        <v>-0</v>
      </c>
      <c r="K9" s="2" t="n">
        <f aca="false">discharge!E7</f>
        <v>0</v>
      </c>
      <c r="L9" s="2" t="n">
        <f aca="false">soc!E7/investment!$E$4 *100</f>
        <v>53.517224787774</v>
      </c>
    </row>
    <row r="10" customFormat="false" ht="13.8" hidden="false" customHeight="false" outlineLevel="0" collapsed="false">
      <c r="B10" s="10" t="n">
        <f aca="false">_xlfn.NUMBERVALUE(solar!B7)</f>
        <v>13</v>
      </c>
      <c r="C10" s="11" t="n">
        <f aca="false">solar!C7</f>
        <v>0</v>
      </c>
      <c r="D10" s="5" t="n">
        <v>6</v>
      </c>
      <c r="E10" s="16" t="n">
        <f aca="false">IFERROR(INDEX($B$5:$C$173, MATCH($D10, $B$5:$B$175, 0), 2), 0)*investment!$C$4</f>
        <v>0</v>
      </c>
      <c r="F10" s="17" t="n">
        <f aca="false">demand!E8</f>
        <v>0</v>
      </c>
      <c r="G10" s="2" t="n">
        <f aca="false">solgen!E8</f>
        <v>0</v>
      </c>
      <c r="H10" s="2" t="n">
        <f aca="false">import!E8</f>
        <v>0</v>
      </c>
      <c r="I10" s="2" t="n">
        <f aca="false">-export!E8</f>
        <v>-0</v>
      </c>
      <c r="J10" s="2" t="n">
        <f aca="false">-charge!E8</f>
        <v>-0</v>
      </c>
      <c r="K10" s="2" t="n">
        <f aca="false">discharge!E8</f>
        <v>0</v>
      </c>
      <c r="L10" s="2" t="n">
        <f aca="false">soc!E8/investment!$E$4 *100</f>
        <v>50.4007532730664</v>
      </c>
    </row>
    <row r="11" customFormat="false" ht="13.8" hidden="false" customHeight="false" outlineLevel="0" collapsed="false">
      <c r="B11" s="10" t="n">
        <f aca="false">_xlfn.NUMBERVALUE(solar!B8)</f>
        <v>14</v>
      </c>
      <c r="C11" s="11" t="n">
        <f aca="false">solar!C8</f>
        <v>0</v>
      </c>
      <c r="D11" s="5" t="n">
        <v>7</v>
      </c>
      <c r="E11" s="16" t="n">
        <f aca="false">IFERROR(INDEX($B$5:$C$173, MATCH($D11, $B$5:$B$175, 0), 2), 0)*investment!$C$4</f>
        <v>0</v>
      </c>
      <c r="F11" s="17" t="n">
        <f aca="false">demand!E9</f>
        <v>0</v>
      </c>
      <c r="G11" s="2" t="n">
        <f aca="false">solgen!E9</f>
        <v>0</v>
      </c>
      <c r="H11" s="2" t="n">
        <f aca="false">import!E9</f>
        <v>0</v>
      </c>
      <c r="I11" s="2" t="n">
        <f aca="false">-export!E9</f>
        <v>-0</v>
      </c>
      <c r="J11" s="2" t="n">
        <f aca="false">-charge!E9</f>
        <v>-0</v>
      </c>
      <c r="K11" s="2" t="n">
        <f aca="false">discharge!E9</f>
        <v>0</v>
      </c>
      <c r="L11" s="2" t="n">
        <f aca="false">soc!E9/investment!$E$4 *100</f>
        <v>47.5469230965509</v>
      </c>
    </row>
    <row r="12" customFormat="false" ht="13.8" hidden="false" customHeight="false" outlineLevel="0" collapsed="false">
      <c r="B12" s="10" t="n">
        <f aca="false">_xlfn.NUMBERVALUE(solar!B9)</f>
        <v>15</v>
      </c>
      <c r="C12" s="11" t="n">
        <f aca="false">solar!C9</f>
        <v>0</v>
      </c>
      <c r="D12" s="5" t="n">
        <v>8</v>
      </c>
      <c r="E12" s="16" t="n">
        <f aca="false">IFERROR(INDEX($B$5:$C$173, MATCH($D12, $B$5:$B$175, 0), 2), 0)*investment!$C$4</f>
        <v>0</v>
      </c>
      <c r="F12" s="17" t="n">
        <f aca="false">demand!E10</f>
        <v>0</v>
      </c>
      <c r="G12" s="2" t="n">
        <f aca="false">solgen!E10</f>
        <v>0</v>
      </c>
      <c r="H12" s="2" t="n">
        <f aca="false">import!E10</f>
        <v>0</v>
      </c>
      <c r="I12" s="2" t="n">
        <f aca="false">-export!E10</f>
        <v>-0</v>
      </c>
      <c r="J12" s="2" t="n">
        <f aca="false">-charge!E10</f>
        <v>-0</v>
      </c>
      <c r="K12" s="2" t="n">
        <f aca="false">discharge!E10</f>
        <v>0</v>
      </c>
      <c r="L12" s="2" t="n">
        <f aca="false">soc!E10/investment!$E$4 *100</f>
        <v>47.54644762732</v>
      </c>
    </row>
    <row r="13" customFormat="false" ht="13.8" hidden="false" customHeight="false" outlineLevel="0" collapsed="false">
      <c r="B13" s="10" t="n">
        <f aca="false">_xlfn.NUMBERVALUE(solar!B10)</f>
        <v>16</v>
      </c>
      <c r="C13" s="11" t="n">
        <f aca="false">solar!C10</f>
        <v>0</v>
      </c>
      <c r="D13" s="5" t="n">
        <v>9</v>
      </c>
      <c r="E13" s="16" t="n">
        <f aca="false">IFERROR(INDEX($B$5:$C$173, MATCH($D13, $B$5:$B$175, 0), 2), 0)*investment!$C$4</f>
        <v>0</v>
      </c>
      <c r="F13" s="17" t="n">
        <f aca="false">demand!E11</f>
        <v>0</v>
      </c>
      <c r="G13" s="2" t="n">
        <f aca="false">solgen!E11</f>
        <v>0</v>
      </c>
      <c r="H13" s="2" t="n">
        <f aca="false">import!E11</f>
        <v>0</v>
      </c>
      <c r="I13" s="2" t="n">
        <f aca="false">-export!E11</f>
        <v>-0</v>
      </c>
      <c r="J13" s="2" t="n">
        <f aca="false">-charge!E11</f>
        <v>-0</v>
      </c>
      <c r="K13" s="2" t="n">
        <f aca="false">discharge!E11</f>
        <v>0</v>
      </c>
      <c r="L13" s="2" t="n">
        <f aca="false">soc!E11/investment!$E$4 *100</f>
        <v>47.5459721628437</v>
      </c>
    </row>
    <row r="14" customFormat="false" ht="13.8" hidden="false" customHeight="false" outlineLevel="0" collapsed="false">
      <c r="B14" s="10" t="n">
        <f aca="false">_xlfn.NUMBERVALUE(solar!B11)</f>
        <v>17</v>
      </c>
      <c r="C14" s="11" t="n">
        <f aca="false">solar!C11</f>
        <v>0</v>
      </c>
      <c r="D14" s="5" t="n">
        <v>10</v>
      </c>
      <c r="E14" s="16" t="n">
        <f aca="false">IFERROR(INDEX($B$5:$C$173, MATCH($D14, $B$5:$B$175, 0), 2), 0)*investment!$C$4</f>
        <v>0</v>
      </c>
      <c r="F14" s="17" t="n">
        <f aca="false">demand!E12</f>
        <v>0</v>
      </c>
      <c r="G14" s="2" t="n">
        <f aca="false">solgen!E12</f>
        <v>0</v>
      </c>
      <c r="H14" s="2" t="n">
        <f aca="false">import!E12</f>
        <v>0</v>
      </c>
      <c r="I14" s="2" t="n">
        <f aca="false">-export!E12</f>
        <v>-0</v>
      </c>
      <c r="J14" s="2" t="n">
        <f aca="false">-charge!E12</f>
        <v>-0</v>
      </c>
      <c r="K14" s="2" t="n">
        <f aca="false">discharge!E12</f>
        <v>0</v>
      </c>
      <c r="L14" s="2" t="n">
        <f aca="false">soc!E12/investment!$E$4 *100</f>
        <v>47.5454967031221</v>
      </c>
    </row>
    <row r="15" customFormat="false" ht="13.8" hidden="false" customHeight="false" outlineLevel="0" collapsed="false">
      <c r="B15" s="10" t="n">
        <f aca="false">_xlfn.NUMBERVALUE(solar!B12)</f>
        <v>18</v>
      </c>
      <c r="C15" s="11" t="n">
        <f aca="false">solar!C12</f>
        <v>0</v>
      </c>
      <c r="D15" s="5" t="n">
        <v>11</v>
      </c>
      <c r="E15" s="16" t="n">
        <f aca="false">IFERROR(INDEX($B$5:$C$173, MATCH($D15, $B$5:$B$175, 0), 2), 0)*investment!$C$4</f>
        <v>0</v>
      </c>
      <c r="F15" s="17" t="n">
        <f aca="false">demand!E13</f>
        <v>0</v>
      </c>
      <c r="G15" s="2" t="n">
        <f aca="false">solgen!E13</f>
        <v>0</v>
      </c>
      <c r="H15" s="2" t="n">
        <f aca="false">import!E13</f>
        <v>0</v>
      </c>
      <c r="I15" s="2" t="n">
        <f aca="false">-export!E13</f>
        <v>-0</v>
      </c>
      <c r="J15" s="2" t="n">
        <f aca="false">-charge!E13</f>
        <v>-0</v>
      </c>
      <c r="K15" s="2" t="n">
        <f aca="false">discharge!E13</f>
        <v>0</v>
      </c>
      <c r="L15" s="2" t="n">
        <f aca="false">soc!E13/investment!$E$4 *100</f>
        <v>47.5450212481551</v>
      </c>
    </row>
    <row r="16" customFormat="false" ht="13.8" hidden="false" customHeight="false" outlineLevel="0" collapsed="false">
      <c r="B16" s="10" t="n">
        <f aca="false">_xlfn.NUMBERVALUE(solar!B13)</f>
        <v>19</v>
      </c>
      <c r="C16" s="11" t="n">
        <f aca="false">solar!C13</f>
        <v>0</v>
      </c>
      <c r="D16" s="5" t="n">
        <v>12</v>
      </c>
      <c r="E16" s="16" t="n">
        <f aca="false">IFERROR(INDEX($B$5:$C$173, MATCH($D16, $B$5:$B$175, 0), 2), 0)*investment!$C$4</f>
        <v>0</v>
      </c>
      <c r="F16" s="17" t="n">
        <f aca="false">demand!E14</f>
        <v>0</v>
      </c>
      <c r="G16" s="2" t="n">
        <f aca="false">solgen!E14</f>
        <v>0</v>
      </c>
      <c r="H16" s="2" t="n">
        <f aca="false">import!E14</f>
        <v>0</v>
      </c>
      <c r="I16" s="2" t="n">
        <f aca="false">-export!E14</f>
        <v>-0</v>
      </c>
      <c r="J16" s="2" t="n">
        <f aca="false">-charge!E14</f>
        <v>-0</v>
      </c>
      <c r="K16" s="2" t="n">
        <f aca="false">discharge!E14</f>
        <v>0</v>
      </c>
      <c r="L16" s="2" t="n">
        <f aca="false">soc!E14/investment!$E$4 *100</f>
        <v>47.5445457979426</v>
      </c>
    </row>
    <row r="17" customFormat="false" ht="13.8" hidden="false" customHeight="false" outlineLevel="0" collapsed="false">
      <c r="B17" s="10" t="n">
        <f aca="false">_xlfn.NUMBERVALUE(solar!B14)</f>
        <v>32</v>
      </c>
      <c r="C17" s="11" t="n">
        <f aca="false">solar!C14</f>
        <v>0</v>
      </c>
      <c r="D17" s="5" t="n">
        <v>13</v>
      </c>
      <c r="E17" s="16" t="n">
        <f aca="false">IFERROR(INDEX($B$5:$C$173, MATCH($D17, $B$5:$B$175, 0), 2), 0)*investment!$C$4</f>
        <v>0</v>
      </c>
      <c r="F17" s="17" t="n">
        <f aca="false">demand!E15</f>
        <v>0</v>
      </c>
      <c r="G17" s="2" t="n">
        <f aca="false">solgen!E15</f>
        <v>0</v>
      </c>
      <c r="H17" s="2" t="n">
        <f aca="false">import!E15</f>
        <v>0</v>
      </c>
      <c r="I17" s="2" t="n">
        <f aca="false">-export!E15</f>
        <v>-0</v>
      </c>
      <c r="J17" s="2" t="n">
        <f aca="false">-charge!E15</f>
        <v>-0</v>
      </c>
      <c r="K17" s="2" t="n">
        <f aca="false">discharge!E15</f>
        <v>0</v>
      </c>
      <c r="L17" s="2" t="n">
        <f aca="false">soc!E15/investment!$E$4 *100</f>
        <v>62.9080333307216</v>
      </c>
    </row>
    <row r="18" customFormat="false" ht="13.8" hidden="false" customHeight="false" outlineLevel="0" collapsed="false">
      <c r="B18" s="10" t="n">
        <f aca="false">_xlfn.NUMBERVALUE(solar!B15)</f>
        <v>33</v>
      </c>
      <c r="C18" s="11" t="n">
        <f aca="false">solar!C15</f>
        <v>0</v>
      </c>
      <c r="D18" s="5" t="n">
        <v>14</v>
      </c>
      <c r="E18" s="16" t="n">
        <f aca="false">IFERROR(INDEX($B$5:$C$173, MATCH($D18, $B$5:$B$175, 0), 2), 0)*investment!$C$4</f>
        <v>0</v>
      </c>
      <c r="F18" s="17" t="n">
        <f aca="false">demand!E16</f>
        <v>0</v>
      </c>
      <c r="G18" s="2" t="n">
        <f aca="false">solgen!E16</f>
        <v>0</v>
      </c>
      <c r="H18" s="2" t="n">
        <f aca="false">import!E16</f>
        <v>0</v>
      </c>
      <c r="I18" s="2" t="n">
        <f aca="false">-export!E16</f>
        <v>-0</v>
      </c>
      <c r="J18" s="2" t="n">
        <f aca="false">-charge!E16</f>
        <v>-0</v>
      </c>
      <c r="K18" s="2" t="n">
        <f aca="false">discharge!E16</f>
        <v>0</v>
      </c>
      <c r="L18" s="2" t="n">
        <f aca="false">soc!E16/investment!$E$4 *100</f>
        <v>83.5051456915039</v>
      </c>
    </row>
    <row r="19" customFormat="false" ht="13.8" hidden="false" customHeight="false" outlineLevel="0" collapsed="false">
      <c r="B19" s="10" t="n">
        <f aca="false">_xlfn.NUMBERVALUE(solar!B16)</f>
        <v>34</v>
      </c>
      <c r="C19" s="11" t="n">
        <f aca="false">solar!C16</f>
        <v>0</v>
      </c>
      <c r="D19" s="5" t="n">
        <v>15</v>
      </c>
      <c r="E19" s="16" t="n">
        <f aca="false">IFERROR(INDEX($B$5:$C$173, MATCH($D19, $B$5:$B$175, 0), 2), 0)*investment!$C$4</f>
        <v>0</v>
      </c>
      <c r="F19" s="17" t="n">
        <f aca="false">demand!E17</f>
        <v>0</v>
      </c>
      <c r="G19" s="2" t="n">
        <f aca="false">solgen!E17</f>
        <v>0</v>
      </c>
      <c r="H19" s="2" t="n">
        <f aca="false">import!E17</f>
        <v>0</v>
      </c>
      <c r="I19" s="2" t="n">
        <f aca="false">-export!E17</f>
        <v>-0</v>
      </c>
      <c r="J19" s="2" t="n">
        <f aca="false">-charge!E17</f>
        <v>-0</v>
      </c>
      <c r="K19" s="2" t="n">
        <f aca="false">discharge!E17</f>
        <v>0</v>
      </c>
      <c r="L19" s="2" t="n">
        <f aca="false">soc!E17/investment!$E$4 *100</f>
        <v>99.9999999999995</v>
      </c>
    </row>
    <row r="20" customFormat="false" ht="13.8" hidden="false" customHeight="false" outlineLevel="0" collapsed="false">
      <c r="B20" s="10" t="n">
        <f aca="false">_xlfn.NUMBERVALUE(solar!B17)</f>
        <v>35</v>
      </c>
      <c r="C20" s="11" t="n">
        <f aca="false">solar!C17</f>
        <v>0</v>
      </c>
      <c r="D20" s="5" t="n">
        <v>16</v>
      </c>
      <c r="E20" s="16" t="n">
        <f aca="false">IFERROR(INDEX($B$5:$C$173, MATCH($D20, $B$5:$B$175, 0), 2), 0)*investment!$C$4</f>
        <v>0</v>
      </c>
      <c r="F20" s="17" t="n">
        <f aca="false">demand!E18</f>
        <v>0</v>
      </c>
      <c r="G20" s="2" t="n">
        <f aca="false">solgen!E18</f>
        <v>0</v>
      </c>
      <c r="H20" s="2" t="n">
        <f aca="false">import!E18</f>
        <v>0</v>
      </c>
      <c r="I20" s="2" t="n">
        <f aca="false">-export!E18</f>
        <v>-0</v>
      </c>
      <c r="J20" s="2" t="n">
        <f aca="false">-charge!E18</f>
        <v>-0</v>
      </c>
      <c r="K20" s="2" t="n">
        <f aca="false">discharge!E18</f>
        <v>0</v>
      </c>
      <c r="L20" s="2" t="n">
        <f aca="false">soc!E18/investment!$E$4 *100</f>
        <v>99.1393375298916</v>
      </c>
    </row>
    <row r="21" customFormat="false" ht="13.8" hidden="false" customHeight="false" outlineLevel="0" collapsed="false">
      <c r="B21" s="10" t="n">
        <f aca="false">_xlfn.NUMBERVALUE(solar!B18)</f>
        <v>36</v>
      </c>
      <c r="C21" s="11" t="n">
        <f aca="false">solar!C18</f>
        <v>0</v>
      </c>
      <c r="D21" s="5" t="n">
        <v>17</v>
      </c>
      <c r="E21" s="16" t="n">
        <f aca="false">IFERROR(INDEX($B$5:$C$173, MATCH($D21, $B$5:$B$175, 0), 2), 0)*investment!$C$4</f>
        <v>0</v>
      </c>
      <c r="F21" s="17" t="n">
        <f aca="false">demand!E19</f>
        <v>0</v>
      </c>
      <c r="G21" s="2" t="n">
        <f aca="false">solgen!E19</f>
        <v>0</v>
      </c>
      <c r="H21" s="2" t="n">
        <f aca="false">import!E19</f>
        <v>0</v>
      </c>
      <c r="I21" s="2" t="n">
        <f aca="false">-export!E19</f>
        <v>-0</v>
      </c>
      <c r="J21" s="2" t="n">
        <f aca="false">-charge!E19</f>
        <v>-0</v>
      </c>
      <c r="K21" s="2" t="n">
        <f aca="false">discharge!E19</f>
        <v>0</v>
      </c>
      <c r="L21" s="2" t="n">
        <f aca="false">soc!E19/investment!$E$4 *100</f>
        <v>94.5366794470711</v>
      </c>
    </row>
    <row r="22" customFormat="false" ht="13.8" hidden="false" customHeight="false" outlineLevel="0" collapsed="false">
      <c r="B22" s="10" t="n">
        <f aca="false">_xlfn.NUMBERVALUE(solar!B19)</f>
        <v>37</v>
      </c>
      <c r="C22" s="11" t="n">
        <f aca="false">solar!C19</f>
        <v>0</v>
      </c>
      <c r="D22" s="5" t="n">
        <v>18</v>
      </c>
      <c r="E22" s="16" t="n">
        <f aca="false">IFERROR(INDEX($B$5:$C$173, MATCH($D22, $B$5:$B$175, 0), 2), 0)*investment!$C$4</f>
        <v>0</v>
      </c>
      <c r="F22" s="17" t="n">
        <f aca="false">demand!E20</f>
        <v>0</v>
      </c>
      <c r="G22" s="2" t="n">
        <f aca="false">solgen!E20</f>
        <v>0</v>
      </c>
      <c r="H22" s="2" t="n">
        <f aca="false">import!E20</f>
        <v>0</v>
      </c>
      <c r="I22" s="2" t="n">
        <f aca="false">-export!E20</f>
        <v>-0</v>
      </c>
      <c r="J22" s="2" t="n">
        <f aca="false">-charge!E20</f>
        <v>-0</v>
      </c>
      <c r="K22" s="2" t="n">
        <f aca="false">discharge!E20</f>
        <v>0</v>
      </c>
      <c r="L22" s="2" t="n">
        <f aca="false">soc!E20/investment!$E$4 *100</f>
        <v>72.7313011871678</v>
      </c>
    </row>
    <row r="23" customFormat="false" ht="13.8" hidden="false" customHeight="false" outlineLevel="0" collapsed="false">
      <c r="B23" s="10" t="n">
        <f aca="false">_xlfn.NUMBERVALUE(solar!B20)</f>
        <v>38</v>
      </c>
      <c r="C23" s="11" t="n">
        <f aca="false">solar!C20</f>
        <v>0</v>
      </c>
      <c r="D23" s="5" t="n">
        <v>19</v>
      </c>
      <c r="E23" s="16" t="n">
        <f aca="false">IFERROR(INDEX($B$5:$C$173, MATCH($D23, $B$5:$B$175, 0), 2), 0)*investment!$C$4</f>
        <v>0</v>
      </c>
      <c r="F23" s="17" t="n">
        <f aca="false">demand!E21</f>
        <v>0</v>
      </c>
      <c r="G23" s="2" t="n">
        <f aca="false">solgen!E21</f>
        <v>0</v>
      </c>
      <c r="H23" s="2" t="n">
        <f aca="false">import!E21</f>
        <v>0</v>
      </c>
      <c r="I23" s="2" t="n">
        <f aca="false">-export!E21</f>
        <v>-0</v>
      </c>
      <c r="J23" s="2" t="n">
        <f aca="false">-charge!E21</f>
        <v>-0</v>
      </c>
      <c r="K23" s="2" t="n">
        <f aca="false">discharge!E21</f>
        <v>0</v>
      </c>
      <c r="L23" s="2" t="n">
        <f aca="false">soc!E21/investment!$E$4 *100</f>
        <v>50.5650426535816</v>
      </c>
    </row>
    <row r="24" customFormat="false" ht="13.8" hidden="false" customHeight="false" outlineLevel="0" collapsed="false">
      <c r="B24" s="10" t="n">
        <f aca="false">_xlfn.NUMBERVALUE(solar!B21)</f>
        <v>39</v>
      </c>
      <c r="C24" s="11" t="n">
        <f aca="false">solar!C21</f>
        <v>0</v>
      </c>
      <c r="D24" s="5" t="n">
        <v>20</v>
      </c>
      <c r="E24" s="16" t="n">
        <f aca="false">IFERROR(INDEX($B$5:$C$173, MATCH($D24, $B$5:$B$175, 0), 2), 0)*investment!$C$4</f>
        <v>0</v>
      </c>
      <c r="F24" s="17" t="n">
        <f aca="false">demand!E22</f>
        <v>0</v>
      </c>
      <c r="G24" s="2" t="n">
        <f aca="false">solgen!E22</f>
        <v>0</v>
      </c>
      <c r="H24" s="2" t="n">
        <f aca="false">import!E22</f>
        <v>0</v>
      </c>
      <c r="I24" s="2" t="n">
        <f aca="false">-export!E22</f>
        <v>-0</v>
      </c>
      <c r="J24" s="2" t="n">
        <f aca="false">-charge!E22</f>
        <v>-0</v>
      </c>
      <c r="K24" s="2" t="n">
        <f aca="false">discharge!E22</f>
        <v>0</v>
      </c>
      <c r="L24" s="2" t="n">
        <f aca="false">soc!E22/investment!$E$4 *100</f>
        <v>42.1936164350657</v>
      </c>
    </row>
    <row r="25" customFormat="false" ht="13.8" hidden="false" customHeight="false" outlineLevel="0" collapsed="false">
      <c r="B25" s="10" t="n">
        <f aca="false">_xlfn.NUMBERVALUE(solar!B22)</f>
        <v>40</v>
      </c>
      <c r="C25" s="11" t="n">
        <f aca="false">solar!C22</f>
        <v>0</v>
      </c>
      <c r="D25" s="5" t="n">
        <v>21</v>
      </c>
      <c r="E25" s="16" t="n">
        <f aca="false">IFERROR(INDEX($B$5:$C$173, MATCH($D25, $B$5:$B$175, 0), 2), 0)*investment!$C$4</f>
        <v>0</v>
      </c>
      <c r="F25" s="17" t="n">
        <f aca="false">demand!E23</f>
        <v>0</v>
      </c>
      <c r="G25" s="2" t="n">
        <f aca="false">solgen!E23</f>
        <v>0</v>
      </c>
      <c r="H25" s="2" t="n">
        <f aca="false">import!E23</f>
        <v>0</v>
      </c>
      <c r="I25" s="2" t="n">
        <f aca="false">-export!E23</f>
        <v>-0</v>
      </c>
      <c r="J25" s="2" t="n">
        <f aca="false">-charge!E23</f>
        <v>-0</v>
      </c>
      <c r="K25" s="2" t="n">
        <f aca="false">discharge!E23</f>
        <v>0</v>
      </c>
      <c r="L25" s="2" t="n">
        <f aca="false">soc!E23/investment!$E$4 *100</f>
        <v>35.1302317410265</v>
      </c>
    </row>
    <row r="26" customFormat="false" ht="13.8" hidden="false" customHeight="false" outlineLevel="0" collapsed="false">
      <c r="B26" s="10" t="n">
        <f aca="false">_xlfn.NUMBERVALUE(solar!B23)</f>
        <v>41</v>
      </c>
      <c r="C26" s="11" t="n">
        <f aca="false">solar!C23</f>
        <v>0</v>
      </c>
      <c r="D26" s="5" t="n">
        <v>22</v>
      </c>
      <c r="E26" s="16" t="n">
        <f aca="false">IFERROR(INDEX($B$5:$C$173, MATCH($D26, $B$5:$B$175, 0), 2), 0)*investment!$C$4</f>
        <v>0</v>
      </c>
      <c r="F26" s="17" t="n">
        <f aca="false">demand!E24</f>
        <v>0</v>
      </c>
      <c r="G26" s="2" t="n">
        <f aca="false">solgen!E24</f>
        <v>0</v>
      </c>
      <c r="H26" s="2" t="n">
        <f aca="false">import!E24</f>
        <v>0</v>
      </c>
      <c r="I26" s="2" t="n">
        <f aca="false">-export!E24</f>
        <v>-0</v>
      </c>
      <c r="J26" s="2" t="n">
        <f aca="false">-charge!E24</f>
        <v>-0</v>
      </c>
      <c r="K26" s="2" t="n">
        <f aca="false">discharge!E24</f>
        <v>0</v>
      </c>
      <c r="L26" s="2" t="n">
        <f aca="false">soc!E24/investment!$E$4 *100</f>
        <v>28.0669176808342</v>
      </c>
    </row>
    <row r="27" customFormat="false" ht="13.8" hidden="false" customHeight="false" outlineLevel="0" collapsed="false">
      <c r="B27" s="10" t="n">
        <f aca="false">_xlfn.NUMBERVALUE(solar!B24)</f>
        <v>42</v>
      </c>
      <c r="C27" s="11" t="n">
        <f aca="false">solar!C24</f>
        <v>0</v>
      </c>
      <c r="D27" s="5" t="n">
        <v>23</v>
      </c>
      <c r="E27" s="16" t="n">
        <f aca="false">IFERROR(INDEX($B$5:$C$173, MATCH($D27, $B$5:$B$175, 0), 2), 0)*investment!$C$4</f>
        <v>0</v>
      </c>
      <c r="F27" s="17" t="n">
        <f aca="false">demand!E25</f>
        <v>0</v>
      </c>
      <c r="G27" s="2" t="n">
        <f aca="false">solgen!E25</f>
        <v>0</v>
      </c>
      <c r="H27" s="2" t="n">
        <f aca="false">import!E25</f>
        <v>0</v>
      </c>
      <c r="I27" s="2" t="n">
        <f aca="false">-export!E25</f>
        <v>-0</v>
      </c>
      <c r="J27" s="2" t="n">
        <f aca="false">-charge!E25</f>
        <v>-0</v>
      </c>
      <c r="K27" s="2" t="n">
        <f aca="false">discharge!E25</f>
        <v>0</v>
      </c>
      <c r="L27" s="2" t="n">
        <f aca="false">soc!E25/investment!$E$4 *100</f>
        <v>24.4392318787609</v>
      </c>
    </row>
    <row r="28" customFormat="false" ht="13.8" hidden="false" customHeight="false" outlineLevel="0" collapsed="false">
      <c r="B28" s="10" t="n">
        <f aca="false">_xlfn.NUMBERVALUE(solar!B25)</f>
        <v>43</v>
      </c>
      <c r="C28" s="11" t="n">
        <f aca="false">solar!C25</f>
        <v>0</v>
      </c>
      <c r="D28" s="5" t="n">
        <v>24</v>
      </c>
      <c r="E28" s="16" t="n">
        <f aca="false">IFERROR(INDEX($B$5:$C$173, MATCH($D28, $B$5:$B$175, 0), 2), 0)*investment!$C$4</f>
        <v>0</v>
      </c>
      <c r="F28" s="17" t="n">
        <f aca="false">demand!E26</f>
        <v>0</v>
      </c>
      <c r="G28" s="2" t="n">
        <f aca="false">solgen!E26</f>
        <v>0</v>
      </c>
      <c r="H28" s="2" t="n">
        <f aca="false">import!E26</f>
        <v>0</v>
      </c>
      <c r="I28" s="2" t="n">
        <f aca="false">-export!E26</f>
        <v>-0</v>
      </c>
      <c r="J28" s="2" t="n">
        <f aca="false">-charge!E26</f>
        <v>-0</v>
      </c>
      <c r="K28" s="2" t="n">
        <f aca="false">discharge!E26</f>
        <v>0</v>
      </c>
      <c r="L28" s="2" t="n">
        <f aca="false">soc!E26/investment!$E$4 *100</f>
        <v>22.5816689450372</v>
      </c>
    </row>
    <row r="29" customFormat="false" ht="13.8" hidden="false" customHeight="false" outlineLevel="0" collapsed="false">
      <c r="B29" s="10" t="n">
        <f aca="false">_xlfn.NUMBERVALUE(solar!B26)</f>
        <v>56</v>
      </c>
      <c r="C29" s="11" t="n">
        <f aca="false">solar!C26</f>
        <v>0</v>
      </c>
      <c r="D29" s="5" t="n">
        <v>25</v>
      </c>
      <c r="E29" s="16" t="n">
        <f aca="false">IFERROR(INDEX($B$5:$C$173, MATCH($D29, $B$5:$B$175, 0), 2), 0)*investment!$C$4</f>
        <v>0</v>
      </c>
      <c r="F29" s="17" t="n">
        <f aca="false">demand!E27</f>
        <v>0</v>
      </c>
      <c r="G29" s="2" t="n">
        <f aca="false">solgen!E27</f>
        <v>0</v>
      </c>
      <c r="H29" s="2" t="n">
        <f aca="false">import!E27</f>
        <v>0</v>
      </c>
      <c r="I29" s="2" t="n">
        <f aca="false">-export!E27</f>
        <v>-0</v>
      </c>
      <c r="J29" s="2" t="n">
        <f aca="false">-charge!E27</f>
        <v>-0</v>
      </c>
      <c r="K29" s="2" t="n">
        <f aca="false">discharge!E27</f>
        <v>0</v>
      </c>
      <c r="L29" s="2" t="n">
        <f aca="false">soc!E27/investment!$E$4 *100</f>
        <v>17.9556271716759</v>
      </c>
    </row>
    <row r="30" customFormat="false" ht="13.8" hidden="false" customHeight="false" outlineLevel="0" collapsed="false">
      <c r="B30" s="10" t="n">
        <f aca="false">_xlfn.NUMBERVALUE(solar!B27)</f>
        <v>57</v>
      </c>
      <c r="C30" s="11" t="n">
        <f aca="false">solar!C27</f>
        <v>0</v>
      </c>
      <c r="D30" s="5" t="n">
        <v>26</v>
      </c>
      <c r="E30" s="16" t="n">
        <f aca="false">IFERROR(INDEX($B$5:$C$173, MATCH($D30, $B$5:$B$175, 0), 2), 0)*investment!$C$4</f>
        <v>0</v>
      </c>
      <c r="F30" s="17" t="n">
        <f aca="false">demand!E28</f>
        <v>0</v>
      </c>
      <c r="G30" s="2" t="n">
        <f aca="false">solgen!E28</f>
        <v>0</v>
      </c>
      <c r="H30" s="2" t="n">
        <f aca="false">import!E28</f>
        <v>0</v>
      </c>
      <c r="I30" s="2" t="n">
        <f aca="false">-export!E28</f>
        <v>-0</v>
      </c>
      <c r="J30" s="2" t="n">
        <f aca="false">-charge!E28</f>
        <v>-0</v>
      </c>
      <c r="K30" s="2" t="n">
        <f aca="false">discharge!E28</f>
        <v>0</v>
      </c>
      <c r="L30" s="2" t="n">
        <f aca="false">soc!E28/investment!$E$4 *100</f>
        <v>14.4719228816221</v>
      </c>
    </row>
    <row r="31" customFormat="false" ht="13.8" hidden="false" customHeight="false" outlineLevel="0" collapsed="false">
      <c r="B31" s="10" t="n">
        <f aca="false">_xlfn.NUMBERVALUE(solar!B28)</f>
        <v>58</v>
      </c>
      <c r="C31" s="11" t="n">
        <f aca="false">solar!C28</f>
        <v>0</v>
      </c>
      <c r="D31" s="5" t="n">
        <v>27</v>
      </c>
      <c r="E31" s="16" t="n">
        <f aca="false">IFERROR(INDEX($B$5:$C$173, MATCH($D31, $B$5:$B$175, 0), 2), 0)*investment!$C$4</f>
        <v>0</v>
      </c>
      <c r="F31" s="17" t="n">
        <f aca="false">demand!E29</f>
        <v>0</v>
      </c>
      <c r="G31" s="2" t="n">
        <f aca="false">solgen!E29</f>
        <v>0</v>
      </c>
      <c r="H31" s="2" t="n">
        <f aca="false">import!E29</f>
        <v>0</v>
      </c>
      <c r="I31" s="2" t="n">
        <f aca="false">-export!E29</f>
        <v>-0</v>
      </c>
      <c r="J31" s="2" t="n">
        <f aca="false">-charge!E29</f>
        <v>-0</v>
      </c>
      <c r="K31" s="2" t="n">
        <f aca="false">discharge!E29</f>
        <v>0</v>
      </c>
      <c r="L31" s="2" t="n">
        <f aca="false">soc!E29/investment!$E$4 *100</f>
        <v>10.8095011768285</v>
      </c>
    </row>
    <row r="32" customFormat="false" ht="13.8" hidden="false" customHeight="false" outlineLevel="0" collapsed="false">
      <c r="B32" s="10" t="n">
        <f aca="false">_xlfn.NUMBERVALUE(solar!B29)</f>
        <v>59</v>
      </c>
      <c r="C32" s="11" t="n">
        <f aca="false">solar!C29</f>
        <v>0</v>
      </c>
      <c r="D32" s="5" t="n">
        <v>28</v>
      </c>
      <c r="E32" s="16" t="n">
        <f aca="false">IFERROR(INDEX($B$5:$C$173, MATCH($D32, $B$5:$B$175, 0), 2), 0)*investment!$C$4</f>
        <v>0</v>
      </c>
      <c r="F32" s="17" t="n">
        <f aca="false">demand!E30</f>
        <v>0</v>
      </c>
      <c r="G32" s="2" t="n">
        <f aca="false">solgen!E30</f>
        <v>0</v>
      </c>
      <c r="H32" s="2" t="n">
        <f aca="false">import!E30</f>
        <v>0</v>
      </c>
      <c r="I32" s="2" t="n">
        <f aca="false">-export!E30</f>
        <v>-0</v>
      </c>
      <c r="J32" s="2" t="n">
        <f aca="false">-charge!E30</f>
        <v>-0</v>
      </c>
      <c r="K32" s="2" t="n">
        <f aca="false">discharge!E30</f>
        <v>0</v>
      </c>
      <c r="L32" s="2" t="n">
        <f aca="false">soc!E30/investment!$E$4 *100</f>
        <v>7.14711609625201</v>
      </c>
    </row>
    <row r="33" customFormat="false" ht="13.8" hidden="false" customHeight="false" outlineLevel="0" collapsed="false">
      <c r="B33" s="10" t="n">
        <f aca="false">_xlfn.NUMBERVALUE(solar!B30)</f>
        <v>60</v>
      </c>
      <c r="C33" s="11" t="n">
        <f aca="false">solar!C30</f>
        <v>0</v>
      </c>
      <c r="D33" s="5" t="n">
        <v>29</v>
      </c>
      <c r="E33" s="16" t="n">
        <f aca="false">IFERROR(INDEX($B$5:$C$173, MATCH($D33, $B$5:$B$175, 0), 2), 0)*investment!$C$4</f>
        <v>0</v>
      </c>
      <c r="F33" s="17" t="n">
        <f aca="false">demand!E31</f>
        <v>0</v>
      </c>
      <c r="G33" s="2" t="n">
        <f aca="false">solgen!E31</f>
        <v>0</v>
      </c>
      <c r="H33" s="2" t="n">
        <f aca="false">import!E31</f>
        <v>0</v>
      </c>
      <c r="I33" s="2" t="n">
        <f aca="false">-export!E31</f>
        <v>-0</v>
      </c>
      <c r="J33" s="2" t="n">
        <f aca="false">-charge!E31</f>
        <v>-0</v>
      </c>
      <c r="K33" s="2" t="n">
        <f aca="false">discharge!E31</f>
        <v>0</v>
      </c>
      <c r="L33" s="2" t="n">
        <f aca="false">soc!E31/investment!$E$4 *100</f>
        <v>4.89734972745276</v>
      </c>
    </row>
    <row r="34" customFormat="false" ht="13.8" hidden="false" customHeight="false" outlineLevel="0" collapsed="false">
      <c r="B34" s="10" t="n">
        <f aca="false">_xlfn.NUMBERVALUE(solar!B31)</f>
        <v>61</v>
      </c>
      <c r="C34" s="11" t="n">
        <f aca="false">solar!C31</f>
        <v>0</v>
      </c>
      <c r="D34" s="5" t="n">
        <v>30</v>
      </c>
      <c r="E34" s="16" t="n">
        <f aca="false">IFERROR(INDEX($B$5:$C$173, MATCH($D34, $B$5:$B$175, 0), 2), 0)*investment!$C$4</f>
        <v>0</v>
      </c>
      <c r="F34" s="17" t="n">
        <f aca="false">demand!E32</f>
        <v>0</v>
      </c>
      <c r="G34" s="2" t="n">
        <f aca="false">solgen!E32</f>
        <v>0</v>
      </c>
      <c r="H34" s="2" t="n">
        <f aca="false">import!E32</f>
        <v>0</v>
      </c>
      <c r="I34" s="2" t="n">
        <f aca="false">-export!E32</f>
        <v>-0</v>
      </c>
      <c r="J34" s="2" t="n">
        <f aca="false">-charge!E32</f>
        <v>-0</v>
      </c>
      <c r="K34" s="2" t="n">
        <f aca="false">discharge!E32</f>
        <v>0</v>
      </c>
      <c r="L34" s="2" t="n">
        <f aca="false">soc!E32/investment!$E$4 *100</f>
        <v>0.307616663277714</v>
      </c>
    </row>
    <row r="35" customFormat="false" ht="13.8" hidden="false" customHeight="false" outlineLevel="0" collapsed="false">
      <c r="B35" s="10" t="n">
        <f aca="false">_xlfn.NUMBERVALUE(solar!B32)</f>
        <v>62</v>
      </c>
      <c r="C35" s="11" t="n">
        <f aca="false">solar!C32</f>
        <v>0</v>
      </c>
      <c r="D35" s="5" t="n">
        <v>31</v>
      </c>
      <c r="E35" s="16" t="n">
        <f aca="false">IFERROR(INDEX($B$5:$C$173, MATCH($D35, $B$5:$B$175, 0), 2), 0)*investment!$C$4</f>
        <v>0</v>
      </c>
      <c r="F35" s="17" t="n">
        <f aca="false">demand!E33</f>
        <v>0</v>
      </c>
      <c r="G35" s="2" t="n">
        <f aca="false">solgen!E33</f>
        <v>0</v>
      </c>
      <c r="H35" s="2" t="n">
        <f aca="false">import!E33</f>
        <v>0</v>
      </c>
      <c r="I35" s="2" t="n">
        <f aca="false">-export!E33</f>
        <v>-0</v>
      </c>
      <c r="J35" s="2" t="n">
        <f aca="false">-charge!E33</f>
        <v>-0</v>
      </c>
      <c r="K35" s="2" t="n">
        <f aca="false">discharge!E33</f>
        <v>0</v>
      </c>
      <c r="L35" s="2" t="n">
        <f aca="false">soc!E33/investment!$E$4 *100</f>
        <v>0</v>
      </c>
    </row>
    <row r="36" customFormat="false" ht="13.8" hidden="false" customHeight="false" outlineLevel="0" collapsed="false">
      <c r="B36" s="10" t="n">
        <f aca="false">_xlfn.NUMBERVALUE(solar!B33)</f>
        <v>63</v>
      </c>
      <c r="C36" s="11" t="n">
        <f aca="false">solar!C33</f>
        <v>0</v>
      </c>
      <c r="D36" s="5" t="n">
        <v>32</v>
      </c>
      <c r="E36" s="16" t="n">
        <f aca="false">IFERROR(INDEX($B$5:$C$173, MATCH($D36, $B$5:$B$175, 0), 2), 0)*investment!$C$4</f>
        <v>0</v>
      </c>
      <c r="F36" s="17" t="n">
        <f aca="false">demand!E34</f>
        <v>0</v>
      </c>
      <c r="G36" s="2" t="n">
        <f aca="false">solgen!E34</f>
        <v>0</v>
      </c>
      <c r="H36" s="2" t="n">
        <f aca="false">import!E34</f>
        <v>0</v>
      </c>
      <c r="I36" s="2" t="n">
        <f aca="false">-export!E34</f>
        <v>-0</v>
      </c>
      <c r="J36" s="2" t="n">
        <f aca="false">-charge!E34</f>
        <v>-0</v>
      </c>
      <c r="K36" s="2" t="n">
        <f aca="false">discharge!E34</f>
        <v>0</v>
      </c>
      <c r="L36" s="2" t="n">
        <f aca="false">soc!E34/investment!$E$4 *100</f>
        <v>0</v>
      </c>
    </row>
    <row r="37" customFormat="false" ht="13.8" hidden="false" customHeight="false" outlineLevel="0" collapsed="false">
      <c r="B37" s="10" t="n">
        <f aca="false">_xlfn.NUMBERVALUE(solar!B34)</f>
        <v>64</v>
      </c>
      <c r="C37" s="11" t="n">
        <f aca="false">solar!C34</f>
        <v>0</v>
      </c>
      <c r="D37" s="5" t="n">
        <v>33</v>
      </c>
      <c r="E37" s="16" t="n">
        <f aca="false">IFERROR(INDEX($B$5:$C$173, MATCH($D37, $B$5:$B$175, 0), 2), 0)*investment!$C$4</f>
        <v>0</v>
      </c>
      <c r="F37" s="17" t="n">
        <f aca="false">demand!E35</f>
        <v>0</v>
      </c>
      <c r="G37" s="2" t="n">
        <f aca="false">solgen!E35</f>
        <v>0</v>
      </c>
      <c r="H37" s="2" t="n">
        <f aca="false">import!E35</f>
        <v>0</v>
      </c>
      <c r="I37" s="2" t="n">
        <f aca="false">-export!E35</f>
        <v>-0</v>
      </c>
      <c r="J37" s="2" t="n">
        <f aca="false">-charge!E35</f>
        <v>-0</v>
      </c>
      <c r="K37" s="2" t="n">
        <f aca="false">discharge!E35</f>
        <v>0</v>
      </c>
      <c r="L37" s="2" t="n">
        <f aca="false">soc!E35/investment!$E$4 *100</f>
        <v>0</v>
      </c>
    </row>
    <row r="38" customFormat="false" ht="13.8" hidden="false" customHeight="false" outlineLevel="0" collapsed="false">
      <c r="B38" s="10" t="n">
        <f aca="false">_xlfn.NUMBERVALUE(solar!B35)</f>
        <v>65</v>
      </c>
      <c r="C38" s="11" t="n">
        <f aca="false">solar!C35</f>
        <v>0</v>
      </c>
      <c r="D38" s="5" t="n">
        <v>34</v>
      </c>
      <c r="E38" s="16" t="n">
        <f aca="false">IFERROR(INDEX($B$5:$C$173, MATCH($D38, $B$5:$B$175, 0), 2), 0)*investment!$C$4</f>
        <v>0</v>
      </c>
      <c r="F38" s="17" t="n">
        <f aca="false">demand!E36</f>
        <v>0</v>
      </c>
      <c r="G38" s="2" t="n">
        <f aca="false">solgen!E36</f>
        <v>0</v>
      </c>
      <c r="H38" s="2" t="n">
        <f aca="false">import!E36</f>
        <v>0</v>
      </c>
      <c r="I38" s="2" t="n">
        <f aca="false">-export!E36</f>
        <v>-0</v>
      </c>
      <c r="J38" s="2" t="n">
        <f aca="false">-charge!E36</f>
        <v>-0</v>
      </c>
      <c r="K38" s="2" t="n">
        <f aca="false">discharge!E36</f>
        <v>0</v>
      </c>
      <c r="L38" s="2" t="n">
        <f aca="false">soc!E36/investment!$E$4 *100</f>
        <v>0</v>
      </c>
    </row>
    <row r="39" customFormat="false" ht="13.8" hidden="false" customHeight="false" outlineLevel="0" collapsed="false">
      <c r="B39" s="10" t="n">
        <f aca="false">_xlfn.NUMBERVALUE(solar!B36)</f>
        <v>66</v>
      </c>
      <c r="C39" s="11" t="n">
        <f aca="false">solar!C36</f>
        <v>0</v>
      </c>
      <c r="D39" s="5" t="n">
        <v>35</v>
      </c>
      <c r="E39" s="16" t="n">
        <f aca="false">IFERROR(INDEX($B$5:$C$173, MATCH($D39, $B$5:$B$175, 0), 2), 0)*investment!$C$4</f>
        <v>0</v>
      </c>
      <c r="F39" s="17" t="n">
        <f aca="false">demand!E37</f>
        <v>0</v>
      </c>
      <c r="G39" s="2" t="n">
        <f aca="false">solgen!E37</f>
        <v>0</v>
      </c>
      <c r="H39" s="2" t="n">
        <f aca="false">import!E37</f>
        <v>0</v>
      </c>
      <c r="I39" s="2" t="n">
        <f aca="false">-export!E37</f>
        <v>-0</v>
      </c>
      <c r="J39" s="2" t="n">
        <f aca="false">-charge!E37</f>
        <v>-0</v>
      </c>
      <c r="K39" s="2" t="n">
        <f aca="false">discharge!E37</f>
        <v>0</v>
      </c>
      <c r="L39" s="2" t="n">
        <f aca="false">soc!E37/investment!$E$4 *100</f>
        <v>0</v>
      </c>
    </row>
    <row r="40" customFormat="false" ht="13.8" hidden="false" customHeight="false" outlineLevel="0" collapsed="false">
      <c r="B40" s="10" t="n">
        <f aca="false">_xlfn.NUMBERVALUE(solar!B37)</f>
        <v>67</v>
      </c>
      <c r="C40" s="11" t="n">
        <f aca="false">solar!C37</f>
        <v>0</v>
      </c>
      <c r="D40" s="5" t="n">
        <v>36</v>
      </c>
      <c r="E40" s="16" t="n">
        <f aca="false">IFERROR(INDEX($B$5:$C$173, MATCH($D40, $B$5:$B$175, 0), 2), 0)*investment!$C$4</f>
        <v>0</v>
      </c>
      <c r="F40" s="17" t="n">
        <f aca="false">demand!E38</f>
        <v>0</v>
      </c>
      <c r="G40" s="2" t="n">
        <f aca="false">solgen!E38</f>
        <v>0</v>
      </c>
      <c r="H40" s="2" t="n">
        <f aca="false">import!E38</f>
        <v>0</v>
      </c>
      <c r="I40" s="2" t="n">
        <f aca="false">-export!E38</f>
        <v>-0</v>
      </c>
      <c r="J40" s="2" t="n">
        <f aca="false">-charge!E38</f>
        <v>-0</v>
      </c>
      <c r="K40" s="2" t="n">
        <f aca="false">discharge!E38</f>
        <v>0</v>
      </c>
      <c r="L40" s="2" t="n">
        <f aca="false">soc!E38/investment!$E$4 *100</f>
        <v>4.7499552111511</v>
      </c>
    </row>
    <row r="41" customFormat="false" ht="13.8" hidden="false" customHeight="false" outlineLevel="0" collapsed="false">
      <c r="B41" s="10" t="n">
        <f aca="false">_xlfn.NUMBERVALUE(solar!B38)</f>
        <v>80</v>
      </c>
      <c r="C41" s="11" t="n">
        <f aca="false">solar!C38</f>
        <v>0</v>
      </c>
      <c r="D41" s="5" t="n">
        <v>37</v>
      </c>
      <c r="E41" s="16" t="n">
        <f aca="false">IFERROR(INDEX($B$5:$C$173, MATCH($D41, $B$5:$B$175, 0), 2), 0)*investment!$C$4</f>
        <v>0</v>
      </c>
      <c r="F41" s="17" t="n">
        <f aca="false">demand!E39</f>
        <v>0</v>
      </c>
      <c r="G41" s="2" t="n">
        <f aca="false">solgen!E39</f>
        <v>0</v>
      </c>
      <c r="H41" s="2" t="n">
        <f aca="false">import!E39</f>
        <v>0</v>
      </c>
      <c r="I41" s="2" t="n">
        <f aca="false">-export!E39</f>
        <v>-0</v>
      </c>
      <c r="J41" s="2" t="n">
        <f aca="false">-charge!E39</f>
        <v>-0</v>
      </c>
      <c r="K41" s="2" t="n">
        <f aca="false">discharge!E39</f>
        <v>0</v>
      </c>
      <c r="L41" s="2" t="n">
        <f aca="false">soc!E39/investment!$E$4 *100</f>
        <v>18.7817172428075</v>
      </c>
    </row>
    <row r="42" customFormat="false" ht="13.8" hidden="false" customHeight="false" outlineLevel="0" collapsed="false">
      <c r="B42" s="10" t="n">
        <f aca="false">_xlfn.NUMBERVALUE(solar!B39)</f>
        <v>81</v>
      </c>
      <c r="C42" s="11" t="n">
        <f aca="false">solar!C39</f>
        <v>0</v>
      </c>
      <c r="D42" s="5" t="n">
        <v>38</v>
      </c>
      <c r="E42" s="16" t="n">
        <f aca="false">IFERROR(INDEX($B$5:$C$173, MATCH($D42, $B$5:$B$175, 0), 2), 0)*investment!$C$4</f>
        <v>0</v>
      </c>
      <c r="F42" s="17" t="n">
        <f aca="false">demand!E40</f>
        <v>0</v>
      </c>
      <c r="G42" s="2" t="n">
        <f aca="false">solgen!E40</f>
        <v>0</v>
      </c>
      <c r="H42" s="2" t="n">
        <f aca="false">import!E40</f>
        <v>0</v>
      </c>
      <c r="I42" s="2" t="n">
        <f aca="false">-export!E40</f>
        <v>-0</v>
      </c>
      <c r="J42" s="2" t="n">
        <f aca="false">-charge!E40</f>
        <v>-0</v>
      </c>
      <c r="K42" s="2" t="n">
        <f aca="false">discharge!E40</f>
        <v>0</v>
      </c>
      <c r="L42" s="2" t="n">
        <f aca="false">soc!E40/investment!$E$4 *100</f>
        <v>41.1786222416597</v>
      </c>
    </row>
    <row r="43" customFormat="false" ht="13.8" hidden="false" customHeight="false" outlineLevel="0" collapsed="false">
      <c r="B43" s="10" t="n">
        <f aca="false">_xlfn.NUMBERVALUE(solar!B40)</f>
        <v>82</v>
      </c>
      <c r="C43" s="11" t="n">
        <f aca="false">solar!C40</f>
        <v>0</v>
      </c>
      <c r="D43" s="5" t="n">
        <v>39</v>
      </c>
      <c r="E43" s="16" t="n">
        <f aca="false">IFERROR(INDEX($B$5:$C$173, MATCH($D43, $B$5:$B$175, 0), 2), 0)*investment!$C$4</f>
        <v>0</v>
      </c>
      <c r="F43" s="17" t="n">
        <f aca="false">demand!E41</f>
        <v>0</v>
      </c>
      <c r="G43" s="2" t="n">
        <f aca="false">solgen!E41</f>
        <v>0</v>
      </c>
      <c r="H43" s="2" t="n">
        <f aca="false">import!E41</f>
        <v>0</v>
      </c>
      <c r="I43" s="2" t="n">
        <f aca="false">-export!E41</f>
        <v>-0</v>
      </c>
      <c r="J43" s="2" t="n">
        <f aca="false">-charge!E41</f>
        <v>-0</v>
      </c>
      <c r="K43" s="2" t="n">
        <f aca="false">discharge!E41</f>
        <v>0</v>
      </c>
      <c r="L43" s="2" t="n">
        <f aca="false">soc!E41/investment!$E$4 *100</f>
        <v>59.0853306168552</v>
      </c>
    </row>
    <row r="44" customFormat="false" ht="13.8" hidden="false" customHeight="false" outlineLevel="0" collapsed="false">
      <c r="B44" s="10" t="n">
        <f aca="false">_xlfn.NUMBERVALUE(solar!B41)</f>
        <v>83</v>
      </c>
      <c r="C44" s="11" t="n">
        <f aca="false">solar!C41</f>
        <v>0</v>
      </c>
      <c r="D44" s="5" t="n">
        <v>40</v>
      </c>
      <c r="E44" s="16" t="n">
        <f aca="false">IFERROR(INDEX($B$5:$C$173, MATCH($D44, $B$5:$B$175, 0), 2), 0)*investment!$C$4</f>
        <v>0</v>
      </c>
      <c r="F44" s="17" t="n">
        <f aca="false">demand!E42</f>
        <v>0</v>
      </c>
      <c r="G44" s="2" t="n">
        <f aca="false">solgen!E42</f>
        <v>0</v>
      </c>
      <c r="H44" s="2" t="n">
        <f aca="false">import!E42</f>
        <v>0</v>
      </c>
      <c r="I44" s="2" t="n">
        <f aca="false">-export!E42</f>
        <v>-0</v>
      </c>
      <c r="J44" s="2" t="n">
        <f aca="false">-charge!E42</f>
        <v>-0</v>
      </c>
      <c r="K44" s="2" t="n">
        <f aca="false">discharge!E42</f>
        <v>0</v>
      </c>
      <c r="L44" s="2" t="n">
        <f aca="false">soc!E42/investment!$E$4 *100</f>
        <v>69.7275628846966</v>
      </c>
    </row>
    <row r="45" customFormat="false" ht="13.8" hidden="false" customHeight="false" outlineLevel="0" collapsed="false">
      <c r="B45" s="10" t="n">
        <f aca="false">_xlfn.NUMBERVALUE(solar!B42)</f>
        <v>84</v>
      </c>
      <c r="C45" s="11" t="n">
        <f aca="false">solar!C42</f>
        <v>0</v>
      </c>
      <c r="D45" s="5" t="n">
        <v>41</v>
      </c>
      <c r="E45" s="16" t="n">
        <f aca="false">IFERROR(INDEX($B$5:$C$173, MATCH($D45, $B$5:$B$175, 0), 2), 0)*investment!$C$4</f>
        <v>0</v>
      </c>
      <c r="F45" s="17" t="n">
        <f aca="false">demand!E43</f>
        <v>0</v>
      </c>
      <c r="G45" s="2" t="n">
        <f aca="false">solgen!E43</f>
        <v>0</v>
      </c>
      <c r="H45" s="2" t="n">
        <f aca="false">import!E43</f>
        <v>0</v>
      </c>
      <c r="I45" s="2" t="n">
        <f aca="false">-export!E43</f>
        <v>-0</v>
      </c>
      <c r="J45" s="2" t="n">
        <f aca="false">-charge!E43</f>
        <v>-0</v>
      </c>
      <c r="K45" s="2" t="n">
        <f aca="false">discharge!E43</f>
        <v>0</v>
      </c>
      <c r="L45" s="2" t="n">
        <f aca="false">soc!E43/investment!$E$4 *100</f>
        <v>52.678580719944</v>
      </c>
    </row>
    <row r="46" customFormat="false" ht="13.8" hidden="false" customHeight="false" outlineLevel="0" collapsed="false">
      <c r="B46" s="10" t="n">
        <f aca="false">_xlfn.NUMBERVALUE(solar!B43)</f>
        <v>85</v>
      </c>
      <c r="C46" s="11" t="n">
        <f aca="false">solar!C43</f>
        <v>0</v>
      </c>
      <c r="D46" s="5" t="n">
        <v>42</v>
      </c>
      <c r="E46" s="16" t="n">
        <f aca="false">IFERROR(INDEX($B$5:$C$173, MATCH($D46, $B$5:$B$175, 0), 2), 0)*investment!$C$4</f>
        <v>0</v>
      </c>
      <c r="F46" s="17" t="n">
        <f aca="false">demand!E44</f>
        <v>0</v>
      </c>
      <c r="G46" s="2" t="n">
        <f aca="false">solgen!E44</f>
        <v>0</v>
      </c>
      <c r="H46" s="2" t="n">
        <f aca="false">import!E44</f>
        <v>0</v>
      </c>
      <c r="I46" s="2" t="n">
        <f aca="false">-export!E44</f>
        <v>-0</v>
      </c>
      <c r="J46" s="2" t="n">
        <f aca="false">-charge!E44</f>
        <v>-0</v>
      </c>
      <c r="K46" s="2" t="n">
        <f aca="false">discharge!E44</f>
        <v>0</v>
      </c>
      <c r="L46" s="2" t="n">
        <f aca="false">soc!E44/investment!$E$4 *100</f>
        <v>45.2846516895167</v>
      </c>
    </row>
    <row r="47" customFormat="false" ht="13.8" hidden="false" customHeight="false" outlineLevel="0" collapsed="false">
      <c r="B47" s="10" t="n">
        <f aca="false">_xlfn.NUMBERVALUE(solar!B44)</f>
        <v>86</v>
      </c>
      <c r="C47" s="11" t="n">
        <f aca="false">solar!C44</f>
        <v>0</v>
      </c>
      <c r="D47" s="5" t="n">
        <v>43</v>
      </c>
      <c r="E47" s="16" t="n">
        <f aca="false">IFERROR(INDEX($B$5:$C$173, MATCH($D47, $B$5:$B$175, 0), 2), 0)*investment!$C$4</f>
        <v>0</v>
      </c>
      <c r="F47" s="17" t="n">
        <f aca="false">demand!E45</f>
        <v>0</v>
      </c>
      <c r="G47" s="2" t="n">
        <f aca="false">solgen!E45</f>
        <v>0</v>
      </c>
      <c r="H47" s="2" t="n">
        <f aca="false">import!E45</f>
        <v>0</v>
      </c>
      <c r="I47" s="2" t="n">
        <f aca="false">-export!E45</f>
        <v>-0</v>
      </c>
      <c r="J47" s="2" t="n">
        <f aca="false">-charge!E45</f>
        <v>-0</v>
      </c>
      <c r="K47" s="2" t="n">
        <f aca="false">discharge!E45</f>
        <v>0</v>
      </c>
      <c r="L47" s="2" t="n">
        <f aca="false">soc!E45/investment!$E$4 *100</f>
        <v>43.072926329311</v>
      </c>
    </row>
    <row r="48" customFormat="false" ht="13.8" hidden="false" customHeight="false" outlineLevel="0" collapsed="false">
      <c r="B48" s="10" t="n">
        <f aca="false">_xlfn.NUMBERVALUE(solar!B45)</f>
        <v>87</v>
      </c>
      <c r="C48" s="11" t="n">
        <f aca="false">solar!C45</f>
        <v>0</v>
      </c>
      <c r="D48" s="5" t="n">
        <v>44</v>
      </c>
      <c r="E48" s="16" t="n">
        <f aca="false">IFERROR(INDEX($B$5:$C$173, MATCH($D48, $B$5:$B$175, 0), 2), 0)*investment!$C$4</f>
        <v>0</v>
      </c>
      <c r="F48" s="17" t="n">
        <f aca="false">demand!E46</f>
        <v>0</v>
      </c>
      <c r="G48" s="2" t="n">
        <f aca="false">solgen!E46</f>
        <v>0</v>
      </c>
      <c r="H48" s="2" t="n">
        <f aca="false">import!E46</f>
        <v>0</v>
      </c>
      <c r="I48" s="2" t="n">
        <f aca="false">-export!E46</f>
        <v>-0</v>
      </c>
      <c r="J48" s="2" t="n">
        <f aca="false">-charge!E46</f>
        <v>-0</v>
      </c>
      <c r="K48" s="2" t="n">
        <f aca="false">discharge!E46</f>
        <v>0</v>
      </c>
      <c r="L48" s="2" t="n">
        <f aca="false">soc!E46/investment!$E$4 *100</f>
        <v>36.9250890090034</v>
      </c>
    </row>
    <row r="49" customFormat="false" ht="13.8" hidden="false" customHeight="false" outlineLevel="0" collapsed="false">
      <c r="B49" s="10" t="n">
        <f aca="false">_xlfn.NUMBERVALUE(solar!B46)</f>
        <v>88</v>
      </c>
      <c r="C49" s="11" t="n">
        <f aca="false">solar!C46</f>
        <v>0</v>
      </c>
      <c r="D49" s="5" t="n">
        <v>45</v>
      </c>
      <c r="E49" s="16" t="n">
        <f aca="false">IFERROR(INDEX($B$5:$C$173, MATCH($D49, $B$5:$B$175, 0), 2), 0)*investment!$C$4</f>
        <v>0</v>
      </c>
      <c r="F49" s="17" t="n">
        <f aca="false">demand!E47</f>
        <v>0</v>
      </c>
      <c r="G49" s="2" t="n">
        <f aca="false">solgen!E47</f>
        <v>0</v>
      </c>
      <c r="H49" s="2" t="n">
        <f aca="false">import!E47</f>
        <v>0</v>
      </c>
      <c r="I49" s="2" t="n">
        <f aca="false">-export!E47</f>
        <v>-0</v>
      </c>
      <c r="J49" s="2" t="n">
        <f aca="false">-charge!E47</f>
        <v>-0</v>
      </c>
      <c r="K49" s="2" t="n">
        <f aca="false">discharge!E47</f>
        <v>0</v>
      </c>
      <c r="L49" s="2" t="n">
        <f aca="false">soc!E47/investment!$E$4 *100</f>
        <v>33.2755197172991</v>
      </c>
    </row>
    <row r="50" customFormat="false" ht="13.8" hidden="false" customHeight="false" outlineLevel="0" collapsed="false">
      <c r="B50" s="10" t="n">
        <f aca="false">_xlfn.NUMBERVALUE(solar!B47)</f>
        <v>89</v>
      </c>
      <c r="C50" s="11" t="n">
        <f aca="false">solar!C47</f>
        <v>0</v>
      </c>
      <c r="D50" s="5" t="n">
        <v>46</v>
      </c>
      <c r="E50" s="16" t="n">
        <f aca="false">IFERROR(INDEX($B$5:$C$173, MATCH($D50, $B$5:$B$175, 0), 2), 0)*investment!$C$4</f>
        <v>0</v>
      </c>
      <c r="F50" s="17" t="n">
        <f aca="false">demand!E48</f>
        <v>0</v>
      </c>
      <c r="G50" s="2" t="n">
        <f aca="false">solgen!E48</f>
        <v>0</v>
      </c>
      <c r="H50" s="2" t="n">
        <f aca="false">import!E48</f>
        <v>0</v>
      </c>
      <c r="I50" s="2" t="n">
        <f aca="false">-export!E48</f>
        <v>-0</v>
      </c>
      <c r="J50" s="2" t="n">
        <f aca="false">-charge!E48</f>
        <v>-0</v>
      </c>
      <c r="K50" s="2" t="n">
        <f aca="false">discharge!E48</f>
        <v>0</v>
      </c>
      <c r="L50" s="2" t="n">
        <f aca="false">soc!E48/investment!$E$4 *100</f>
        <v>28.9763626379105</v>
      </c>
    </row>
    <row r="51" customFormat="false" ht="13.8" hidden="false" customHeight="false" outlineLevel="0" collapsed="false">
      <c r="B51" s="10" t="n">
        <f aca="false">_xlfn.NUMBERVALUE(solar!B48)</f>
        <v>90</v>
      </c>
      <c r="C51" s="11" t="n">
        <f aca="false">solar!C48</f>
        <v>0</v>
      </c>
      <c r="D51" s="5" t="n">
        <v>47</v>
      </c>
      <c r="E51" s="16" t="n">
        <f aca="false">IFERROR(INDEX($B$5:$C$173, MATCH($D51, $B$5:$B$175, 0), 2), 0)*investment!$C$4</f>
        <v>0</v>
      </c>
      <c r="F51" s="17" t="n">
        <f aca="false">demand!E49</f>
        <v>0</v>
      </c>
      <c r="G51" s="2" t="n">
        <f aca="false">solgen!E49</f>
        <v>0</v>
      </c>
      <c r="H51" s="2" t="n">
        <f aca="false">import!E49</f>
        <v>0</v>
      </c>
      <c r="I51" s="2" t="n">
        <f aca="false">-export!E49</f>
        <v>-0</v>
      </c>
      <c r="J51" s="2" t="n">
        <f aca="false">-charge!E49</f>
        <v>-0</v>
      </c>
      <c r="K51" s="2" t="n">
        <f aca="false">discharge!E49</f>
        <v>0</v>
      </c>
      <c r="L51" s="2" t="n">
        <f aca="false">soc!E49/investment!$E$4 *100</f>
        <v>25.32687283347</v>
      </c>
    </row>
    <row r="52" customFormat="false" ht="13.8" hidden="false" customHeight="false" outlineLevel="0" collapsed="false">
      <c r="B52" s="10" t="n">
        <f aca="false">_xlfn.NUMBERVALUE(solar!B49)</f>
        <v>91</v>
      </c>
      <c r="C52" s="11" t="n">
        <f aca="false">solar!C49</f>
        <v>0</v>
      </c>
      <c r="D52" s="5" t="n">
        <v>48</v>
      </c>
      <c r="E52" s="16" t="n">
        <f aca="false">IFERROR(INDEX($B$5:$C$173, MATCH($D52, $B$5:$B$175, 0), 2), 0)*investment!$C$4</f>
        <v>0</v>
      </c>
      <c r="F52" s="17" t="n">
        <f aca="false">demand!E50</f>
        <v>0</v>
      </c>
      <c r="G52" s="2" t="n">
        <f aca="false">solgen!E50</f>
        <v>0</v>
      </c>
      <c r="H52" s="2" t="n">
        <f aca="false">import!E50</f>
        <v>0</v>
      </c>
      <c r="I52" s="2" t="n">
        <f aca="false">-export!E50</f>
        <v>-0</v>
      </c>
      <c r="J52" s="2" t="n">
        <f aca="false">-charge!E50</f>
        <v>-0</v>
      </c>
      <c r="K52" s="2" t="n">
        <f aca="false">discharge!E50</f>
        <v>0</v>
      </c>
      <c r="L52" s="2" t="n">
        <f aca="false">soc!E50/investment!$E$4 *100</f>
        <v>21.3852997441153</v>
      </c>
    </row>
    <row r="53" customFormat="false" ht="13.8" hidden="false" customHeight="false" outlineLevel="0" collapsed="false">
      <c r="B53" s="10" t="n">
        <f aca="false">_xlfn.NUMBERVALUE(solar!B50)</f>
        <v>104</v>
      </c>
      <c r="C53" s="11" t="n">
        <f aca="false">solar!C50</f>
        <v>0</v>
      </c>
      <c r="D53" s="5" t="n">
        <v>49</v>
      </c>
      <c r="E53" s="16" t="n">
        <f aca="false">IFERROR(INDEX($B$5:$C$173, MATCH($D53, $B$5:$B$175, 0), 2), 0)*investment!$C$4</f>
        <v>0</v>
      </c>
      <c r="F53" s="17" t="n">
        <f aca="false">demand!E51</f>
        <v>0</v>
      </c>
      <c r="G53" s="2" t="n">
        <f aca="false">solgen!E51</f>
        <v>0</v>
      </c>
      <c r="H53" s="2" t="n">
        <f aca="false">import!E51</f>
        <v>0</v>
      </c>
      <c r="I53" s="2" t="n">
        <f aca="false">-export!E51</f>
        <v>-0</v>
      </c>
      <c r="J53" s="2" t="n">
        <f aca="false">-charge!E51</f>
        <v>-0</v>
      </c>
      <c r="K53" s="2" t="n">
        <f aca="false">discharge!E51</f>
        <v>0</v>
      </c>
      <c r="L53" s="2" t="n">
        <f aca="false">soc!E51/investment!$E$4 *100</f>
        <v>18.0715954459512</v>
      </c>
    </row>
    <row r="54" customFormat="false" ht="13.8" hidden="false" customHeight="false" outlineLevel="0" collapsed="false">
      <c r="B54" s="10" t="n">
        <f aca="false">_xlfn.NUMBERVALUE(solar!B51)</f>
        <v>105</v>
      </c>
      <c r="C54" s="11" t="n">
        <f aca="false">solar!C51</f>
        <v>0</v>
      </c>
      <c r="D54" s="5" t="n">
        <v>50</v>
      </c>
      <c r="E54" s="16" t="n">
        <f aca="false">IFERROR(INDEX($B$5:$C$173, MATCH($D54, $B$5:$B$175, 0), 2), 0)*investment!$C$4</f>
        <v>0</v>
      </c>
      <c r="F54" s="17" t="n">
        <f aca="false">demand!E52</f>
        <v>0</v>
      </c>
      <c r="G54" s="2" t="n">
        <f aca="false">solgen!E52</f>
        <v>0</v>
      </c>
      <c r="H54" s="2" t="n">
        <f aca="false">import!E52</f>
        <v>0</v>
      </c>
      <c r="I54" s="2" t="n">
        <f aca="false">-export!E52</f>
        <v>-0</v>
      </c>
      <c r="J54" s="2" t="n">
        <f aca="false">-charge!E52</f>
        <v>-0</v>
      </c>
      <c r="K54" s="2" t="n">
        <f aca="false">discharge!E52</f>
        <v>0</v>
      </c>
      <c r="L54" s="2" t="n">
        <f aca="false">soc!E52/investment!$E$4 *100</f>
        <v>14.409137744432</v>
      </c>
    </row>
    <row r="55" customFormat="false" ht="13.8" hidden="false" customHeight="false" outlineLevel="0" collapsed="false">
      <c r="B55" s="10" t="n">
        <f aca="false">_xlfn.NUMBERVALUE(solar!B52)</f>
        <v>106</v>
      </c>
      <c r="C55" s="11" t="n">
        <f aca="false">solar!C52</f>
        <v>0</v>
      </c>
      <c r="D55" s="5" t="n">
        <v>51</v>
      </c>
      <c r="E55" s="16" t="n">
        <f aca="false">IFERROR(INDEX($B$5:$C$173, MATCH($D55, $B$5:$B$175, 0), 2), 0)*investment!$C$4</f>
        <v>0</v>
      </c>
      <c r="F55" s="17" t="n">
        <f aca="false">demand!E53</f>
        <v>0</v>
      </c>
      <c r="G55" s="2" t="n">
        <f aca="false">solgen!E53</f>
        <v>0</v>
      </c>
      <c r="H55" s="2" t="n">
        <f aca="false">import!E53</f>
        <v>0</v>
      </c>
      <c r="I55" s="2" t="n">
        <f aca="false">-export!E53</f>
        <v>-0</v>
      </c>
      <c r="J55" s="2" t="n">
        <f aca="false">-charge!E53</f>
        <v>-0</v>
      </c>
      <c r="K55" s="2" t="n">
        <f aca="false">discharge!E53</f>
        <v>0</v>
      </c>
      <c r="L55" s="2" t="n">
        <f aca="false">soc!E53/investment!$E$4 *100</f>
        <v>12.1069909764139</v>
      </c>
    </row>
    <row r="56" customFormat="false" ht="13.8" hidden="false" customHeight="false" outlineLevel="0" collapsed="false">
      <c r="B56" s="10" t="n">
        <f aca="false">_xlfn.NUMBERVALUE(solar!B53)</f>
        <v>107</v>
      </c>
      <c r="C56" s="11" t="n">
        <f aca="false">solar!C53</f>
        <v>0</v>
      </c>
      <c r="D56" s="5" t="n">
        <v>52</v>
      </c>
      <c r="E56" s="16" t="n">
        <f aca="false">IFERROR(INDEX($B$5:$C$173, MATCH($D56, $B$5:$B$175, 0), 2), 0)*investment!$C$4</f>
        <v>0</v>
      </c>
      <c r="F56" s="17" t="n">
        <f aca="false">demand!E54</f>
        <v>0</v>
      </c>
      <c r="G56" s="2" t="n">
        <f aca="false">solgen!E54</f>
        <v>0</v>
      </c>
      <c r="H56" s="2" t="n">
        <f aca="false">import!E54</f>
        <v>0</v>
      </c>
      <c r="I56" s="2" t="n">
        <f aca="false">-export!E54</f>
        <v>-0</v>
      </c>
      <c r="J56" s="2" t="n">
        <f aca="false">-charge!E54</f>
        <v>-0</v>
      </c>
      <c r="K56" s="2" t="n">
        <f aca="false">discharge!E54</f>
        <v>0</v>
      </c>
      <c r="L56" s="2" t="n">
        <f aca="false">soc!E54/investment!$E$4 *100</f>
        <v>10.057722168566</v>
      </c>
    </row>
    <row r="57" customFormat="false" ht="13.8" hidden="false" customHeight="false" outlineLevel="0" collapsed="false">
      <c r="B57" s="10" t="n">
        <f aca="false">_xlfn.NUMBERVALUE(solar!B54)</f>
        <v>108</v>
      </c>
      <c r="C57" s="11" t="n">
        <f aca="false">solar!C54</f>
        <v>0</v>
      </c>
      <c r="D57" s="5" t="n">
        <v>53</v>
      </c>
      <c r="E57" s="16" t="n">
        <f aca="false">IFERROR(INDEX($B$5:$C$173, MATCH($D57, $B$5:$B$175, 0), 2), 0)*investment!$C$4</f>
        <v>0</v>
      </c>
      <c r="F57" s="17" t="n">
        <f aca="false">demand!E55</f>
        <v>0</v>
      </c>
      <c r="G57" s="2" t="n">
        <f aca="false">solgen!E55</f>
        <v>0</v>
      </c>
      <c r="H57" s="2" t="n">
        <f aca="false">import!E55</f>
        <v>0</v>
      </c>
      <c r="I57" s="2" t="n">
        <f aca="false">-export!E55</f>
        <v>-0</v>
      </c>
      <c r="J57" s="2" t="n">
        <f aca="false">-charge!E55</f>
        <v>-0</v>
      </c>
      <c r="K57" s="2" t="n">
        <f aca="false">discharge!E55</f>
        <v>0</v>
      </c>
      <c r="L57" s="2" t="n">
        <f aca="false">soc!E55/investment!$E$4 *100</f>
        <v>8.16979017885473</v>
      </c>
    </row>
    <row r="58" customFormat="false" ht="13.8" hidden="false" customHeight="false" outlineLevel="0" collapsed="false">
      <c r="B58" s="10" t="n">
        <f aca="false">_xlfn.NUMBERVALUE(solar!B55)</f>
        <v>109</v>
      </c>
      <c r="C58" s="11" t="n">
        <f aca="false">solar!C55</f>
        <v>0</v>
      </c>
      <c r="D58" s="5" t="n">
        <v>54</v>
      </c>
      <c r="E58" s="16" t="n">
        <f aca="false">IFERROR(INDEX($B$5:$C$173, MATCH($D58, $B$5:$B$175, 0), 2), 0)*investment!$C$4</f>
        <v>0</v>
      </c>
      <c r="F58" s="17" t="n">
        <f aca="false">demand!E56</f>
        <v>0</v>
      </c>
      <c r="G58" s="2" t="n">
        <f aca="false">solgen!E56</f>
        <v>0</v>
      </c>
      <c r="H58" s="2" t="n">
        <f aca="false">import!E56</f>
        <v>0</v>
      </c>
      <c r="I58" s="2" t="n">
        <f aca="false">-export!E56</f>
        <v>-0</v>
      </c>
      <c r="J58" s="2" t="n">
        <f aca="false">-charge!E56</f>
        <v>-0</v>
      </c>
      <c r="K58" s="2" t="n">
        <f aca="false">discharge!E56</f>
        <v>0</v>
      </c>
      <c r="L58" s="2" t="n">
        <f aca="false">soc!E56/investment!$E$4 *100</f>
        <v>3.33383353103868</v>
      </c>
    </row>
    <row r="59" customFormat="false" ht="13.8" hidden="false" customHeight="false" outlineLevel="0" collapsed="false">
      <c r="B59" s="10" t="n">
        <f aca="false">_xlfn.NUMBERVALUE(solar!B56)</f>
        <v>110</v>
      </c>
      <c r="C59" s="11" t="n">
        <f aca="false">solar!C56</f>
        <v>0</v>
      </c>
      <c r="D59" s="5" t="n">
        <v>55</v>
      </c>
      <c r="E59" s="16" t="n">
        <f aca="false">IFERROR(INDEX($B$5:$C$173, MATCH($D59, $B$5:$B$175, 0), 2), 0)*investment!$C$4</f>
        <v>0</v>
      </c>
      <c r="F59" s="17" t="n">
        <f aca="false">demand!E57</f>
        <v>0</v>
      </c>
      <c r="G59" s="2" t="n">
        <f aca="false">solgen!E57</f>
        <v>0</v>
      </c>
      <c r="H59" s="2" t="n">
        <f aca="false">import!E57</f>
        <v>0</v>
      </c>
      <c r="I59" s="2" t="n">
        <f aca="false">-export!E57</f>
        <v>-0</v>
      </c>
      <c r="J59" s="2" t="n">
        <f aca="false">-charge!E57</f>
        <v>-0</v>
      </c>
      <c r="K59" s="2" t="n">
        <f aca="false">discharge!E57</f>
        <v>0</v>
      </c>
      <c r="L59" s="2" t="n">
        <f aca="false">soc!E57/investment!$E$4 *100</f>
        <v>0</v>
      </c>
    </row>
    <row r="60" customFormat="false" ht="13.8" hidden="false" customHeight="false" outlineLevel="0" collapsed="false">
      <c r="B60" s="10" t="n">
        <f aca="false">_xlfn.NUMBERVALUE(solar!B57)</f>
        <v>111</v>
      </c>
      <c r="C60" s="11" t="n">
        <f aca="false">solar!C57</f>
        <v>0</v>
      </c>
      <c r="D60" s="5" t="n">
        <v>56</v>
      </c>
      <c r="E60" s="16" t="n">
        <f aca="false">IFERROR(INDEX($B$5:$C$173, MATCH($D60, $B$5:$B$175, 0), 2), 0)*investment!$C$4</f>
        <v>0</v>
      </c>
      <c r="F60" s="17" t="n">
        <f aca="false">demand!E58</f>
        <v>0</v>
      </c>
      <c r="G60" s="2" t="n">
        <f aca="false">solgen!E58</f>
        <v>0</v>
      </c>
      <c r="H60" s="2" t="n">
        <f aca="false">import!E58</f>
        <v>0</v>
      </c>
      <c r="I60" s="2" t="n">
        <f aca="false">-export!E58</f>
        <v>-0</v>
      </c>
      <c r="J60" s="2" t="n">
        <f aca="false">-charge!E58</f>
        <v>-0</v>
      </c>
      <c r="K60" s="2" t="n">
        <f aca="false">discharge!E58</f>
        <v>0</v>
      </c>
      <c r="L60" s="2" t="n">
        <f aca="false">soc!E58/investment!$E$4 *100</f>
        <v>0</v>
      </c>
    </row>
    <row r="61" customFormat="false" ht="13.8" hidden="false" customHeight="false" outlineLevel="0" collapsed="false">
      <c r="B61" s="10" t="n">
        <f aca="false">_xlfn.NUMBERVALUE(solar!B58)</f>
        <v>112</v>
      </c>
      <c r="C61" s="11" t="n">
        <f aca="false">solar!C58</f>
        <v>0</v>
      </c>
      <c r="D61" s="5" t="n">
        <v>57</v>
      </c>
      <c r="E61" s="16" t="n">
        <f aca="false">IFERROR(INDEX($B$5:$C$173, MATCH($D61, $B$5:$B$175, 0), 2), 0)*investment!$C$4</f>
        <v>0</v>
      </c>
      <c r="F61" s="17" t="n">
        <f aca="false">demand!E59</f>
        <v>0</v>
      </c>
      <c r="G61" s="2" t="n">
        <f aca="false">solgen!E59</f>
        <v>0</v>
      </c>
      <c r="H61" s="2" t="n">
        <f aca="false">import!E59</f>
        <v>0</v>
      </c>
      <c r="I61" s="2" t="n">
        <f aca="false">-export!E59</f>
        <v>-0</v>
      </c>
      <c r="J61" s="2" t="n">
        <f aca="false">-charge!E59</f>
        <v>-0</v>
      </c>
      <c r="K61" s="2" t="n">
        <f aca="false">discharge!E59</f>
        <v>0</v>
      </c>
      <c r="L61" s="2" t="n">
        <f aca="false">soc!E59/investment!$E$4 *100</f>
        <v>0</v>
      </c>
    </row>
    <row r="62" customFormat="false" ht="13.8" hidden="false" customHeight="false" outlineLevel="0" collapsed="false">
      <c r="B62" s="10" t="n">
        <f aca="false">_xlfn.NUMBERVALUE(solar!B59)</f>
        <v>113</v>
      </c>
      <c r="C62" s="11" t="n">
        <f aca="false">solar!C59</f>
        <v>0</v>
      </c>
      <c r="D62" s="5" t="n">
        <v>58</v>
      </c>
      <c r="E62" s="16" t="n">
        <f aca="false">IFERROR(INDEX($B$5:$C$173, MATCH($D62, $B$5:$B$175, 0), 2), 0)*investment!$C$4</f>
        <v>0</v>
      </c>
      <c r="F62" s="17" t="n">
        <f aca="false">demand!E60</f>
        <v>0</v>
      </c>
      <c r="G62" s="2" t="n">
        <f aca="false">solgen!E60</f>
        <v>0</v>
      </c>
      <c r="H62" s="2" t="n">
        <f aca="false">import!E60</f>
        <v>0</v>
      </c>
      <c r="I62" s="2" t="n">
        <f aca="false">-export!E60</f>
        <v>-0</v>
      </c>
      <c r="J62" s="2" t="n">
        <f aca="false">-charge!E60</f>
        <v>-0</v>
      </c>
      <c r="K62" s="2" t="n">
        <f aca="false">discharge!E60</f>
        <v>0</v>
      </c>
      <c r="L62" s="2" t="n">
        <f aca="false">soc!E60/investment!$E$4 *100</f>
        <v>0</v>
      </c>
    </row>
    <row r="63" customFormat="false" ht="13.8" hidden="false" customHeight="false" outlineLevel="0" collapsed="false">
      <c r="B63" s="10" t="n">
        <f aca="false">_xlfn.NUMBERVALUE(solar!B60)</f>
        <v>114</v>
      </c>
      <c r="C63" s="11" t="n">
        <f aca="false">solar!C60</f>
        <v>0</v>
      </c>
      <c r="D63" s="5" t="n">
        <v>59</v>
      </c>
      <c r="E63" s="16" t="n">
        <f aca="false">IFERROR(INDEX($B$5:$C$173, MATCH($D63, $B$5:$B$175, 0), 2), 0)*investment!$C$4</f>
        <v>0</v>
      </c>
      <c r="F63" s="17" t="n">
        <f aca="false">demand!E61</f>
        <v>0</v>
      </c>
      <c r="G63" s="2" t="n">
        <f aca="false">solgen!E61</f>
        <v>0</v>
      </c>
      <c r="H63" s="2" t="n">
        <f aca="false">import!E61</f>
        <v>0</v>
      </c>
      <c r="I63" s="2" t="n">
        <f aca="false">-export!E61</f>
        <v>-0</v>
      </c>
      <c r="J63" s="2" t="n">
        <f aca="false">-charge!E61</f>
        <v>-0</v>
      </c>
      <c r="K63" s="2" t="n">
        <f aca="false">discharge!E61</f>
        <v>0</v>
      </c>
      <c r="L63" s="2" t="n">
        <f aca="false">soc!E61/investment!$E$4 *100</f>
        <v>0</v>
      </c>
    </row>
    <row r="64" customFormat="false" ht="13.8" hidden="false" customHeight="false" outlineLevel="0" collapsed="false">
      <c r="B64" s="10" t="n">
        <f aca="false">_xlfn.NUMBERVALUE(solar!B61)</f>
        <v>115</v>
      </c>
      <c r="C64" s="11" t="n">
        <f aca="false">solar!C61</f>
        <v>0</v>
      </c>
      <c r="D64" s="5" t="n">
        <v>60</v>
      </c>
      <c r="E64" s="16" t="n">
        <f aca="false">IFERROR(INDEX($B$5:$C$173, MATCH($D64, $B$5:$B$175, 0), 2), 0)*investment!$C$4</f>
        <v>0</v>
      </c>
      <c r="F64" s="17" t="n">
        <f aca="false">demand!E62</f>
        <v>0</v>
      </c>
      <c r="G64" s="2" t="n">
        <f aca="false">solgen!E62</f>
        <v>0</v>
      </c>
      <c r="H64" s="2" t="n">
        <f aca="false">import!E62</f>
        <v>0</v>
      </c>
      <c r="I64" s="2" t="n">
        <f aca="false">-export!E62</f>
        <v>-0</v>
      </c>
      <c r="J64" s="2" t="n">
        <f aca="false">-charge!E62</f>
        <v>-0</v>
      </c>
      <c r="K64" s="2" t="n">
        <f aca="false">discharge!E62</f>
        <v>0</v>
      </c>
      <c r="L64" s="2" t="n">
        <f aca="false">soc!E62/investment!$E$4 *100</f>
        <v>0</v>
      </c>
    </row>
    <row r="65" customFormat="false" ht="13.8" hidden="false" customHeight="false" outlineLevel="0" collapsed="false">
      <c r="B65" s="10" t="n">
        <f aca="false">_xlfn.NUMBERVALUE(solar!B62)</f>
        <v>128</v>
      </c>
      <c r="C65" s="11" t="n">
        <f aca="false">solar!C62</f>
        <v>0</v>
      </c>
      <c r="D65" s="5" t="n">
        <v>61</v>
      </c>
      <c r="E65" s="16" t="n">
        <f aca="false">IFERROR(INDEX($B$5:$C$173, MATCH($D65, $B$5:$B$175, 0), 2), 0)*investment!$C$4</f>
        <v>0</v>
      </c>
      <c r="F65" s="17" t="n">
        <f aca="false">demand!E63</f>
        <v>0</v>
      </c>
      <c r="G65" s="2" t="n">
        <f aca="false">solgen!E63</f>
        <v>0</v>
      </c>
      <c r="H65" s="2" t="n">
        <f aca="false">import!E63</f>
        <v>0</v>
      </c>
      <c r="I65" s="2" t="n">
        <f aca="false">-export!E63</f>
        <v>-0</v>
      </c>
      <c r="J65" s="2" t="n">
        <f aca="false">-charge!E63</f>
        <v>-0</v>
      </c>
      <c r="K65" s="2" t="n">
        <f aca="false">discharge!E63</f>
        <v>0</v>
      </c>
      <c r="L65" s="2" t="n">
        <f aca="false">soc!E63/investment!$E$4 *100</f>
        <v>11.5850191901267</v>
      </c>
    </row>
    <row r="66" customFormat="false" ht="13.8" hidden="false" customHeight="false" outlineLevel="0" collapsed="false">
      <c r="B66" s="10" t="n">
        <f aca="false">_xlfn.NUMBERVALUE(solar!B63)</f>
        <v>129</v>
      </c>
      <c r="C66" s="11" t="n">
        <f aca="false">solar!C63</f>
        <v>0</v>
      </c>
      <c r="D66" s="5" t="n">
        <v>62</v>
      </c>
      <c r="E66" s="16" t="n">
        <f aca="false">IFERROR(INDEX($B$5:$C$173, MATCH($D66, $B$5:$B$175, 0), 2), 0)*investment!$C$4</f>
        <v>0</v>
      </c>
      <c r="F66" s="17" t="n">
        <f aca="false">demand!E64</f>
        <v>0</v>
      </c>
      <c r="G66" s="2" t="n">
        <f aca="false">solgen!E64</f>
        <v>0</v>
      </c>
      <c r="H66" s="2" t="n">
        <f aca="false">import!E64</f>
        <v>0</v>
      </c>
      <c r="I66" s="2" t="n">
        <f aca="false">-export!E64</f>
        <v>-0</v>
      </c>
      <c r="J66" s="2" t="n">
        <f aca="false">-charge!E64</f>
        <v>-0</v>
      </c>
      <c r="K66" s="2" t="n">
        <f aca="false">discharge!E64</f>
        <v>0</v>
      </c>
      <c r="L66" s="2" t="n">
        <f aca="false">soc!E64/investment!$E$4 *100</f>
        <v>34.4779135801305</v>
      </c>
    </row>
    <row r="67" customFormat="false" ht="13.8" hidden="false" customHeight="false" outlineLevel="0" collapsed="false">
      <c r="B67" s="10" t="n">
        <f aca="false">_xlfn.NUMBERVALUE(solar!B64)</f>
        <v>130</v>
      </c>
      <c r="C67" s="11" t="n">
        <f aca="false">solar!C64</f>
        <v>0</v>
      </c>
      <c r="D67" s="5" t="n">
        <v>63</v>
      </c>
      <c r="E67" s="16" t="n">
        <f aca="false">IFERROR(INDEX($B$5:$C$173, MATCH($D67, $B$5:$B$175, 0), 2), 0)*investment!$C$4</f>
        <v>0</v>
      </c>
      <c r="F67" s="17" t="n">
        <f aca="false">demand!E65</f>
        <v>0</v>
      </c>
      <c r="G67" s="2" t="n">
        <f aca="false">solgen!E65</f>
        <v>0</v>
      </c>
      <c r="H67" s="2" t="n">
        <f aca="false">import!E65</f>
        <v>0</v>
      </c>
      <c r="I67" s="2" t="n">
        <f aca="false">-export!E65</f>
        <v>-0</v>
      </c>
      <c r="J67" s="2" t="n">
        <f aca="false">-charge!E65</f>
        <v>-0</v>
      </c>
      <c r="K67" s="2" t="n">
        <f aca="false">discharge!E65</f>
        <v>0</v>
      </c>
      <c r="L67" s="2" t="n">
        <f aca="false">soc!E65/investment!$E$4 *100</f>
        <v>52.6135155983648</v>
      </c>
    </row>
    <row r="68" customFormat="false" ht="13.8" hidden="false" customHeight="false" outlineLevel="0" collapsed="false">
      <c r="B68" s="10" t="n">
        <f aca="false">_xlfn.NUMBERVALUE(solar!B65)</f>
        <v>131</v>
      </c>
      <c r="C68" s="11" t="n">
        <f aca="false">solar!C65</f>
        <v>0</v>
      </c>
      <c r="D68" s="5" t="n">
        <v>64</v>
      </c>
      <c r="E68" s="16" t="n">
        <f aca="false">IFERROR(INDEX($B$5:$C$173, MATCH($D68, $B$5:$B$175, 0), 2), 0)*investment!$C$4</f>
        <v>0</v>
      </c>
      <c r="F68" s="17" t="n">
        <f aca="false">demand!E66</f>
        <v>0</v>
      </c>
      <c r="G68" s="2" t="n">
        <f aca="false">solgen!E66</f>
        <v>0</v>
      </c>
      <c r="H68" s="2" t="n">
        <f aca="false">import!E66</f>
        <v>0</v>
      </c>
      <c r="I68" s="2" t="n">
        <f aca="false">-export!E66</f>
        <v>-0</v>
      </c>
      <c r="J68" s="2" t="n">
        <f aca="false">-charge!E66</f>
        <v>-0</v>
      </c>
      <c r="K68" s="2" t="n">
        <f aca="false">discharge!E66</f>
        <v>0</v>
      </c>
      <c r="L68" s="2" t="n">
        <f aca="false">soc!E66/investment!$E$4 *100</f>
        <v>57.7149215385912</v>
      </c>
    </row>
    <row r="69" customFormat="false" ht="13.8" hidden="false" customHeight="false" outlineLevel="0" collapsed="false">
      <c r="B69" s="10" t="n">
        <f aca="false">_xlfn.NUMBERVALUE(solar!B66)</f>
        <v>132</v>
      </c>
      <c r="C69" s="11" t="n">
        <f aca="false">solar!C66</f>
        <v>0</v>
      </c>
      <c r="D69" s="5" t="n">
        <v>65</v>
      </c>
      <c r="E69" s="16" t="n">
        <f aca="false">IFERROR(INDEX($B$5:$C$173, MATCH($D69, $B$5:$B$175, 0), 2), 0)*investment!$C$4</f>
        <v>0</v>
      </c>
      <c r="F69" s="17" t="n">
        <f aca="false">demand!E67</f>
        <v>0</v>
      </c>
      <c r="G69" s="2" t="n">
        <f aca="false">solgen!E67</f>
        <v>0</v>
      </c>
      <c r="H69" s="2" t="n">
        <f aca="false">import!E67</f>
        <v>0</v>
      </c>
      <c r="I69" s="2" t="n">
        <f aca="false">-export!E67</f>
        <v>-0</v>
      </c>
      <c r="J69" s="2" t="n">
        <f aca="false">-charge!E67</f>
        <v>-0</v>
      </c>
      <c r="K69" s="2" t="n">
        <f aca="false">discharge!E67</f>
        <v>0</v>
      </c>
      <c r="L69" s="2" t="n">
        <f aca="false">soc!E67/investment!$E$4 *100</f>
        <v>53.6791432482112</v>
      </c>
    </row>
    <row r="70" customFormat="false" ht="13.8" hidden="false" customHeight="false" outlineLevel="0" collapsed="false">
      <c r="B70" s="10" t="n">
        <f aca="false">_xlfn.NUMBERVALUE(solar!B67)</f>
        <v>133</v>
      </c>
      <c r="C70" s="11" t="n">
        <f aca="false">solar!C67</f>
        <v>0</v>
      </c>
      <c r="D70" s="5" t="n">
        <v>66</v>
      </c>
      <c r="E70" s="16" t="n">
        <f aca="false">IFERROR(INDEX($B$5:$C$173, MATCH($D70, $B$5:$B$175, 0), 2), 0)*investment!$C$4</f>
        <v>0</v>
      </c>
      <c r="F70" s="17" t="n">
        <f aca="false">demand!E68</f>
        <v>0</v>
      </c>
      <c r="G70" s="2" t="n">
        <f aca="false">solgen!E68</f>
        <v>0</v>
      </c>
      <c r="H70" s="2" t="n">
        <f aca="false">import!E68</f>
        <v>0</v>
      </c>
      <c r="I70" s="2" t="n">
        <f aca="false">-export!E68</f>
        <v>-0</v>
      </c>
      <c r="J70" s="2" t="n">
        <f aca="false">-charge!E68</f>
        <v>-0</v>
      </c>
      <c r="K70" s="2" t="n">
        <f aca="false">discharge!E68</f>
        <v>0</v>
      </c>
      <c r="L70" s="2" t="n">
        <f aca="false">soc!E68/investment!$E$4 *100</f>
        <v>47.2161330740381</v>
      </c>
    </row>
    <row r="71" customFormat="false" ht="13.8" hidden="false" customHeight="false" outlineLevel="0" collapsed="false">
      <c r="B71" s="10" t="n">
        <f aca="false">_xlfn.NUMBERVALUE(solar!B68)</f>
        <v>134</v>
      </c>
      <c r="C71" s="11" t="n">
        <f aca="false">solar!C68</f>
        <v>0</v>
      </c>
      <c r="D71" s="5" t="n">
        <v>67</v>
      </c>
      <c r="E71" s="16" t="n">
        <f aca="false">IFERROR(INDEX($B$5:$C$173, MATCH($D71, $B$5:$B$175, 0), 2), 0)*investment!$C$4</f>
        <v>0</v>
      </c>
      <c r="F71" s="17" t="n">
        <f aca="false">demand!E69</f>
        <v>0</v>
      </c>
      <c r="G71" s="2" t="n">
        <f aca="false">solgen!E69</f>
        <v>0</v>
      </c>
      <c r="H71" s="2" t="n">
        <f aca="false">import!E69</f>
        <v>0</v>
      </c>
      <c r="I71" s="2" t="n">
        <f aca="false">-export!E69</f>
        <v>-0</v>
      </c>
      <c r="J71" s="2" t="n">
        <f aca="false">-charge!E69</f>
        <v>-0</v>
      </c>
      <c r="K71" s="2" t="n">
        <f aca="false">discharge!E69</f>
        <v>0</v>
      </c>
      <c r="L71" s="2" t="n">
        <f aca="false">soc!E69/investment!$E$4 *100</f>
        <v>41.8285534875148</v>
      </c>
    </row>
    <row r="72" customFormat="false" ht="13.8" hidden="false" customHeight="false" outlineLevel="0" collapsed="false">
      <c r="B72" s="10" t="n">
        <f aca="false">_xlfn.NUMBERVALUE(solar!B69)</f>
        <v>135</v>
      </c>
      <c r="C72" s="11" t="n">
        <f aca="false">solar!C69</f>
        <v>0</v>
      </c>
      <c r="D72" s="5" t="n">
        <v>68</v>
      </c>
      <c r="E72" s="16" t="n">
        <f aca="false">IFERROR(INDEX($B$5:$C$173, MATCH($D72, $B$5:$B$175, 0), 2), 0)*investment!$C$4</f>
        <v>0</v>
      </c>
      <c r="F72" s="17" t="n">
        <f aca="false">demand!E70</f>
        <v>0</v>
      </c>
      <c r="G72" s="2" t="n">
        <f aca="false">solgen!E70</f>
        <v>0</v>
      </c>
      <c r="H72" s="2" t="n">
        <f aca="false">import!E70</f>
        <v>0</v>
      </c>
      <c r="I72" s="2" t="n">
        <f aca="false">-export!E70</f>
        <v>-0</v>
      </c>
      <c r="J72" s="2" t="n">
        <f aca="false">-charge!E70</f>
        <v>-0</v>
      </c>
      <c r="K72" s="2" t="n">
        <f aca="false">discharge!E70</f>
        <v>0</v>
      </c>
      <c r="L72" s="2" t="n">
        <f aca="false">soc!E70/investment!$E$4 *100</f>
        <v>34.7651593645443</v>
      </c>
    </row>
    <row r="73" customFormat="false" ht="13.8" hidden="false" customHeight="false" outlineLevel="0" collapsed="false">
      <c r="B73" s="10" t="n">
        <f aca="false">_xlfn.NUMBERVALUE(solar!B70)</f>
        <v>136</v>
      </c>
      <c r="C73" s="11" t="n">
        <f aca="false">solar!C70</f>
        <v>0</v>
      </c>
      <c r="D73" s="5" t="n">
        <v>69</v>
      </c>
      <c r="E73" s="16" t="n">
        <f aca="false">IFERROR(INDEX($B$5:$C$173, MATCH($D73, $B$5:$B$175, 0), 2), 0)*investment!$C$4</f>
        <v>0</v>
      </c>
      <c r="F73" s="17" t="n">
        <f aca="false">demand!E71</f>
        <v>0</v>
      </c>
      <c r="G73" s="2" t="n">
        <f aca="false">solgen!E71</f>
        <v>0</v>
      </c>
      <c r="H73" s="2" t="n">
        <f aca="false">import!E71</f>
        <v>0</v>
      </c>
      <c r="I73" s="2" t="n">
        <f aca="false">-export!E71</f>
        <v>-0</v>
      </c>
      <c r="J73" s="2" t="n">
        <f aca="false">-charge!E71</f>
        <v>-0</v>
      </c>
      <c r="K73" s="2" t="n">
        <f aca="false">discharge!E71</f>
        <v>0</v>
      </c>
      <c r="L73" s="2" t="n">
        <f aca="false">soc!E71/investment!$E$4 *100</f>
        <v>27.7018489550758</v>
      </c>
    </row>
    <row r="74" customFormat="false" ht="13.8" hidden="false" customHeight="false" outlineLevel="0" collapsed="false">
      <c r="B74" s="10" t="n">
        <f aca="false">_xlfn.NUMBERVALUE(solar!B71)</f>
        <v>137</v>
      </c>
      <c r="C74" s="11" t="n">
        <f aca="false">solar!C71</f>
        <v>0</v>
      </c>
      <c r="D74" s="5" t="n">
        <v>70</v>
      </c>
      <c r="E74" s="16" t="n">
        <f aca="false">IFERROR(INDEX($B$5:$C$173, MATCH($D74, $B$5:$B$175, 0), 2), 0)*investment!$C$4</f>
        <v>0</v>
      </c>
      <c r="F74" s="17" t="n">
        <f aca="false">demand!E72</f>
        <v>0</v>
      </c>
      <c r="G74" s="2" t="n">
        <f aca="false">solgen!E72</f>
        <v>0</v>
      </c>
      <c r="H74" s="2" t="n">
        <f aca="false">import!E72</f>
        <v>0</v>
      </c>
      <c r="I74" s="2" t="n">
        <f aca="false">-export!E72</f>
        <v>-0</v>
      </c>
      <c r="J74" s="2" t="n">
        <f aca="false">-charge!E72</f>
        <v>-0</v>
      </c>
      <c r="K74" s="2" t="n">
        <f aca="false">discharge!E72</f>
        <v>0</v>
      </c>
      <c r="L74" s="2" t="n">
        <f aca="false">soc!E72/investment!$E$4 *100</f>
        <v>25.1684752223029</v>
      </c>
    </row>
    <row r="75" customFormat="false" ht="13.8" hidden="false" customHeight="false" outlineLevel="0" collapsed="false">
      <c r="B75" s="10" t="n">
        <f aca="false">_xlfn.NUMBERVALUE(solar!B72)</f>
        <v>138</v>
      </c>
      <c r="C75" s="11" t="n">
        <f aca="false">solar!C72</f>
        <v>0</v>
      </c>
      <c r="D75" s="5" t="n">
        <v>71</v>
      </c>
      <c r="E75" s="16" t="n">
        <f aca="false">IFERROR(INDEX($B$5:$C$173, MATCH($D75, $B$5:$B$175, 0), 2), 0)*investment!$C$4</f>
        <v>0</v>
      </c>
      <c r="F75" s="17" t="n">
        <f aca="false">demand!E73</f>
        <v>0</v>
      </c>
      <c r="G75" s="2" t="n">
        <f aca="false">solgen!E73</f>
        <v>0</v>
      </c>
      <c r="H75" s="2" t="n">
        <f aca="false">import!E73</f>
        <v>0</v>
      </c>
      <c r="I75" s="2" t="n">
        <f aca="false">-export!E73</f>
        <v>-0</v>
      </c>
      <c r="J75" s="2" t="n">
        <f aca="false">-charge!E73</f>
        <v>-0</v>
      </c>
      <c r="K75" s="2" t="n">
        <f aca="false">discharge!E73</f>
        <v>0</v>
      </c>
      <c r="L75" s="2" t="n">
        <f aca="false">soc!E73/investment!$E$4 *100</f>
        <v>22.029126362583</v>
      </c>
    </row>
    <row r="76" customFormat="false" ht="13.8" hidden="false" customHeight="false" outlineLevel="0" collapsed="false">
      <c r="B76" s="10" t="n">
        <f aca="false">_xlfn.NUMBERVALUE(solar!B73)</f>
        <v>139</v>
      </c>
      <c r="C76" s="11" t="n">
        <f aca="false">solar!C73</f>
        <v>0</v>
      </c>
      <c r="D76" s="5" t="n">
        <v>72</v>
      </c>
      <c r="E76" s="16" t="n">
        <f aca="false">IFERROR(INDEX($B$5:$C$173, MATCH($D76, $B$5:$B$175, 0), 2), 0)*investment!$C$4</f>
        <v>0</v>
      </c>
      <c r="F76" s="17" t="n">
        <f aca="false">demand!E74</f>
        <v>0</v>
      </c>
      <c r="G76" s="2" t="n">
        <f aca="false">solgen!E74</f>
        <v>0</v>
      </c>
      <c r="H76" s="2" t="n">
        <f aca="false">import!E74</f>
        <v>0</v>
      </c>
      <c r="I76" s="2" t="n">
        <f aca="false">-export!E74</f>
        <v>-0</v>
      </c>
      <c r="J76" s="2" t="n">
        <f aca="false">-charge!E74</f>
        <v>-0</v>
      </c>
      <c r="K76" s="2" t="n">
        <f aca="false">discharge!E74</f>
        <v>0</v>
      </c>
      <c r="L76" s="2" t="n">
        <f aca="false">soc!E74/investment!$E$4 *100</f>
        <v>19.5873819771479</v>
      </c>
    </row>
    <row r="77" customFormat="false" ht="13.8" hidden="false" customHeight="false" outlineLevel="0" collapsed="false">
      <c r="B77" s="10" t="n">
        <f aca="false">_xlfn.NUMBERVALUE(solar!B74)</f>
        <v>152</v>
      </c>
      <c r="C77" s="11" t="n">
        <f aca="false">solar!C74</f>
        <v>0</v>
      </c>
      <c r="D77" s="5" t="n">
        <v>73</v>
      </c>
      <c r="E77" s="16" t="n">
        <f aca="false">IFERROR(INDEX($B$5:$C$173, MATCH($D77, $B$5:$B$175, 0), 2), 0)*investment!$C$4</f>
        <v>0</v>
      </c>
      <c r="F77" s="17" t="n">
        <f aca="false">demand!E75</f>
        <v>0</v>
      </c>
      <c r="G77" s="2" t="n">
        <f aca="false">solgen!E75</f>
        <v>0</v>
      </c>
      <c r="H77" s="2" t="n">
        <f aca="false">import!E75</f>
        <v>0</v>
      </c>
      <c r="I77" s="2" t="n">
        <f aca="false">-export!E75</f>
        <v>-0</v>
      </c>
      <c r="J77" s="2" t="n">
        <f aca="false">-charge!E75</f>
        <v>-0</v>
      </c>
      <c r="K77" s="2" t="n">
        <f aca="false">discharge!E75</f>
        <v>0</v>
      </c>
      <c r="L77" s="2" t="n">
        <f aca="false">soc!E75/investment!$E$4 *100</f>
        <v>17.4944485495547</v>
      </c>
    </row>
    <row r="78" customFormat="false" ht="13.8" hidden="false" customHeight="false" outlineLevel="0" collapsed="false">
      <c r="B78" s="10" t="n">
        <f aca="false">_xlfn.NUMBERVALUE(solar!B75)</f>
        <v>153</v>
      </c>
      <c r="C78" s="11" t="n">
        <f aca="false">solar!C75</f>
        <v>0</v>
      </c>
      <c r="D78" s="5" t="n">
        <v>74</v>
      </c>
      <c r="E78" s="16" t="n">
        <f aca="false">IFERROR(INDEX($B$5:$C$173, MATCH($D78, $B$5:$B$175, 0), 2), 0)*investment!$C$4</f>
        <v>0</v>
      </c>
      <c r="F78" s="17" t="n">
        <f aca="false">demand!E76</f>
        <v>0</v>
      </c>
      <c r="G78" s="2" t="n">
        <f aca="false">solgen!E76</f>
        <v>0</v>
      </c>
      <c r="H78" s="2" t="n">
        <f aca="false">import!E76</f>
        <v>0</v>
      </c>
      <c r="I78" s="2" t="n">
        <f aca="false">-export!E76</f>
        <v>-0</v>
      </c>
      <c r="J78" s="2" t="n">
        <f aca="false">-charge!E76</f>
        <v>-0</v>
      </c>
      <c r="K78" s="2" t="n">
        <f aca="false">discharge!E76</f>
        <v>0</v>
      </c>
      <c r="L78" s="2" t="n">
        <f aca="false">soc!E76/investment!$E$4 *100</f>
        <v>13.8319966195045</v>
      </c>
    </row>
    <row r="79" customFormat="false" ht="13.8" hidden="false" customHeight="false" outlineLevel="0" collapsed="false">
      <c r="B79" s="10" t="n">
        <f aca="false">_xlfn.NUMBERVALUE(solar!B76)</f>
        <v>154</v>
      </c>
      <c r="C79" s="11" t="n">
        <f aca="false">solar!C76</f>
        <v>0</v>
      </c>
      <c r="D79" s="5" t="n">
        <v>75</v>
      </c>
      <c r="E79" s="16" t="n">
        <f aca="false">IFERROR(INDEX($B$5:$C$173, MATCH($D79, $B$5:$B$175, 0), 2), 0)*investment!$C$4</f>
        <v>0</v>
      </c>
      <c r="F79" s="17" t="n">
        <f aca="false">demand!E77</f>
        <v>0</v>
      </c>
      <c r="G79" s="2" t="n">
        <f aca="false">solgen!E77</f>
        <v>0</v>
      </c>
      <c r="H79" s="2" t="n">
        <f aca="false">import!E77</f>
        <v>0</v>
      </c>
      <c r="I79" s="2" t="n">
        <f aca="false">-export!E77</f>
        <v>-0</v>
      </c>
      <c r="J79" s="2" t="n">
        <f aca="false">-charge!E77</f>
        <v>-0</v>
      </c>
      <c r="K79" s="2" t="n">
        <f aca="false">discharge!E77</f>
        <v>0</v>
      </c>
      <c r="L79" s="2" t="n">
        <f aca="false">soc!E77/investment!$E$4 *100</f>
        <v>10.1695813139736</v>
      </c>
    </row>
    <row r="80" customFormat="false" ht="13.8" hidden="false" customHeight="false" outlineLevel="0" collapsed="false">
      <c r="B80" s="10" t="n">
        <f aca="false">_xlfn.NUMBERVALUE(solar!B77)</f>
        <v>155</v>
      </c>
      <c r="C80" s="11" t="n">
        <f aca="false">solar!C77</f>
        <v>0</v>
      </c>
      <c r="D80" s="5" t="n">
        <v>76</v>
      </c>
      <c r="E80" s="16" t="n">
        <f aca="false">IFERROR(INDEX($B$5:$C$173, MATCH($D80, $B$5:$B$175, 0), 2), 0)*investment!$C$4</f>
        <v>0</v>
      </c>
      <c r="F80" s="17" t="n">
        <f aca="false">demand!E78</f>
        <v>0</v>
      </c>
      <c r="G80" s="2" t="n">
        <f aca="false">solgen!E78</f>
        <v>0</v>
      </c>
      <c r="H80" s="2" t="n">
        <f aca="false">import!E78</f>
        <v>0</v>
      </c>
      <c r="I80" s="2" t="n">
        <f aca="false">-export!E78</f>
        <v>-0</v>
      </c>
      <c r="J80" s="2" t="n">
        <f aca="false">-charge!E78</f>
        <v>-0</v>
      </c>
      <c r="K80" s="2" t="n">
        <f aca="false">discharge!E78</f>
        <v>0</v>
      </c>
      <c r="L80" s="2" t="n">
        <f aca="false">soc!E78/investment!$E$4 *100</f>
        <v>6.50720263259567</v>
      </c>
    </row>
    <row r="81" customFormat="false" ht="13.8" hidden="false" customHeight="false" outlineLevel="0" collapsed="false">
      <c r="B81" s="10" t="n">
        <f aca="false">_xlfn.NUMBERVALUE(solar!B78)</f>
        <v>156</v>
      </c>
      <c r="C81" s="11" t="n">
        <f aca="false">solar!C78</f>
        <v>0</v>
      </c>
      <c r="D81" s="5" t="n">
        <v>77</v>
      </c>
      <c r="E81" s="16" t="n">
        <f aca="false">IFERROR(INDEX($B$5:$C$173, MATCH($D81, $B$5:$B$175, 0), 2), 0)*investment!$C$4</f>
        <v>0</v>
      </c>
      <c r="F81" s="17" t="n">
        <f aca="false">demand!E79</f>
        <v>0</v>
      </c>
      <c r="G81" s="2" t="n">
        <f aca="false">solgen!E79</f>
        <v>0</v>
      </c>
      <c r="H81" s="2" t="n">
        <f aca="false">import!E79</f>
        <v>0</v>
      </c>
      <c r="I81" s="2" t="n">
        <f aca="false">-export!E79</f>
        <v>-0</v>
      </c>
      <c r="J81" s="2" t="n">
        <f aca="false">-charge!E79</f>
        <v>-0</v>
      </c>
      <c r="K81" s="2" t="n">
        <f aca="false">discharge!E79</f>
        <v>0</v>
      </c>
      <c r="L81" s="2" t="n">
        <f aca="false">soc!E79/investment!$E$4 *100</f>
        <v>2.84486057500459</v>
      </c>
    </row>
    <row r="82" customFormat="false" ht="13.8" hidden="false" customHeight="false" outlineLevel="0" collapsed="false">
      <c r="B82" s="10" t="n">
        <f aca="false">_xlfn.NUMBERVALUE(solar!B79)</f>
        <v>157</v>
      </c>
      <c r="C82" s="11" t="n">
        <f aca="false">solar!C79</f>
        <v>0</v>
      </c>
      <c r="D82" s="5" t="n">
        <v>78</v>
      </c>
      <c r="E82" s="16" t="n">
        <f aca="false">IFERROR(INDEX($B$5:$C$173, MATCH($D82, $B$5:$B$175, 0), 2), 0)*investment!$C$4</f>
        <v>0</v>
      </c>
      <c r="F82" s="17" t="n">
        <f aca="false">demand!E80</f>
        <v>0</v>
      </c>
      <c r="G82" s="2" t="n">
        <f aca="false">solgen!E80</f>
        <v>0</v>
      </c>
      <c r="H82" s="2" t="n">
        <f aca="false">import!E80</f>
        <v>0</v>
      </c>
      <c r="I82" s="2" t="n">
        <f aca="false">-export!E80</f>
        <v>-0</v>
      </c>
      <c r="J82" s="2" t="n">
        <f aca="false">-charge!E80</f>
        <v>-0</v>
      </c>
      <c r="K82" s="2" t="n">
        <f aca="false">discharge!E80</f>
        <v>0</v>
      </c>
      <c r="L82" s="2" t="n">
        <f aca="false">soc!E80/investment!$E$4 *100</f>
        <v>0</v>
      </c>
    </row>
    <row r="83" customFormat="false" ht="13.8" hidden="false" customHeight="false" outlineLevel="0" collapsed="false">
      <c r="B83" s="10" t="n">
        <f aca="false">_xlfn.NUMBERVALUE(solar!B80)</f>
        <v>158</v>
      </c>
      <c r="C83" s="11" t="n">
        <f aca="false">solar!C80</f>
        <v>0</v>
      </c>
      <c r="D83" s="5" t="n">
        <v>79</v>
      </c>
      <c r="E83" s="16" t="n">
        <f aca="false">IFERROR(INDEX($B$5:$C$173, MATCH($D83, $B$5:$B$175, 0), 2), 0)*investment!$C$4</f>
        <v>0</v>
      </c>
      <c r="F83" s="17" t="n">
        <f aca="false">demand!E81</f>
        <v>0</v>
      </c>
      <c r="G83" s="2" t="n">
        <f aca="false">solgen!E81</f>
        <v>0</v>
      </c>
      <c r="H83" s="2" t="n">
        <f aca="false">import!E81</f>
        <v>0</v>
      </c>
      <c r="I83" s="2" t="n">
        <f aca="false">-export!E81</f>
        <v>-0</v>
      </c>
      <c r="J83" s="2" t="n">
        <f aca="false">-charge!E81</f>
        <v>-0</v>
      </c>
      <c r="K83" s="2" t="n">
        <f aca="false">discharge!E81</f>
        <v>0</v>
      </c>
      <c r="L83" s="2" t="n">
        <f aca="false">soc!E81/investment!$E$4 *100</f>
        <v>0</v>
      </c>
    </row>
    <row r="84" customFormat="false" ht="13.8" hidden="false" customHeight="false" outlineLevel="0" collapsed="false">
      <c r="B84" s="10" t="n">
        <f aca="false">_xlfn.NUMBERVALUE(solar!B81)</f>
        <v>159</v>
      </c>
      <c r="C84" s="11" t="n">
        <f aca="false">solar!C81</f>
        <v>0</v>
      </c>
      <c r="D84" s="5" t="n">
        <v>80</v>
      </c>
      <c r="E84" s="16" t="n">
        <f aca="false">IFERROR(INDEX($B$5:$C$173, MATCH($D84, $B$5:$B$175, 0), 2), 0)*investment!$C$4</f>
        <v>0</v>
      </c>
      <c r="F84" s="17" t="n">
        <f aca="false">demand!E82</f>
        <v>0</v>
      </c>
      <c r="G84" s="2" t="n">
        <f aca="false">solgen!E82</f>
        <v>0</v>
      </c>
      <c r="H84" s="2" t="n">
        <f aca="false">import!E82</f>
        <v>0</v>
      </c>
      <c r="I84" s="2" t="n">
        <f aca="false">-export!E82</f>
        <v>-0</v>
      </c>
      <c r="J84" s="2" t="n">
        <f aca="false">-charge!E82</f>
        <v>-0</v>
      </c>
      <c r="K84" s="2" t="n">
        <f aca="false">discharge!E82</f>
        <v>0</v>
      </c>
      <c r="L84" s="2" t="n">
        <f aca="false">soc!E82/investment!$E$4 *100</f>
        <v>0</v>
      </c>
    </row>
    <row r="85" customFormat="false" ht="13.8" hidden="false" customHeight="false" outlineLevel="0" collapsed="false">
      <c r="B85" s="10" t="n">
        <f aca="false">_xlfn.NUMBERVALUE(solar!B82)</f>
        <v>160</v>
      </c>
      <c r="C85" s="11" t="n">
        <f aca="false">solar!C82</f>
        <v>0</v>
      </c>
      <c r="D85" s="5" t="n">
        <v>81</v>
      </c>
      <c r="E85" s="16" t="n">
        <f aca="false">IFERROR(INDEX($B$5:$C$173, MATCH($D85, $B$5:$B$175, 0), 2), 0)*investment!$C$4</f>
        <v>0</v>
      </c>
      <c r="F85" s="17" t="n">
        <f aca="false">demand!E83</f>
        <v>0</v>
      </c>
      <c r="G85" s="2" t="n">
        <f aca="false">solgen!E83</f>
        <v>0</v>
      </c>
      <c r="H85" s="2" t="n">
        <f aca="false">import!E83</f>
        <v>0</v>
      </c>
      <c r="I85" s="2" t="n">
        <f aca="false">-export!E83</f>
        <v>-0</v>
      </c>
      <c r="J85" s="2" t="n">
        <f aca="false">-charge!E83</f>
        <v>-0</v>
      </c>
      <c r="K85" s="2" t="n">
        <f aca="false">discharge!E83</f>
        <v>0</v>
      </c>
      <c r="L85" s="2" t="n">
        <f aca="false">soc!E83/investment!$E$4 *100</f>
        <v>0</v>
      </c>
    </row>
    <row r="86" customFormat="false" ht="13.8" hidden="false" customHeight="false" outlineLevel="0" collapsed="false">
      <c r="B86" s="10" t="n">
        <f aca="false">_xlfn.NUMBERVALUE(solar!B83)</f>
        <v>161</v>
      </c>
      <c r="C86" s="11" t="n">
        <f aca="false">solar!C83</f>
        <v>0</v>
      </c>
      <c r="D86" s="5" t="n">
        <v>82</v>
      </c>
      <c r="E86" s="16" t="n">
        <f aca="false">IFERROR(INDEX($B$5:$C$173, MATCH($D86, $B$5:$B$175, 0), 2), 0)*investment!$C$4</f>
        <v>0</v>
      </c>
      <c r="F86" s="17" t="n">
        <f aca="false">demand!E84</f>
        <v>0</v>
      </c>
      <c r="G86" s="2" t="n">
        <f aca="false">solgen!E84</f>
        <v>0</v>
      </c>
      <c r="H86" s="2" t="n">
        <f aca="false">import!E84</f>
        <v>0</v>
      </c>
      <c r="I86" s="2" t="n">
        <f aca="false">-export!E84</f>
        <v>-0</v>
      </c>
      <c r="J86" s="2" t="n">
        <f aca="false">-charge!E84</f>
        <v>-0</v>
      </c>
      <c r="K86" s="2" t="n">
        <f aca="false">discharge!E84</f>
        <v>0</v>
      </c>
      <c r="L86" s="2" t="n">
        <f aca="false">soc!E84/investment!$E$4 *100</f>
        <v>0</v>
      </c>
    </row>
    <row r="87" customFormat="false" ht="13.8" hidden="false" customHeight="false" outlineLevel="0" collapsed="false">
      <c r="B87" s="10" t="n">
        <f aca="false">_xlfn.NUMBERVALUE(solar!B84)</f>
        <v>162</v>
      </c>
      <c r="C87" s="11" t="n">
        <f aca="false">solar!C84</f>
        <v>0</v>
      </c>
      <c r="D87" s="5" t="n">
        <v>83</v>
      </c>
      <c r="E87" s="16" t="n">
        <f aca="false">IFERROR(INDEX($B$5:$C$173, MATCH($D87, $B$5:$B$175, 0), 2), 0)*investment!$C$4</f>
        <v>0</v>
      </c>
      <c r="F87" s="17" t="n">
        <f aca="false">demand!E85</f>
        <v>0</v>
      </c>
      <c r="G87" s="2" t="n">
        <f aca="false">solgen!E85</f>
        <v>0</v>
      </c>
      <c r="H87" s="2" t="n">
        <f aca="false">import!E85</f>
        <v>0</v>
      </c>
      <c r="I87" s="2" t="n">
        <f aca="false">-export!E85</f>
        <v>-0</v>
      </c>
      <c r="J87" s="2" t="n">
        <f aca="false">-charge!E85</f>
        <v>-0</v>
      </c>
      <c r="K87" s="2" t="n">
        <f aca="false">discharge!E85</f>
        <v>0</v>
      </c>
      <c r="L87" s="2" t="n">
        <f aca="false">soc!E85/investment!$E$4 *100</f>
        <v>0</v>
      </c>
    </row>
    <row r="88" customFormat="false" ht="13.8" hidden="false" customHeight="false" outlineLevel="0" collapsed="false">
      <c r="B88" s="10" t="n">
        <f aca="false">_xlfn.NUMBERVALUE(solar!B85)</f>
        <v>163</v>
      </c>
      <c r="C88" s="11" t="n">
        <f aca="false">solar!C85</f>
        <v>0</v>
      </c>
      <c r="D88" s="5" t="n">
        <v>84</v>
      </c>
      <c r="E88" s="16" t="n">
        <f aca="false">IFERROR(INDEX($B$5:$C$173, MATCH($D88, $B$5:$B$175, 0), 2), 0)*investment!$C$4</f>
        <v>0</v>
      </c>
      <c r="F88" s="17" t="n">
        <f aca="false">demand!E86</f>
        <v>0</v>
      </c>
      <c r="G88" s="2" t="n">
        <f aca="false">solgen!E86</f>
        <v>0</v>
      </c>
      <c r="H88" s="2" t="n">
        <f aca="false">import!E86</f>
        <v>0</v>
      </c>
      <c r="I88" s="2" t="n">
        <f aca="false">-export!E86</f>
        <v>-0</v>
      </c>
      <c r="J88" s="2" t="n">
        <f aca="false">-charge!E86</f>
        <v>-0</v>
      </c>
      <c r="K88" s="2" t="n">
        <f aca="false">discharge!E86</f>
        <v>0</v>
      </c>
      <c r="L88" s="2" t="n">
        <f aca="false">soc!E86/investment!$E$4 *100</f>
        <v>5.25256934079135</v>
      </c>
    </row>
    <row r="89" customFormat="false" ht="13.8" hidden="false" customHeight="false" outlineLevel="0" collapsed="false">
      <c r="B89" s="10" t="n">
        <f aca="false">_xlfn.NUMBERVALUE(solar!B86)</f>
        <v>0</v>
      </c>
      <c r="C89" s="11" t="n">
        <f aca="false">solar!C86</f>
        <v>0</v>
      </c>
      <c r="D89" s="5" t="n">
        <v>85</v>
      </c>
      <c r="E89" s="16" t="n">
        <f aca="false">IFERROR(INDEX($B$5:$C$173, MATCH($D89, $B$5:$B$175, 0), 2), 0)*investment!$C$4</f>
        <v>0</v>
      </c>
      <c r="F89" s="17" t="n">
        <f aca="false">demand!E87</f>
        <v>0</v>
      </c>
      <c r="G89" s="2" t="n">
        <f aca="false">solgen!E87</f>
        <v>0</v>
      </c>
      <c r="H89" s="2" t="n">
        <f aca="false">import!E87</f>
        <v>0</v>
      </c>
      <c r="I89" s="2" t="n">
        <f aca="false">-export!E87</f>
        <v>-0</v>
      </c>
      <c r="J89" s="2" t="n">
        <f aca="false">-charge!E87</f>
        <v>-0</v>
      </c>
      <c r="K89" s="2" t="n">
        <f aca="false">discharge!E87</f>
        <v>0</v>
      </c>
      <c r="L89" s="2" t="n">
        <f aca="false">soc!E87/investment!$E$4 *100</f>
        <v>27.9089060886301</v>
      </c>
    </row>
    <row r="90" customFormat="false" ht="13.8" hidden="false" customHeight="false" outlineLevel="0" collapsed="false">
      <c r="B90" s="10" t="n">
        <f aca="false">_xlfn.NUMBERVALUE(solar!B87)</f>
        <v>0</v>
      </c>
      <c r="C90" s="11" t="n">
        <f aca="false">solar!C87</f>
        <v>0</v>
      </c>
      <c r="D90" s="5" t="n">
        <v>86</v>
      </c>
      <c r="E90" s="16" t="n">
        <f aca="false">IFERROR(INDEX($B$5:$C$173, MATCH($D90, $B$5:$B$175, 0), 2), 0)*investment!$C$4</f>
        <v>0</v>
      </c>
      <c r="F90" s="17" t="n">
        <f aca="false">demand!E88</f>
        <v>0</v>
      </c>
      <c r="G90" s="2" t="n">
        <f aca="false">solgen!E88</f>
        <v>0</v>
      </c>
      <c r="H90" s="2" t="n">
        <f aca="false">import!E88</f>
        <v>0</v>
      </c>
      <c r="I90" s="2" t="n">
        <f aca="false">-export!E88</f>
        <v>-0</v>
      </c>
      <c r="J90" s="2" t="n">
        <f aca="false">-charge!E88</f>
        <v>-0</v>
      </c>
      <c r="K90" s="2" t="n">
        <f aca="false">discharge!E88</f>
        <v>0</v>
      </c>
      <c r="L90" s="2" t="n">
        <f aca="false">soc!E88/investment!$E$4 *100</f>
        <v>45.3407420814527</v>
      </c>
    </row>
    <row r="91" customFormat="false" ht="13.8" hidden="false" customHeight="false" outlineLevel="0" collapsed="false">
      <c r="B91" s="10" t="n">
        <f aca="false">_xlfn.NUMBERVALUE(solar!B88)</f>
        <v>0</v>
      </c>
      <c r="C91" s="11" t="n">
        <f aca="false">solar!C88</f>
        <v>0</v>
      </c>
      <c r="D91" s="5" t="n">
        <v>87</v>
      </c>
      <c r="E91" s="16" t="n">
        <f aca="false">IFERROR(INDEX($B$5:$C$173, MATCH($D91, $B$5:$B$175, 0), 2), 0)*investment!$C$4</f>
        <v>0</v>
      </c>
      <c r="F91" s="17" t="n">
        <f aca="false">demand!E89</f>
        <v>0</v>
      </c>
      <c r="G91" s="2" t="n">
        <f aca="false">solgen!E89</f>
        <v>0</v>
      </c>
      <c r="H91" s="2" t="n">
        <f aca="false">import!E89</f>
        <v>0</v>
      </c>
      <c r="I91" s="2" t="n">
        <f aca="false">-export!E89</f>
        <v>-0</v>
      </c>
      <c r="J91" s="2" t="n">
        <f aca="false">-charge!E89</f>
        <v>-0</v>
      </c>
      <c r="K91" s="2" t="n">
        <f aca="false">discharge!E89</f>
        <v>0</v>
      </c>
      <c r="L91" s="2" t="n">
        <f aca="false">soc!E89/investment!$E$4 *100</f>
        <v>54.1276693439877</v>
      </c>
    </row>
    <row r="92" customFormat="false" ht="13.8" hidden="false" customHeight="false" outlineLevel="0" collapsed="false">
      <c r="B92" s="10" t="n">
        <f aca="false">_xlfn.NUMBERVALUE(solar!B89)</f>
        <v>0</v>
      </c>
      <c r="C92" s="11" t="n">
        <f aca="false">solar!C89</f>
        <v>0</v>
      </c>
      <c r="D92" s="5" t="n">
        <v>88</v>
      </c>
      <c r="E92" s="16" t="n">
        <f aca="false">IFERROR(INDEX($B$5:$C$173, MATCH($D92, $B$5:$B$175, 0), 2), 0)*investment!$C$4</f>
        <v>0</v>
      </c>
      <c r="F92" s="17" t="n">
        <f aca="false">demand!E90</f>
        <v>0</v>
      </c>
      <c r="G92" s="2" t="n">
        <f aca="false">solgen!E90</f>
        <v>0</v>
      </c>
      <c r="H92" s="2" t="n">
        <f aca="false">import!E90</f>
        <v>0</v>
      </c>
      <c r="I92" s="2" t="n">
        <f aca="false">-export!E90</f>
        <v>-0</v>
      </c>
      <c r="J92" s="2" t="n">
        <f aca="false">-charge!E90</f>
        <v>-0</v>
      </c>
      <c r="K92" s="2" t="n">
        <f aca="false">discharge!E90</f>
        <v>0</v>
      </c>
      <c r="L92" s="2" t="n">
        <f aca="false">soc!E90/investment!$E$4 *100</f>
        <v>56.4666840159442</v>
      </c>
    </row>
    <row r="93" customFormat="false" ht="13.8" hidden="false" customHeight="false" outlineLevel="0" collapsed="false">
      <c r="B93" s="10" t="n">
        <f aca="false">_xlfn.NUMBERVALUE(solar!B90)</f>
        <v>0</v>
      </c>
      <c r="C93" s="11" t="n">
        <f aca="false">solar!C90</f>
        <v>0</v>
      </c>
      <c r="D93" s="5" t="n">
        <v>89</v>
      </c>
      <c r="E93" s="16" t="n">
        <f aca="false">IFERROR(INDEX($B$5:$C$173, MATCH($D93, $B$5:$B$175, 0), 2), 0)*investment!$C$4</f>
        <v>0</v>
      </c>
      <c r="F93" s="17" t="n">
        <f aca="false">demand!E91</f>
        <v>0</v>
      </c>
      <c r="G93" s="2" t="n">
        <f aca="false">solgen!E91</f>
        <v>0</v>
      </c>
      <c r="H93" s="2" t="n">
        <f aca="false">import!E91</f>
        <v>0</v>
      </c>
      <c r="I93" s="2" t="n">
        <f aca="false">-export!E91</f>
        <v>-0</v>
      </c>
      <c r="J93" s="2" t="n">
        <f aca="false">-charge!E91</f>
        <v>-0</v>
      </c>
      <c r="K93" s="2" t="n">
        <f aca="false">discharge!E91</f>
        <v>0</v>
      </c>
      <c r="L93" s="2" t="n">
        <f aca="false">soc!E91/investment!$E$4 *100</f>
        <v>51.8989544757164</v>
      </c>
    </row>
    <row r="94" customFormat="false" ht="13.8" hidden="false" customHeight="false" outlineLevel="0" collapsed="false">
      <c r="B94" s="10" t="n">
        <f aca="false">_xlfn.NUMBERVALUE(solar!B91)</f>
        <v>0</v>
      </c>
      <c r="C94" s="11" t="n">
        <f aca="false">solar!C91</f>
        <v>0</v>
      </c>
      <c r="D94" s="5" t="n">
        <v>90</v>
      </c>
      <c r="E94" s="16" t="n">
        <f aca="false">IFERROR(INDEX($B$5:$C$173, MATCH($D94, $B$5:$B$175, 0), 2), 0)*investment!$C$4</f>
        <v>0</v>
      </c>
      <c r="F94" s="17" t="n">
        <f aca="false">demand!E92</f>
        <v>0</v>
      </c>
      <c r="G94" s="2" t="n">
        <f aca="false">solgen!E92</f>
        <v>0</v>
      </c>
      <c r="H94" s="2" t="n">
        <f aca="false">import!E92</f>
        <v>0</v>
      </c>
      <c r="I94" s="2" t="n">
        <f aca="false">-export!E92</f>
        <v>-0</v>
      </c>
      <c r="J94" s="2" t="n">
        <f aca="false">-charge!E92</f>
        <v>-0</v>
      </c>
      <c r="K94" s="2" t="n">
        <f aca="false">discharge!E92</f>
        <v>0</v>
      </c>
      <c r="L94" s="2" t="n">
        <f aca="false">soc!E92/investment!$E$4 *100</f>
        <v>44.3090109625007</v>
      </c>
    </row>
    <row r="95" customFormat="false" ht="13.8" hidden="false" customHeight="false" outlineLevel="0" collapsed="false">
      <c r="B95" s="10" t="n">
        <f aca="false">_xlfn.NUMBERVALUE(solar!B92)</f>
        <v>0</v>
      </c>
      <c r="C95" s="11" t="n">
        <f aca="false">solar!C92</f>
        <v>0</v>
      </c>
      <c r="D95" s="5" t="n">
        <v>91</v>
      </c>
      <c r="E95" s="16" t="n">
        <f aca="false">IFERROR(INDEX($B$5:$C$173, MATCH($D95, $B$5:$B$175, 0), 2), 0)*investment!$C$4</f>
        <v>0</v>
      </c>
      <c r="F95" s="17" t="n">
        <f aca="false">demand!E93</f>
        <v>0</v>
      </c>
      <c r="G95" s="2" t="n">
        <f aca="false">solgen!E93</f>
        <v>0</v>
      </c>
      <c r="H95" s="2" t="n">
        <f aca="false">import!E93</f>
        <v>0</v>
      </c>
      <c r="I95" s="2" t="n">
        <f aca="false">-export!E93</f>
        <v>-0</v>
      </c>
      <c r="J95" s="2" t="n">
        <f aca="false">-charge!E93</f>
        <v>-0</v>
      </c>
      <c r="K95" s="2" t="n">
        <f aca="false">discharge!E93</f>
        <v>0</v>
      </c>
      <c r="L95" s="2" t="n">
        <f aca="false">soc!E93/investment!$E$4 *100</f>
        <v>37.2456051145162</v>
      </c>
    </row>
    <row r="96" customFormat="false" ht="13.8" hidden="false" customHeight="false" outlineLevel="0" collapsed="false">
      <c r="B96" s="10" t="n">
        <f aca="false">_xlfn.NUMBERVALUE(solar!B93)</f>
        <v>0</v>
      </c>
      <c r="C96" s="11" t="n">
        <f aca="false">solar!C93</f>
        <v>0</v>
      </c>
      <c r="D96" s="5" t="n">
        <v>92</v>
      </c>
      <c r="E96" s="16" t="n">
        <f aca="false">IFERROR(INDEX($B$5:$C$173, MATCH($D96, $B$5:$B$175, 0), 2), 0)*investment!$C$4</f>
        <v>0</v>
      </c>
      <c r="F96" s="17" t="n">
        <f aca="false">demand!E94</f>
        <v>0</v>
      </c>
      <c r="G96" s="2" t="n">
        <f aca="false">solgen!E94</f>
        <v>0</v>
      </c>
      <c r="H96" s="2" t="n">
        <f aca="false">import!E94</f>
        <v>0</v>
      </c>
      <c r="I96" s="2" t="n">
        <f aca="false">-export!E94</f>
        <v>-0</v>
      </c>
      <c r="J96" s="2" t="n">
        <f aca="false">-charge!E94</f>
        <v>-0</v>
      </c>
      <c r="K96" s="2" t="n">
        <f aca="false">discharge!E94</f>
        <v>0</v>
      </c>
      <c r="L96" s="2" t="n">
        <f aca="false">soc!E94/investment!$E$4 *100</f>
        <v>33.3126308010058</v>
      </c>
    </row>
    <row r="97" customFormat="false" ht="13.8" hidden="false" customHeight="false" outlineLevel="0" collapsed="false">
      <c r="B97" s="10" t="n">
        <f aca="false">_xlfn.NUMBERVALUE(solar!B94)</f>
        <v>0</v>
      </c>
      <c r="C97" s="11" t="n">
        <f aca="false">solar!C94</f>
        <v>0</v>
      </c>
      <c r="D97" s="5" t="n">
        <v>93</v>
      </c>
      <c r="E97" s="16" t="n">
        <f aca="false">IFERROR(INDEX($B$5:$C$173, MATCH($D97, $B$5:$B$175, 0), 2), 0)*investment!$C$4</f>
        <v>0</v>
      </c>
      <c r="F97" s="17" t="n">
        <f aca="false">demand!E95</f>
        <v>0</v>
      </c>
      <c r="G97" s="2" t="n">
        <f aca="false">solgen!E95</f>
        <v>0</v>
      </c>
      <c r="H97" s="2" t="n">
        <f aca="false">import!E95</f>
        <v>0</v>
      </c>
      <c r="I97" s="2" t="n">
        <f aca="false">-export!E95</f>
        <v>-0</v>
      </c>
      <c r="J97" s="2" t="n">
        <f aca="false">-charge!E95</f>
        <v>-0</v>
      </c>
      <c r="K97" s="2" t="n">
        <f aca="false">discharge!E95</f>
        <v>0</v>
      </c>
      <c r="L97" s="2" t="n">
        <f aca="false">soc!E95/investment!$E$4 *100</f>
        <v>29.990089266364</v>
      </c>
    </row>
    <row r="98" customFormat="false" ht="13.8" hidden="false" customHeight="false" outlineLevel="0" collapsed="false">
      <c r="B98" s="10" t="n">
        <f aca="false">_xlfn.NUMBERVALUE(solar!B95)</f>
        <v>0</v>
      </c>
      <c r="C98" s="11" t="n">
        <f aca="false">solar!C95</f>
        <v>0</v>
      </c>
      <c r="D98" s="5" t="n">
        <v>94</v>
      </c>
      <c r="E98" s="16" t="n">
        <f aca="false">IFERROR(INDEX($B$5:$C$173, MATCH($D98, $B$5:$B$175, 0), 2), 0)*investment!$C$4</f>
        <v>0</v>
      </c>
      <c r="F98" s="17" t="n">
        <f aca="false">demand!E96</f>
        <v>0</v>
      </c>
      <c r="G98" s="2" t="n">
        <f aca="false">solgen!E96</f>
        <v>0</v>
      </c>
      <c r="H98" s="2" t="n">
        <f aca="false">import!E96</f>
        <v>0</v>
      </c>
      <c r="I98" s="2" t="n">
        <f aca="false">-export!E96</f>
        <v>-0</v>
      </c>
      <c r="J98" s="2" t="n">
        <f aca="false">-charge!E96</f>
        <v>-0</v>
      </c>
      <c r="K98" s="2" t="n">
        <f aca="false">discharge!E96</f>
        <v>0</v>
      </c>
      <c r="L98" s="2" t="n">
        <f aca="false">soc!E96/investment!$E$4 *100</f>
        <v>27.1994787309018</v>
      </c>
    </row>
    <row r="99" customFormat="false" ht="13.8" hidden="false" customHeight="false" outlineLevel="0" collapsed="false">
      <c r="B99" s="10" t="n">
        <f aca="false">_xlfn.NUMBERVALUE(solar!B96)</f>
        <v>0</v>
      </c>
      <c r="C99" s="11" t="n">
        <f aca="false">solar!C96</f>
        <v>0</v>
      </c>
      <c r="D99" s="5" t="n">
        <v>95</v>
      </c>
      <c r="E99" s="16" t="n">
        <f aca="false">IFERROR(INDEX($B$5:$C$173, MATCH($D99, $B$5:$B$175, 0), 2), 0)*investment!$C$4</f>
        <v>0</v>
      </c>
      <c r="F99" s="17" t="n">
        <f aca="false">demand!E97</f>
        <v>0</v>
      </c>
      <c r="G99" s="2" t="n">
        <f aca="false">solgen!E97</f>
        <v>0</v>
      </c>
      <c r="H99" s="2" t="n">
        <f aca="false">import!E97</f>
        <v>0</v>
      </c>
      <c r="I99" s="2" t="n">
        <f aca="false">-export!E97</f>
        <v>-0</v>
      </c>
      <c r="J99" s="2" t="n">
        <f aca="false">-charge!E97</f>
        <v>-0</v>
      </c>
      <c r="K99" s="2" t="n">
        <f aca="false">discharge!E97</f>
        <v>0</v>
      </c>
      <c r="L99" s="2" t="n">
        <f aca="false">soc!E97/investment!$E$4 *100</f>
        <v>25.2808624525402</v>
      </c>
    </row>
    <row r="100" customFormat="false" ht="13.8" hidden="false" customHeight="false" outlineLevel="0" collapsed="false">
      <c r="B100" s="10" t="n">
        <f aca="false">_xlfn.NUMBERVALUE(solar!B97)</f>
        <v>0</v>
      </c>
      <c r="C100" s="11" t="n">
        <f aca="false">solar!C97</f>
        <v>0</v>
      </c>
      <c r="D100" s="5" t="n">
        <v>96</v>
      </c>
      <c r="E100" s="16" t="n">
        <f aca="false">IFERROR(INDEX($B$5:$C$173, MATCH($D100, $B$5:$B$175, 0), 2), 0)*investment!$C$4</f>
        <v>0</v>
      </c>
      <c r="F100" s="17" t="n">
        <f aca="false">demand!E98</f>
        <v>0</v>
      </c>
      <c r="G100" s="2" t="n">
        <f aca="false">solgen!E98</f>
        <v>0</v>
      </c>
      <c r="H100" s="2" t="n">
        <f aca="false">import!E98</f>
        <v>0</v>
      </c>
      <c r="I100" s="2" t="n">
        <f aca="false">-export!E98</f>
        <v>-0</v>
      </c>
      <c r="J100" s="2" t="n">
        <f aca="false">-charge!E98</f>
        <v>-0</v>
      </c>
      <c r="K100" s="2" t="n">
        <f aca="false">discharge!E98</f>
        <v>0</v>
      </c>
      <c r="L100" s="2" t="n">
        <f aca="false">soc!E98/investment!$E$4 *100</f>
        <v>21.6270506215179</v>
      </c>
    </row>
    <row r="101" customFormat="false" ht="13.8" hidden="false" customHeight="false" outlineLevel="0" collapsed="false">
      <c r="B101" s="10" t="n">
        <f aca="false">_xlfn.NUMBERVALUE(solar!B98)</f>
        <v>0</v>
      </c>
      <c r="C101" s="11" t="n">
        <f aca="false">solar!C98</f>
        <v>0</v>
      </c>
      <c r="D101" s="5" t="n">
        <v>97</v>
      </c>
      <c r="E101" s="16" t="n">
        <f aca="false">IFERROR(INDEX($B$5:$C$173, MATCH($D101, $B$5:$B$175, 0), 2), 0)*investment!$C$4</f>
        <v>0</v>
      </c>
      <c r="F101" s="17" t="n">
        <f aca="false">demand!E99</f>
        <v>0</v>
      </c>
      <c r="G101" s="2" t="n">
        <f aca="false">solgen!E99</f>
        <v>0</v>
      </c>
      <c r="H101" s="2" t="n">
        <f aca="false">import!E99</f>
        <v>0</v>
      </c>
      <c r="I101" s="2" t="n">
        <f aca="false">-export!E99</f>
        <v>-0</v>
      </c>
      <c r="J101" s="2" t="n">
        <f aca="false">-charge!E99</f>
        <v>-0</v>
      </c>
      <c r="K101" s="2" t="n">
        <f aca="false">discharge!E99</f>
        <v>0</v>
      </c>
      <c r="L101" s="2" t="n">
        <f aca="false">soc!E99/investment!$E$4 *100</f>
        <v>18.0430190339506</v>
      </c>
    </row>
    <row r="102" customFormat="false" ht="13.8" hidden="false" customHeight="false" outlineLevel="0" collapsed="false">
      <c r="B102" s="10" t="n">
        <f aca="false">_xlfn.NUMBERVALUE(solar!B99)</f>
        <v>0</v>
      </c>
      <c r="C102" s="11" t="n">
        <f aca="false">solar!C99</f>
        <v>0</v>
      </c>
      <c r="D102" s="5" t="n">
        <v>98</v>
      </c>
      <c r="E102" s="16" t="n">
        <f aca="false">IFERROR(INDEX($B$5:$C$173, MATCH($D102, $B$5:$B$175, 0), 2), 0)*investment!$C$4</f>
        <v>0</v>
      </c>
      <c r="F102" s="17" t="n">
        <f aca="false">demand!E100</f>
        <v>0</v>
      </c>
      <c r="G102" s="2" t="n">
        <f aca="false">solgen!E100</f>
        <v>0</v>
      </c>
      <c r="H102" s="2" t="n">
        <f aca="false">import!E100</f>
        <v>0</v>
      </c>
      <c r="I102" s="2" t="n">
        <f aca="false">-export!E100</f>
        <v>-0</v>
      </c>
      <c r="J102" s="2" t="n">
        <f aca="false">-charge!E100</f>
        <v>-0</v>
      </c>
      <c r="K102" s="2" t="n">
        <f aca="false">discharge!E100</f>
        <v>0</v>
      </c>
      <c r="L102" s="2" t="n">
        <f aca="false">soc!E100/investment!$E$4 *100</f>
        <v>14.1058777647175</v>
      </c>
    </row>
    <row r="103" customFormat="false" ht="13.8" hidden="false" customHeight="false" outlineLevel="0" collapsed="false">
      <c r="B103" s="10" t="n">
        <f aca="false">_xlfn.NUMBERVALUE(solar!B100)</f>
        <v>0</v>
      </c>
      <c r="C103" s="11" t="n">
        <f aca="false">solar!C100</f>
        <v>0</v>
      </c>
      <c r="D103" s="5" t="n">
        <v>99</v>
      </c>
      <c r="E103" s="16" t="n">
        <f aca="false">IFERROR(INDEX($B$5:$C$173, MATCH($D103, $B$5:$B$175, 0), 2), 0)*investment!$C$4</f>
        <v>0</v>
      </c>
      <c r="F103" s="17" t="n">
        <f aca="false">demand!E101</f>
        <v>0</v>
      </c>
      <c r="G103" s="2" t="n">
        <f aca="false">solgen!E101</f>
        <v>0</v>
      </c>
      <c r="H103" s="2" t="n">
        <f aca="false">import!E101</f>
        <v>0</v>
      </c>
      <c r="I103" s="2" t="n">
        <f aca="false">-export!E101</f>
        <v>-0</v>
      </c>
      <c r="J103" s="2" t="n">
        <f aca="false">-charge!E101</f>
        <v>-0</v>
      </c>
      <c r="K103" s="2" t="n">
        <f aca="false">discharge!E101</f>
        <v>0</v>
      </c>
      <c r="L103" s="2" t="n">
        <f aca="false">soc!E101/investment!$E$4 *100</f>
        <v>10.4434597203751</v>
      </c>
    </row>
    <row r="104" customFormat="false" ht="13.8" hidden="false" customHeight="false" outlineLevel="0" collapsed="false">
      <c r="B104" s="10" t="n">
        <f aca="false">_xlfn.NUMBERVALUE(solar!B101)</f>
        <v>0</v>
      </c>
      <c r="C104" s="11" t="n">
        <f aca="false">solar!C101</f>
        <v>0</v>
      </c>
      <c r="D104" s="5" t="n">
        <v>100</v>
      </c>
      <c r="E104" s="16" t="n">
        <f aca="false">IFERROR(INDEX($B$5:$C$173, MATCH($D104, $B$5:$B$175, 0), 2), 0)*investment!$C$4</f>
        <v>0</v>
      </c>
      <c r="F104" s="17" t="n">
        <f aca="false">demand!E102</f>
        <v>0</v>
      </c>
      <c r="G104" s="2" t="n">
        <f aca="false">solgen!E102</f>
        <v>0</v>
      </c>
      <c r="H104" s="2" t="n">
        <f aca="false">import!E102</f>
        <v>0</v>
      </c>
      <c r="I104" s="2" t="n">
        <f aca="false">-export!E102</f>
        <v>-0</v>
      </c>
      <c r="J104" s="2" t="n">
        <f aca="false">-charge!E102</f>
        <v>-0</v>
      </c>
      <c r="K104" s="2" t="n">
        <f aca="false">discharge!E102</f>
        <v>0</v>
      </c>
      <c r="L104" s="2" t="n">
        <f aca="false">soc!E102/investment!$E$4 *100</f>
        <v>6.7810783002131</v>
      </c>
    </row>
    <row r="105" customFormat="false" ht="13.8" hidden="false" customHeight="false" outlineLevel="0" collapsed="false">
      <c r="B105" s="10" t="n">
        <f aca="false">_xlfn.NUMBERVALUE(solar!B102)</f>
        <v>0</v>
      </c>
      <c r="C105" s="11" t="n">
        <f aca="false">solar!C102</f>
        <v>0</v>
      </c>
      <c r="D105" s="5" t="n">
        <v>101</v>
      </c>
      <c r="E105" s="16" t="n">
        <f aca="false">IFERROR(INDEX($B$5:$C$173, MATCH($D105, $B$5:$B$175, 0), 2), 0)*investment!$C$4</f>
        <v>0</v>
      </c>
      <c r="F105" s="17" t="n">
        <f aca="false">demand!E103</f>
        <v>0</v>
      </c>
      <c r="G105" s="2" t="n">
        <f aca="false">solgen!E103</f>
        <v>0</v>
      </c>
      <c r="H105" s="2" t="n">
        <f aca="false">import!E103</f>
        <v>0</v>
      </c>
      <c r="I105" s="2" t="n">
        <f aca="false">-export!E103</f>
        <v>-0</v>
      </c>
      <c r="J105" s="2" t="n">
        <f aca="false">-charge!E103</f>
        <v>-0</v>
      </c>
      <c r="K105" s="2" t="n">
        <f aca="false">discharge!E103</f>
        <v>0</v>
      </c>
      <c r="L105" s="2" t="n">
        <f aca="false">soc!E103/investment!$E$4 *100</f>
        <v>3.11873350386535</v>
      </c>
    </row>
    <row r="106" customFormat="false" ht="13.8" hidden="false" customHeight="false" outlineLevel="0" collapsed="false">
      <c r="B106" s="10" t="n">
        <f aca="false">_xlfn.NUMBERVALUE(solar!B103)</f>
        <v>0</v>
      </c>
      <c r="C106" s="11" t="n">
        <f aca="false">solar!C103</f>
        <v>0</v>
      </c>
      <c r="D106" s="5" t="n">
        <v>102</v>
      </c>
      <c r="E106" s="16" t="n">
        <f aca="false">IFERROR(INDEX($B$5:$C$173, MATCH($D106, $B$5:$B$175, 0), 2), 0)*investment!$C$4</f>
        <v>0</v>
      </c>
      <c r="F106" s="17" t="n">
        <f aca="false">demand!E104</f>
        <v>0</v>
      </c>
      <c r="G106" s="2" t="n">
        <f aca="false">solgen!E104</f>
        <v>0</v>
      </c>
      <c r="H106" s="2" t="n">
        <f aca="false">import!E104</f>
        <v>0</v>
      </c>
      <c r="I106" s="2" t="n">
        <f aca="false">-export!E104</f>
        <v>-0</v>
      </c>
      <c r="J106" s="2" t="n">
        <f aca="false">-charge!E104</f>
        <v>-0</v>
      </c>
      <c r="K106" s="2" t="n">
        <f aca="false">discharge!E104</f>
        <v>0</v>
      </c>
      <c r="L106" s="2" t="n">
        <f aca="false">soc!E104/investment!$E$4 *100</f>
        <v>0</v>
      </c>
    </row>
    <row r="107" customFormat="false" ht="13.8" hidden="false" customHeight="false" outlineLevel="0" collapsed="false">
      <c r="B107" s="10" t="n">
        <f aca="false">_xlfn.NUMBERVALUE(solar!B104)</f>
        <v>0</v>
      </c>
      <c r="C107" s="11" t="n">
        <f aca="false">solar!C104</f>
        <v>0</v>
      </c>
      <c r="D107" s="5" t="n">
        <v>103</v>
      </c>
      <c r="E107" s="16" t="n">
        <f aca="false">IFERROR(INDEX($B$5:$C$173, MATCH($D107, $B$5:$B$175, 0), 2), 0)*investment!$C$4</f>
        <v>0</v>
      </c>
      <c r="F107" s="17" t="n">
        <f aca="false">demand!E105</f>
        <v>0</v>
      </c>
      <c r="G107" s="2" t="n">
        <f aca="false">solgen!E105</f>
        <v>0</v>
      </c>
      <c r="H107" s="2" t="n">
        <f aca="false">import!E105</f>
        <v>0</v>
      </c>
      <c r="I107" s="2" t="n">
        <f aca="false">-export!E105</f>
        <v>-0</v>
      </c>
      <c r="J107" s="2" t="n">
        <f aca="false">-charge!E105</f>
        <v>-0</v>
      </c>
      <c r="K107" s="2" t="n">
        <f aca="false">discharge!E105</f>
        <v>0</v>
      </c>
      <c r="L107" s="2" t="n">
        <f aca="false">soc!E105/investment!$E$4 *100</f>
        <v>0.0318281231039939</v>
      </c>
    </row>
    <row r="108" customFormat="false" ht="13.8" hidden="false" customHeight="false" outlineLevel="0" collapsed="false">
      <c r="B108" s="10" t="n">
        <f aca="false">_xlfn.NUMBERVALUE(solar!B105)</f>
        <v>0</v>
      </c>
      <c r="C108" s="11" t="n">
        <f aca="false">solar!C105</f>
        <v>0</v>
      </c>
      <c r="D108" s="5" t="n">
        <v>104</v>
      </c>
      <c r="E108" s="16" t="n">
        <f aca="false">IFERROR(INDEX($B$5:$C$173, MATCH($D108, $B$5:$B$175, 0), 2), 0)*investment!$C$4</f>
        <v>0</v>
      </c>
      <c r="F108" s="17" t="n">
        <f aca="false">demand!E106</f>
        <v>0</v>
      </c>
      <c r="G108" s="2" t="n">
        <f aca="false">solgen!E106</f>
        <v>0</v>
      </c>
      <c r="H108" s="2" t="n">
        <f aca="false">import!E106</f>
        <v>0</v>
      </c>
      <c r="I108" s="2" t="n">
        <f aca="false">-export!E106</f>
        <v>-0</v>
      </c>
      <c r="J108" s="2" t="n">
        <f aca="false">-charge!E106</f>
        <v>-0</v>
      </c>
      <c r="K108" s="2" t="n">
        <f aca="false">discharge!E106</f>
        <v>0</v>
      </c>
      <c r="L108" s="2" t="n">
        <f aca="false">soc!E106/investment!$E$4 *100</f>
        <v>0.0318278048227616</v>
      </c>
    </row>
    <row r="109" customFormat="false" ht="13.8" hidden="false" customHeight="false" outlineLevel="0" collapsed="false">
      <c r="B109" s="10" t="n">
        <f aca="false">_xlfn.NUMBERVALUE(solar!B106)</f>
        <v>0</v>
      </c>
      <c r="C109" s="11" t="n">
        <f aca="false">solar!C106</f>
        <v>0</v>
      </c>
      <c r="D109" s="5" t="n">
        <v>105</v>
      </c>
      <c r="E109" s="16" t="n">
        <f aca="false">IFERROR(INDEX($B$5:$C$173, MATCH($D109, $B$5:$B$175, 0), 2), 0)*investment!$C$4</f>
        <v>0</v>
      </c>
      <c r="F109" s="17" t="n">
        <f aca="false">demand!E107</f>
        <v>0</v>
      </c>
      <c r="G109" s="2" t="n">
        <f aca="false">solgen!E107</f>
        <v>0</v>
      </c>
      <c r="H109" s="2" t="n">
        <f aca="false">import!E107</f>
        <v>0</v>
      </c>
      <c r="I109" s="2" t="n">
        <f aca="false">-export!E107</f>
        <v>-0</v>
      </c>
      <c r="J109" s="2" t="n">
        <f aca="false">-charge!E107</f>
        <v>-0</v>
      </c>
      <c r="K109" s="2" t="n">
        <f aca="false">discharge!E107</f>
        <v>0</v>
      </c>
      <c r="L109" s="2" t="n">
        <f aca="false">soc!E107/investment!$E$4 *100</f>
        <v>0.0318274865447133</v>
      </c>
    </row>
    <row r="110" customFormat="false" ht="13.8" hidden="false" customHeight="false" outlineLevel="0" collapsed="false">
      <c r="B110" s="10" t="n">
        <f aca="false">_xlfn.NUMBERVALUE(solar!B107)</f>
        <v>0</v>
      </c>
      <c r="C110" s="11" t="n">
        <f aca="false">solar!C107</f>
        <v>0</v>
      </c>
      <c r="D110" s="5" t="n">
        <v>106</v>
      </c>
      <c r="E110" s="16" t="n">
        <f aca="false">IFERROR(INDEX($B$5:$C$173, MATCH($D110, $B$5:$B$175, 0), 2), 0)*investment!$C$4</f>
        <v>0</v>
      </c>
      <c r="F110" s="17" t="n">
        <f aca="false">demand!E108</f>
        <v>0</v>
      </c>
      <c r="G110" s="2" t="n">
        <f aca="false">solgen!E108</f>
        <v>0</v>
      </c>
      <c r="H110" s="2" t="n">
        <f aca="false">import!E108</f>
        <v>0</v>
      </c>
      <c r="I110" s="2" t="n">
        <f aca="false">-export!E108</f>
        <v>-0</v>
      </c>
      <c r="J110" s="2" t="n">
        <f aca="false">-charge!E108</f>
        <v>-0</v>
      </c>
      <c r="K110" s="2" t="n">
        <f aca="false">discharge!E108</f>
        <v>0</v>
      </c>
      <c r="L110" s="2" t="n">
        <f aca="false">soc!E108/investment!$E$4 *100</f>
        <v>0.0318271682698471</v>
      </c>
    </row>
    <row r="111" customFormat="false" ht="13.8" hidden="false" customHeight="false" outlineLevel="0" collapsed="false">
      <c r="B111" s="10" t="n">
        <f aca="false">_xlfn.NUMBERVALUE(solar!B108)</f>
        <v>0</v>
      </c>
      <c r="C111" s="11" t="n">
        <f aca="false">solar!C108</f>
        <v>0</v>
      </c>
      <c r="D111" s="5" t="n">
        <v>107</v>
      </c>
      <c r="E111" s="16" t="n">
        <f aca="false">IFERROR(INDEX($B$5:$C$173, MATCH($D111, $B$5:$B$175, 0), 2), 0)*investment!$C$4</f>
        <v>0</v>
      </c>
      <c r="F111" s="17" t="n">
        <f aca="false">demand!E109</f>
        <v>0</v>
      </c>
      <c r="G111" s="2" t="n">
        <f aca="false">solgen!E109</f>
        <v>0</v>
      </c>
      <c r="H111" s="2" t="n">
        <f aca="false">import!E109</f>
        <v>0</v>
      </c>
      <c r="I111" s="2" t="n">
        <f aca="false">-export!E109</f>
        <v>-0</v>
      </c>
      <c r="J111" s="2" t="n">
        <f aca="false">-charge!E109</f>
        <v>-0</v>
      </c>
      <c r="K111" s="2" t="n">
        <f aca="false">discharge!E109</f>
        <v>0</v>
      </c>
      <c r="L111" s="2" t="n">
        <f aca="false">soc!E109/investment!$E$4 *100</f>
        <v>17.4939556943366</v>
      </c>
    </row>
    <row r="112" customFormat="false" ht="13.8" hidden="false" customHeight="false" outlineLevel="0" collapsed="false">
      <c r="B112" s="10" t="n">
        <f aca="false">_xlfn.NUMBERVALUE(solar!B109)</f>
        <v>0</v>
      </c>
      <c r="C112" s="11" t="n">
        <f aca="false">solar!C109</f>
        <v>0</v>
      </c>
      <c r="D112" s="5" t="n">
        <v>108</v>
      </c>
      <c r="E112" s="16" t="n">
        <f aca="false">IFERROR(INDEX($B$5:$C$173, MATCH($D112, $B$5:$B$175, 0), 2), 0)*investment!$C$4</f>
        <v>0</v>
      </c>
      <c r="F112" s="17" t="n">
        <f aca="false">demand!E110</f>
        <v>0</v>
      </c>
      <c r="G112" s="2" t="n">
        <f aca="false">solgen!E110</f>
        <v>0</v>
      </c>
      <c r="H112" s="2" t="n">
        <f aca="false">import!E110</f>
        <v>0</v>
      </c>
      <c r="I112" s="2" t="n">
        <f aca="false">-export!E110</f>
        <v>-0</v>
      </c>
      <c r="J112" s="2" t="n">
        <f aca="false">-charge!E110</f>
        <v>-0</v>
      </c>
      <c r="K112" s="2" t="n">
        <f aca="false">discharge!E110</f>
        <v>0</v>
      </c>
      <c r="L112" s="2" t="n">
        <f aca="false">soc!E110/investment!$E$4 *100</f>
        <v>44.2877256978527</v>
      </c>
    </row>
    <row r="113" customFormat="false" ht="13.8" hidden="false" customHeight="false" outlineLevel="0" collapsed="false">
      <c r="B113" s="10" t="n">
        <f aca="false">_xlfn.NUMBERVALUE(solar!B110)</f>
        <v>0</v>
      </c>
      <c r="C113" s="11" t="n">
        <f aca="false">solar!C110</f>
        <v>0</v>
      </c>
      <c r="D113" s="5" t="n">
        <v>109</v>
      </c>
      <c r="E113" s="16" t="n">
        <f aca="false">IFERROR(INDEX($B$5:$C$173, MATCH($D113, $B$5:$B$175, 0), 2), 0)*investment!$C$4</f>
        <v>0</v>
      </c>
      <c r="F113" s="17" t="n">
        <f aca="false">demand!E111</f>
        <v>0</v>
      </c>
      <c r="G113" s="2" t="n">
        <f aca="false">solgen!E111</f>
        <v>0</v>
      </c>
      <c r="H113" s="2" t="n">
        <f aca="false">import!E111</f>
        <v>0</v>
      </c>
      <c r="I113" s="2" t="n">
        <f aca="false">-export!E111</f>
        <v>-0</v>
      </c>
      <c r="J113" s="2" t="n">
        <f aca="false">-charge!E111</f>
        <v>-0</v>
      </c>
      <c r="K113" s="2" t="n">
        <f aca="false">discharge!E111</f>
        <v>0</v>
      </c>
      <c r="L113" s="2" t="n">
        <f aca="false">soc!E111/investment!$E$4 *100</f>
        <v>69.6485230094742</v>
      </c>
    </row>
    <row r="114" customFormat="false" ht="13.8" hidden="false" customHeight="false" outlineLevel="0" collapsed="false">
      <c r="B114" s="10" t="n">
        <f aca="false">_xlfn.NUMBERVALUE(solar!B111)</f>
        <v>0</v>
      </c>
      <c r="C114" s="11" t="n">
        <f aca="false">solar!C111</f>
        <v>0</v>
      </c>
      <c r="D114" s="5" t="n">
        <v>110</v>
      </c>
      <c r="E114" s="16" t="n">
        <f aca="false">IFERROR(INDEX($B$5:$C$173, MATCH($D114, $B$5:$B$175, 0), 2), 0)*investment!$C$4</f>
        <v>0</v>
      </c>
      <c r="F114" s="17" t="n">
        <f aca="false">demand!E112</f>
        <v>0</v>
      </c>
      <c r="G114" s="2" t="n">
        <f aca="false">solgen!E112</f>
        <v>0</v>
      </c>
      <c r="H114" s="2" t="n">
        <f aca="false">import!E112</f>
        <v>0</v>
      </c>
      <c r="I114" s="2" t="n">
        <f aca="false">-export!E112</f>
        <v>-0</v>
      </c>
      <c r="J114" s="2" t="n">
        <f aca="false">-charge!E112</f>
        <v>-0</v>
      </c>
      <c r="K114" s="2" t="n">
        <f aca="false">discharge!E112</f>
        <v>0</v>
      </c>
      <c r="L114" s="2" t="n">
        <f aca="false">soc!E112/investment!$E$4 *100</f>
        <v>87.7919039970636</v>
      </c>
    </row>
    <row r="115" customFormat="false" ht="13.8" hidden="false" customHeight="false" outlineLevel="0" collapsed="false">
      <c r="B115" s="10" t="n">
        <f aca="false">_xlfn.NUMBERVALUE(solar!B112)</f>
        <v>0</v>
      </c>
      <c r="C115" s="11" t="n">
        <f aca="false">solar!C112</f>
        <v>0</v>
      </c>
      <c r="D115" s="5" t="n">
        <v>111</v>
      </c>
      <c r="E115" s="16" t="n">
        <f aca="false">IFERROR(INDEX($B$5:$C$173, MATCH($D115, $B$5:$B$175, 0), 2), 0)*investment!$C$4</f>
        <v>0</v>
      </c>
      <c r="F115" s="17" t="n">
        <f aca="false">demand!E113</f>
        <v>0</v>
      </c>
      <c r="G115" s="2" t="n">
        <f aca="false">solgen!E113</f>
        <v>0</v>
      </c>
      <c r="H115" s="2" t="n">
        <f aca="false">import!E113</f>
        <v>0</v>
      </c>
      <c r="I115" s="2" t="n">
        <f aca="false">-export!E113</f>
        <v>-0</v>
      </c>
      <c r="J115" s="2" t="n">
        <f aca="false">-charge!E113</f>
        <v>-0</v>
      </c>
      <c r="K115" s="2" t="n">
        <f aca="false">discharge!E113</f>
        <v>0</v>
      </c>
      <c r="L115" s="2" t="n">
        <f aca="false">soc!E113/investment!$E$4 *100</f>
        <v>94.4485968705959</v>
      </c>
    </row>
    <row r="116" customFormat="false" ht="13.8" hidden="false" customHeight="false" outlineLevel="0" collapsed="false">
      <c r="B116" s="10" t="n">
        <f aca="false">_xlfn.NUMBERVALUE(solar!B113)</f>
        <v>0</v>
      </c>
      <c r="C116" s="11" t="n">
        <f aca="false">solar!C113</f>
        <v>0</v>
      </c>
      <c r="D116" s="5" t="n">
        <v>112</v>
      </c>
      <c r="E116" s="16" t="n">
        <f aca="false">IFERROR(INDEX($B$5:$C$173, MATCH($D116, $B$5:$B$175, 0), 2), 0)*investment!$C$4</f>
        <v>0</v>
      </c>
      <c r="F116" s="17" t="n">
        <f aca="false">demand!E114</f>
        <v>0</v>
      </c>
      <c r="G116" s="2" t="n">
        <f aca="false">solgen!E114</f>
        <v>0</v>
      </c>
      <c r="H116" s="2" t="n">
        <f aca="false">import!E114</f>
        <v>0</v>
      </c>
      <c r="I116" s="2" t="n">
        <f aca="false">-export!E114</f>
        <v>-0</v>
      </c>
      <c r="J116" s="2" t="n">
        <f aca="false">-charge!E114</f>
        <v>-0</v>
      </c>
      <c r="K116" s="2" t="n">
        <f aca="false">discharge!E114</f>
        <v>0</v>
      </c>
      <c r="L116" s="2" t="n">
        <f aca="false">soc!E114/investment!$E$4 *100</f>
        <v>99.3065772319727</v>
      </c>
    </row>
    <row r="117" customFormat="false" ht="13.8" hidden="false" customHeight="false" outlineLevel="0" collapsed="false">
      <c r="B117" s="10" t="n">
        <f aca="false">_xlfn.NUMBERVALUE(solar!B114)</f>
        <v>0</v>
      </c>
      <c r="C117" s="11" t="n">
        <f aca="false">solar!C114</f>
        <v>0</v>
      </c>
      <c r="D117" s="5" t="n">
        <v>113</v>
      </c>
      <c r="E117" s="16" t="n">
        <f aca="false">IFERROR(INDEX($B$5:$C$173, MATCH($D117, $B$5:$B$175, 0), 2), 0)*investment!$C$4</f>
        <v>0</v>
      </c>
      <c r="F117" s="17" t="n">
        <f aca="false">demand!E115</f>
        <v>0</v>
      </c>
      <c r="G117" s="2" t="n">
        <f aca="false">solgen!E115</f>
        <v>0</v>
      </c>
      <c r="H117" s="2" t="n">
        <f aca="false">import!E115</f>
        <v>0</v>
      </c>
      <c r="I117" s="2" t="n">
        <f aca="false">-export!E115</f>
        <v>-0</v>
      </c>
      <c r="J117" s="2" t="n">
        <f aca="false">-charge!E115</f>
        <v>-0</v>
      </c>
      <c r="K117" s="2" t="n">
        <f aca="false">discharge!E115</f>
        <v>0</v>
      </c>
      <c r="L117" s="2" t="n">
        <f aca="false">soc!E115/investment!$E$4 *100</f>
        <v>100</v>
      </c>
    </row>
    <row r="118" customFormat="false" ht="13.8" hidden="false" customHeight="false" outlineLevel="0" collapsed="false">
      <c r="B118" s="10" t="n">
        <f aca="false">_xlfn.NUMBERVALUE(solar!B115)</f>
        <v>0</v>
      </c>
      <c r="C118" s="11" t="n">
        <f aca="false">solar!C115</f>
        <v>0</v>
      </c>
      <c r="D118" s="5" t="n">
        <v>114</v>
      </c>
      <c r="E118" s="16" t="n">
        <f aca="false">IFERROR(INDEX($B$5:$C$173, MATCH($D118, $B$5:$B$175, 0), 2), 0)*investment!$C$4</f>
        <v>0</v>
      </c>
      <c r="F118" s="17" t="n">
        <f aca="false">demand!E116</f>
        <v>0</v>
      </c>
      <c r="G118" s="2" t="n">
        <f aca="false">solgen!E116</f>
        <v>0</v>
      </c>
      <c r="H118" s="2" t="n">
        <f aca="false">import!E116</f>
        <v>0</v>
      </c>
      <c r="I118" s="2" t="n">
        <f aca="false">-export!E116</f>
        <v>-0</v>
      </c>
      <c r="J118" s="2" t="n">
        <f aca="false">-charge!E116</f>
        <v>-0</v>
      </c>
      <c r="K118" s="2" t="n">
        <f aca="false">discharge!E116</f>
        <v>0</v>
      </c>
      <c r="L118" s="2" t="n">
        <f aca="false">soc!E116/investment!$E$4 *100</f>
        <v>95.0830183233313</v>
      </c>
    </row>
    <row r="119" customFormat="false" ht="13.8" hidden="false" customHeight="false" outlineLevel="0" collapsed="false">
      <c r="B119" s="10" t="n">
        <f aca="false">_xlfn.NUMBERVALUE(solar!B116)</f>
        <v>0</v>
      </c>
      <c r="C119" s="11" t="n">
        <f aca="false">solar!C116</f>
        <v>0</v>
      </c>
      <c r="D119" s="5" t="n">
        <v>115</v>
      </c>
      <c r="E119" s="16" t="n">
        <f aca="false">IFERROR(INDEX($B$5:$C$173, MATCH($D119, $B$5:$B$175, 0), 2), 0)*investment!$C$4</f>
        <v>0</v>
      </c>
      <c r="F119" s="17" t="n">
        <f aca="false">demand!E117</f>
        <v>0</v>
      </c>
      <c r="G119" s="2" t="n">
        <f aca="false">solgen!E117</f>
        <v>0</v>
      </c>
      <c r="H119" s="2" t="n">
        <f aca="false">import!E117</f>
        <v>0</v>
      </c>
      <c r="I119" s="2" t="n">
        <f aca="false">-export!E117</f>
        <v>-0</v>
      </c>
      <c r="J119" s="2" t="n">
        <f aca="false">-charge!E117</f>
        <v>-0</v>
      </c>
      <c r="K119" s="2" t="n">
        <f aca="false">discharge!E117</f>
        <v>0</v>
      </c>
      <c r="L119" s="2" t="n">
        <f aca="false">soc!E117/investment!$E$4 *100</f>
        <v>88.0442795532167</v>
      </c>
    </row>
    <row r="120" customFormat="false" ht="13.8" hidden="false" customHeight="false" outlineLevel="0" collapsed="false">
      <c r="B120" s="10" t="n">
        <f aca="false">_xlfn.NUMBERVALUE(solar!B117)</f>
        <v>0</v>
      </c>
      <c r="C120" s="11" t="n">
        <f aca="false">solar!C117</f>
        <v>0</v>
      </c>
      <c r="D120" s="5" t="n">
        <v>116</v>
      </c>
      <c r="E120" s="16" t="n">
        <f aca="false">IFERROR(INDEX($B$5:$C$173, MATCH($D120, $B$5:$B$175, 0), 2), 0)*investment!$C$4</f>
        <v>0</v>
      </c>
      <c r="F120" s="17" t="n">
        <f aca="false">demand!E118</f>
        <v>0</v>
      </c>
      <c r="G120" s="2" t="n">
        <f aca="false">solgen!E118</f>
        <v>0</v>
      </c>
      <c r="H120" s="2" t="n">
        <f aca="false">import!E118</f>
        <v>0</v>
      </c>
      <c r="I120" s="2" t="n">
        <f aca="false">-export!E118</f>
        <v>-0</v>
      </c>
      <c r="J120" s="2" t="n">
        <f aca="false">-charge!E118</f>
        <v>-0</v>
      </c>
      <c r="K120" s="2" t="n">
        <f aca="false">discharge!E118</f>
        <v>0</v>
      </c>
      <c r="L120" s="2" t="n">
        <f aca="false">soc!E118/investment!$E$4 *100</f>
        <v>80.9804363525463</v>
      </c>
    </row>
    <row r="121" customFormat="false" ht="13.8" hidden="false" customHeight="false" outlineLevel="0" collapsed="false">
      <c r="B121" s="10" t="n">
        <f aca="false">_xlfn.NUMBERVALUE(solar!B118)</f>
        <v>0</v>
      </c>
      <c r="C121" s="11" t="n">
        <f aca="false">solar!C118</f>
        <v>0</v>
      </c>
      <c r="D121" s="5" t="n">
        <v>117</v>
      </c>
      <c r="E121" s="16" t="n">
        <f aca="false">IFERROR(INDEX($B$5:$C$173, MATCH($D121, $B$5:$B$175, 0), 2), 0)*investment!$C$4</f>
        <v>0</v>
      </c>
      <c r="F121" s="17" t="n">
        <f aca="false">demand!E119</f>
        <v>0</v>
      </c>
      <c r="G121" s="2" t="n">
        <f aca="false">solgen!E119</f>
        <v>0</v>
      </c>
      <c r="H121" s="2" t="n">
        <f aca="false">import!E119</f>
        <v>0</v>
      </c>
      <c r="I121" s="2" t="n">
        <f aca="false">-export!E119</f>
        <v>-0</v>
      </c>
      <c r="J121" s="2" t="n">
        <f aca="false">-charge!E119</f>
        <v>-0</v>
      </c>
      <c r="K121" s="2" t="n">
        <f aca="false">discharge!E119</f>
        <v>0</v>
      </c>
      <c r="L121" s="2" t="n">
        <f aca="false">soc!E119/investment!$E$4 *100</f>
        <v>76.2273661187307</v>
      </c>
    </row>
    <row r="122" customFormat="false" ht="13.8" hidden="false" customHeight="false" outlineLevel="0" collapsed="false">
      <c r="B122" s="10" t="n">
        <f aca="false">_xlfn.NUMBERVALUE(solar!B119)</f>
        <v>0</v>
      </c>
      <c r="C122" s="11" t="n">
        <f aca="false">solar!C119</f>
        <v>0</v>
      </c>
      <c r="D122" s="5" t="n">
        <v>118</v>
      </c>
      <c r="E122" s="16" t="n">
        <f aca="false">IFERROR(INDEX($B$5:$C$173, MATCH($D122, $B$5:$B$175, 0), 2), 0)*investment!$C$4</f>
        <v>0</v>
      </c>
      <c r="F122" s="17" t="n">
        <f aca="false">demand!E120</f>
        <v>0</v>
      </c>
      <c r="G122" s="2" t="n">
        <f aca="false">solgen!E120</f>
        <v>0</v>
      </c>
      <c r="H122" s="2" t="n">
        <f aca="false">import!E120</f>
        <v>0</v>
      </c>
      <c r="I122" s="2" t="n">
        <f aca="false">-export!E120</f>
        <v>-0</v>
      </c>
      <c r="J122" s="2" t="n">
        <f aca="false">-charge!E120</f>
        <v>-0</v>
      </c>
      <c r="K122" s="2" t="n">
        <f aca="false">discharge!E120</f>
        <v>0</v>
      </c>
      <c r="L122" s="2" t="n">
        <f aca="false">soc!E120/investment!$E$4 *100</f>
        <v>72.5643268595048</v>
      </c>
    </row>
    <row r="123" customFormat="false" ht="13.8" hidden="false" customHeight="false" outlineLevel="0" collapsed="false">
      <c r="B123" s="10" t="n">
        <f aca="false">_xlfn.NUMBERVALUE(solar!B120)</f>
        <v>0</v>
      </c>
      <c r="C123" s="11" t="n">
        <f aca="false">solar!C120</f>
        <v>0</v>
      </c>
      <c r="D123" s="5" t="n">
        <v>119</v>
      </c>
      <c r="E123" s="16" t="n">
        <f aca="false">IFERROR(INDEX($B$5:$C$173, MATCH($D123, $B$5:$B$175, 0), 2), 0)*investment!$C$4</f>
        <v>0</v>
      </c>
      <c r="F123" s="17" t="n">
        <f aca="false">demand!E121</f>
        <v>0</v>
      </c>
      <c r="G123" s="2" t="n">
        <f aca="false">solgen!E121</f>
        <v>0</v>
      </c>
      <c r="H123" s="2" t="n">
        <f aca="false">import!E121</f>
        <v>0</v>
      </c>
      <c r="I123" s="2" t="n">
        <f aca="false">-export!E121</f>
        <v>-0</v>
      </c>
      <c r="J123" s="2" t="n">
        <f aca="false">-charge!E121</f>
        <v>-0</v>
      </c>
      <c r="K123" s="2" t="n">
        <f aca="false">discharge!E121</f>
        <v>0</v>
      </c>
      <c r="L123" s="2" t="n">
        <f aca="false">soc!E121/investment!$E$4 *100</f>
        <v>70.5013765335475</v>
      </c>
    </row>
    <row r="124" customFormat="false" ht="13.8" hidden="false" customHeight="false" outlineLevel="0" collapsed="false">
      <c r="B124" s="10" t="n">
        <f aca="false">_xlfn.NUMBERVALUE(solar!B121)</f>
        <v>0</v>
      </c>
      <c r="C124" s="11" t="n">
        <f aca="false">solar!C121</f>
        <v>0</v>
      </c>
      <c r="D124" s="5" t="n">
        <v>120</v>
      </c>
      <c r="E124" s="16" t="n">
        <f aca="false">IFERROR(INDEX($B$5:$C$173, MATCH($D124, $B$5:$B$175, 0), 2), 0)*investment!$C$4</f>
        <v>0</v>
      </c>
      <c r="F124" s="17" t="n">
        <f aca="false">demand!E122</f>
        <v>0</v>
      </c>
      <c r="G124" s="2" t="n">
        <f aca="false">solgen!E122</f>
        <v>0</v>
      </c>
      <c r="H124" s="2" t="n">
        <f aca="false">import!E122</f>
        <v>0</v>
      </c>
      <c r="I124" s="2" t="n">
        <f aca="false">-export!E122</f>
        <v>-0</v>
      </c>
      <c r="J124" s="2" t="n">
        <f aca="false">-charge!E122</f>
        <v>-0</v>
      </c>
      <c r="K124" s="2" t="n">
        <f aca="false">discharge!E122</f>
        <v>0</v>
      </c>
      <c r="L124" s="2" t="n">
        <f aca="false">soc!E122/investment!$E$4 *100</f>
        <v>66.8689074053021</v>
      </c>
    </row>
    <row r="125" customFormat="false" ht="13.8" hidden="false" customHeight="false" outlineLevel="0" collapsed="false">
      <c r="B125" s="10" t="n">
        <f aca="false">_xlfn.NUMBERVALUE(solar!B122)</f>
        <v>0</v>
      </c>
      <c r="C125" s="11" t="n">
        <f aca="false">solar!C122</f>
        <v>0</v>
      </c>
      <c r="D125" s="5" t="n">
        <v>121</v>
      </c>
      <c r="E125" s="16" t="n">
        <f aca="false">IFERROR(INDEX($B$5:$C$173, MATCH($D125, $B$5:$B$175, 0), 2), 0)*investment!$C$4</f>
        <v>0</v>
      </c>
      <c r="F125" s="17" t="n">
        <f aca="false">demand!E123</f>
        <v>0</v>
      </c>
      <c r="G125" s="2" t="n">
        <f aca="false">solgen!E123</f>
        <v>0</v>
      </c>
      <c r="H125" s="2" t="n">
        <f aca="false">import!E123</f>
        <v>0</v>
      </c>
      <c r="I125" s="2" t="n">
        <f aca="false">-export!E123</f>
        <v>-0</v>
      </c>
      <c r="J125" s="2" t="n">
        <f aca="false">-charge!E123</f>
        <v>-0</v>
      </c>
      <c r="K125" s="2" t="n">
        <f aca="false">discharge!E123</f>
        <v>0</v>
      </c>
      <c r="L125" s="2" t="n">
        <f aca="false">soc!E123/investment!$E$4 *100</f>
        <v>64.9978432300726</v>
      </c>
    </row>
    <row r="126" customFormat="false" ht="13.8" hidden="false" customHeight="false" outlineLevel="0" collapsed="false">
      <c r="B126" s="10" t="n">
        <f aca="false">_xlfn.NUMBERVALUE(solar!B123)</f>
        <v>0</v>
      </c>
      <c r="C126" s="11" t="n">
        <f aca="false">solar!C123</f>
        <v>0</v>
      </c>
      <c r="D126" s="5" t="n">
        <v>122</v>
      </c>
      <c r="E126" s="16" t="n">
        <f aca="false">IFERROR(INDEX($B$5:$C$173, MATCH($D126, $B$5:$B$175, 0), 2), 0)*investment!$C$4</f>
        <v>0</v>
      </c>
      <c r="F126" s="17" t="n">
        <f aca="false">demand!E124</f>
        <v>0</v>
      </c>
      <c r="G126" s="2" t="n">
        <f aca="false">solgen!E124</f>
        <v>0</v>
      </c>
      <c r="H126" s="2" t="n">
        <f aca="false">import!E124</f>
        <v>0</v>
      </c>
      <c r="I126" s="2" t="n">
        <f aca="false">-export!E124</f>
        <v>-0</v>
      </c>
      <c r="J126" s="2" t="n">
        <f aca="false">-charge!E124</f>
        <v>-0</v>
      </c>
      <c r="K126" s="2" t="n">
        <f aca="false">discharge!E124</f>
        <v>0</v>
      </c>
      <c r="L126" s="2" t="n">
        <f aca="false">soc!E124/investment!$E$4 *100</f>
        <v>61.3349162660755</v>
      </c>
    </row>
    <row r="127" customFormat="false" ht="13.8" hidden="false" customHeight="false" outlineLevel="0" collapsed="false">
      <c r="B127" s="10" t="n">
        <f aca="false">_xlfn.NUMBERVALUE(solar!B124)</f>
        <v>0</v>
      </c>
      <c r="C127" s="11" t="n">
        <f aca="false">solar!C124</f>
        <v>0</v>
      </c>
      <c r="D127" s="5" t="n">
        <v>123</v>
      </c>
      <c r="E127" s="16" t="n">
        <f aca="false">IFERROR(INDEX($B$5:$C$173, MATCH($D127, $B$5:$B$175, 0), 2), 0)*investment!$C$4</f>
        <v>0</v>
      </c>
      <c r="F127" s="17" t="n">
        <f aca="false">demand!E125</f>
        <v>0</v>
      </c>
      <c r="G127" s="2" t="n">
        <f aca="false">solgen!E125</f>
        <v>0</v>
      </c>
      <c r="H127" s="2" t="n">
        <f aca="false">import!E125</f>
        <v>0</v>
      </c>
      <c r="I127" s="2" t="n">
        <f aca="false">-export!E125</f>
        <v>-0</v>
      </c>
      <c r="J127" s="2" t="n">
        <f aca="false">-charge!E125</f>
        <v>-0</v>
      </c>
      <c r="K127" s="2" t="n">
        <f aca="false">discharge!E125</f>
        <v>0</v>
      </c>
      <c r="L127" s="2" t="n">
        <f aca="false">soc!E125/investment!$E$4 *100</f>
        <v>57.6720259313481</v>
      </c>
    </row>
    <row r="128" customFormat="false" ht="13.8" hidden="false" customHeight="false" outlineLevel="0" collapsed="false">
      <c r="B128" s="10" t="n">
        <f aca="false">_xlfn.NUMBERVALUE(solar!B125)</f>
        <v>0</v>
      </c>
      <c r="C128" s="11" t="n">
        <f aca="false">solar!C125</f>
        <v>0</v>
      </c>
      <c r="D128" s="5" t="n">
        <v>124</v>
      </c>
      <c r="E128" s="16" t="n">
        <f aca="false">IFERROR(INDEX($B$5:$C$173, MATCH($D128, $B$5:$B$175, 0), 2), 0)*investment!$C$4</f>
        <v>0</v>
      </c>
      <c r="F128" s="17" t="n">
        <f aca="false">demand!E126</f>
        <v>0</v>
      </c>
      <c r="G128" s="2" t="n">
        <f aca="false">solgen!E126</f>
        <v>0</v>
      </c>
      <c r="H128" s="2" t="n">
        <f aca="false">import!E126</f>
        <v>0</v>
      </c>
      <c r="I128" s="2" t="n">
        <f aca="false">-export!E126</f>
        <v>-0</v>
      </c>
      <c r="J128" s="2" t="n">
        <f aca="false">-charge!E126</f>
        <v>-0</v>
      </c>
      <c r="K128" s="2" t="n">
        <f aca="false">discharge!E126</f>
        <v>0</v>
      </c>
      <c r="L128" s="2" t="n">
        <f aca="false">soc!E126/investment!$E$4 *100</f>
        <v>54.009172225524</v>
      </c>
    </row>
    <row r="129" customFormat="false" ht="13.8" hidden="false" customHeight="false" outlineLevel="0" collapsed="false">
      <c r="B129" s="10" t="n">
        <f aca="false">_xlfn.NUMBERVALUE(solar!B126)</f>
        <v>0</v>
      </c>
      <c r="C129" s="11" t="n">
        <f aca="false">solar!C126</f>
        <v>0</v>
      </c>
      <c r="D129" s="5" t="n">
        <v>125</v>
      </c>
      <c r="E129" s="16" t="n">
        <f aca="false">IFERROR(INDEX($B$5:$C$173, MATCH($D129, $B$5:$B$175, 0), 2), 0)*investment!$C$4</f>
        <v>0</v>
      </c>
      <c r="F129" s="17" t="n">
        <f aca="false">demand!E127</f>
        <v>0</v>
      </c>
      <c r="G129" s="2" t="n">
        <f aca="false">solgen!E127</f>
        <v>0</v>
      </c>
      <c r="H129" s="2" t="n">
        <f aca="false">import!E127</f>
        <v>0</v>
      </c>
      <c r="I129" s="2" t="n">
        <f aca="false">-export!E127</f>
        <v>-0</v>
      </c>
      <c r="J129" s="2" t="n">
        <f aca="false">-charge!E127</f>
        <v>-0</v>
      </c>
      <c r="K129" s="2" t="n">
        <f aca="false">discharge!E127</f>
        <v>0</v>
      </c>
      <c r="L129" s="2" t="n">
        <f aca="false">soc!E127/investment!$E$4 *100</f>
        <v>50.346355148237</v>
      </c>
    </row>
    <row r="130" customFormat="false" ht="13.8" hidden="false" customHeight="false" outlineLevel="0" collapsed="false">
      <c r="B130" s="10" t="n">
        <f aca="false">_xlfn.NUMBERVALUE(solar!B127)</f>
        <v>0</v>
      </c>
      <c r="C130" s="11" t="n">
        <f aca="false">solar!C127</f>
        <v>0</v>
      </c>
      <c r="D130" s="5" t="n">
        <v>126</v>
      </c>
      <c r="E130" s="16" t="n">
        <f aca="false">IFERROR(INDEX($B$5:$C$173, MATCH($D130, $B$5:$B$175, 0), 2), 0)*investment!$C$4</f>
        <v>0</v>
      </c>
      <c r="F130" s="17" t="n">
        <f aca="false">demand!E128</f>
        <v>0</v>
      </c>
      <c r="G130" s="2" t="n">
        <f aca="false">solgen!E128</f>
        <v>0</v>
      </c>
      <c r="H130" s="2" t="n">
        <f aca="false">import!E128</f>
        <v>0</v>
      </c>
      <c r="I130" s="2" t="n">
        <f aca="false">-export!E128</f>
        <v>-0</v>
      </c>
      <c r="J130" s="2" t="n">
        <f aca="false">-charge!E128</f>
        <v>-0</v>
      </c>
      <c r="K130" s="2" t="n">
        <f aca="false">discharge!E128</f>
        <v>0</v>
      </c>
      <c r="L130" s="2" t="n">
        <f aca="false">soc!E128/investment!$E$4 *100</f>
        <v>48.4855400862874</v>
      </c>
    </row>
    <row r="131" customFormat="false" ht="13.8" hidden="false" customHeight="false" outlineLevel="0" collapsed="false">
      <c r="B131" s="10" t="n">
        <f aca="false">_xlfn.NUMBERVALUE(solar!B128)</f>
        <v>0</v>
      </c>
      <c r="C131" s="11" t="n">
        <f aca="false">solar!C128</f>
        <v>0</v>
      </c>
      <c r="D131" s="5" t="n">
        <v>127</v>
      </c>
      <c r="E131" s="16" t="n">
        <f aca="false">IFERROR(INDEX($B$5:$C$173, MATCH($D131, $B$5:$B$175, 0), 2), 0)*investment!$C$4</f>
        <v>0</v>
      </c>
      <c r="F131" s="17" t="n">
        <f aca="false">demand!E129</f>
        <v>0</v>
      </c>
      <c r="G131" s="2" t="n">
        <f aca="false">solgen!E129</f>
        <v>0</v>
      </c>
      <c r="H131" s="2" t="n">
        <f aca="false">import!E129</f>
        <v>0</v>
      </c>
      <c r="I131" s="2" t="n">
        <f aca="false">-export!E129</f>
        <v>-0</v>
      </c>
      <c r="J131" s="2" t="n">
        <f aca="false">-charge!E129</f>
        <v>-0</v>
      </c>
      <c r="K131" s="2" t="n">
        <f aca="false">discharge!E129</f>
        <v>0</v>
      </c>
      <c r="L131" s="2" t="n">
        <f aca="false">soc!E129/investment!$E$4 *100</f>
        <v>45.1327930831623</v>
      </c>
    </row>
    <row r="132" customFormat="false" ht="13.8" hidden="false" customHeight="false" outlineLevel="0" collapsed="false">
      <c r="B132" s="10" t="n">
        <f aca="false">_xlfn.NUMBERVALUE(solar!B129)</f>
        <v>0</v>
      </c>
      <c r="C132" s="11" t="n">
        <f aca="false">solar!C129</f>
        <v>0</v>
      </c>
      <c r="D132" s="5" t="n">
        <v>128</v>
      </c>
      <c r="E132" s="16" t="n">
        <f aca="false">IFERROR(INDEX($B$5:$C$173, MATCH($D132, $B$5:$B$175, 0), 2), 0)*investment!$C$4</f>
        <v>0</v>
      </c>
      <c r="F132" s="17" t="n">
        <f aca="false">demand!E130</f>
        <v>0</v>
      </c>
      <c r="G132" s="2" t="n">
        <f aca="false">solgen!E130</f>
        <v>0</v>
      </c>
      <c r="H132" s="2" t="n">
        <f aca="false">import!E130</f>
        <v>0</v>
      </c>
      <c r="I132" s="2" t="n">
        <f aca="false">-export!E130</f>
        <v>-0</v>
      </c>
      <c r="J132" s="2" t="n">
        <f aca="false">-charge!E130</f>
        <v>-0</v>
      </c>
      <c r="K132" s="2" t="n">
        <f aca="false">discharge!E130</f>
        <v>0</v>
      </c>
      <c r="L132" s="2" t="n">
        <f aca="false">soc!E130/investment!$E$4 *100</f>
        <v>43.8784291552422</v>
      </c>
    </row>
    <row r="133" customFormat="false" ht="13.8" hidden="false" customHeight="false" outlineLevel="0" collapsed="false">
      <c r="B133" s="10" t="n">
        <f aca="false">_xlfn.NUMBERVALUE(solar!B130)</f>
        <v>0</v>
      </c>
      <c r="C133" s="11" t="n">
        <f aca="false">solar!C130</f>
        <v>0</v>
      </c>
      <c r="D133" s="5" t="n">
        <v>129</v>
      </c>
      <c r="E133" s="16" t="n">
        <f aca="false">IFERROR(INDEX($B$5:$C$173, MATCH($D133, $B$5:$B$175, 0), 2), 0)*investment!$C$4</f>
        <v>0</v>
      </c>
      <c r="F133" s="17" t="n">
        <f aca="false">demand!E131</f>
        <v>0</v>
      </c>
      <c r="G133" s="2" t="n">
        <f aca="false">solgen!E131</f>
        <v>0</v>
      </c>
      <c r="H133" s="2" t="n">
        <f aca="false">import!E131</f>
        <v>0</v>
      </c>
      <c r="I133" s="2" t="n">
        <f aca="false">-export!E131</f>
        <v>-0</v>
      </c>
      <c r="J133" s="2" t="n">
        <f aca="false">-charge!E131</f>
        <v>-0</v>
      </c>
      <c r="K133" s="2" t="n">
        <f aca="false">discharge!E131</f>
        <v>0</v>
      </c>
      <c r="L133" s="2" t="n">
        <f aca="false">soc!E131/investment!$E$4 *100</f>
        <v>49.7361793804503</v>
      </c>
    </row>
    <row r="134" customFormat="false" ht="13.8" hidden="false" customHeight="false" outlineLevel="0" collapsed="false">
      <c r="B134" s="10" t="n">
        <f aca="false">_xlfn.NUMBERVALUE(solar!B131)</f>
        <v>0</v>
      </c>
      <c r="C134" s="11" t="n">
        <f aca="false">solar!C131</f>
        <v>0</v>
      </c>
      <c r="D134" s="5" t="n">
        <v>130</v>
      </c>
      <c r="E134" s="16" t="n">
        <f aca="false">IFERROR(INDEX($B$5:$C$173, MATCH($D134, $B$5:$B$175, 0), 2), 0)*investment!$C$4</f>
        <v>0</v>
      </c>
      <c r="F134" s="17" t="n">
        <f aca="false">demand!E132</f>
        <v>0</v>
      </c>
      <c r="G134" s="2" t="n">
        <f aca="false">solgen!E132</f>
        <v>0</v>
      </c>
      <c r="H134" s="2" t="n">
        <f aca="false">import!E132</f>
        <v>0</v>
      </c>
      <c r="I134" s="2" t="n">
        <f aca="false">-export!E132</f>
        <v>-0</v>
      </c>
      <c r="J134" s="2" t="n">
        <f aca="false">-charge!E132</f>
        <v>-0</v>
      </c>
      <c r="K134" s="2" t="n">
        <f aca="false">discharge!E132</f>
        <v>0</v>
      </c>
      <c r="L134" s="2" t="n">
        <f aca="false">soc!E132/investment!$E$4 *100</f>
        <v>60.4709014121718</v>
      </c>
    </row>
    <row r="135" customFormat="false" ht="13.8" hidden="false" customHeight="false" outlineLevel="0" collapsed="false">
      <c r="B135" s="10" t="n">
        <f aca="false">_xlfn.NUMBERVALUE(solar!B132)</f>
        <v>0</v>
      </c>
      <c r="C135" s="11" t="n">
        <f aca="false">solar!C132</f>
        <v>0</v>
      </c>
      <c r="D135" s="5" t="n">
        <v>131</v>
      </c>
      <c r="E135" s="16" t="n">
        <f aca="false">IFERROR(INDEX($B$5:$C$173, MATCH($D135, $B$5:$B$175, 0), 2), 0)*investment!$C$4</f>
        <v>0</v>
      </c>
      <c r="F135" s="17" t="n">
        <f aca="false">demand!E133</f>
        <v>0</v>
      </c>
      <c r="G135" s="2" t="n">
        <f aca="false">solgen!E133</f>
        <v>0</v>
      </c>
      <c r="H135" s="2" t="n">
        <f aca="false">import!E133</f>
        <v>0</v>
      </c>
      <c r="I135" s="2" t="n">
        <f aca="false">-export!E133</f>
        <v>-0</v>
      </c>
      <c r="J135" s="2" t="n">
        <f aca="false">-charge!E133</f>
        <v>-0</v>
      </c>
      <c r="K135" s="2" t="n">
        <f aca="false">discharge!E133</f>
        <v>0</v>
      </c>
      <c r="L135" s="2" t="n">
        <f aca="false">soc!E133/investment!$E$4 *100</f>
        <v>71.6498870015438</v>
      </c>
    </row>
    <row r="136" customFormat="false" ht="13.8" hidden="false" customHeight="false" outlineLevel="0" collapsed="false">
      <c r="B136" s="10" t="n">
        <f aca="false">_xlfn.NUMBERVALUE(solar!B133)</f>
        <v>0</v>
      </c>
      <c r="C136" s="11" t="n">
        <f aca="false">solar!C133</f>
        <v>0</v>
      </c>
      <c r="D136" s="5" t="n">
        <v>132</v>
      </c>
      <c r="E136" s="16" t="n">
        <f aca="false">IFERROR(INDEX($B$5:$C$173, MATCH($D136, $B$5:$B$175, 0), 2), 0)*investment!$C$4</f>
        <v>0</v>
      </c>
      <c r="F136" s="17" t="n">
        <f aca="false">demand!E134</f>
        <v>0</v>
      </c>
      <c r="G136" s="2" t="n">
        <f aca="false">solgen!E134</f>
        <v>0</v>
      </c>
      <c r="H136" s="2" t="n">
        <f aca="false">import!E134</f>
        <v>0</v>
      </c>
      <c r="I136" s="2" t="n">
        <f aca="false">-export!E134</f>
        <v>-0</v>
      </c>
      <c r="J136" s="2" t="n">
        <f aca="false">-charge!E134</f>
        <v>-0</v>
      </c>
      <c r="K136" s="2" t="n">
        <f aca="false">discharge!E134</f>
        <v>0</v>
      </c>
      <c r="L136" s="2" t="n">
        <f aca="false">soc!E134/investment!$E$4 *100</f>
        <v>84.2029412050666</v>
      </c>
    </row>
    <row r="137" customFormat="false" ht="13.8" hidden="false" customHeight="false" outlineLevel="0" collapsed="false">
      <c r="B137" s="10" t="n">
        <f aca="false">_xlfn.NUMBERVALUE(solar!B134)</f>
        <v>0</v>
      </c>
      <c r="C137" s="11" t="n">
        <f aca="false">solar!C134</f>
        <v>0</v>
      </c>
      <c r="D137" s="5" t="n">
        <v>133</v>
      </c>
      <c r="E137" s="16" t="n">
        <f aca="false">IFERROR(INDEX($B$5:$C$173, MATCH($D137, $B$5:$B$175, 0), 2), 0)*investment!$C$4</f>
        <v>0</v>
      </c>
      <c r="F137" s="17" t="n">
        <f aca="false">demand!E135</f>
        <v>0</v>
      </c>
      <c r="G137" s="2" t="n">
        <f aca="false">solgen!E135</f>
        <v>0</v>
      </c>
      <c r="H137" s="2" t="n">
        <f aca="false">import!E135</f>
        <v>0</v>
      </c>
      <c r="I137" s="2" t="n">
        <f aca="false">-export!E135</f>
        <v>-0</v>
      </c>
      <c r="J137" s="2" t="n">
        <f aca="false">-charge!E135</f>
        <v>-0</v>
      </c>
      <c r="K137" s="2" t="n">
        <f aca="false">discharge!E135</f>
        <v>0</v>
      </c>
      <c r="L137" s="2" t="n">
        <f aca="false">soc!E135/investment!$E$4 *100</f>
        <v>92.8377734001622</v>
      </c>
    </row>
    <row r="138" customFormat="false" ht="13.8" hidden="false" customHeight="false" outlineLevel="0" collapsed="false">
      <c r="B138" s="10" t="n">
        <f aca="false">_xlfn.NUMBERVALUE(solar!B135)</f>
        <v>0</v>
      </c>
      <c r="C138" s="11" t="n">
        <f aca="false">solar!C135</f>
        <v>0</v>
      </c>
      <c r="D138" s="5" t="n">
        <v>134</v>
      </c>
      <c r="E138" s="16" t="n">
        <f aca="false">IFERROR(INDEX($B$5:$C$173, MATCH($D138, $B$5:$B$175, 0), 2), 0)*investment!$C$4</f>
        <v>0</v>
      </c>
      <c r="F138" s="17" t="n">
        <f aca="false">demand!E136</f>
        <v>0</v>
      </c>
      <c r="G138" s="2" t="n">
        <f aca="false">solgen!E136</f>
        <v>0</v>
      </c>
      <c r="H138" s="2" t="n">
        <f aca="false">import!E136</f>
        <v>0</v>
      </c>
      <c r="I138" s="2" t="n">
        <f aca="false">-export!E136</f>
        <v>-0</v>
      </c>
      <c r="J138" s="2" t="n">
        <f aca="false">-charge!E136</f>
        <v>-0</v>
      </c>
      <c r="K138" s="2" t="n">
        <f aca="false">discharge!E136</f>
        <v>0</v>
      </c>
      <c r="L138" s="2" t="n">
        <f aca="false">soc!E136/investment!$E$4 *100</f>
        <v>86.4719933831176</v>
      </c>
    </row>
    <row r="139" customFormat="false" ht="13.8" hidden="false" customHeight="false" outlineLevel="0" collapsed="false">
      <c r="B139" s="10" t="n">
        <f aca="false">_xlfn.NUMBERVALUE(solar!B136)</f>
        <v>0</v>
      </c>
      <c r="C139" s="11" t="n">
        <f aca="false">solar!C136</f>
        <v>0</v>
      </c>
      <c r="D139" s="5" t="n">
        <v>135</v>
      </c>
      <c r="E139" s="16" t="n">
        <f aca="false">IFERROR(INDEX($B$5:$C$173, MATCH($D139, $B$5:$B$175, 0), 2), 0)*investment!$C$4</f>
        <v>0</v>
      </c>
      <c r="F139" s="17" t="n">
        <f aca="false">demand!E137</f>
        <v>0</v>
      </c>
      <c r="G139" s="2" t="n">
        <f aca="false">solgen!E137</f>
        <v>0</v>
      </c>
      <c r="H139" s="2" t="n">
        <f aca="false">import!E137</f>
        <v>0</v>
      </c>
      <c r="I139" s="2" t="n">
        <f aca="false">-export!E137</f>
        <v>-0</v>
      </c>
      <c r="J139" s="2" t="n">
        <f aca="false">-charge!E137</f>
        <v>-0</v>
      </c>
      <c r="K139" s="2" t="n">
        <f aca="false">discharge!E137</f>
        <v>0</v>
      </c>
      <c r="L139" s="2" t="n">
        <f aca="false">soc!E137/investment!$E$4 *100</f>
        <v>84.7988346578061</v>
      </c>
    </row>
    <row r="140" customFormat="false" ht="13.8" hidden="false" customHeight="false" outlineLevel="0" collapsed="false">
      <c r="B140" s="10" t="n">
        <f aca="false">_xlfn.NUMBERVALUE(solar!B137)</f>
        <v>0</v>
      </c>
      <c r="C140" s="11" t="n">
        <f aca="false">solar!C137</f>
        <v>0</v>
      </c>
      <c r="D140" s="5" t="n">
        <v>136</v>
      </c>
      <c r="E140" s="16" t="n">
        <f aca="false">IFERROR(INDEX($B$5:$C$173, MATCH($D140, $B$5:$B$175, 0), 2), 0)*investment!$C$4</f>
        <v>0</v>
      </c>
      <c r="F140" s="17" t="n">
        <f aca="false">demand!E138</f>
        <v>0</v>
      </c>
      <c r="G140" s="2" t="n">
        <f aca="false">solgen!E138</f>
        <v>0</v>
      </c>
      <c r="H140" s="2" t="n">
        <f aca="false">import!E138</f>
        <v>0</v>
      </c>
      <c r="I140" s="2" t="n">
        <f aca="false">-export!E138</f>
        <v>-0</v>
      </c>
      <c r="J140" s="2" t="n">
        <f aca="false">-charge!E138</f>
        <v>-0</v>
      </c>
      <c r="K140" s="2" t="n">
        <f aca="false">discharge!E138</f>
        <v>0</v>
      </c>
      <c r="L140" s="2" t="n">
        <f aca="false">soc!E138/investment!$E$4 *100</f>
        <v>77.3360624692261</v>
      </c>
    </row>
    <row r="141" customFormat="false" ht="13.8" hidden="false" customHeight="false" outlineLevel="0" collapsed="false">
      <c r="B141" s="10" t="n">
        <f aca="false">_xlfn.NUMBERVALUE(solar!B138)</f>
        <v>0</v>
      </c>
      <c r="C141" s="11" t="n">
        <f aca="false">solar!C138</f>
        <v>0</v>
      </c>
      <c r="D141" s="5" t="n">
        <v>137</v>
      </c>
      <c r="E141" s="16" t="n">
        <f aca="false">IFERROR(INDEX($B$5:$C$173, MATCH($D141, $B$5:$B$175, 0), 2), 0)*investment!$C$4</f>
        <v>0</v>
      </c>
      <c r="F141" s="17" t="n">
        <f aca="false">demand!E139</f>
        <v>0</v>
      </c>
      <c r="G141" s="2" t="n">
        <f aca="false">solgen!E139</f>
        <v>0</v>
      </c>
      <c r="H141" s="2" t="n">
        <f aca="false">import!E139</f>
        <v>0</v>
      </c>
      <c r="I141" s="2" t="n">
        <f aca="false">-export!E139</f>
        <v>-0</v>
      </c>
      <c r="J141" s="2" t="n">
        <f aca="false">-charge!E139</f>
        <v>-0</v>
      </c>
      <c r="K141" s="2" t="n">
        <f aca="false">discharge!E139</f>
        <v>0</v>
      </c>
      <c r="L141" s="2" t="n">
        <f aca="false">soc!E139/investment!$E$4 *100</f>
        <v>57.8006574201978</v>
      </c>
    </row>
    <row r="142" customFormat="false" ht="13.8" hidden="false" customHeight="false" outlineLevel="0" collapsed="false">
      <c r="B142" s="10" t="n">
        <f aca="false">_xlfn.NUMBERVALUE(solar!B139)</f>
        <v>0</v>
      </c>
      <c r="C142" s="11" t="n">
        <f aca="false">solar!C139</f>
        <v>0</v>
      </c>
      <c r="D142" s="5" t="n">
        <v>138</v>
      </c>
      <c r="E142" s="16" t="n">
        <f aca="false">IFERROR(INDEX($B$5:$C$173, MATCH($D142, $B$5:$B$175, 0), 2), 0)*investment!$C$4</f>
        <v>0</v>
      </c>
      <c r="F142" s="17" t="n">
        <f aca="false">demand!E140</f>
        <v>0</v>
      </c>
      <c r="G142" s="2" t="n">
        <f aca="false">solgen!E140</f>
        <v>0</v>
      </c>
      <c r="H142" s="2" t="n">
        <f aca="false">import!E140</f>
        <v>0</v>
      </c>
      <c r="I142" s="2" t="n">
        <f aca="false">-export!E140</f>
        <v>-0</v>
      </c>
      <c r="J142" s="2" t="n">
        <f aca="false">-charge!E140</f>
        <v>-0</v>
      </c>
      <c r="K142" s="2" t="n">
        <f aca="false">discharge!E140</f>
        <v>0</v>
      </c>
      <c r="L142" s="2" t="n">
        <f aca="false">soc!E140/investment!$E$4 *100</f>
        <v>40.9219832497891</v>
      </c>
    </row>
    <row r="143" customFormat="false" ht="13.8" hidden="false" customHeight="false" outlineLevel="0" collapsed="false">
      <c r="B143" s="10" t="n">
        <f aca="false">_xlfn.NUMBERVALUE(solar!B140)</f>
        <v>0</v>
      </c>
      <c r="C143" s="11" t="n">
        <f aca="false">solar!C140</f>
        <v>0</v>
      </c>
      <c r="D143" s="5" t="n">
        <v>139</v>
      </c>
      <c r="E143" s="16" t="n">
        <f aca="false">IFERROR(INDEX($B$5:$C$173, MATCH($D143, $B$5:$B$175, 0), 2), 0)*investment!$C$4</f>
        <v>0</v>
      </c>
      <c r="F143" s="17" t="n">
        <f aca="false">demand!E141</f>
        <v>0</v>
      </c>
      <c r="G143" s="2" t="n">
        <f aca="false">solgen!E141</f>
        <v>0</v>
      </c>
      <c r="H143" s="2" t="n">
        <f aca="false">import!E141</f>
        <v>0</v>
      </c>
      <c r="I143" s="2" t="n">
        <f aca="false">-export!E141</f>
        <v>-0</v>
      </c>
      <c r="J143" s="2" t="n">
        <f aca="false">-charge!E141</f>
        <v>-0</v>
      </c>
      <c r="K143" s="2" t="n">
        <f aca="false">discharge!E141</f>
        <v>0</v>
      </c>
      <c r="L143" s="2" t="n">
        <f aca="false">soc!E141/investment!$E$4 *100</f>
        <v>33.8585572098977</v>
      </c>
    </row>
    <row r="144" customFormat="false" ht="13.8" hidden="false" customHeight="false" outlineLevel="0" collapsed="false">
      <c r="B144" s="10" t="n">
        <f aca="false">_xlfn.NUMBERVALUE(solar!B141)</f>
        <v>0</v>
      </c>
      <c r="C144" s="11" t="n">
        <f aca="false">solar!C141</f>
        <v>0</v>
      </c>
      <c r="D144" s="5" t="n">
        <v>140</v>
      </c>
      <c r="E144" s="16" t="n">
        <f aca="false">IFERROR(INDEX($B$5:$C$173, MATCH($D144, $B$5:$B$175, 0), 2), 0)*investment!$C$4</f>
        <v>0</v>
      </c>
      <c r="F144" s="17" t="n">
        <f aca="false">demand!E142</f>
        <v>0</v>
      </c>
      <c r="G144" s="2" t="n">
        <f aca="false">solgen!E142</f>
        <v>0</v>
      </c>
      <c r="H144" s="2" t="n">
        <f aca="false">import!E142</f>
        <v>0</v>
      </c>
      <c r="I144" s="2" t="n">
        <f aca="false">-export!E142</f>
        <v>-0</v>
      </c>
      <c r="J144" s="2" t="n">
        <f aca="false">-charge!E142</f>
        <v>-0</v>
      </c>
      <c r="K144" s="2" t="n">
        <f aca="false">discharge!E142</f>
        <v>0</v>
      </c>
      <c r="L144" s="2" t="n">
        <f aca="false">soc!E142/investment!$E$4 *100</f>
        <v>26.1368970524628</v>
      </c>
    </row>
    <row r="145" customFormat="false" ht="13.8" hidden="false" customHeight="false" outlineLevel="0" collapsed="false">
      <c r="B145" s="10" t="n">
        <f aca="false">_xlfn.NUMBERVALUE(solar!B142)</f>
        <v>0</v>
      </c>
      <c r="C145" s="11" t="n">
        <f aca="false">solar!C142</f>
        <v>0</v>
      </c>
      <c r="D145" s="5" t="n">
        <v>141</v>
      </c>
      <c r="E145" s="16" t="n">
        <f aca="false">IFERROR(INDEX($B$5:$C$173, MATCH($D145, $B$5:$B$175, 0), 2), 0)*investment!$C$4</f>
        <v>0</v>
      </c>
      <c r="F145" s="17" t="n">
        <f aca="false">demand!E143</f>
        <v>0</v>
      </c>
      <c r="G145" s="2" t="n">
        <f aca="false">solgen!E143</f>
        <v>0</v>
      </c>
      <c r="H145" s="2" t="n">
        <f aca="false">import!E143</f>
        <v>0</v>
      </c>
      <c r="I145" s="2" t="n">
        <f aca="false">-export!E143</f>
        <v>-0</v>
      </c>
      <c r="J145" s="2" t="n">
        <f aca="false">-charge!E143</f>
        <v>-0</v>
      </c>
      <c r="K145" s="2" t="n">
        <f aca="false">discharge!E143</f>
        <v>0</v>
      </c>
      <c r="L145" s="2" t="n">
        <f aca="false">soc!E143/investment!$E$4 *100</f>
        <v>23.5076413743712</v>
      </c>
    </row>
    <row r="146" customFormat="false" ht="13.8" hidden="false" customHeight="false" outlineLevel="0" collapsed="false">
      <c r="B146" s="10" t="n">
        <f aca="false">_xlfn.NUMBERVALUE(solar!B143)</f>
        <v>0</v>
      </c>
      <c r="C146" s="11" t="n">
        <f aca="false">solar!C143</f>
        <v>0</v>
      </c>
      <c r="D146" s="5" t="n">
        <v>142</v>
      </c>
      <c r="E146" s="16" t="n">
        <f aca="false">IFERROR(INDEX($B$5:$C$173, MATCH($D146, $B$5:$B$175, 0), 2), 0)*investment!$C$4</f>
        <v>0</v>
      </c>
      <c r="F146" s="17" t="n">
        <f aca="false">demand!E144</f>
        <v>0</v>
      </c>
      <c r="G146" s="2" t="n">
        <f aca="false">solgen!E144</f>
        <v>0</v>
      </c>
      <c r="H146" s="2" t="n">
        <f aca="false">import!E144</f>
        <v>0</v>
      </c>
      <c r="I146" s="2" t="n">
        <f aca="false">-export!E144</f>
        <v>-0</v>
      </c>
      <c r="J146" s="2" t="n">
        <f aca="false">-charge!E144</f>
        <v>-0</v>
      </c>
      <c r="K146" s="2" t="n">
        <f aca="false">discharge!E144</f>
        <v>0</v>
      </c>
      <c r="L146" s="2" t="n">
        <f aca="false">soc!E144/investment!$E$4 *100</f>
        <v>20.3857450493239</v>
      </c>
    </row>
    <row r="147" customFormat="false" ht="13.8" hidden="false" customHeight="false" outlineLevel="0" collapsed="false">
      <c r="B147" s="10" t="n">
        <f aca="false">_xlfn.NUMBERVALUE(solar!B144)</f>
        <v>0</v>
      </c>
      <c r="C147" s="11" t="n">
        <f aca="false">solar!C144</f>
        <v>0</v>
      </c>
      <c r="D147" s="5" t="n">
        <v>143</v>
      </c>
      <c r="E147" s="16" t="n">
        <f aca="false">IFERROR(INDEX($B$5:$C$173, MATCH($D147, $B$5:$B$175, 0), 2), 0)*investment!$C$4</f>
        <v>0</v>
      </c>
      <c r="F147" s="17" t="n">
        <f aca="false">demand!E145</f>
        <v>0</v>
      </c>
      <c r="G147" s="2" t="n">
        <f aca="false">solgen!E145</f>
        <v>0</v>
      </c>
      <c r="H147" s="2" t="n">
        <f aca="false">import!E145</f>
        <v>0</v>
      </c>
      <c r="I147" s="2" t="n">
        <f aca="false">-export!E145</f>
        <v>-0</v>
      </c>
      <c r="J147" s="2" t="n">
        <f aca="false">-charge!E145</f>
        <v>-0</v>
      </c>
      <c r="K147" s="2" t="n">
        <f aca="false">discharge!E145</f>
        <v>0</v>
      </c>
      <c r="L147" s="2" t="n">
        <f aca="false">soc!E145/investment!$E$4 *100</f>
        <v>18.4715558898826</v>
      </c>
    </row>
    <row r="148" customFormat="false" ht="13.8" hidden="false" customHeight="false" outlineLevel="0" collapsed="false">
      <c r="B148" s="10" t="n">
        <f aca="false">_xlfn.NUMBERVALUE(solar!B145)</f>
        <v>0</v>
      </c>
      <c r="C148" s="11" t="n">
        <f aca="false">solar!C145</f>
        <v>0</v>
      </c>
      <c r="D148" s="5" t="n">
        <v>144</v>
      </c>
      <c r="E148" s="16" t="n">
        <f aca="false">IFERROR(INDEX($B$5:$C$173, MATCH($D148, $B$5:$B$175, 0), 2), 0)*investment!$C$4</f>
        <v>0</v>
      </c>
      <c r="F148" s="17" t="n">
        <f aca="false">demand!E146</f>
        <v>0</v>
      </c>
      <c r="G148" s="2" t="n">
        <f aca="false">solgen!E146</f>
        <v>0</v>
      </c>
      <c r="H148" s="2" t="n">
        <f aca="false">import!E146</f>
        <v>0</v>
      </c>
      <c r="I148" s="2" t="n">
        <f aca="false">-export!E146</f>
        <v>-0</v>
      </c>
      <c r="J148" s="2" t="n">
        <f aca="false">-charge!E146</f>
        <v>-0</v>
      </c>
      <c r="K148" s="2" t="n">
        <f aca="false">discharge!E146</f>
        <v>0</v>
      </c>
      <c r="L148" s="2" t="n">
        <f aca="false">soc!E146/investment!$E$4 *100</f>
        <v>15.9034026073721</v>
      </c>
    </row>
    <row r="149" customFormat="false" ht="13.8" hidden="false" customHeight="false" outlineLevel="0" collapsed="false">
      <c r="B149" s="10" t="n">
        <f aca="false">_xlfn.NUMBERVALUE(solar!B146)</f>
        <v>0</v>
      </c>
      <c r="C149" s="11" t="n">
        <f aca="false">solar!C146</f>
        <v>0</v>
      </c>
      <c r="D149" s="5" t="n">
        <v>145</v>
      </c>
      <c r="E149" s="16" t="n">
        <f aca="false">IFERROR(INDEX($B$5:$C$173, MATCH($D149, $B$5:$B$175, 0), 2), 0)*investment!$C$4</f>
        <v>0</v>
      </c>
      <c r="F149" s="17" t="n">
        <f aca="false">demand!E147</f>
        <v>0</v>
      </c>
      <c r="G149" s="2" t="n">
        <f aca="false">solgen!E147</f>
        <v>0</v>
      </c>
      <c r="H149" s="2" t="n">
        <f aca="false">import!E147</f>
        <v>0</v>
      </c>
      <c r="I149" s="2" t="n">
        <f aca="false">-export!E147</f>
        <v>-0</v>
      </c>
      <c r="J149" s="2" t="n">
        <f aca="false">-charge!E147</f>
        <v>-0</v>
      </c>
      <c r="K149" s="2" t="n">
        <f aca="false">discharge!E147</f>
        <v>0</v>
      </c>
      <c r="L149" s="2" t="n">
        <f aca="false">soc!E147/investment!$E$4 *100</f>
        <v>14.0502840135246</v>
      </c>
    </row>
    <row r="150" customFormat="false" ht="13.8" hidden="false" customHeight="false" outlineLevel="0" collapsed="false">
      <c r="B150" s="10" t="n">
        <f aca="false">_xlfn.NUMBERVALUE(solar!B147)</f>
        <v>0</v>
      </c>
      <c r="C150" s="11" t="n">
        <f aca="false">solar!C147</f>
        <v>0</v>
      </c>
      <c r="D150" s="5" t="n">
        <v>146</v>
      </c>
      <c r="E150" s="16" t="n">
        <f aca="false">IFERROR(INDEX($B$5:$C$173, MATCH($D150, $B$5:$B$175, 0), 2), 0)*investment!$C$4</f>
        <v>0</v>
      </c>
      <c r="F150" s="17" t="n">
        <f aca="false">demand!E148</f>
        <v>0</v>
      </c>
      <c r="G150" s="2" t="n">
        <f aca="false">solgen!E148</f>
        <v>0</v>
      </c>
      <c r="H150" s="2" t="n">
        <f aca="false">import!E148</f>
        <v>0</v>
      </c>
      <c r="I150" s="2" t="n">
        <f aca="false">-export!E148</f>
        <v>-0</v>
      </c>
      <c r="J150" s="2" t="n">
        <f aca="false">-charge!E148</f>
        <v>-0</v>
      </c>
      <c r="K150" s="2" t="n">
        <f aca="false">discharge!E148</f>
        <v>0</v>
      </c>
      <c r="L150" s="2" t="n">
        <f aca="false">soc!E148/investment!$E$4 *100</f>
        <v>11.4124312383963</v>
      </c>
    </row>
    <row r="151" customFormat="false" ht="13.8" hidden="false" customHeight="false" outlineLevel="0" collapsed="false">
      <c r="B151" s="10" t="n">
        <f aca="false">_xlfn.NUMBERVALUE(solar!B148)</f>
        <v>0</v>
      </c>
      <c r="C151" s="11" t="n">
        <f aca="false">solar!C148</f>
        <v>0</v>
      </c>
      <c r="D151" s="5" t="n">
        <v>147</v>
      </c>
      <c r="E151" s="16" t="n">
        <f aca="false">IFERROR(INDEX($B$5:$C$173, MATCH($D151, $B$5:$B$175, 0), 2), 0)*investment!$C$4</f>
        <v>0</v>
      </c>
      <c r="F151" s="17" t="n">
        <f aca="false">demand!E149</f>
        <v>0</v>
      </c>
      <c r="G151" s="2" t="n">
        <f aca="false">solgen!E149</f>
        <v>0</v>
      </c>
      <c r="H151" s="2" t="n">
        <f aca="false">import!E149</f>
        <v>0</v>
      </c>
      <c r="I151" s="2" t="n">
        <f aca="false">-export!E149</f>
        <v>-0</v>
      </c>
      <c r="J151" s="2" t="n">
        <f aca="false">-charge!E149</f>
        <v>-0</v>
      </c>
      <c r="K151" s="2" t="n">
        <f aca="false">discharge!E149</f>
        <v>0</v>
      </c>
      <c r="L151" s="2" t="n">
        <f aca="false">soc!E149/investment!$E$4 *100</f>
        <v>8.79204076812985</v>
      </c>
    </row>
    <row r="152" customFormat="false" ht="13.8" hidden="false" customHeight="false" outlineLevel="0" collapsed="false">
      <c r="B152" s="10" t="n">
        <f aca="false">_xlfn.NUMBERVALUE(solar!B149)</f>
        <v>0</v>
      </c>
      <c r="C152" s="11" t="n">
        <f aca="false">solar!C149</f>
        <v>0</v>
      </c>
      <c r="D152" s="5" t="n">
        <v>148</v>
      </c>
      <c r="E152" s="16" t="n">
        <f aca="false">IFERROR(INDEX($B$5:$C$173, MATCH($D152, $B$5:$B$175, 0), 2), 0)*investment!$C$4</f>
        <v>0</v>
      </c>
      <c r="F152" s="17" t="n">
        <f aca="false">demand!E150</f>
        <v>0</v>
      </c>
      <c r="G152" s="2" t="n">
        <f aca="false">solgen!E150</f>
        <v>0</v>
      </c>
      <c r="H152" s="2" t="n">
        <f aca="false">import!E150</f>
        <v>0</v>
      </c>
      <c r="I152" s="2" t="n">
        <f aca="false">-export!E150</f>
        <v>-0</v>
      </c>
      <c r="J152" s="2" t="n">
        <f aca="false">-charge!E150</f>
        <v>-0</v>
      </c>
      <c r="K152" s="2" t="n">
        <f aca="false">discharge!E150</f>
        <v>0</v>
      </c>
      <c r="L152" s="2" t="n">
        <f aca="false">soc!E150/investment!$E$4 *100</f>
        <v>5.70080447017339</v>
      </c>
    </row>
    <row r="153" customFormat="false" ht="13.8" hidden="false" customHeight="false" outlineLevel="0" collapsed="false">
      <c r="B153" s="10" t="n">
        <f aca="false">_xlfn.NUMBERVALUE(solar!B150)</f>
        <v>0</v>
      </c>
      <c r="C153" s="11" t="n">
        <f aca="false">solar!C150</f>
        <v>0</v>
      </c>
      <c r="D153" s="5" t="n">
        <v>149</v>
      </c>
      <c r="E153" s="16" t="n">
        <f aca="false">IFERROR(INDEX($B$5:$C$173, MATCH($D153, $B$5:$B$175, 0), 2), 0)*investment!$C$4</f>
        <v>0</v>
      </c>
      <c r="F153" s="17" t="n">
        <f aca="false">demand!E151</f>
        <v>0</v>
      </c>
      <c r="G153" s="2" t="n">
        <f aca="false">solgen!E151</f>
        <v>0</v>
      </c>
      <c r="H153" s="2" t="n">
        <f aca="false">import!E151</f>
        <v>0</v>
      </c>
      <c r="I153" s="2" t="n">
        <f aca="false">-export!E151</f>
        <v>-0</v>
      </c>
      <c r="J153" s="2" t="n">
        <f aca="false">-charge!E151</f>
        <v>-0</v>
      </c>
      <c r="K153" s="2" t="n">
        <f aca="false">discharge!E151</f>
        <v>0</v>
      </c>
      <c r="L153" s="2" t="n">
        <f aca="false">soc!E151/investment!$E$4 *100</f>
        <v>3.25922336795721</v>
      </c>
    </row>
    <row r="154" customFormat="false" ht="13.8" hidden="false" customHeight="false" outlineLevel="0" collapsed="false">
      <c r="B154" s="10" t="n">
        <f aca="false">_xlfn.NUMBERVALUE(solar!B151)</f>
        <v>0</v>
      </c>
      <c r="C154" s="11" t="n">
        <f aca="false">solar!C151</f>
        <v>0</v>
      </c>
      <c r="D154" s="5" t="n">
        <v>150</v>
      </c>
      <c r="E154" s="16" t="n">
        <f aca="false">IFERROR(INDEX($B$5:$C$173, MATCH($D154, $B$5:$B$175, 0), 2), 0)*investment!$C$4</f>
        <v>0</v>
      </c>
      <c r="F154" s="17" t="n">
        <f aca="false">demand!E152</f>
        <v>0</v>
      </c>
      <c r="G154" s="2" t="n">
        <f aca="false">solgen!E152</f>
        <v>0</v>
      </c>
      <c r="H154" s="2" t="n">
        <f aca="false">import!E152</f>
        <v>0</v>
      </c>
      <c r="I154" s="2" t="n">
        <f aca="false">-export!E152</f>
        <v>-0</v>
      </c>
      <c r="J154" s="2" t="n">
        <f aca="false">-charge!E152</f>
        <v>-0</v>
      </c>
      <c r="K154" s="2" t="n">
        <f aca="false">discharge!E152</f>
        <v>0</v>
      </c>
      <c r="L154" s="2" t="n">
        <f aca="false">soc!E152/investment!$E$4 *100</f>
        <v>0.067179389341914</v>
      </c>
    </row>
    <row r="155" customFormat="false" ht="13.8" hidden="false" customHeight="false" outlineLevel="0" collapsed="false">
      <c r="B155" s="10" t="n">
        <f aca="false">_xlfn.NUMBERVALUE(solar!B152)</f>
        <v>0</v>
      </c>
      <c r="C155" s="11" t="n">
        <f aca="false">solar!C152</f>
        <v>0</v>
      </c>
      <c r="D155" s="5" t="n">
        <v>151</v>
      </c>
      <c r="E155" s="16" t="n">
        <f aca="false">IFERROR(INDEX($B$5:$C$173, MATCH($D155, $B$5:$B$175, 0), 2), 0)*investment!$C$4</f>
        <v>0</v>
      </c>
      <c r="F155" s="17" t="n">
        <f aca="false">demand!E153</f>
        <v>0</v>
      </c>
      <c r="G155" s="2" t="n">
        <f aca="false">solgen!E153</f>
        <v>0</v>
      </c>
      <c r="H155" s="2" t="n">
        <f aca="false">import!E153</f>
        <v>0</v>
      </c>
      <c r="I155" s="2" t="n">
        <f aca="false">-export!E153</f>
        <v>-0</v>
      </c>
      <c r="J155" s="2" t="n">
        <f aca="false">-charge!E153</f>
        <v>-0</v>
      </c>
      <c r="K155" s="2" t="n">
        <f aca="false">discharge!E153</f>
        <v>0</v>
      </c>
      <c r="L155" s="2" t="n">
        <f aca="false">soc!E153/investment!$E$4 *100</f>
        <v>0</v>
      </c>
    </row>
    <row r="156" customFormat="false" ht="13.8" hidden="false" customHeight="false" outlineLevel="0" collapsed="false">
      <c r="B156" s="10" t="n">
        <f aca="false">_xlfn.NUMBERVALUE(solar!B153)</f>
        <v>0</v>
      </c>
      <c r="C156" s="11" t="n">
        <f aca="false">solar!C153</f>
        <v>0</v>
      </c>
      <c r="D156" s="5" t="n">
        <v>152</v>
      </c>
      <c r="E156" s="16" t="n">
        <f aca="false">IFERROR(INDEX($B$5:$C$173, MATCH($D156, $B$5:$B$175, 0), 2), 0)*investment!$C$4</f>
        <v>0</v>
      </c>
      <c r="F156" s="17" t="n">
        <f aca="false">demand!E154</f>
        <v>0</v>
      </c>
      <c r="G156" s="2" t="n">
        <f aca="false">solgen!E154</f>
        <v>0</v>
      </c>
      <c r="H156" s="2" t="n">
        <f aca="false">import!E154</f>
        <v>0</v>
      </c>
      <c r="I156" s="2" t="n">
        <f aca="false">-export!E154</f>
        <v>-0</v>
      </c>
      <c r="J156" s="2" t="n">
        <f aca="false">-charge!E154</f>
        <v>-0</v>
      </c>
      <c r="K156" s="2" t="n">
        <f aca="false">discharge!E154</f>
        <v>0</v>
      </c>
      <c r="L156" s="2" t="n">
        <f aca="false">soc!E154/investment!$E$4 *100</f>
        <v>0</v>
      </c>
    </row>
    <row r="157" customFormat="false" ht="13.8" hidden="false" customHeight="false" outlineLevel="0" collapsed="false">
      <c r="B157" s="10" t="n">
        <f aca="false">_xlfn.NUMBERVALUE(solar!B154)</f>
        <v>0</v>
      </c>
      <c r="C157" s="11" t="n">
        <f aca="false">solar!C154</f>
        <v>0</v>
      </c>
      <c r="D157" s="5" t="n">
        <v>153</v>
      </c>
      <c r="E157" s="16" t="n">
        <f aca="false">IFERROR(INDEX($B$5:$C$173, MATCH($D157, $B$5:$B$175, 0), 2), 0)*investment!$C$4</f>
        <v>0</v>
      </c>
      <c r="F157" s="17" t="n">
        <f aca="false">demand!E155</f>
        <v>0</v>
      </c>
      <c r="G157" s="2" t="n">
        <f aca="false">solgen!E155</f>
        <v>0</v>
      </c>
      <c r="H157" s="2" t="n">
        <f aca="false">import!E155</f>
        <v>0</v>
      </c>
      <c r="I157" s="2" t="n">
        <f aca="false">-export!E155</f>
        <v>-0</v>
      </c>
      <c r="J157" s="2" t="n">
        <f aca="false">-charge!E155</f>
        <v>-0</v>
      </c>
      <c r="K157" s="2" t="n">
        <f aca="false">discharge!E155</f>
        <v>0</v>
      </c>
      <c r="L157" s="2" t="n">
        <f aca="false">soc!E155/investment!$E$4 *100</f>
        <v>0</v>
      </c>
    </row>
    <row r="158" customFormat="false" ht="13.8" hidden="false" customHeight="false" outlineLevel="0" collapsed="false">
      <c r="B158" s="10" t="n">
        <f aca="false">_xlfn.NUMBERVALUE(solar!B155)</f>
        <v>0</v>
      </c>
      <c r="C158" s="11" t="n">
        <f aca="false">solar!C155</f>
        <v>0</v>
      </c>
      <c r="D158" s="5" t="n">
        <v>154</v>
      </c>
      <c r="E158" s="16" t="n">
        <f aca="false">IFERROR(INDEX($B$5:$C$173, MATCH($D158, $B$5:$B$175, 0), 2), 0)*investment!$C$4</f>
        <v>0</v>
      </c>
      <c r="F158" s="17" t="n">
        <f aca="false">demand!E156</f>
        <v>0</v>
      </c>
      <c r="G158" s="2" t="n">
        <f aca="false">solgen!E156</f>
        <v>0</v>
      </c>
      <c r="H158" s="2" t="n">
        <f aca="false">import!E156</f>
        <v>0</v>
      </c>
      <c r="I158" s="2" t="n">
        <f aca="false">-export!E156</f>
        <v>-0</v>
      </c>
      <c r="J158" s="2" t="n">
        <f aca="false">-charge!E156</f>
        <v>-0</v>
      </c>
      <c r="K158" s="2" t="n">
        <f aca="false">discharge!E156</f>
        <v>0</v>
      </c>
      <c r="L158" s="2" t="n">
        <f aca="false">soc!E156/investment!$E$4 *100</f>
        <v>5.53046251089293</v>
      </c>
    </row>
    <row r="159" customFormat="false" ht="13.8" hidden="false" customHeight="false" outlineLevel="0" collapsed="false">
      <c r="B159" s="10" t="n">
        <f aca="false">_xlfn.NUMBERVALUE(solar!B156)</f>
        <v>0</v>
      </c>
      <c r="C159" s="11" t="n">
        <f aca="false">solar!C156</f>
        <v>0</v>
      </c>
      <c r="D159" s="5" t="n">
        <v>155</v>
      </c>
      <c r="E159" s="16" t="n">
        <f aca="false">IFERROR(INDEX($B$5:$C$173, MATCH($D159, $B$5:$B$175, 0), 2), 0)*investment!$C$4</f>
        <v>0</v>
      </c>
      <c r="F159" s="17" t="n">
        <f aca="false">demand!E157</f>
        <v>0</v>
      </c>
      <c r="G159" s="2" t="n">
        <f aca="false">solgen!E157</f>
        <v>0</v>
      </c>
      <c r="H159" s="2" t="n">
        <f aca="false">import!E157</f>
        <v>0</v>
      </c>
      <c r="I159" s="2" t="n">
        <f aca="false">-export!E157</f>
        <v>-0</v>
      </c>
      <c r="J159" s="2" t="n">
        <f aca="false">-charge!E157</f>
        <v>-0</v>
      </c>
      <c r="K159" s="2" t="n">
        <f aca="false">discharge!E157</f>
        <v>0</v>
      </c>
      <c r="L159" s="2" t="n">
        <f aca="false">soc!E157/investment!$E$4 *100</f>
        <v>22.9981827326465</v>
      </c>
    </row>
    <row r="160" customFormat="false" ht="13.8" hidden="false" customHeight="false" outlineLevel="0" collapsed="false">
      <c r="B160" s="10" t="n">
        <f aca="false">_xlfn.NUMBERVALUE(solar!B157)</f>
        <v>0</v>
      </c>
      <c r="C160" s="11" t="n">
        <f aca="false">solar!C157</f>
        <v>0</v>
      </c>
      <c r="D160" s="5" t="n">
        <v>156</v>
      </c>
      <c r="E160" s="16" t="n">
        <f aca="false">IFERROR(INDEX($B$5:$C$173, MATCH($D160, $B$5:$B$175, 0), 2), 0)*investment!$C$4</f>
        <v>0</v>
      </c>
      <c r="F160" s="17" t="n">
        <f aca="false">demand!E158</f>
        <v>0</v>
      </c>
      <c r="G160" s="2" t="n">
        <f aca="false">solgen!E158</f>
        <v>0</v>
      </c>
      <c r="H160" s="2" t="n">
        <f aca="false">import!E158</f>
        <v>0</v>
      </c>
      <c r="I160" s="2" t="n">
        <f aca="false">-export!E158</f>
        <v>-0</v>
      </c>
      <c r="J160" s="2" t="n">
        <f aca="false">-charge!E158</f>
        <v>-0</v>
      </c>
      <c r="K160" s="2" t="n">
        <f aca="false">discharge!E158</f>
        <v>0</v>
      </c>
      <c r="L160" s="2" t="n">
        <f aca="false">soc!E158/investment!$E$4 *100</f>
        <v>38.3024691243677</v>
      </c>
    </row>
    <row r="161" customFormat="false" ht="13.8" hidden="false" customHeight="false" outlineLevel="0" collapsed="false">
      <c r="B161" s="10" t="n">
        <f aca="false">_xlfn.NUMBERVALUE(solar!B158)</f>
        <v>0</v>
      </c>
      <c r="C161" s="11" t="n">
        <f aca="false">solar!C158</f>
        <v>0</v>
      </c>
      <c r="D161" s="5" t="n">
        <v>157</v>
      </c>
      <c r="E161" s="16" t="n">
        <f aca="false">IFERROR(INDEX($B$5:$C$173, MATCH($D161, $B$5:$B$175, 0), 2), 0)*investment!$C$4</f>
        <v>0</v>
      </c>
      <c r="F161" s="17" t="n">
        <f aca="false">demand!E159</f>
        <v>0</v>
      </c>
      <c r="G161" s="2" t="n">
        <f aca="false">solgen!E159</f>
        <v>0</v>
      </c>
      <c r="H161" s="2" t="n">
        <f aca="false">import!E159</f>
        <v>0</v>
      </c>
      <c r="I161" s="2" t="n">
        <f aca="false">-export!E159</f>
        <v>-0</v>
      </c>
      <c r="J161" s="2" t="n">
        <f aca="false">-charge!E159</f>
        <v>-0</v>
      </c>
      <c r="K161" s="2" t="n">
        <f aca="false">discharge!E159</f>
        <v>0</v>
      </c>
      <c r="L161" s="2" t="n">
        <f aca="false">soc!E159/investment!$E$4 *100</f>
        <v>52.1032005889034</v>
      </c>
    </row>
    <row r="162" customFormat="false" ht="13.8" hidden="false" customHeight="false" outlineLevel="0" collapsed="false">
      <c r="B162" s="10" t="n">
        <f aca="false">_xlfn.NUMBERVALUE(solar!B159)</f>
        <v>0</v>
      </c>
      <c r="C162" s="11" t="n">
        <f aca="false">solar!C159</f>
        <v>0</v>
      </c>
      <c r="D162" s="5" t="n">
        <v>158</v>
      </c>
      <c r="E162" s="16" t="n">
        <f aca="false">IFERROR(INDEX($B$5:$C$173, MATCH($D162, $B$5:$B$175, 0), 2), 0)*investment!$C$4</f>
        <v>0</v>
      </c>
      <c r="F162" s="17" t="n">
        <f aca="false">demand!E160</f>
        <v>0</v>
      </c>
      <c r="G162" s="2" t="n">
        <f aca="false">solgen!E160</f>
        <v>0</v>
      </c>
      <c r="H162" s="2" t="n">
        <f aca="false">import!E160</f>
        <v>0</v>
      </c>
      <c r="I162" s="2" t="n">
        <f aca="false">-export!E160</f>
        <v>-0</v>
      </c>
      <c r="J162" s="2" t="n">
        <f aca="false">-charge!E160</f>
        <v>-0</v>
      </c>
      <c r="K162" s="2" t="n">
        <f aca="false">discharge!E160</f>
        <v>0</v>
      </c>
      <c r="L162" s="2" t="n">
        <f aca="false">soc!E160/investment!$E$4 *100</f>
        <v>59.0926488900975</v>
      </c>
    </row>
    <row r="163" customFormat="false" ht="13.8" hidden="false" customHeight="false" outlineLevel="0" collapsed="false">
      <c r="B163" s="10" t="n">
        <f aca="false">_xlfn.NUMBERVALUE(solar!B160)</f>
        <v>0</v>
      </c>
      <c r="C163" s="11" t="n">
        <f aca="false">solar!C160</f>
        <v>0</v>
      </c>
      <c r="D163" s="5" t="n">
        <v>159</v>
      </c>
      <c r="E163" s="16" t="n">
        <f aca="false">IFERROR(INDEX($B$5:$C$173, MATCH($D163, $B$5:$B$175, 0), 2), 0)*investment!$C$4</f>
        <v>0</v>
      </c>
      <c r="F163" s="17" t="n">
        <f aca="false">demand!E161</f>
        <v>0</v>
      </c>
      <c r="G163" s="2" t="n">
        <f aca="false">solgen!E161</f>
        <v>0</v>
      </c>
      <c r="H163" s="2" t="n">
        <f aca="false">import!E161</f>
        <v>0</v>
      </c>
      <c r="I163" s="2" t="n">
        <f aca="false">-export!E161</f>
        <v>-0</v>
      </c>
      <c r="J163" s="2" t="n">
        <f aca="false">-charge!E161</f>
        <v>-0</v>
      </c>
      <c r="K163" s="2" t="n">
        <f aca="false">discharge!E161</f>
        <v>0</v>
      </c>
      <c r="L163" s="2" t="n">
        <f aca="false">soc!E161/investment!$E$4 *100</f>
        <v>64.5682583794534</v>
      </c>
    </row>
    <row r="164" customFormat="false" ht="13.8" hidden="false" customHeight="false" outlineLevel="0" collapsed="false">
      <c r="B164" s="10" t="n">
        <f aca="false">_xlfn.NUMBERVALUE(solar!B161)</f>
        <v>0</v>
      </c>
      <c r="C164" s="11" t="n">
        <f aca="false">solar!C161</f>
        <v>0</v>
      </c>
      <c r="D164" s="5" t="n">
        <v>160</v>
      </c>
      <c r="E164" s="16" t="n">
        <f aca="false">IFERROR(INDEX($B$5:$C$173, MATCH($D164, $B$5:$B$175, 0), 2), 0)*investment!$C$4</f>
        <v>0</v>
      </c>
      <c r="F164" s="17" t="n">
        <f aca="false">demand!E162</f>
        <v>0</v>
      </c>
      <c r="G164" s="2" t="n">
        <f aca="false">solgen!E162</f>
        <v>0</v>
      </c>
      <c r="H164" s="2" t="n">
        <f aca="false">import!E162</f>
        <v>0</v>
      </c>
      <c r="I164" s="2" t="n">
        <f aca="false">-export!E162</f>
        <v>-0</v>
      </c>
      <c r="J164" s="2" t="n">
        <f aca="false">-charge!E162</f>
        <v>-0</v>
      </c>
      <c r="K164" s="2" t="n">
        <f aca="false">discharge!E162</f>
        <v>0</v>
      </c>
      <c r="L164" s="2" t="n">
        <f aca="false">soc!E162/investment!$E$4 *100</f>
        <v>48.4388460161153</v>
      </c>
    </row>
    <row r="165" customFormat="false" ht="13.8" hidden="false" customHeight="false" outlineLevel="0" collapsed="false">
      <c r="B165" s="10" t="n">
        <f aca="false">_xlfn.NUMBERVALUE(solar!B162)</f>
        <v>0</v>
      </c>
      <c r="C165" s="11" t="n">
        <f aca="false">solar!C162</f>
        <v>0</v>
      </c>
      <c r="D165" s="5" t="n">
        <v>161</v>
      </c>
      <c r="E165" s="16" t="n">
        <f aca="false">IFERROR(INDEX($B$5:$C$173, MATCH($D165, $B$5:$B$175, 0), 2), 0)*investment!$C$4</f>
        <v>0</v>
      </c>
      <c r="F165" s="17" t="n">
        <f aca="false">demand!E163</f>
        <v>0</v>
      </c>
      <c r="G165" s="2" t="n">
        <f aca="false">solgen!E163</f>
        <v>0</v>
      </c>
      <c r="H165" s="2" t="n">
        <f aca="false">import!E163</f>
        <v>0</v>
      </c>
      <c r="I165" s="2" t="n">
        <f aca="false">-export!E163</f>
        <v>-0</v>
      </c>
      <c r="J165" s="2" t="n">
        <f aca="false">-charge!E163</f>
        <v>-0</v>
      </c>
      <c r="K165" s="2" t="n">
        <f aca="false">discharge!E163</f>
        <v>0</v>
      </c>
      <c r="L165" s="2" t="n">
        <f aca="false">soc!E163/investment!$E$4 *100</f>
        <v>30.235308135691</v>
      </c>
    </row>
    <row r="166" customFormat="false" ht="13.8" hidden="false" customHeight="false" outlineLevel="0" collapsed="false">
      <c r="B166" s="10" t="n">
        <f aca="false">_xlfn.NUMBERVALUE(solar!B163)</f>
        <v>0</v>
      </c>
      <c r="C166" s="11" t="n">
        <f aca="false">solar!C163</f>
        <v>0</v>
      </c>
      <c r="D166" s="5" t="n">
        <v>162</v>
      </c>
      <c r="E166" s="16" t="n">
        <f aca="false">IFERROR(INDEX($B$5:$C$173, MATCH($D166, $B$5:$B$175, 0), 2), 0)*investment!$C$4</f>
        <v>0</v>
      </c>
      <c r="F166" s="17" t="n">
        <f aca="false">demand!E164</f>
        <v>0</v>
      </c>
      <c r="G166" s="2" t="n">
        <f aca="false">solgen!E164</f>
        <v>0</v>
      </c>
      <c r="H166" s="2" t="n">
        <f aca="false">import!E164</f>
        <v>0</v>
      </c>
      <c r="I166" s="2" t="n">
        <f aca="false">-export!E164</f>
        <v>-0</v>
      </c>
      <c r="J166" s="2" t="n">
        <f aca="false">-charge!E164</f>
        <v>-0</v>
      </c>
      <c r="K166" s="2" t="n">
        <f aca="false">discharge!E164</f>
        <v>0</v>
      </c>
      <c r="L166" s="2" t="n">
        <f aca="false">soc!E164/investment!$E$4 *100</f>
        <v>22.0135976189776</v>
      </c>
    </row>
    <row r="167" customFormat="false" ht="13.8" hidden="false" customHeight="false" outlineLevel="0" collapsed="false">
      <c r="B167" s="10" t="n">
        <f aca="false">_xlfn.NUMBERVALUE(solar!B164)</f>
        <v>0</v>
      </c>
      <c r="C167" s="11" t="n">
        <f aca="false">solar!C164</f>
        <v>0</v>
      </c>
      <c r="D167" s="5" t="n">
        <v>163</v>
      </c>
      <c r="E167" s="16" t="n">
        <f aca="false">IFERROR(INDEX($B$5:$C$173, MATCH($D167, $B$5:$B$175, 0), 2), 0)*investment!$C$4</f>
        <v>0</v>
      </c>
      <c r="F167" s="17" t="n">
        <f aca="false">demand!E165</f>
        <v>0</v>
      </c>
      <c r="G167" s="2" t="n">
        <f aca="false">solgen!E165</f>
        <v>0</v>
      </c>
      <c r="H167" s="2" t="n">
        <f aca="false">import!E165</f>
        <v>0</v>
      </c>
      <c r="I167" s="2" t="n">
        <f aca="false">-export!E165</f>
        <v>-0</v>
      </c>
      <c r="J167" s="2" t="n">
        <f aca="false">-charge!E165</f>
        <v>-0</v>
      </c>
      <c r="K167" s="2" t="n">
        <f aca="false">discharge!E165</f>
        <v>0</v>
      </c>
      <c r="L167" s="2" t="n">
        <f aca="false">soc!E165/investment!$E$4 *100</f>
        <v>12.9621933246969</v>
      </c>
    </row>
    <row r="168" customFormat="false" ht="13.8" hidden="false" customHeight="false" outlineLevel="0" collapsed="false">
      <c r="B168" s="10" t="n">
        <f aca="false">_xlfn.NUMBERVALUE(solar!B165)</f>
        <v>0</v>
      </c>
      <c r="C168" s="11" t="n">
        <f aca="false">solar!C165</f>
        <v>0</v>
      </c>
      <c r="D168" s="5" t="n">
        <v>164</v>
      </c>
      <c r="E168" s="16" t="n">
        <f aca="false">IFERROR(INDEX($B$5:$C$173, MATCH($D168, $B$5:$B$175, 0), 2), 0)*investment!$C$4</f>
        <v>0</v>
      </c>
      <c r="F168" s="17" t="n">
        <f aca="false">demand!E166</f>
        <v>0</v>
      </c>
      <c r="G168" s="2" t="n">
        <f aca="false">solgen!E166</f>
        <v>0</v>
      </c>
      <c r="H168" s="2" t="n">
        <f aca="false">import!E166</f>
        <v>0</v>
      </c>
      <c r="I168" s="2" t="n">
        <f aca="false">-export!E166</f>
        <v>-0</v>
      </c>
      <c r="J168" s="2" t="n">
        <f aca="false">-charge!E166</f>
        <v>-0</v>
      </c>
      <c r="K168" s="2" t="n">
        <f aca="false">discharge!E166</f>
        <v>0</v>
      </c>
      <c r="L168" s="2" t="n">
        <f aca="false">soc!E166/investment!$E$4 *100</f>
        <v>8.65886034166228</v>
      </c>
    </row>
    <row r="169" customFormat="false" ht="13.8" hidden="false" customHeight="false" outlineLevel="0" collapsed="false">
      <c r="B169" s="10" t="n">
        <f aca="false">_xlfn.NUMBERVALUE(solar!B166)</f>
        <v>0</v>
      </c>
      <c r="C169" s="11" t="n">
        <f aca="false">solar!C166</f>
        <v>0</v>
      </c>
      <c r="D169" s="5" t="n">
        <v>165</v>
      </c>
      <c r="E169" s="16" t="n">
        <f aca="false">IFERROR(INDEX($B$5:$C$173, MATCH($D169, $B$5:$B$175, 0), 2), 0)*investment!$C$4</f>
        <v>0</v>
      </c>
      <c r="F169" s="17" t="n">
        <f aca="false">demand!E167</f>
        <v>0</v>
      </c>
      <c r="G169" s="2" t="n">
        <f aca="false">solgen!E167</f>
        <v>0</v>
      </c>
      <c r="H169" s="2" t="n">
        <f aca="false">import!E167</f>
        <v>0</v>
      </c>
      <c r="I169" s="2" t="n">
        <f aca="false">-export!E167</f>
        <v>-0</v>
      </c>
      <c r="J169" s="2" t="n">
        <f aca="false">-charge!E167</f>
        <v>-0</v>
      </c>
      <c r="K169" s="2" t="n">
        <f aca="false">discharge!E167</f>
        <v>0</v>
      </c>
      <c r="L169" s="2" t="n">
        <f aca="false">soc!E167/investment!$E$4 *100</f>
        <v>4.99649676749411</v>
      </c>
    </row>
    <row r="170" customFormat="false" ht="13.8" hidden="false" customHeight="false" outlineLevel="0" collapsed="false">
      <c r="B170" s="10" t="n">
        <f aca="false">_xlfn.NUMBERVALUE(solar!B167)</f>
        <v>0</v>
      </c>
      <c r="C170" s="11" t="n">
        <f aca="false">solar!C167</f>
        <v>0</v>
      </c>
      <c r="D170" s="5" t="n">
        <v>166</v>
      </c>
      <c r="E170" s="16" t="n">
        <f aca="false">IFERROR(INDEX($B$5:$C$173, MATCH($D170, $B$5:$B$175, 0), 2), 0)*investment!$C$4</f>
        <v>0</v>
      </c>
      <c r="F170" s="17" t="n">
        <f aca="false">demand!E168</f>
        <v>0</v>
      </c>
      <c r="G170" s="2" t="n">
        <f aca="false">solgen!E168</f>
        <v>0</v>
      </c>
      <c r="H170" s="2" t="n">
        <f aca="false">import!E168</f>
        <v>0</v>
      </c>
      <c r="I170" s="2" t="n">
        <f aca="false">-export!E168</f>
        <v>-0</v>
      </c>
      <c r="J170" s="2" t="n">
        <f aca="false">-charge!E168</f>
        <v>-0</v>
      </c>
      <c r="K170" s="2" t="n">
        <f aca="false">discharge!E168</f>
        <v>0</v>
      </c>
      <c r="L170" s="2" t="n">
        <f aca="false">soc!E168/investment!$E$4 *100</f>
        <v>3.10861539003681</v>
      </c>
    </row>
    <row r="171" customFormat="false" ht="13.8" hidden="false" customHeight="false" outlineLevel="0" collapsed="false">
      <c r="B171" s="10" t="n">
        <f aca="false">_xlfn.NUMBERVALUE(solar!B168)</f>
        <v>0</v>
      </c>
      <c r="C171" s="11" t="n">
        <f aca="false">solar!C168</f>
        <v>0</v>
      </c>
      <c r="D171" s="5" t="n">
        <v>167</v>
      </c>
      <c r="E171" s="16" t="n">
        <f aca="false">IFERROR(INDEX($B$5:$C$173, MATCH($D171, $B$5:$B$175, 0), 2), 0)*investment!$C$4</f>
        <v>0</v>
      </c>
      <c r="F171" s="17" t="n">
        <f aca="false">demand!E169</f>
        <v>0</v>
      </c>
      <c r="G171" s="2" t="n">
        <f aca="false">solgen!E169</f>
        <v>0</v>
      </c>
      <c r="H171" s="2" t="n">
        <f aca="false">import!E169</f>
        <v>0</v>
      </c>
      <c r="I171" s="2" t="n">
        <f aca="false">-export!E169</f>
        <v>-0</v>
      </c>
      <c r="J171" s="2" t="n">
        <f aca="false">-charge!E169</f>
        <v>-0</v>
      </c>
      <c r="K171" s="2" t="n">
        <f aca="false">discharge!E169</f>
        <v>0</v>
      </c>
      <c r="L171" s="2" t="n">
        <f aca="false">soc!E169/investment!$E$4 *100</f>
        <v>0</v>
      </c>
    </row>
    <row r="172" customFormat="false" ht="13.8" hidden="false" customHeight="false" outlineLevel="0" collapsed="false">
      <c r="B172" s="10" t="n">
        <f aca="false">_xlfn.NUMBERVALUE(solar!B169)</f>
        <v>0</v>
      </c>
      <c r="C172" s="11" t="n">
        <f aca="false">solar!C169</f>
        <v>0</v>
      </c>
      <c r="D172" s="5" t="n">
        <v>168</v>
      </c>
      <c r="E172" s="16" t="n">
        <f aca="false">IFERROR(INDEX($B$5:$C$173, MATCH($D172, $B$5:$B$175, 0), 2), 0)*investment!$C$4</f>
        <v>0</v>
      </c>
      <c r="F172" s="17" t="n">
        <f aca="false">demand!E170</f>
        <v>0</v>
      </c>
      <c r="G172" s="2" t="n">
        <f aca="false">solgen!E170</f>
        <v>0</v>
      </c>
      <c r="H172" s="2" t="n">
        <f aca="false">import!E170</f>
        <v>0</v>
      </c>
      <c r="I172" s="2" t="n">
        <f aca="false">-export!E170</f>
        <v>-0</v>
      </c>
      <c r="J172" s="2" t="n">
        <f aca="false">-charge!E170</f>
        <v>-0</v>
      </c>
      <c r="K172" s="2" t="n">
        <f aca="false">discharge!E170</f>
        <v>0</v>
      </c>
      <c r="L172" s="2" t="n">
        <f aca="false">soc!E170/investment!$E$4 *100</f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07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H2" activeCellId="1" sqref="B12:F14 AH2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18" t="s">
        <v>20</v>
      </c>
    </row>
    <row r="3" customFormat="false" ht="13.8" hidden="false" customHeight="false" outlineLevel="0" collapsed="false">
      <c r="B3" s="18" t="s">
        <v>21</v>
      </c>
    </row>
    <row r="4" customFormat="false" ht="13.8" hidden="false" customHeight="false" outlineLevel="0" collapsed="false">
      <c r="B4" s="19" t="s">
        <v>22</v>
      </c>
    </row>
    <row r="5" customFormat="false" ht="13.8" hidden="false" customHeight="false" outlineLevel="0" collapsed="false">
      <c r="B5" s="20" t="s">
        <v>23</v>
      </c>
    </row>
    <row r="6" customFormat="false" ht="13.8" hidden="false" customHeight="false" outlineLevel="0" collapsed="false">
      <c r="B6" s="20" t="s">
        <v>24</v>
      </c>
    </row>
    <row r="7" customFormat="false" ht="13.8" hidden="false" customHeight="false" outlineLevel="0" collapsed="false">
      <c r="B7" s="20" t="s">
        <v>25</v>
      </c>
    </row>
    <row r="8" customFormat="false" ht="13.8" hidden="false" customHeight="false" outlineLevel="0" collapsed="false">
      <c r="B8" s="18" t="s">
        <v>26</v>
      </c>
    </row>
    <row r="9" customFormat="false" ht="13.8" hidden="false" customHeight="false" outlineLevel="0" collapsed="false">
      <c r="B9" s="18" t="s">
        <v>27</v>
      </c>
    </row>
    <row r="10" customFormat="false" ht="13.8" hidden="false" customHeight="false" outlineLevel="0" collapsed="false">
      <c r="B10" s="19" t="s">
        <v>28</v>
      </c>
    </row>
    <row r="11" customFormat="false" ht="13.8" hidden="false" customHeight="false" outlineLevel="0" collapsed="false">
      <c r="B11" s="20" t="s">
        <v>29</v>
      </c>
    </row>
    <row r="12" customFormat="false" ht="13.8" hidden="false" customHeight="false" outlineLevel="0" collapsed="false">
      <c r="B12" s="20" t="s">
        <v>30</v>
      </c>
    </row>
    <row r="13" customFormat="false" ht="13.8" hidden="false" customHeight="false" outlineLevel="0" collapsed="false">
      <c r="B13" s="20" t="s">
        <v>25</v>
      </c>
    </row>
    <row r="14" customFormat="false" ht="13.8" hidden="false" customHeight="false" outlineLevel="0" collapsed="false">
      <c r="B14" s="19" t="s">
        <v>31</v>
      </c>
    </row>
    <row r="15" customFormat="false" ht="13.8" hidden="false" customHeight="false" outlineLevel="0" collapsed="false">
      <c r="B15" s="19" t="s">
        <v>32</v>
      </c>
    </row>
    <row r="16" customFormat="false" ht="13.8" hidden="false" customHeight="false" outlineLevel="0" collapsed="false">
      <c r="B16" s="19" t="s">
        <v>33</v>
      </c>
    </row>
    <row r="17" customFormat="false" ht="13.8" hidden="false" customHeight="false" outlineLevel="0" collapsed="false">
      <c r="B17" s="19" t="s">
        <v>34</v>
      </c>
    </row>
    <row r="18" customFormat="false" ht="13.8" hidden="false" customHeight="false" outlineLevel="0" collapsed="false">
      <c r="B18" s="19" t="s">
        <v>35</v>
      </c>
    </row>
    <row r="19" customFormat="false" ht="13.8" hidden="false" customHeight="false" outlineLevel="0" collapsed="false">
      <c r="B19" s="19" t="s">
        <v>36</v>
      </c>
    </row>
    <row r="20" customFormat="false" ht="13.8" hidden="false" customHeight="false" outlineLevel="0" collapsed="false">
      <c r="B20" s="19" t="s">
        <v>37</v>
      </c>
    </row>
    <row r="21" customFormat="false" ht="13.8" hidden="false" customHeight="false" outlineLevel="0" collapsed="false">
      <c r="B21" s="18" t="s">
        <v>38</v>
      </c>
    </row>
    <row r="22" customFormat="false" ht="13.8" hidden="false" customHeight="false" outlineLevel="0" collapsed="false">
      <c r="B22" s="19" t="s">
        <v>39</v>
      </c>
    </row>
    <row r="23" customFormat="false" ht="13.8" hidden="false" customHeight="false" outlineLevel="0" collapsed="false">
      <c r="B23" s="19" t="s">
        <v>40</v>
      </c>
    </row>
    <row r="24" customFormat="false" ht="13.8" hidden="false" customHeight="false" outlineLevel="0" collapsed="false">
      <c r="B24" s="19" t="s">
        <v>41</v>
      </c>
    </row>
    <row r="25" customFormat="false" ht="13.8" hidden="false" customHeight="false" outlineLevel="0" collapsed="false">
      <c r="B25" s="19" t="s">
        <v>42</v>
      </c>
    </row>
    <row r="26" customFormat="false" ht="13.8" hidden="false" customHeight="false" outlineLevel="0" collapsed="false">
      <c r="B26" s="19" t="s">
        <v>43</v>
      </c>
    </row>
    <row r="27" customFormat="false" ht="13.8" hidden="false" customHeight="false" outlineLevel="0" collapsed="false">
      <c r="B27" s="21"/>
    </row>
    <row r="28" customFormat="false" ht="13.8" hidden="false" customHeight="false" outlineLevel="0" collapsed="false">
      <c r="B28" s="19" t="s">
        <v>44</v>
      </c>
    </row>
    <row r="29" customFormat="false" ht="13.8" hidden="false" customHeight="false" outlineLevel="0" collapsed="false">
      <c r="B29" s="20" t="s">
        <v>25</v>
      </c>
    </row>
    <row r="30" customFormat="false" ht="13.8" hidden="false" customHeight="false" outlineLevel="0" collapsed="false">
      <c r="B30" s="22" t="s">
        <v>45</v>
      </c>
    </row>
    <row r="31" customFormat="false" ht="13.8" hidden="false" customHeight="false" outlineLevel="0" collapsed="false">
      <c r="B31" s="22" t="s">
        <v>46</v>
      </c>
    </row>
    <row r="32" customFormat="false" ht="13.8" hidden="false" customHeight="false" outlineLevel="0" collapsed="false">
      <c r="B32" s="18" t="s">
        <v>47</v>
      </c>
    </row>
    <row r="33" customFormat="false" ht="13.8" hidden="false" customHeight="false" outlineLevel="0" collapsed="false">
      <c r="B33" s="18" t="s">
        <v>48</v>
      </c>
    </row>
    <row r="34" customFormat="false" ht="13.8" hidden="false" customHeight="false" outlineLevel="0" collapsed="false">
      <c r="B34" s="22" t="s">
        <v>49</v>
      </c>
    </row>
    <row r="35" customFormat="false" ht="13.8" hidden="false" customHeight="false" outlineLevel="0" collapsed="false">
      <c r="B35" s="20" t="s">
        <v>25</v>
      </c>
    </row>
    <row r="36" customFormat="false" ht="13.8" hidden="false" customHeight="false" outlineLevel="0" collapsed="false">
      <c r="B36" s="21"/>
    </row>
    <row r="37" customFormat="false" ht="13.8" hidden="false" customHeight="false" outlineLevel="0" collapsed="false">
      <c r="B37" s="21"/>
    </row>
    <row r="38" customFormat="false" ht="13.8" hidden="false" customHeight="false" outlineLevel="0" collapsed="false">
      <c r="B38" s="18" t="s">
        <v>50</v>
      </c>
    </row>
    <row r="39" customFormat="false" ht="13.8" hidden="false" customHeight="false" outlineLevel="0" collapsed="false">
      <c r="B39" s="19" t="s">
        <v>51</v>
      </c>
    </row>
    <row r="40" customFormat="false" ht="13.8" hidden="false" customHeight="false" outlineLevel="0" collapsed="false">
      <c r="B40" s="19" t="s">
        <v>52</v>
      </c>
    </row>
    <row r="41" customFormat="false" ht="13.8" hidden="false" customHeight="false" outlineLevel="0" collapsed="false">
      <c r="B41" s="19" t="s">
        <v>53</v>
      </c>
    </row>
    <row r="42" customFormat="false" ht="13.8" hidden="false" customHeight="false" outlineLevel="0" collapsed="false">
      <c r="B42" s="21"/>
    </row>
    <row r="43" customFormat="false" ht="13.8" hidden="false" customHeight="false" outlineLevel="0" collapsed="false">
      <c r="B43" s="23" t="s">
        <v>54</v>
      </c>
    </row>
    <row r="44" customFormat="false" ht="13.8" hidden="false" customHeight="false" outlineLevel="0" collapsed="false">
      <c r="B44" s="22" t="s">
        <v>45</v>
      </c>
    </row>
    <row r="45" customFormat="false" ht="13.8" hidden="false" customHeight="false" outlineLevel="0" collapsed="false">
      <c r="B45" s="22" t="s">
        <v>55</v>
      </c>
    </row>
    <row r="46" customFormat="false" ht="13.8" hidden="false" customHeight="false" outlineLevel="0" collapsed="false">
      <c r="B46" s="18" t="s">
        <v>56</v>
      </c>
    </row>
    <row r="47" customFormat="false" ht="13.8" hidden="false" customHeight="false" outlineLevel="0" collapsed="false">
      <c r="B47" s="18" t="s">
        <v>57</v>
      </c>
    </row>
    <row r="48" customFormat="false" ht="13.8" hidden="false" customHeight="false" outlineLevel="0" collapsed="false">
      <c r="B48" s="22" t="s">
        <v>49</v>
      </c>
    </row>
    <row r="49" customFormat="false" ht="13.8" hidden="false" customHeight="false" outlineLevel="0" collapsed="false">
      <c r="B49" s="19" t="s">
        <v>53</v>
      </c>
    </row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69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C3" activeCellId="1" sqref="B12:F14 C3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2" t="n">
        <v>1</v>
      </c>
      <c r="C2" s="2" t="n">
        <v>0.00111720370851912</v>
      </c>
      <c r="D2" s="2" t="n">
        <v>0.00111720988061827</v>
      </c>
      <c r="E2" s="2" t="n">
        <v>0.00111720988061689</v>
      </c>
    </row>
    <row r="3" customFormat="false" ht="13.8" hidden="false" customHeight="false" outlineLevel="0" collapsed="false">
      <c r="B3" s="2" t="n">
        <v>2</v>
      </c>
      <c r="C3" s="2" t="n">
        <v>0.00111720988061788</v>
      </c>
      <c r="D3" s="2" t="n">
        <v>0.00111721605277872</v>
      </c>
      <c r="E3" s="2" t="n">
        <v>0.00111721605277742</v>
      </c>
    </row>
    <row r="4" customFormat="false" ht="13.8" hidden="false" customHeight="false" outlineLevel="0" collapsed="false">
      <c r="B4" s="2" t="n">
        <v>3</v>
      </c>
      <c r="C4" s="2" t="n">
        <v>0.00111721605277836</v>
      </c>
      <c r="D4" s="2" t="n">
        <v>0.00111722222500088</v>
      </c>
      <c r="E4" s="2" t="n">
        <v>0.00111722222499986</v>
      </c>
    </row>
    <row r="5" customFormat="false" ht="13.8" hidden="false" customHeight="false" outlineLevel="0" collapsed="false">
      <c r="B5" s="2" t="n">
        <v>4</v>
      </c>
      <c r="C5" s="2" t="n">
        <v>0.00111722222500056</v>
      </c>
      <c r="D5" s="2" t="n">
        <v>0.00111722839728477</v>
      </c>
      <c r="E5" s="2" t="n">
        <v>0.00111722839728384</v>
      </c>
    </row>
    <row r="6" customFormat="false" ht="13.8" hidden="false" customHeight="false" outlineLevel="0" collapsed="false">
      <c r="B6" s="2" t="n">
        <v>5</v>
      </c>
      <c r="C6" s="2" t="n">
        <v>0.00111722839728448</v>
      </c>
      <c r="D6" s="2" t="n">
        <v>0.00111723456963038</v>
      </c>
      <c r="E6" s="2" t="n">
        <v>0.00111723456962954</v>
      </c>
    </row>
    <row r="7" customFormat="false" ht="13.8" hidden="false" customHeight="false" outlineLevel="0" collapsed="false">
      <c r="B7" s="2" t="n">
        <v>6</v>
      </c>
      <c r="C7" s="2" t="n">
        <v>0.00111723456963012</v>
      </c>
      <c r="D7" s="2" t="n">
        <v>0.00111724074203772</v>
      </c>
      <c r="E7" s="2" t="n">
        <v>0.00111724074203697</v>
      </c>
    </row>
    <row r="8" customFormat="false" ht="13.8" hidden="false" customHeight="false" outlineLevel="0" collapsed="false">
      <c r="B8" s="2" t="n">
        <v>7</v>
      </c>
      <c r="C8" s="2" t="n">
        <v>0.00111724074203748</v>
      </c>
      <c r="D8" s="2" t="n">
        <v>0</v>
      </c>
      <c r="E8" s="2" t="n">
        <v>0.00111724691450612</v>
      </c>
    </row>
    <row r="9" customFormat="false" ht="13.8" hidden="false" customHeight="false" outlineLevel="0" collapsed="false">
      <c r="B9" s="2" t="n">
        <v>8</v>
      </c>
      <c r="C9" s="2" t="n">
        <v>0</v>
      </c>
      <c r="D9" s="2" t="n">
        <v>0</v>
      </c>
      <c r="E9" s="2" t="n">
        <v>0</v>
      </c>
    </row>
    <row r="10" customFormat="false" ht="13.8" hidden="false" customHeight="false" outlineLevel="0" collapsed="false">
      <c r="B10" s="2" t="n">
        <v>9</v>
      </c>
      <c r="C10" s="2" t="n">
        <v>0</v>
      </c>
      <c r="D10" s="2" t="n">
        <v>0</v>
      </c>
      <c r="E10" s="2" t="n">
        <v>0</v>
      </c>
    </row>
    <row r="11" customFormat="false" ht="13.8" hidden="false" customHeight="false" outlineLevel="0" collapsed="false">
      <c r="B11" s="2" t="n">
        <v>10</v>
      </c>
      <c r="C11" s="2" t="n">
        <v>0</v>
      </c>
      <c r="D11" s="2" t="n">
        <v>0</v>
      </c>
      <c r="E11" s="2" t="n">
        <v>0</v>
      </c>
    </row>
    <row r="12" customFormat="false" ht="13.8" hidden="false" customHeight="false" outlineLevel="0" collapsed="false">
      <c r="B12" s="2" t="n">
        <v>11</v>
      </c>
      <c r="C12" s="2" t="n">
        <v>0</v>
      </c>
      <c r="D12" s="2" t="n">
        <v>0</v>
      </c>
      <c r="E12" s="2" t="n">
        <v>0</v>
      </c>
    </row>
    <row r="13" customFormat="false" ht="13.8" hidden="false" customHeight="false" outlineLevel="0" collapsed="false">
      <c r="B13" s="2" t="n">
        <v>12</v>
      </c>
      <c r="C13" s="2" t="n">
        <v>0</v>
      </c>
      <c r="D13" s="2" t="n">
        <v>0</v>
      </c>
      <c r="E13" s="2" t="n">
        <v>0</v>
      </c>
    </row>
    <row r="14" customFormat="false" ht="13.8" hidden="false" customHeight="false" outlineLevel="0" collapsed="false">
      <c r="B14" s="2" t="n">
        <v>13</v>
      </c>
      <c r="C14" s="2" t="n">
        <v>0</v>
      </c>
      <c r="D14" s="2" t="n">
        <v>0</v>
      </c>
      <c r="E14" s="2" t="n">
        <v>0</v>
      </c>
    </row>
    <row r="15" customFormat="false" ht="13.8" hidden="false" customHeight="false" outlineLevel="0" collapsed="false">
      <c r="B15" s="2" t="n">
        <v>14</v>
      </c>
      <c r="C15" s="2" t="n">
        <v>0</v>
      </c>
      <c r="D15" s="2" t="n">
        <v>5.00005006691193E-009</v>
      </c>
      <c r="E15" s="2" t="n">
        <v>5.0000500210294E-009</v>
      </c>
    </row>
    <row r="16" customFormat="false" ht="13.8" hidden="false" customHeight="false" outlineLevel="0" collapsed="false">
      <c r="B16" s="2" t="n">
        <v>15</v>
      </c>
      <c r="C16" s="2" t="n">
        <v>5.0000500423954E-009</v>
      </c>
      <c r="D16" s="2" t="n">
        <v>1.00001500681554E-008</v>
      </c>
      <c r="E16" s="2" t="n">
        <v>1.00001500308645E-008</v>
      </c>
    </row>
    <row r="17" customFormat="false" ht="13.8" hidden="false" customHeight="false" outlineLevel="0" collapsed="false">
      <c r="B17" s="2" t="n">
        <v>16</v>
      </c>
      <c r="C17" s="2" t="n">
        <v>1.00001500425728E-008</v>
      </c>
      <c r="D17" s="2" t="n">
        <v>1.50003000709699E-008</v>
      </c>
      <c r="E17" s="2" t="n">
        <v>0.277492564903301</v>
      </c>
    </row>
    <row r="18" customFormat="false" ht="13.8" hidden="false" customHeight="false" outlineLevel="0" collapsed="false">
      <c r="B18" s="2" t="n">
        <v>17</v>
      </c>
      <c r="C18" s="2" t="n">
        <v>1.50003000449484E-008</v>
      </c>
      <c r="D18" s="2" t="n">
        <v>2.00005000759006E-008</v>
      </c>
      <c r="E18" s="2" t="n">
        <v>0.27749533485665</v>
      </c>
    </row>
    <row r="19" customFormat="false" ht="13.8" hidden="false" customHeight="false" outlineLevel="0" collapsed="false">
      <c r="B19" s="2" t="n">
        <v>18</v>
      </c>
      <c r="C19" s="2" t="n">
        <v>0.00111730864259265</v>
      </c>
      <c r="D19" s="2" t="n">
        <v>2.50007500833631E-008</v>
      </c>
      <c r="E19" s="2" t="n">
        <v>0.277498104837698</v>
      </c>
    </row>
    <row r="20" customFormat="false" ht="13.8" hidden="false" customHeight="false" outlineLevel="0" collapsed="false">
      <c r="B20" s="2" t="n">
        <v>19</v>
      </c>
      <c r="C20" s="2" t="n">
        <v>0.00111731481574081</v>
      </c>
      <c r="D20" s="2" t="n">
        <v>0.00111732098895073</v>
      </c>
      <c r="E20" s="2" t="n">
        <v>0.277500874846447</v>
      </c>
    </row>
    <row r="21" customFormat="false" ht="13.8" hidden="false" customHeight="false" outlineLevel="0" collapsed="false">
      <c r="B21" s="2" t="n">
        <v>20</v>
      </c>
      <c r="C21" s="2" t="n">
        <v>0.0011173209889507</v>
      </c>
      <c r="D21" s="2" t="n">
        <v>0.00111732716222236</v>
      </c>
      <c r="E21" s="2" t="n">
        <v>0.277503644882895</v>
      </c>
    </row>
    <row r="22" customFormat="false" ht="13.8" hidden="false" customHeight="false" outlineLevel="0" collapsed="false">
      <c r="B22" s="2" t="n">
        <v>21</v>
      </c>
      <c r="C22" s="2" t="n">
        <v>0.00111732716222232</v>
      </c>
      <c r="D22" s="2" t="n">
        <v>0.00111733333555571</v>
      </c>
      <c r="E22" s="2" t="n">
        <v>0.277506414947045</v>
      </c>
    </row>
    <row r="23" customFormat="false" ht="13.8" hidden="false" customHeight="false" outlineLevel="0" collapsed="false">
      <c r="B23" s="2" t="n">
        <v>22</v>
      </c>
      <c r="C23" s="2" t="n">
        <v>0.00111733333555568</v>
      </c>
      <c r="D23" s="2" t="n">
        <v>0.0011173395089508</v>
      </c>
      <c r="E23" s="2" t="n">
        <v>0.277509185038895</v>
      </c>
    </row>
    <row r="24" customFormat="false" ht="13.8" hidden="false" customHeight="false" outlineLevel="0" collapsed="false">
      <c r="B24" s="2" t="n">
        <v>23</v>
      </c>
      <c r="C24" s="2" t="n">
        <v>0.00111733950895077</v>
      </c>
      <c r="D24" s="2" t="n">
        <v>0.00111734568240762</v>
      </c>
      <c r="E24" s="2" t="n">
        <v>0.277511955158447</v>
      </c>
    </row>
    <row r="25" customFormat="false" ht="13.8" hidden="false" customHeight="false" outlineLevel="0" collapsed="false">
      <c r="B25" s="2" t="n">
        <v>24</v>
      </c>
      <c r="C25" s="2" t="n">
        <v>0.00111734568240759</v>
      </c>
      <c r="D25" s="2" t="n">
        <v>0.00111735185592618</v>
      </c>
      <c r="E25" s="2" t="n">
        <v>0.2775147253057</v>
      </c>
    </row>
    <row r="26" customFormat="false" ht="13.8" hidden="false" customHeight="false" outlineLevel="0" collapsed="false">
      <c r="B26" s="2" t="n">
        <v>25</v>
      </c>
      <c r="C26" s="2" t="n">
        <v>0.00111735185592615</v>
      </c>
      <c r="D26" s="2" t="n">
        <v>0.00111735802950648</v>
      </c>
      <c r="E26" s="2" t="n">
        <v>0.277517495480655</v>
      </c>
    </row>
    <row r="27" customFormat="false" ht="13.8" hidden="false" customHeight="false" outlineLevel="0" collapsed="false">
      <c r="B27" s="2" t="n">
        <v>26</v>
      </c>
      <c r="C27" s="2" t="n">
        <v>0.00111735802950644</v>
      </c>
      <c r="D27" s="2" t="n">
        <v>0.00111736420314851</v>
      </c>
      <c r="E27" s="2" t="n">
        <v>0.277520265683312</v>
      </c>
    </row>
    <row r="28" customFormat="false" ht="13.8" hidden="false" customHeight="false" outlineLevel="0" collapsed="false">
      <c r="B28" s="2" t="n">
        <v>27</v>
      </c>
      <c r="C28" s="2" t="n">
        <v>0.00111736420314847</v>
      </c>
      <c r="D28" s="2" t="n">
        <v>0.00111737037685228</v>
      </c>
      <c r="E28" s="2" t="n">
        <v>0.277523035913671</v>
      </c>
    </row>
    <row r="29" customFormat="false" ht="13.8" hidden="false" customHeight="false" outlineLevel="0" collapsed="false">
      <c r="B29" s="2" t="n">
        <v>28</v>
      </c>
      <c r="C29" s="2" t="n">
        <v>0.00111737037685224</v>
      </c>
      <c r="D29" s="2" t="n">
        <v>0.00111737655061779</v>
      </c>
      <c r="E29" s="2" t="n">
        <v>0.277525806171732</v>
      </c>
    </row>
    <row r="30" customFormat="false" ht="13.8" hidden="false" customHeight="false" outlineLevel="0" collapsed="false">
      <c r="B30" s="2" t="n">
        <v>29</v>
      </c>
      <c r="C30" s="2" t="n">
        <v>0.00111737655061775</v>
      </c>
      <c r="D30" s="2" t="n">
        <v>0.00111738272444503</v>
      </c>
      <c r="E30" s="2" t="n">
        <v>0.277528576457497</v>
      </c>
    </row>
    <row r="31" customFormat="false" ht="13.8" hidden="false" customHeight="false" outlineLevel="0" collapsed="false">
      <c r="B31" s="2" t="n">
        <v>30</v>
      </c>
      <c r="C31" s="2" t="n">
        <v>0.00111738272444499</v>
      </c>
      <c r="D31" s="2" t="n">
        <v>0.00111738889833401</v>
      </c>
      <c r="E31" s="2" t="n">
        <v>0.277531346770965</v>
      </c>
    </row>
    <row r="32" customFormat="false" ht="13.8" hidden="false" customHeight="false" outlineLevel="0" collapsed="false">
      <c r="B32" s="2" t="n">
        <v>31</v>
      </c>
      <c r="C32" s="2" t="n">
        <v>0.00111738889833398</v>
      </c>
      <c r="D32" s="2" t="n">
        <v>0</v>
      </c>
      <c r="E32" s="2" t="n">
        <v>0.277534117112136</v>
      </c>
    </row>
    <row r="33" customFormat="false" ht="13.8" hidden="false" customHeight="false" outlineLevel="0" collapsed="false">
      <c r="B33" s="2" t="n">
        <v>32</v>
      </c>
      <c r="C33" s="2" t="n">
        <v>0</v>
      </c>
      <c r="D33" s="2" t="n">
        <v>0</v>
      </c>
      <c r="E33" s="2" t="n">
        <v>0</v>
      </c>
    </row>
    <row r="34" customFormat="false" ht="13.8" hidden="false" customHeight="false" outlineLevel="0" collapsed="false">
      <c r="B34" s="2" t="n">
        <v>33</v>
      </c>
      <c r="C34" s="2" t="n">
        <v>0</v>
      </c>
      <c r="D34" s="2" t="n">
        <v>0</v>
      </c>
      <c r="E34" s="2" t="n">
        <v>0</v>
      </c>
    </row>
    <row r="35" customFormat="false" ht="13.8" hidden="false" customHeight="false" outlineLevel="0" collapsed="false">
      <c r="B35" s="2" t="n">
        <v>34</v>
      </c>
      <c r="C35" s="2" t="n">
        <v>0</v>
      </c>
      <c r="D35" s="2" t="n">
        <v>0</v>
      </c>
      <c r="E35" s="2" t="n">
        <v>0</v>
      </c>
    </row>
    <row r="36" customFormat="false" ht="13.8" hidden="false" customHeight="false" outlineLevel="0" collapsed="false">
      <c r="B36" s="2" t="n">
        <v>35</v>
      </c>
      <c r="C36" s="2" t="n">
        <v>0</v>
      </c>
      <c r="D36" s="2" t="n">
        <v>0</v>
      </c>
      <c r="E36" s="2" t="n">
        <v>0</v>
      </c>
    </row>
    <row r="37" customFormat="false" ht="13.8" hidden="false" customHeight="false" outlineLevel="0" collapsed="false">
      <c r="B37" s="2" t="n">
        <v>36</v>
      </c>
      <c r="C37" s="2" t="n">
        <v>0</v>
      </c>
      <c r="D37" s="2" t="n">
        <v>0</v>
      </c>
      <c r="E37" s="2" t="n">
        <v>0</v>
      </c>
    </row>
    <row r="38" customFormat="false" ht="13.8" hidden="false" customHeight="false" outlineLevel="0" collapsed="false">
      <c r="B38" s="2" t="n">
        <v>37</v>
      </c>
      <c r="C38" s="2" t="n">
        <v>0</v>
      </c>
      <c r="D38" s="2" t="n">
        <v>2.83809031881267E-009</v>
      </c>
      <c r="E38" s="2" t="n">
        <v>5.00005003793646E-009</v>
      </c>
    </row>
    <row r="39" customFormat="false" ht="13.8" hidden="false" customHeight="false" outlineLevel="0" collapsed="false">
      <c r="B39" s="2" t="n">
        <v>38</v>
      </c>
      <c r="C39" s="2" t="n">
        <v>5.00004997620705E-009</v>
      </c>
      <c r="D39" s="2" t="n">
        <v>8.40560949083863E-009</v>
      </c>
      <c r="E39" s="2" t="n">
        <v>1.00001500460806E-008</v>
      </c>
    </row>
    <row r="40" customFormat="false" ht="13.8" hidden="false" customHeight="false" outlineLevel="0" collapsed="false">
      <c r="B40" s="2" t="n">
        <v>39</v>
      </c>
      <c r="C40" s="2" t="n">
        <v>1.00001499740493E-008</v>
      </c>
      <c r="D40" s="2" t="n">
        <v>1.34057435480855E-008</v>
      </c>
      <c r="E40" s="2" t="n">
        <v>1.50003000532336E-008</v>
      </c>
    </row>
    <row r="41" customFormat="false" ht="13.8" hidden="false" customHeight="false" outlineLevel="0" collapsed="false">
      <c r="B41" s="2" t="n">
        <v>40</v>
      </c>
      <c r="C41" s="2" t="n">
        <v>1.50002999753723E-008</v>
      </c>
      <c r="D41" s="2" t="n">
        <v>1.84059276074604E-008</v>
      </c>
      <c r="E41" s="2" t="n">
        <v>2.00005000603828E-008</v>
      </c>
    </row>
    <row r="42" customFormat="false" ht="13.8" hidden="false" customHeight="false" outlineLevel="0" collapsed="false">
      <c r="B42" s="2" t="n">
        <v>41</v>
      </c>
      <c r="C42" s="2" t="n">
        <v>2.00004999795978E-008</v>
      </c>
      <c r="D42" s="2" t="n">
        <v>2.3406161668884E-008</v>
      </c>
      <c r="E42" s="2" t="n">
        <v>0.00111731481574083</v>
      </c>
    </row>
    <row r="43" customFormat="false" ht="13.8" hidden="false" customHeight="false" outlineLevel="0" collapsed="false">
      <c r="B43" s="2" t="n">
        <v>42</v>
      </c>
      <c r="C43" s="2" t="n">
        <v>0.00111731481574073</v>
      </c>
      <c r="D43" s="2" t="n">
        <v>2.84064457333652E-008</v>
      </c>
      <c r="E43" s="2" t="n">
        <v>0.00111732098895072</v>
      </c>
    </row>
    <row r="44" customFormat="false" ht="13.8" hidden="false" customHeight="false" outlineLevel="0" collapsed="false">
      <c r="B44" s="2" t="n">
        <v>43</v>
      </c>
      <c r="C44" s="2" t="n">
        <v>0.00111732098895061</v>
      </c>
      <c r="D44" s="2" t="n">
        <v>0</v>
      </c>
      <c r="E44" s="2" t="n">
        <v>0.00111732716222234</v>
      </c>
    </row>
    <row r="45" customFormat="false" ht="13.8" hidden="false" customHeight="false" outlineLevel="0" collapsed="false">
      <c r="B45" s="2" t="n">
        <v>44</v>
      </c>
      <c r="C45" s="2" t="n">
        <v>0.00111732716222224</v>
      </c>
      <c r="D45" s="2" t="n">
        <v>0.00111733136686898</v>
      </c>
      <c r="E45" s="2" t="n">
        <v>0.00111733333555569</v>
      </c>
    </row>
    <row r="46" customFormat="false" ht="13.8" hidden="false" customHeight="false" outlineLevel="0" collapsed="false">
      <c r="B46" s="2" t="n">
        <v>45</v>
      </c>
      <c r="C46" s="2" t="n">
        <v>0.00111733333555559</v>
      </c>
      <c r="D46" s="2" t="n">
        <v>0.00111733754024438</v>
      </c>
      <c r="E46" s="2" t="n">
        <v>0.00111733950895078</v>
      </c>
    </row>
    <row r="47" customFormat="false" ht="13.8" hidden="false" customHeight="false" outlineLevel="0" collapsed="false">
      <c r="B47" s="2" t="n">
        <v>46</v>
      </c>
      <c r="C47" s="2" t="n">
        <v>0.00111733950895068</v>
      </c>
      <c r="D47" s="2" t="n">
        <v>0.00111734371368152</v>
      </c>
      <c r="E47" s="2" t="n">
        <v>0.00111734568240761</v>
      </c>
    </row>
    <row r="48" customFormat="false" ht="13.8" hidden="false" customHeight="false" outlineLevel="0" collapsed="false">
      <c r="B48" s="2" t="n">
        <v>47</v>
      </c>
      <c r="C48" s="2" t="n">
        <v>0.0011173456824075</v>
      </c>
      <c r="D48" s="2" t="n">
        <v>0.00111734988718039</v>
      </c>
      <c r="E48" s="2" t="n">
        <v>0.00111735185592617</v>
      </c>
    </row>
    <row r="49" customFormat="false" ht="13.8" hidden="false" customHeight="false" outlineLevel="0" collapsed="false">
      <c r="B49" s="2" t="n">
        <v>48</v>
      </c>
      <c r="C49" s="2" t="n">
        <v>0.00111735185592606</v>
      </c>
      <c r="D49" s="2" t="n">
        <v>0.001117356060741</v>
      </c>
      <c r="E49" s="2" t="n">
        <v>0.00111735802950646</v>
      </c>
    </row>
    <row r="50" customFormat="false" ht="13.8" hidden="false" customHeight="false" outlineLevel="0" collapsed="false">
      <c r="B50" s="2" t="n">
        <v>49</v>
      </c>
      <c r="C50" s="2" t="n">
        <v>0.00111735802950636</v>
      </c>
      <c r="D50" s="2" t="n">
        <v>0.00111736223436334</v>
      </c>
      <c r="E50" s="2" t="n">
        <v>0.00111736420314849</v>
      </c>
    </row>
    <row r="51" customFormat="false" ht="13.8" hidden="false" customHeight="false" outlineLevel="0" collapsed="false">
      <c r="B51" s="2" t="n">
        <v>50</v>
      </c>
      <c r="C51" s="2" t="n">
        <v>0.00111736420314839</v>
      </c>
      <c r="D51" s="2" t="n">
        <v>0.00111736840804742</v>
      </c>
      <c r="E51" s="2" t="n">
        <v>0.00111737037685226</v>
      </c>
    </row>
    <row r="52" customFormat="false" ht="13.8" hidden="false" customHeight="false" outlineLevel="0" collapsed="false">
      <c r="B52" s="2" t="n">
        <v>51</v>
      </c>
      <c r="C52" s="2" t="n">
        <v>0.00111737037685216</v>
      </c>
      <c r="D52" s="2" t="n">
        <v>0.00111737458179324</v>
      </c>
      <c r="E52" s="2" t="n">
        <v>0.00111737655061777</v>
      </c>
    </row>
    <row r="53" customFormat="false" ht="13.8" hidden="false" customHeight="false" outlineLevel="0" collapsed="false">
      <c r="B53" s="2" t="n">
        <v>52</v>
      </c>
      <c r="C53" s="2" t="n">
        <v>0.00111737655061766</v>
      </c>
      <c r="D53" s="2" t="n">
        <v>0.00111738075560079</v>
      </c>
      <c r="E53" s="2" t="n">
        <v>0.00111738272444502</v>
      </c>
    </row>
    <row r="54" customFormat="false" ht="13.8" hidden="false" customHeight="false" outlineLevel="0" collapsed="false">
      <c r="B54" s="2" t="n">
        <v>53</v>
      </c>
      <c r="C54" s="2" t="n">
        <v>0.00111738272444491</v>
      </c>
      <c r="D54" s="2" t="n">
        <v>0.00111738692947009</v>
      </c>
      <c r="E54" s="2" t="n">
        <v>0.001117388898334</v>
      </c>
    </row>
    <row r="55" customFormat="false" ht="13.8" hidden="false" customHeight="false" outlineLevel="0" collapsed="false">
      <c r="B55" s="2" t="n">
        <v>54</v>
      </c>
      <c r="C55" s="2" t="n">
        <v>0.00111738889833389</v>
      </c>
      <c r="D55" s="2" t="n">
        <v>0.00111739310340112</v>
      </c>
      <c r="E55" s="2" t="n">
        <v>0.00111739507228472</v>
      </c>
    </row>
    <row r="56" customFormat="false" ht="13.8" hidden="false" customHeight="false" outlineLevel="0" collapsed="false">
      <c r="B56" s="2" t="n">
        <v>55</v>
      </c>
      <c r="C56" s="2" t="n">
        <v>0.00111739507228461</v>
      </c>
      <c r="D56" s="2" t="n">
        <v>0.0011173992773939</v>
      </c>
      <c r="E56" s="2" t="n">
        <v>0.00111740124629719</v>
      </c>
    </row>
    <row r="57" customFormat="false" ht="13.8" hidden="false" customHeight="false" outlineLevel="0" collapsed="false">
      <c r="B57" s="2" t="n">
        <v>56</v>
      </c>
      <c r="C57" s="2" t="n">
        <v>0</v>
      </c>
      <c r="D57" s="2" t="n">
        <v>0</v>
      </c>
      <c r="E57" s="2" t="n">
        <v>0</v>
      </c>
    </row>
    <row r="58" customFormat="false" ht="13.8" hidden="false" customHeight="false" outlineLevel="0" collapsed="false">
      <c r="B58" s="2" t="n">
        <v>57</v>
      </c>
      <c r="C58" s="2" t="n">
        <v>0</v>
      </c>
      <c r="D58" s="2" t="n">
        <v>0</v>
      </c>
      <c r="E58" s="2" t="n">
        <v>0</v>
      </c>
    </row>
    <row r="59" customFormat="false" ht="13.8" hidden="false" customHeight="false" outlineLevel="0" collapsed="false">
      <c r="B59" s="2" t="n">
        <v>58</v>
      </c>
      <c r="C59" s="2" t="n">
        <v>0</v>
      </c>
      <c r="D59" s="2" t="n">
        <v>0</v>
      </c>
      <c r="E59" s="2" t="n">
        <v>0</v>
      </c>
    </row>
    <row r="60" customFormat="false" ht="13.8" hidden="false" customHeight="false" outlineLevel="0" collapsed="false">
      <c r="B60" s="2" t="n">
        <v>59</v>
      </c>
      <c r="C60" s="2" t="n">
        <v>0</v>
      </c>
      <c r="D60" s="2" t="n">
        <v>0</v>
      </c>
      <c r="E60" s="2" t="n">
        <v>0</v>
      </c>
    </row>
    <row r="61" customFormat="false" ht="13.8" hidden="false" customHeight="false" outlineLevel="0" collapsed="false">
      <c r="B61" s="2" t="n">
        <v>60</v>
      </c>
      <c r="C61" s="2" t="n">
        <v>0</v>
      </c>
      <c r="D61" s="2" t="n">
        <v>0</v>
      </c>
      <c r="E61" s="2" t="n">
        <v>0</v>
      </c>
    </row>
    <row r="62" customFormat="false" ht="13.8" hidden="false" customHeight="false" outlineLevel="0" collapsed="false">
      <c r="B62" s="2" t="n">
        <v>61</v>
      </c>
      <c r="C62" s="2" t="n">
        <v>5.49241801818906E-010</v>
      </c>
      <c r="D62" s="2" t="n">
        <v>5.00005000045658E-009</v>
      </c>
      <c r="E62" s="2" t="n">
        <v>0</v>
      </c>
    </row>
    <row r="63" customFormat="false" ht="13.8" hidden="false" customHeight="false" outlineLevel="0" collapsed="false">
      <c r="B63" s="2" t="n">
        <v>62</v>
      </c>
      <c r="C63" s="2" t="n">
        <v>6.09854455792034E-009</v>
      </c>
      <c r="D63" s="2" t="n">
        <v>1.00001500018991E-008</v>
      </c>
      <c r="E63" s="2" t="n">
        <v>5.00005002395234E-009</v>
      </c>
    </row>
    <row r="64" customFormat="false" ht="13.8" hidden="false" customHeight="false" outlineLevel="0" collapsed="false">
      <c r="B64" s="2" t="n">
        <v>63</v>
      </c>
      <c r="C64" s="2" t="n">
        <v>1.10986555415238E-008</v>
      </c>
      <c r="D64" s="2" t="n">
        <v>1.50003000049559E-008</v>
      </c>
      <c r="E64" s="2" t="n">
        <v>1.00001500285955E-008</v>
      </c>
    </row>
    <row r="65" customFormat="false" ht="13.8" hidden="false" customHeight="false" outlineLevel="0" collapsed="false">
      <c r="B65" s="2" t="n">
        <v>64</v>
      </c>
      <c r="C65" s="2" t="n">
        <v>1.6098816529034E-008</v>
      </c>
      <c r="D65" s="2" t="n">
        <v>2.00005000100017E-008</v>
      </c>
      <c r="E65" s="2" t="n">
        <v>1.50003000316878E-008</v>
      </c>
    </row>
    <row r="66" customFormat="false" ht="13.8" hidden="false" customHeight="false" outlineLevel="0" collapsed="false">
      <c r="B66" s="2" t="n">
        <v>65</v>
      </c>
      <c r="C66" s="2" t="n">
        <v>0.00111730999879941</v>
      </c>
      <c r="D66" s="2" t="n">
        <v>2.50007500176698E-008</v>
      </c>
      <c r="E66" s="2" t="n">
        <v>0.00111730864259264</v>
      </c>
    </row>
    <row r="67" customFormat="false" ht="13.8" hidden="false" customHeight="false" outlineLevel="0" collapsed="false">
      <c r="B67" s="2" t="n">
        <v>66</v>
      </c>
      <c r="C67" s="2" t="n">
        <v>0.00111731617196113</v>
      </c>
      <c r="D67" s="2" t="n">
        <v>0.00111732098895065</v>
      </c>
      <c r="E67" s="2" t="n">
        <v>0.00111731481574079</v>
      </c>
    </row>
    <row r="68" customFormat="false" ht="13.8" hidden="false" customHeight="false" outlineLevel="0" collapsed="false">
      <c r="B68" s="2" t="n">
        <v>67</v>
      </c>
      <c r="C68" s="2" t="n">
        <v>0.00111732234518458</v>
      </c>
      <c r="D68" s="2" t="n">
        <v>0.00111732716222227</v>
      </c>
      <c r="E68" s="2" t="n">
        <v>0.00111732098895068</v>
      </c>
    </row>
    <row r="69" customFormat="false" ht="13.8" hidden="false" customHeight="false" outlineLevel="0" collapsed="false">
      <c r="B69" s="2" t="n">
        <v>68</v>
      </c>
      <c r="C69" s="2" t="n">
        <v>0.00111732851846976</v>
      </c>
      <c r="D69" s="2" t="n">
        <v>0.00111733333555563</v>
      </c>
      <c r="E69" s="2" t="n">
        <v>0.00111732716222231</v>
      </c>
    </row>
    <row r="70" customFormat="false" ht="13.8" hidden="false" customHeight="false" outlineLevel="0" collapsed="false">
      <c r="B70" s="2" t="n">
        <v>69</v>
      </c>
      <c r="C70" s="2" t="n">
        <v>0.00111733469181668</v>
      </c>
      <c r="D70" s="2" t="n">
        <v>0.00111733950895072</v>
      </c>
      <c r="E70" s="2" t="n">
        <v>0.00111733333555566</v>
      </c>
    </row>
    <row r="71" customFormat="false" ht="13.8" hidden="false" customHeight="false" outlineLevel="0" collapsed="false">
      <c r="B71" s="2" t="n">
        <v>70</v>
      </c>
      <c r="C71" s="2" t="n">
        <v>0.00111734086522533</v>
      </c>
      <c r="D71" s="2" t="n">
        <v>0.00111734568240754</v>
      </c>
      <c r="E71" s="2" t="n">
        <v>0.00111733950895075</v>
      </c>
    </row>
    <row r="72" customFormat="false" ht="13.8" hidden="false" customHeight="false" outlineLevel="0" collapsed="false">
      <c r="B72" s="2" t="n">
        <v>71</v>
      </c>
      <c r="C72" s="2" t="n">
        <v>0.00111734703869572</v>
      </c>
      <c r="D72" s="2" t="n">
        <v>0.0011173518559261</v>
      </c>
      <c r="E72" s="2" t="n">
        <v>0.00111734568240758</v>
      </c>
    </row>
    <row r="73" customFormat="false" ht="13.8" hidden="false" customHeight="false" outlineLevel="0" collapsed="false">
      <c r="B73" s="2" t="n">
        <v>72</v>
      </c>
      <c r="C73" s="2" t="n">
        <v>0.00111735321222784</v>
      </c>
      <c r="D73" s="2" t="n">
        <v>0.0011173580295064</v>
      </c>
      <c r="E73" s="2" t="n">
        <v>0.00111735185592613</v>
      </c>
    </row>
    <row r="74" customFormat="false" ht="13.8" hidden="false" customHeight="false" outlineLevel="0" collapsed="false">
      <c r="B74" s="2" t="n">
        <v>73</v>
      </c>
      <c r="C74" s="2" t="n">
        <v>0.0011173593858217</v>
      </c>
      <c r="D74" s="2" t="n">
        <v>0.00111736420314843</v>
      </c>
      <c r="E74" s="2" t="n">
        <v>0.00111735802950643</v>
      </c>
    </row>
    <row r="75" customFormat="false" ht="13.8" hidden="false" customHeight="false" outlineLevel="0" collapsed="false">
      <c r="B75" s="2" t="n">
        <v>74</v>
      </c>
      <c r="C75" s="2" t="n">
        <v>0.00111736555947729</v>
      </c>
      <c r="D75" s="2" t="n">
        <v>0.0011173703768522</v>
      </c>
      <c r="E75" s="2" t="n">
        <v>0.00111736420314846</v>
      </c>
    </row>
    <row r="76" customFormat="false" ht="13.8" hidden="false" customHeight="false" outlineLevel="0" collapsed="false">
      <c r="B76" s="2" t="n">
        <v>75</v>
      </c>
      <c r="C76" s="2" t="n">
        <v>0.00111737173319462</v>
      </c>
      <c r="D76" s="2" t="n">
        <v>0.0011173765506177</v>
      </c>
      <c r="E76" s="2" t="n">
        <v>0.00111737037685223</v>
      </c>
    </row>
    <row r="77" customFormat="false" ht="13.8" hidden="false" customHeight="false" outlineLevel="0" collapsed="false">
      <c r="B77" s="2" t="n">
        <v>76</v>
      </c>
      <c r="C77" s="2" t="n">
        <v>0.00111737790697369</v>
      </c>
      <c r="D77" s="2" t="n">
        <v>0.00111738272444495</v>
      </c>
      <c r="E77" s="2" t="n">
        <v>0.00111737655061774</v>
      </c>
    </row>
    <row r="78" customFormat="false" ht="13.8" hidden="false" customHeight="false" outlineLevel="0" collapsed="false">
      <c r="B78" s="2" t="n">
        <v>77</v>
      </c>
      <c r="C78" s="2" t="n">
        <v>0.0011173840808145</v>
      </c>
      <c r="D78" s="2" t="n">
        <v>0.00111738889833393</v>
      </c>
      <c r="E78" s="2" t="n">
        <v>0.00111738272444498</v>
      </c>
    </row>
    <row r="79" customFormat="false" ht="13.8" hidden="false" customHeight="false" outlineLevel="0" collapsed="false">
      <c r="B79" s="2" t="n">
        <v>78</v>
      </c>
      <c r="C79" s="2" t="n">
        <v>0.00111739025471705</v>
      </c>
      <c r="D79" s="2" t="n">
        <v>0.00111739507228465</v>
      </c>
      <c r="E79" s="2" t="n">
        <v>0.00111738889833396</v>
      </c>
    </row>
    <row r="80" customFormat="false" ht="13.8" hidden="false" customHeight="false" outlineLevel="0" collapsed="false">
      <c r="B80" s="2" t="n">
        <v>79</v>
      </c>
      <c r="C80" s="2" t="n">
        <v>0.00111739642868133</v>
      </c>
      <c r="D80" s="2" t="n">
        <v>0</v>
      </c>
      <c r="E80" s="2" t="n">
        <v>0</v>
      </c>
    </row>
    <row r="81" customFormat="false" ht="13.8" hidden="false" customHeight="false" outlineLevel="0" collapsed="false">
      <c r="B81" s="2" t="n">
        <v>80</v>
      </c>
      <c r="C81" s="2" t="n">
        <v>0</v>
      </c>
      <c r="D81" s="2" t="n">
        <v>0</v>
      </c>
      <c r="E81" s="2" t="n">
        <v>0</v>
      </c>
    </row>
    <row r="82" customFormat="false" ht="13.8" hidden="false" customHeight="false" outlineLevel="0" collapsed="false">
      <c r="B82" s="2" t="n">
        <v>81</v>
      </c>
      <c r="C82" s="2" t="n">
        <v>0</v>
      </c>
      <c r="D82" s="2" t="n">
        <v>0</v>
      </c>
      <c r="E82" s="2" t="n">
        <v>0</v>
      </c>
    </row>
    <row r="83" customFormat="false" ht="13.8" hidden="false" customHeight="false" outlineLevel="0" collapsed="false">
      <c r="B83" s="2" t="n">
        <v>82</v>
      </c>
      <c r="C83" s="2" t="n">
        <v>0</v>
      </c>
      <c r="D83" s="2" t="n">
        <v>0</v>
      </c>
      <c r="E83" s="2" t="n">
        <v>0</v>
      </c>
    </row>
    <row r="84" customFormat="false" ht="13.8" hidden="false" customHeight="false" outlineLevel="0" collapsed="false">
      <c r="B84" s="2" t="n">
        <v>83</v>
      </c>
      <c r="C84" s="2" t="n">
        <v>0</v>
      </c>
      <c r="D84" s="2" t="n">
        <v>0</v>
      </c>
      <c r="E84" s="2" t="n">
        <v>0</v>
      </c>
    </row>
    <row r="85" customFormat="false" ht="13.8" hidden="false" customHeight="false" outlineLevel="0" collapsed="false">
      <c r="B85" s="2" t="n">
        <v>84</v>
      </c>
      <c r="C85" s="2" t="n">
        <v>5.20690367915562E-010</v>
      </c>
      <c r="D85" s="2" t="n">
        <v>0</v>
      </c>
      <c r="E85" s="2" t="n">
        <v>0</v>
      </c>
    </row>
    <row r="86" customFormat="false" ht="13.8" hidden="false" customHeight="false" outlineLevel="0" collapsed="false">
      <c r="B86" s="2" t="n">
        <v>85</v>
      </c>
      <c r="C86" s="2" t="n">
        <v>6.0414411157462E-009</v>
      </c>
      <c r="D86" s="2" t="n">
        <v>5.00005000064985E-009</v>
      </c>
      <c r="E86" s="2" t="n">
        <v>5.00005002599077E-009</v>
      </c>
    </row>
    <row r="87" customFormat="false" ht="13.8" hidden="false" customHeight="false" outlineLevel="0" collapsed="false">
      <c r="B87" s="2" t="n">
        <v>86</v>
      </c>
      <c r="C87" s="2" t="n">
        <v>1.10415515277555E-008</v>
      </c>
      <c r="D87" s="2" t="n">
        <v>1.00001500021097E-008</v>
      </c>
      <c r="E87" s="2" t="n">
        <v>1.00001500311829E-008</v>
      </c>
    </row>
    <row r="88" customFormat="false" ht="13.8" hidden="false" customHeight="false" outlineLevel="0" collapsed="false">
      <c r="B88" s="2" t="n">
        <v>87</v>
      </c>
      <c r="C88" s="2" t="n">
        <v>1.60417119434265E-008</v>
      </c>
      <c r="D88" s="2" t="n">
        <v>1.50003000050811E-008</v>
      </c>
      <c r="E88" s="2" t="n">
        <v>1.50003000354262E-008</v>
      </c>
    </row>
    <row r="89" customFormat="false" ht="13.8" hidden="false" customHeight="false" outlineLevel="0" collapsed="false">
      <c r="B89" s="2" t="n">
        <v>88</v>
      </c>
      <c r="C89" s="2" t="n">
        <v>2.1041922361818E-008</v>
      </c>
      <c r="D89" s="2" t="n">
        <v>2.00005000100471E-008</v>
      </c>
      <c r="E89" s="2" t="n">
        <v>2.00005000409104E-008</v>
      </c>
    </row>
    <row r="90" customFormat="false" ht="13.8" hidden="false" customHeight="false" outlineLevel="0" collapsed="false">
      <c r="B90" s="2" t="n">
        <v>89</v>
      </c>
      <c r="C90" s="2" t="n">
        <v>0.00111731610146023</v>
      </c>
      <c r="D90" s="2" t="n">
        <v>2.50007500176392E-008</v>
      </c>
      <c r="E90" s="2" t="n">
        <v>0.0011173148157408</v>
      </c>
    </row>
    <row r="91" customFormat="false" ht="13.8" hidden="false" customHeight="false" outlineLevel="0" collapsed="false">
      <c r="B91" s="2" t="n">
        <v>90</v>
      </c>
      <c r="C91" s="2" t="n">
        <v>0.00111732227468297</v>
      </c>
      <c r="D91" s="2" t="n">
        <v>3.00010500281587E-008</v>
      </c>
      <c r="E91" s="2" t="n">
        <v>0.00111732098895069</v>
      </c>
    </row>
    <row r="92" customFormat="false" ht="13.8" hidden="false" customHeight="false" outlineLevel="0" collapsed="false">
      <c r="B92" s="2" t="n">
        <v>91</v>
      </c>
      <c r="C92" s="2" t="n">
        <v>0.00111732844796745</v>
      </c>
      <c r="D92" s="2" t="n">
        <v>0.00111732716222227</v>
      </c>
      <c r="E92" s="2" t="n">
        <v>0.00111732716222231</v>
      </c>
    </row>
    <row r="93" customFormat="false" ht="13.8" hidden="false" customHeight="false" outlineLevel="0" collapsed="false">
      <c r="B93" s="2" t="n">
        <v>92</v>
      </c>
      <c r="C93" s="2" t="n">
        <v>0.00111733462131367</v>
      </c>
      <c r="D93" s="2" t="n">
        <v>0.00111733333555563</v>
      </c>
      <c r="E93" s="2" t="n">
        <v>0.00111733333555567</v>
      </c>
    </row>
    <row r="94" customFormat="false" ht="13.8" hidden="false" customHeight="false" outlineLevel="0" collapsed="false">
      <c r="B94" s="2" t="n">
        <v>93</v>
      </c>
      <c r="C94" s="2" t="n">
        <v>0.00111734079472161</v>
      </c>
      <c r="D94" s="2" t="n">
        <v>0.00111733950895072</v>
      </c>
      <c r="E94" s="2" t="n">
        <v>0.00111733950895076</v>
      </c>
    </row>
    <row r="95" customFormat="false" ht="13.8" hidden="false" customHeight="false" outlineLevel="0" collapsed="false">
      <c r="B95" s="2" t="n">
        <v>94</v>
      </c>
      <c r="C95" s="2" t="n">
        <v>0.00111734696819129</v>
      </c>
      <c r="D95" s="2" t="n">
        <v>0.00111734568240754</v>
      </c>
      <c r="E95" s="2" t="n">
        <v>0.00111734568240758</v>
      </c>
    </row>
    <row r="96" customFormat="false" ht="13.8" hidden="false" customHeight="false" outlineLevel="0" collapsed="false">
      <c r="B96" s="2" t="n">
        <v>95</v>
      </c>
      <c r="C96" s="2" t="n">
        <v>0.00111735314172271</v>
      </c>
      <c r="D96" s="2" t="n">
        <v>0.0011173518559261</v>
      </c>
      <c r="E96" s="2" t="n">
        <v>0.00111735185592614</v>
      </c>
    </row>
    <row r="97" customFormat="false" ht="13.8" hidden="false" customHeight="false" outlineLevel="0" collapsed="false">
      <c r="B97" s="2" t="n">
        <v>96</v>
      </c>
      <c r="C97" s="2" t="n">
        <v>0.00111735931531586</v>
      </c>
      <c r="D97" s="2" t="n">
        <v>0.0011173580295064</v>
      </c>
      <c r="E97" s="2" t="n">
        <v>0.00111735802950644</v>
      </c>
    </row>
    <row r="98" customFormat="false" ht="13.8" hidden="false" customHeight="false" outlineLevel="0" collapsed="false">
      <c r="B98" s="2" t="n">
        <v>97</v>
      </c>
      <c r="C98" s="2" t="n">
        <v>0.00111736548897075</v>
      </c>
      <c r="D98" s="2" t="n">
        <v>0.00111736420314843</v>
      </c>
      <c r="E98" s="2" t="n">
        <v>0.00111736420314847</v>
      </c>
    </row>
    <row r="99" customFormat="false" ht="13.8" hidden="false" customHeight="false" outlineLevel="0" collapsed="false">
      <c r="B99" s="2" t="n">
        <v>98</v>
      </c>
      <c r="C99" s="2" t="n">
        <v>0.00111737166268738</v>
      </c>
      <c r="D99" s="2" t="n">
        <v>0.0011173703768522</v>
      </c>
      <c r="E99" s="2" t="n">
        <v>0.00111737037685224</v>
      </c>
    </row>
    <row r="100" customFormat="false" ht="13.8" hidden="false" customHeight="false" outlineLevel="0" collapsed="false">
      <c r="B100" s="2" t="n">
        <v>99</v>
      </c>
      <c r="C100" s="2" t="n">
        <v>0.00111737783646574</v>
      </c>
      <c r="D100" s="2" t="n">
        <v>0.0011173765506177</v>
      </c>
      <c r="E100" s="2" t="n">
        <v>0.00111737655061774</v>
      </c>
    </row>
    <row r="101" customFormat="false" ht="13.8" hidden="false" customHeight="false" outlineLevel="0" collapsed="false">
      <c r="B101" s="2" t="n">
        <v>100</v>
      </c>
      <c r="C101" s="2" t="n">
        <v>0.00111738401030585</v>
      </c>
      <c r="D101" s="2" t="n">
        <v>0.00111738272444495</v>
      </c>
      <c r="E101" s="2" t="n">
        <v>0.00111738272444499</v>
      </c>
    </row>
    <row r="102" customFormat="false" ht="13.8" hidden="false" customHeight="false" outlineLevel="0" collapsed="false">
      <c r="B102" s="2" t="n">
        <v>101</v>
      </c>
      <c r="C102" s="2" t="n">
        <v>0.00111739018420769</v>
      </c>
      <c r="D102" s="2" t="n">
        <v>0.00111738889833393</v>
      </c>
      <c r="E102" s="2" t="n">
        <v>0.00111738889833397</v>
      </c>
    </row>
    <row r="103" customFormat="false" ht="13.8" hidden="false" customHeight="false" outlineLevel="0" collapsed="false">
      <c r="B103" s="2" t="n">
        <v>102</v>
      </c>
      <c r="C103" s="2" t="n">
        <v>0.00111739635817127</v>
      </c>
      <c r="D103" s="2" t="n">
        <v>0</v>
      </c>
      <c r="E103" s="2" t="n">
        <v>0.00111739507228469</v>
      </c>
    </row>
    <row r="104" customFormat="false" ht="13.8" hidden="false" customHeight="false" outlineLevel="0" collapsed="false">
      <c r="B104" s="2" t="n">
        <v>103</v>
      </c>
      <c r="C104" s="2" t="n">
        <v>0.00111740253219659</v>
      </c>
      <c r="D104" s="2" t="n">
        <v>0</v>
      </c>
      <c r="E104" s="2" t="n">
        <v>0</v>
      </c>
    </row>
    <row r="105" customFormat="false" ht="13.8" hidden="false" customHeight="false" outlineLevel="0" collapsed="false">
      <c r="B105" s="2" t="n">
        <v>104</v>
      </c>
      <c r="C105" s="2" t="n">
        <v>0</v>
      </c>
      <c r="D105" s="2" t="n">
        <v>0</v>
      </c>
      <c r="E105" s="2" t="n">
        <v>0</v>
      </c>
    </row>
    <row r="106" customFormat="false" ht="13.8" hidden="false" customHeight="false" outlineLevel="0" collapsed="false">
      <c r="B106" s="2" t="n">
        <v>105</v>
      </c>
      <c r="C106" s="2" t="n">
        <v>0</v>
      </c>
      <c r="D106" s="2" t="n">
        <v>0</v>
      </c>
      <c r="E106" s="2" t="n">
        <v>0</v>
      </c>
    </row>
    <row r="107" customFormat="false" ht="13.8" hidden="false" customHeight="false" outlineLevel="0" collapsed="false">
      <c r="B107" s="2" t="n">
        <v>106</v>
      </c>
      <c r="C107" s="2" t="n">
        <v>0</v>
      </c>
      <c r="D107" s="2" t="n">
        <v>0</v>
      </c>
      <c r="E107" s="2" t="n">
        <v>0</v>
      </c>
    </row>
    <row r="108" customFormat="false" ht="13.8" hidden="false" customHeight="false" outlineLevel="0" collapsed="false">
      <c r="B108" s="2" t="n">
        <v>107</v>
      </c>
      <c r="C108" s="2" t="n">
        <v>0</v>
      </c>
      <c r="D108" s="2" t="n">
        <v>0</v>
      </c>
      <c r="E108" s="2" t="n">
        <v>0</v>
      </c>
    </row>
    <row r="109" customFormat="false" ht="13.8" hidden="false" customHeight="false" outlineLevel="0" collapsed="false">
      <c r="B109" s="2" t="n">
        <v>108</v>
      </c>
      <c r="C109" s="2" t="n">
        <v>7.08804772923855E-010</v>
      </c>
      <c r="D109" s="2" t="n">
        <v>5.00004977231888E-009</v>
      </c>
      <c r="E109" s="2" t="n">
        <v>5.00005006321101E-009</v>
      </c>
    </row>
    <row r="110" customFormat="false" ht="13.8" hidden="false" customHeight="false" outlineLevel="0" collapsed="false">
      <c r="B110" s="2" t="n">
        <v>109</v>
      </c>
      <c r="C110" s="2" t="n">
        <v>6.41767363332024E-009</v>
      </c>
      <c r="D110" s="2" t="n">
        <v>1.00001497081158E-008</v>
      </c>
      <c r="E110" s="2" t="n">
        <v>1.00001500794631E-008</v>
      </c>
    </row>
    <row r="111" customFormat="false" ht="13.8" hidden="false" customHeight="false" outlineLevel="0" collapsed="false">
      <c r="B111" s="2" t="n">
        <v>110</v>
      </c>
      <c r="C111" s="2" t="n">
        <v>1.14177877576585E-008</v>
      </c>
      <c r="D111" s="2" t="n">
        <v>1.50002996453678E-008</v>
      </c>
      <c r="E111" s="2" t="n">
        <v>1.50003000935288E-008</v>
      </c>
    </row>
    <row r="112" customFormat="false" ht="13.8" hidden="false" customHeight="false" outlineLevel="0" collapsed="false">
      <c r="B112" s="2" t="n">
        <v>111</v>
      </c>
      <c r="C112" s="2" t="n">
        <v>1.64179518853974E-008</v>
      </c>
      <c r="D112" s="2" t="n">
        <v>2.00004995842835E-008</v>
      </c>
      <c r="E112" s="2" t="n">
        <v>2.00005001074212E-008</v>
      </c>
    </row>
    <row r="113" customFormat="false" ht="13.8" hidden="false" customHeight="false" outlineLevel="0" collapsed="false">
      <c r="B113" s="2" t="n">
        <v>112</v>
      </c>
      <c r="C113" s="2" t="n">
        <v>2.14181660149545E-008</v>
      </c>
      <c r="D113" s="2" t="n">
        <v>2.50007495259412E-008</v>
      </c>
      <c r="E113" s="2" t="n">
        <v>2.50007501240643E-008</v>
      </c>
    </row>
    <row r="114" customFormat="false" ht="13.8" hidden="false" customHeight="false" outlineLevel="0" collapsed="false">
      <c r="B114" s="2" t="n">
        <v>113</v>
      </c>
      <c r="C114" s="2" t="n">
        <v>2.64184301483699E-008</v>
      </c>
      <c r="D114" s="2" t="n">
        <v>3.00010494708884E-008</v>
      </c>
      <c r="E114" s="2" t="n">
        <v>3.00010501423958E-008</v>
      </c>
    </row>
    <row r="115" customFormat="false" ht="13.8" hidden="false" customHeight="false" outlineLevel="0" collapsed="false">
      <c r="B115" s="2" t="n">
        <v>114</v>
      </c>
      <c r="C115" s="2" t="n">
        <v>0.215451941732514</v>
      </c>
      <c r="D115" s="2" t="n">
        <v>3.50013994190258E-008</v>
      </c>
      <c r="E115" s="2" t="n">
        <v>0.150980946867484</v>
      </c>
    </row>
    <row r="116" customFormat="false" ht="13.8" hidden="false" customHeight="false" outlineLevel="0" collapsed="false">
      <c r="B116" s="2" t="n">
        <v>115</v>
      </c>
      <c r="C116" s="2" t="n">
        <v>0.215454091273427</v>
      </c>
      <c r="D116" s="2" t="n">
        <v>0.42735621547461</v>
      </c>
      <c r="E116" s="2" t="n">
        <v>0.150982451692001</v>
      </c>
    </row>
    <row r="117" customFormat="false" ht="13.8" hidden="false" customHeight="false" outlineLevel="0" collapsed="false">
      <c r="B117" s="2" t="n">
        <v>116</v>
      </c>
      <c r="C117" s="2" t="n">
        <v>0.215456240835835</v>
      </c>
      <c r="D117" s="2" t="n">
        <v>0.427360484079451</v>
      </c>
      <c r="E117" s="2" t="n">
        <v>0.150983956531566</v>
      </c>
    </row>
    <row r="118" customFormat="false" ht="13.8" hidden="false" customHeight="false" outlineLevel="0" collapsed="false">
      <c r="B118" s="2" t="n">
        <v>117</v>
      </c>
      <c r="C118" s="2" t="n">
        <v>0.215458390419739</v>
      </c>
      <c r="D118" s="2" t="n">
        <v>0.427364752726978</v>
      </c>
      <c r="E118" s="2" t="n">
        <v>0.15098546138618</v>
      </c>
    </row>
    <row r="119" customFormat="false" ht="13.8" hidden="false" customHeight="false" outlineLevel="0" collapsed="false">
      <c r="B119" s="2" t="n">
        <v>118</v>
      </c>
      <c r="C119" s="2" t="n">
        <v>0.215460540025139</v>
      </c>
      <c r="D119" s="2" t="n">
        <v>0.427369021417192</v>
      </c>
      <c r="E119" s="2" t="n">
        <v>0.150986966255842</v>
      </c>
    </row>
    <row r="120" customFormat="false" ht="13.8" hidden="false" customHeight="false" outlineLevel="0" collapsed="false">
      <c r="B120" s="2" t="n">
        <v>119</v>
      </c>
      <c r="C120" s="2" t="n">
        <v>0.215462689652036</v>
      </c>
      <c r="D120" s="2" t="n">
        <v>0.427373290150093</v>
      </c>
      <c r="E120" s="2" t="n">
        <v>0.150988471140554</v>
      </c>
    </row>
    <row r="121" customFormat="false" ht="13.8" hidden="false" customHeight="false" outlineLevel="0" collapsed="false">
      <c r="B121" s="2" t="n">
        <v>120</v>
      </c>
      <c r="C121" s="2" t="n">
        <v>0.215464839300429</v>
      </c>
      <c r="D121" s="2" t="n">
        <v>0.427377558925683</v>
      </c>
      <c r="E121" s="2" t="n">
        <v>0.150989976040314</v>
      </c>
    </row>
    <row r="122" customFormat="false" ht="13.8" hidden="false" customHeight="false" outlineLevel="0" collapsed="false">
      <c r="B122" s="2" t="n">
        <v>121</v>
      </c>
      <c r="C122" s="2" t="n">
        <v>0.215466988970318</v>
      </c>
      <c r="D122" s="2" t="n">
        <v>0.42738182774396</v>
      </c>
      <c r="E122" s="2" t="n">
        <v>0.150991480955124</v>
      </c>
    </row>
    <row r="123" customFormat="false" ht="13.8" hidden="false" customHeight="false" outlineLevel="0" collapsed="false">
      <c r="B123" s="2" t="n">
        <v>122</v>
      </c>
      <c r="C123" s="2" t="n">
        <v>0.215469138661705</v>
      </c>
      <c r="D123" s="2" t="n">
        <v>0.427386096604926</v>
      </c>
      <c r="E123" s="2" t="n">
        <v>0.150992985884983</v>
      </c>
    </row>
    <row r="124" customFormat="false" ht="13.8" hidden="false" customHeight="false" outlineLevel="0" collapsed="false">
      <c r="B124" s="2" t="n">
        <v>123</v>
      </c>
      <c r="C124" s="2" t="n">
        <v>0.215471288374589</v>
      </c>
      <c r="D124" s="2" t="n">
        <v>0.427390365508581</v>
      </c>
      <c r="E124" s="2" t="n">
        <v>0.150994490829891</v>
      </c>
    </row>
    <row r="125" customFormat="false" ht="13.8" hidden="false" customHeight="false" outlineLevel="0" collapsed="false">
      <c r="B125" s="2" t="n">
        <v>124</v>
      </c>
      <c r="C125" s="2" t="n">
        <v>0.21547343810897</v>
      </c>
      <c r="D125" s="2" t="n">
        <v>0.427394634454925</v>
      </c>
      <c r="E125" s="2" t="n">
        <v>0.150995995789849</v>
      </c>
    </row>
    <row r="126" customFormat="false" ht="13.8" hidden="false" customHeight="false" outlineLevel="0" collapsed="false">
      <c r="B126" s="2" t="n">
        <v>125</v>
      </c>
      <c r="C126" s="2" t="n">
        <v>0.215475587864848</v>
      </c>
      <c r="D126" s="2" t="n">
        <v>0.42739890344396</v>
      </c>
      <c r="E126" s="2" t="n">
        <v>0.150997500764856</v>
      </c>
    </row>
    <row r="127" customFormat="false" ht="13.8" hidden="false" customHeight="false" outlineLevel="0" collapsed="false">
      <c r="B127" s="2" t="n">
        <v>126</v>
      </c>
      <c r="C127" s="2" t="n">
        <v>0.215477737642225</v>
      </c>
      <c r="D127" s="2" t="n">
        <v>0.427403172475685</v>
      </c>
      <c r="E127" s="2" t="n">
        <v>0.150999005754914</v>
      </c>
    </row>
    <row r="128" customFormat="false" ht="13.8" hidden="false" customHeight="false" outlineLevel="0" collapsed="false">
      <c r="B128" s="2" t="n">
        <v>127</v>
      </c>
      <c r="C128" s="2" t="n">
        <v>0.215479887441099</v>
      </c>
      <c r="D128" s="2" t="n">
        <v>0.19700734324174</v>
      </c>
      <c r="E128" s="2" t="n">
        <v>0.151000510760022</v>
      </c>
    </row>
    <row r="129" customFormat="false" ht="13.8" hidden="false" customHeight="false" outlineLevel="0" collapsed="false">
      <c r="B129" s="2" t="n">
        <v>128</v>
      </c>
      <c r="C129" s="2" t="n">
        <v>0.215482037261471</v>
      </c>
      <c r="D129" s="2" t="n">
        <v>0.197009318334923</v>
      </c>
      <c r="E129" s="2" t="n">
        <v>0.151002015780179</v>
      </c>
    </row>
    <row r="130" customFormat="false" ht="13.8" hidden="false" customHeight="false" outlineLevel="0" collapsed="false">
      <c r="B130" s="2" t="n">
        <v>129</v>
      </c>
      <c r="C130" s="2" t="n">
        <v>0.173637191553707</v>
      </c>
      <c r="D130" s="2" t="n">
        <v>0.197011293447857</v>
      </c>
      <c r="E130" s="2" t="n">
        <v>0.121407851860464</v>
      </c>
    </row>
    <row r="131" customFormat="false" ht="13.8" hidden="false" customHeight="false" outlineLevel="0" collapsed="false">
      <c r="B131" s="2" t="n">
        <v>130</v>
      </c>
      <c r="C131" s="2" t="n">
        <v>0.173638932943037</v>
      </c>
      <c r="D131" s="2" t="n">
        <v>0.197013268580543</v>
      </c>
      <c r="E131" s="2" t="n">
        <v>0.121409070951173</v>
      </c>
    </row>
    <row r="132" customFormat="false" ht="13.8" hidden="false" customHeight="false" outlineLevel="0" collapsed="false">
      <c r="B132" s="2" t="n">
        <v>131</v>
      </c>
      <c r="C132" s="2" t="n">
        <v>0.17364067434978</v>
      </c>
      <c r="D132" s="2" t="n">
        <v>0.197015243732981</v>
      </c>
      <c r="E132" s="2" t="n">
        <v>0.121410290054074</v>
      </c>
    </row>
    <row r="133" customFormat="false" ht="13.8" hidden="false" customHeight="false" outlineLevel="0" collapsed="false">
      <c r="B133" s="2" t="n">
        <v>132</v>
      </c>
      <c r="C133" s="2" t="n">
        <v>0.173642415773938</v>
      </c>
      <c r="D133" s="2" t="n">
        <v>0.19701721890517</v>
      </c>
      <c r="E133" s="2" t="n">
        <v>0.121411509169166</v>
      </c>
    </row>
    <row r="134" customFormat="false" ht="13.8" hidden="false" customHeight="false" outlineLevel="0" collapsed="false">
      <c r="B134" s="2" t="n">
        <v>133</v>
      </c>
      <c r="C134" s="2" t="n">
        <v>0.17364415721551</v>
      </c>
      <c r="D134" s="2" t="n">
        <v>0.197019194097111</v>
      </c>
      <c r="E134" s="2" t="n">
        <v>0.121412728296449</v>
      </c>
    </row>
    <row r="135" customFormat="false" ht="13.8" hidden="false" customHeight="false" outlineLevel="0" collapsed="false">
      <c r="B135" s="2" t="n">
        <v>134</v>
      </c>
      <c r="C135" s="2" t="n">
        <v>0.173645898674496</v>
      </c>
      <c r="D135" s="2" t="n">
        <v>0.197021169308804</v>
      </c>
      <c r="E135" s="2" t="n">
        <v>0.151011046217189</v>
      </c>
    </row>
    <row r="136" customFormat="false" ht="13.8" hidden="false" customHeight="false" outlineLevel="0" collapsed="false">
      <c r="B136" s="2" t="n">
        <v>135</v>
      </c>
      <c r="C136" s="2" t="n">
        <v>0.173647640150898</v>
      </c>
      <c r="D136" s="2" t="n">
        <v>0.197023144540249</v>
      </c>
      <c r="E136" s="2" t="n">
        <v>0.151012551342702</v>
      </c>
    </row>
    <row r="137" customFormat="false" ht="13.8" hidden="false" customHeight="false" outlineLevel="0" collapsed="false">
      <c r="B137" s="2" t="n">
        <v>136</v>
      </c>
      <c r="C137" s="2" t="n">
        <v>0.427403504064657</v>
      </c>
      <c r="D137" s="2" t="n">
        <v>0.197025119791447</v>
      </c>
      <c r="E137" s="2" t="n">
        <v>0.151014056483267</v>
      </c>
    </row>
    <row r="138" customFormat="false" ht="13.8" hidden="false" customHeight="false" outlineLevel="0" collapsed="false">
      <c r="B138" s="2" t="n">
        <v>137</v>
      </c>
      <c r="C138" s="2" t="n">
        <v>0.427407773142389</v>
      </c>
      <c r="D138" s="2" t="n">
        <v>0.197027095062398</v>
      </c>
      <c r="E138" s="2" t="n">
        <v>0.151015561638884</v>
      </c>
    </row>
    <row r="139" customFormat="false" ht="13.8" hidden="false" customHeight="false" outlineLevel="0" collapsed="false">
      <c r="B139" s="2" t="n">
        <v>138</v>
      </c>
      <c r="C139" s="2" t="n">
        <v>0.427412042262811</v>
      </c>
      <c r="D139" s="2" t="n">
        <v>0.197029070353101</v>
      </c>
      <c r="E139" s="2" t="n">
        <v>0.151017066809552</v>
      </c>
    </row>
    <row r="140" customFormat="false" ht="13.8" hidden="false" customHeight="false" outlineLevel="0" collapsed="false">
      <c r="B140" s="2" t="n">
        <v>139</v>
      </c>
      <c r="C140" s="2" t="n">
        <v>0.427416311425925</v>
      </c>
      <c r="D140" s="2" t="n">
        <v>0.244365488473528</v>
      </c>
      <c r="E140" s="2" t="n">
        <v>0.151018571995272</v>
      </c>
    </row>
    <row r="141" customFormat="false" ht="13.8" hidden="false" customHeight="false" outlineLevel="0" collapsed="false">
      <c r="B141" s="2" t="n">
        <v>140</v>
      </c>
      <c r="C141" s="2" t="n">
        <v>0.427420580631731</v>
      </c>
      <c r="D141" s="2" t="n">
        <v>0.2443679271528</v>
      </c>
      <c r="E141" s="2" t="n">
        <v>0.151020077196044</v>
      </c>
    </row>
    <row r="142" customFormat="false" ht="13.8" hidden="false" customHeight="false" outlineLevel="0" collapsed="false">
      <c r="B142" s="2" t="n">
        <v>141</v>
      </c>
      <c r="C142" s="2" t="n">
        <v>0.42742484988023</v>
      </c>
      <c r="D142" s="2" t="n">
        <v>0.244370365856458</v>
      </c>
      <c r="E142" s="2" t="n">
        <v>0.151021582411868</v>
      </c>
    </row>
    <row r="143" customFormat="false" ht="13.8" hidden="false" customHeight="false" outlineLevel="0" collapsed="false">
      <c r="B143" s="2" t="n">
        <v>142</v>
      </c>
      <c r="C143" s="2" t="n">
        <v>0.427429119171422</v>
      </c>
      <c r="D143" s="2" t="n">
        <v>0.244372804584504</v>
      </c>
      <c r="E143" s="2" t="n">
        <v>0.151023087642744</v>
      </c>
    </row>
    <row r="144" customFormat="false" ht="13.8" hidden="false" customHeight="false" outlineLevel="0" collapsed="false">
      <c r="B144" s="2" t="n">
        <v>143</v>
      </c>
      <c r="C144" s="2" t="n">
        <v>0.427433388505307</v>
      </c>
      <c r="D144" s="2" t="n">
        <v>0.244375243336937</v>
      </c>
      <c r="E144" s="2" t="n">
        <v>0.151024592888673</v>
      </c>
    </row>
    <row r="145" customFormat="false" ht="13.8" hidden="false" customHeight="false" outlineLevel="0" collapsed="false">
      <c r="B145" s="2" t="n">
        <v>144</v>
      </c>
      <c r="C145" s="2" t="n">
        <v>0.427437657881886</v>
      </c>
      <c r="D145" s="2" t="n">
        <v>0.244377682113758</v>
      </c>
      <c r="E145" s="2" t="n">
        <v>0.151026098149654</v>
      </c>
    </row>
    <row r="146" customFormat="false" ht="13.8" hidden="false" customHeight="false" outlineLevel="0" collapsed="false">
      <c r="B146" s="2" t="n">
        <v>145</v>
      </c>
      <c r="C146" s="2" t="n">
        <v>0.427441927301159</v>
      </c>
      <c r="D146" s="2" t="n">
        <v>0.244380120914967</v>
      </c>
      <c r="E146" s="2" t="n">
        <v>0.151027603425689</v>
      </c>
    </row>
    <row r="147" customFormat="false" ht="13.8" hidden="false" customHeight="false" outlineLevel="0" collapsed="false">
      <c r="B147" s="2" t="n">
        <v>146</v>
      </c>
      <c r="C147" s="2" t="n">
        <v>0.427446196763126</v>
      </c>
      <c r="D147" s="2" t="n">
        <v>0.244382559740565</v>
      </c>
      <c r="E147" s="2" t="n">
        <v>0.151029108716776</v>
      </c>
    </row>
    <row r="148" customFormat="false" ht="13.8" hidden="false" customHeight="false" outlineLevel="0" collapsed="false">
      <c r="B148" s="2" t="n">
        <v>147</v>
      </c>
      <c r="C148" s="2" t="n">
        <v>0.427450466267789</v>
      </c>
      <c r="D148" s="2" t="n">
        <v>0.244384998590551</v>
      </c>
      <c r="E148" s="2" t="n">
        <v>0.151030614022916</v>
      </c>
    </row>
    <row r="149" customFormat="false" ht="13.8" hidden="false" customHeight="false" outlineLevel="0" collapsed="false">
      <c r="B149" s="2" t="n">
        <v>148</v>
      </c>
      <c r="C149" s="2" t="n">
        <v>0.427454735815147</v>
      </c>
      <c r="D149" s="2" t="n">
        <v>0.244387437464925</v>
      </c>
      <c r="E149" s="2" t="n">
        <v>0.151032119344109</v>
      </c>
    </row>
    <row r="150" customFormat="false" ht="13.8" hidden="false" customHeight="false" outlineLevel="0" collapsed="false">
      <c r="B150" s="2" t="n">
        <v>149</v>
      </c>
      <c r="C150" s="2" t="n">
        <v>0.427459005405201</v>
      </c>
      <c r="D150" s="2" t="n">
        <v>0.244389876363689</v>
      </c>
      <c r="E150" s="2" t="n">
        <v>0.151033624680356</v>
      </c>
    </row>
    <row r="151" customFormat="false" ht="13.8" hidden="false" customHeight="false" outlineLevel="0" collapsed="false">
      <c r="B151" s="2" t="n">
        <v>150</v>
      </c>
      <c r="C151" s="2" t="n">
        <v>0.427463275037951</v>
      </c>
      <c r="D151" s="2" t="n">
        <v>0.244392315286842</v>
      </c>
      <c r="E151" s="2" t="n">
        <v>0.151035130031657</v>
      </c>
    </row>
    <row r="152" customFormat="false" ht="13.8" hidden="false" customHeight="false" outlineLevel="0" collapsed="false">
      <c r="B152" s="2" t="n">
        <v>151</v>
      </c>
      <c r="C152" s="2" t="n">
        <v>0.427467544713399</v>
      </c>
      <c r="D152" s="2" t="n">
        <v>0</v>
      </c>
      <c r="E152" s="2" t="n">
        <v>0.151036635398011</v>
      </c>
    </row>
    <row r="153" customFormat="false" ht="13.8" hidden="false" customHeight="false" outlineLevel="0" collapsed="false">
      <c r="B153" s="2" t="n">
        <v>152</v>
      </c>
      <c r="C153" s="2" t="n">
        <v>0</v>
      </c>
      <c r="D153" s="2" t="n">
        <v>0</v>
      </c>
      <c r="E153" s="2" t="n">
        <v>0</v>
      </c>
    </row>
    <row r="154" customFormat="false" ht="13.8" hidden="false" customHeight="false" outlineLevel="0" collapsed="false">
      <c r="B154" s="2" t="n">
        <v>153</v>
      </c>
      <c r="C154" s="2" t="n">
        <v>0</v>
      </c>
      <c r="D154" s="2" t="n">
        <v>0</v>
      </c>
      <c r="E154" s="2" t="n">
        <v>0</v>
      </c>
    </row>
    <row r="155" customFormat="false" ht="13.8" hidden="false" customHeight="false" outlineLevel="0" collapsed="false">
      <c r="B155" s="2" t="n">
        <v>154</v>
      </c>
      <c r="C155" s="2" t="n">
        <v>0</v>
      </c>
      <c r="D155" s="2" t="n">
        <v>0</v>
      </c>
      <c r="E155" s="2" t="n">
        <v>0</v>
      </c>
    </row>
    <row r="156" customFormat="false" ht="13.8" hidden="false" customHeight="false" outlineLevel="0" collapsed="false">
      <c r="B156" s="2" t="n">
        <v>155</v>
      </c>
      <c r="C156" s="2" t="n">
        <v>0</v>
      </c>
      <c r="D156" s="2" t="n">
        <v>0</v>
      </c>
      <c r="E156" s="2" t="n">
        <v>5.00005003902478E-009</v>
      </c>
    </row>
    <row r="157" customFormat="false" ht="13.8" hidden="false" customHeight="false" outlineLevel="0" collapsed="false">
      <c r="B157" s="2" t="n">
        <v>156</v>
      </c>
      <c r="C157" s="2" t="n">
        <v>0</v>
      </c>
      <c r="D157" s="2" t="n">
        <v>0</v>
      </c>
      <c r="E157" s="2" t="n">
        <v>1.00001500484162E-008</v>
      </c>
    </row>
    <row r="158" customFormat="false" ht="13.8" hidden="false" customHeight="false" outlineLevel="0" collapsed="false">
      <c r="B158" s="2" t="n">
        <v>157</v>
      </c>
      <c r="C158" s="2" t="n">
        <v>5.00004998244564E-009</v>
      </c>
      <c r="D158" s="2" t="n">
        <v>0</v>
      </c>
      <c r="E158" s="2" t="n">
        <v>1.50003000558653E-008</v>
      </c>
    </row>
    <row r="159" customFormat="false" ht="13.8" hidden="false" customHeight="false" outlineLevel="0" collapsed="false">
      <c r="B159" s="2" t="n">
        <v>158</v>
      </c>
      <c r="C159" s="2" t="n">
        <v>1.00001499817055E-008</v>
      </c>
      <c r="D159" s="2" t="n">
        <v>5.00005000038709E-009</v>
      </c>
      <c r="E159" s="2" t="n">
        <v>2.00005000633213E-008</v>
      </c>
    </row>
    <row r="160" customFormat="false" ht="13.8" hidden="false" customHeight="false" outlineLevel="0" collapsed="false">
      <c r="B160" s="2" t="n">
        <v>159</v>
      </c>
      <c r="C160" s="2" t="n">
        <v>1.50002999833375E-008</v>
      </c>
      <c r="D160" s="2" t="n">
        <v>1.0000150001826E-008</v>
      </c>
      <c r="E160" s="2" t="n">
        <v>2.50007500725694E-008</v>
      </c>
    </row>
    <row r="161" customFormat="false" ht="13.8" hidden="false" customHeight="false" outlineLevel="0" collapsed="false">
      <c r="B161" s="2" t="n">
        <v>160</v>
      </c>
      <c r="C161" s="2" t="n">
        <v>2.00004999881661E-008</v>
      </c>
      <c r="D161" s="2" t="n">
        <v>1.50003000048675E-008</v>
      </c>
      <c r="E161" s="2" t="n">
        <v>0.00111732098895072</v>
      </c>
    </row>
    <row r="162" customFormat="false" ht="13.8" hidden="false" customHeight="false" outlineLevel="0" collapsed="false">
      <c r="B162" s="2" t="n">
        <v>161</v>
      </c>
      <c r="C162" s="2" t="n">
        <v>0.00111731481574074</v>
      </c>
      <c r="D162" s="2" t="n">
        <v>2.00005000099421E-008</v>
      </c>
      <c r="E162" s="2" t="n">
        <v>0.00111732716222234</v>
      </c>
    </row>
    <row r="163" customFormat="false" ht="13.8" hidden="false" customHeight="false" outlineLevel="0" collapsed="false">
      <c r="B163" s="2" t="n">
        <v>162</v>
      </c>
      <c r="C163" s="2" t="n">
        <v>0.00111732098895063</v>
      </c>
      <c r="D163" s="2" t="n">
        <v>2.50007500172575E-008</v>
      </c>
      <c r="E163" s="2" t="n">
        <v>0.0011173333355557</v>
      </c>
    </row>
    <row r="164" customFormat="false" ht="13.8" hidden="false" customHeight="false" outlineLevel="0" collapsed="false">
      <c r="B164" s="2" t="n">
        <v>163</v>
      </c>
      <c r="C164" s="2" t="n">
        <v>0.00111732716222225</v>
      </c>
      <c r="D164" s="2" t="n">
        <v>0.00111732098895065</v>
      </c>
      <c r="E164" s="2" t="n">
        <v>0.00111733950895079</v>
      </c>
    </row>
    <row r="165" customFormat="false" ht="13.8" hidden="false" customHeight="false" outlineLevel="0" collapsed="false">
      <c r="B165" s="2" t="n">
        <v>164</v>
      </c>
      <c r="C165" s="2" t="n">
        <v>0.0011173333355556</v>
      </c>
      <c r="D165" s="2" t="n">
        <v>0.00111732716222227</v>
      </c>
      <c r="E165" s="2" t="n">
        <v>0.00111734568240761</v>
      </c>
    </row>
    <row r="166" customFormat="false" ht="13.8" hidden="false" customHeight="false" outlineLevel="0" collapsed="false">
      <c r="B166" s="2" t="n">
        <v>165</v>
      </c>
      <c r="C166" s="2" t="n">
        <v>0.00111733950895069</v>
      </c>
      <c r="D166" s="2" t="n">
        <v>0.00111733333555563</v>
      </c>
      <c r="E166" s="2" t="n">
        <v>0.00111735185592617</v>
      </c>
    </row>
    <row r="167" customFormat="false" ht="13.8" hidden="false" customHeight="false" outlineLevel="0" collapsed="false">
      <c r="B167" s="2" t="n">
        <v>166</v>
      </c>
      <c r="C167" s="2" t="n">
        <v>0.00111734568240752</v>
      </c>
      <c r="D167" s="2" t="n">
        <v>0.00111733950895072</v>
      </c>
      <c r="E167" s="2" t="n">
        <v>0.00111735802950647</v>
      </c>
    </row>
    <row r="168" customFormat="false" ht="13.8" hidden="false" customHeight="false" outlineLevel="0" collapsed="false">
      <c r="B168" s="2" t="n">
        <v>167</v>
      </c>
      <c r="C168" s="2" t="n">
        <v>0.00111735185592608</v>
      </c>
      <c r="D168" s="2" t="n">
        <v>0.00111734568240754</v>
      </c>
      <c r="E168" s="2" t="n">
        <v>0.0011173642031485</v>
      </c>
    </row>
    <row r="169" customFormat="false" ht="13.8" hidden="false" customHeight="false" outlineLevel="0" collapsed="false">
      <c r="B169" s="2" t="n">
        <v>168</v>
      </c>
      <c r="C169" s="2" t="n">
        <v>0.0005</v>
      </c>
      <c r="D169" s="2" t="n">
        <v>0.0005</v>
      </c>
      <c r="E169" s="2" t="n">
        <v>0.0005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2024-03-21T10:19:05Z</dcterms:created>
  <dc:creator>Ida Fuchs</dc:creator>
  <dc:description/>
  <dc:language>en-US</dc:language>
  <cp:lastModifiedBy/>
  <dcterms:modified xsi:type="dcterms:W3CDTF">2026-01-04T18:13:10Z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0x010100E60DA9F6DF9B4248A5FF8CC251C47EBC</vt:lpwstr>
  </property>
</Properties>
</file>