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olar" sheetId="1" state="visible" r:id="rId3"/>
    <sheet name="demand" sheetId="2" state="visible" r:id="rId4"/>
    <sheet name="investment" sheetId="3" state="visible" r:id="rId5"/>
    <sheet name="profit" sheetId="4" state="visible" r:id="rId6"/>
    <sheet name="solgen" sheetId="5" state="visible" r:id="rId7"/>
    <sheet name="import" sheetId="6" state="visible" r:id="rId8"/>
    <sheet name="export" sheetId="7" state="visible" r:id="rId9"/>
    <sheet name="charge" sheetId="8" state="visible" r:id="rId10"/>
    <sheet name="discharge" sheetId="9" state="visible" r:id="rId11"/>
    <sheet name="soc" sheetId="10" state="visible" r:id="rId12"/>
    <sheet name="p_micro" sheetId="11" state="visible" r:id="rId13"/>
    <sheet name="NG1" sheetId="12" state="visible" r:id="rId14"/>
    <sheet name="NG2" sheetId="13" state="visible" r:id="rId15"/>
    <sheet name="NG3" sheetId="14" state="visible" r:id="rId16"/>
    <sheet name="Input par" sheetId="15" state="visible" r:id="rId17"/>
    <sheet name="p_nano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<sst xmlns="http://schemas.openxmlformats.org/spreadsheetml/2006/main" count="93" uniqueCount="59">
  <si>
    <t xml:space="preserve">1</t>
  </si>
  <si>
    <t xml:space="preserve">2</t>
  </si>
  <si>
    <t xml:space="preserve">3</t>
  </si>
  <si>
    <t xml:space="preserve">avoided size</t>
  </si>
  <si>
    <t xml:space="preserve">AVIN</t>
  </si>
  <si>
    <t xml:space="preserve">NG=</t>
  </si>
  <si>
    <t xml:space="preserve">Nanogrid 1</t>
  </si>
  <si>
    <t xml:space="preserve">PV hours</t>
  </si>
  <si>
    <t xml:space="preserve">For plot</t>
  </si>
  <si>
    <t xml:space="preserve">timestep</t>
  </si>
  <si>
    <t xml:space="preserve">solar 1</t>
  </si>
  <si>
    <t xml:space="preserve">demand 1</t>
  </si>
  <si>
    <t xml:space="preserve">solgen 1</t>
  </si>
  <si>
    <t xml:space="preserve">import 1</t>
  </si>
  <si>
    <t xml:space="preserve">export 1</t>
  </si>
  <si>
    <t xml:space="preserve">charge 1</t>
  </si>
  <si>
    <t xml:space="preserve">discha 1</t>
  </si>
  <si>
    <t xml:space="preserve">SoC 1</t>
  </si>
  <si>
    <t xml:space="preserve">p_micro</t>
  </si>
  <si>
    <t xml:space="preserve">Nanogrid 2</t>
  </si>
  <si>
    <t xml:space="preserve">Nanogrid 3</t>
  </si>
  <si>
    <t xml:space="preserve">* spec. solar investment 730 euro/kWp for 20 years lifetime (from my paper) -&gt; 0.1 euro/kW per day</t>
  </si>
  <si>
    <t xml:space="preserve">* spec. solar investment 540 euro/kWh for 20 years lifetime (from Leas master) -&gt; 0.074 euro/kW per day</t>
  </si>
  <si>
    <r>
      <rPr>
        <sz val="8"/>
        <color rgb="FF000000"/>
        <rFont val="Consolas"/>
        <family val="3"/>
        <charset val="1"/>
      </rPr>
      <t xml:space="preserve">c_S(i)</t>
    </r>
    <r>
      <rPr>
        <sz val="8"/>
        <color rgb="FF007400"/>
        <rFont val="Consolas"/>
        <family val="3"/>
        <charset val="1"/>
      </rPr>
      <t xml:space="preserve"> /1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</si>
  <si>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</si>
  <si>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0.7</t>
    </r>
  </si>
  <si>
    <t xml:space="preserve">/</t>
  </si>
  <si>
    <t xml:space="preserve">* spec. battery investment 192 euro/kWh for 5 years lifetime (from my paper) -&gt; 0.1 euro/kWh per day</t>
  </si>
  <si>
    <t xml:space="preserve">* spec. battery investment 1900 euro/kWh for 5 years lifetime (from my paper) -&gt; 1.04 euro/kWh per day</t>
  </si>
  <si>
    <r>
      <rPr>
        <sz val="8"/>
        <color rgb="FF000000"/>
        <rFont val="Consolas"/>
        <family val="3"/>
        <charset val="1"/>
      </rPr>
      <t xml:space="preserve">c_B(i)</t>
    </r>
    <r>
      <rPr>
        <sz val="8"/>
        <color rgb="FF007400"/>
        <rFont val="Consolas"/>
        <family val="3"/>
        <charset val="1"/>
      </rPr>
      <t xml:space="preserve"> / 1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</si>
  <si>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</si>
  <si>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</si>
  <si>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0000"/>
        <rFont val="Consolas"/>
        <family val="3"/>
        <charset val="1"/>
      </rPr>
      <t xml:space="preserve">c_bat</t>
    </r>
    <r>
      <rPr>
        <sz val="8"/>
        <color rgb="FF007400"/>
        <rFont val="Consolas"/>
        <family val="3"/>
        <charset val="1"/>
      </rPr>
      <t xml:space="preserve"> / 0.005 /</t>
    </r>
  </si>
  <si>
    <r>
      <rPr>
        <sz val="8"/>
        <color rgb="FF000000"/>
        <rFont val="Consolas"/>
        <family val="3"/>
        <charset val="1"/>
      </rPr>
      <t xml:space="preserve">c_pv</t>
    </r>
    <r>
      <rPr>
        <sz val="8"/>
        <color rgb="FF007400"/>
        <rFont val="Consolas"/>
        <family val="3"/>
        <charset val="1"/>
      </rPr>
      <t xml:space="preserve"> / 0.0001 /</t>
    </r>
  </si>
  <si>
    <r>
      <rPr>
        <sz val="8"/>
        <color rgb="FF000000"/>
        <rFont val="Consolas"/>
        <family val="3"/>
        <charset val="1"/>
      </rPr>
      <t xml:space="preserve">sigma</t>
    </r>
    <r>
      <rPr>
        <sz val="8"/>
        <color rgb="FF007400"/>
        <rFont val="Consolas"/>
        <family val="3"/>
        <charset val="1"/>
      </rPr>
      <t xml:space="preserve"> / 0.001 /</t>
    </r>
  </si>
  <si>
    <r>
      <rPr>
        <sz val="8"/>
        <color rgb="FF000000"/>
        <rFont val="Consolas"/>
        <family val="3"/>
        <charset val="1"/>
      </rPr>
      <t xml:space="preserve">u_bat</t>
    </r>
    <r>
      <rPr>
        <sz val="8"/>
        <color rgb="FF007400"/>
        <rFont val="Consolas"/>
        <family val="3"/>
        <charset val="1"/>
      </rPr>
      <t xml:space="preserve"> / 0.9 /</t>
    </r>
  </si>
  <si>
    <r>
      <rPr>
        <sz val="8"/>
        <color rgb="FF000000"/>
        <rFont val="Consolas"/>
        <family val="3"/>
        <charset val="1"/>
      </rPr>
      <t xml:space="preserve">u_ie</t>
    </r>
    <r>
      <rPr>
        <sz val="8"/>
        <color rgb="FF007400"/>
        <rFont val="Consolas"/>
        <family val="3"/>
        <charset val="1"/>
      </rPr>
      <t xml:space="preserve"> / 0.75 /</t>
    </r>
  </si>
  <si>
    <r>
      <rPr>
        <sz val="8"/>
        <color rgb="FF000000"/>
        <rFont val="Consolas"/>
        <family val="3"/>
        <charset val="1"/>
      </rPr>
      <t xml:space="preserve">v_B</t>
    </r>
    <r>
      <rPr>
        <sz val="8"/>
        <color rgb="FF007400"/>
        <rFont val="Consolas"/>
        <family val="3"/>
        <charset val="1"/>
      </rPr>
      <t xml:space="preserve"> / 0.5 /</t>
    </r>
  </si>
  <si>
    <r>
      <rPr>
        <sz val="8"/>
        <color rgb="FF000000"/>
        <rFont val="Consolas"/>
        <family val="3"/>
        <charset val="1"/>
      </rPr>
      <t xml:space="preserve">z_B</t>
    </r>
    <r>
      <rPr>
        <sz val="8"/>
        <color rgb="FF007400"/>
        <rFont val="Consolas"/>
        <family val="3"/>
        <charset val="1"/>
      </rPr>
      <t xml:space="preserve"> / 0.7 /</t>
    </r>
  </si>
  <si>
    <t xml:space="preserve">*a_bat / 0.6 /</t>
  </si>
  <si>
    <r>
      <rPr>
        <sz val="8"/>
        <color rgb="FF000000"/>
        <rFont val="Consolas"/>
        <family val="3"/>
        <charset val="1"/>
      </rPr>
      <t xml:space="preserve">w</t>
    </r>
    <r>
      <rPr>
        <sz val="8"/>
        <color rgb="FF007400"/>
        <rFont val="Consolas"/>
        <family val="3"/>
        <charset val="1"/>
      </rPr>
      <t xml:space="preserve"> / 10 /</t>
    </r>
  </si>
  <si>
    <r>
      <rPr>
        <sz val="8"/>
        <color rgb="FF000000"/>
        <rFont val="Consolas"/>
        <family val="3"/>
        <charset val="1"/>
      </rPr>
      <t xml:space="preserve">p_nano</t>
    </r>
    <r>
      <rPr>
        <sz val="8"/>
        <color rgb="FF007400"/>
        <rFont val="Consolas"/>
        <family val="3"/>
        <charset val="1"/>
      </rPr>
      <t xml:space="preserve"> / 2 /</t>
    </r>
  </si>
  <si>
    <r>
      <rPr>
        <sz val="8"/>
        <color rgb="FF000000"/>
        <rFont val="Consolas"/>
        <family val="3"/>
        <charset val="1"/>
      </rPr>
      <t xml:space="preserve">p_micro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</si>
  <si>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ts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</si>
  <si>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Num_of_ts</t>
    </r>
    <r>
      <rPr>
        <sz val="8"/>
        <color rgb="FF007400"/>
        <rFont val="Consolas"/>
        <family val="3"/>
        <charset val="1"/>
      </rPr>
      <t xml:space="preserve"> / 168 /</t>
    </r>
  </si>
  <si>
    <t xml:space="preserve">e_solar(t)</t>
  </si>
  <si>
    <t xml:space="preserve">$ondelim</t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</si>
  <si>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Raqaypampa_PV_hourly_week10.csv</t>
    </r>
  </si>
  <si>
    <t xml:space="preserve">*$include NanoE_PVlow_1kW_1w10min.csv</t>
  </si>
  <si>
    <t xml:space="preserve">*$include PV3days_adj.csv</t>
  </si>
  <si>
    <t xml:space="preserve">$offdelim</t>
  </si>
  <si>
    <t xml:space="preserve">* Several parameters that are calculated after the model run</t>
  </si>
  <si>
    <t xml:space="preserve">indiprofit(i)</t>
  </si>
  <si>
    <t xml:space="preserve">negprofit</t>
  </si>
  <si>
    <t xml:space="preserve">;</t>
  </si>
  <si>
    <r>
      <rPr>
        <b val="true"/>
        <sz val="8"/>
        <color rgb="FF0000B3"/>
        <rFont val="Consolas"/>
        <family val="3"/>
        <charset val="1"/>
      </rPr>
      <t xml:space="preserve">Table </t>
    </r>
    <r>
      <rPr>
        <sz val="8"/>
        <color rgb="FF000000"/>
        <rFont val="Consolas"/>
        <family val="3"/>
        <charset val="1"/>
      </rPr>
      <t xml:space="preserve">e_dem(t,i)</t>
    </r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</si>
  <si>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Raqaypampa_demand_hourly_week10_3NG.csv</t>
    </r>
  </si>
  <si>
    <t xml:space="preserve">*$include NanoE_demand_5NGs_1w10min.csv</t>
  </si>
  <si>
    <t xml:space="preserve">*$include Dem3days_adj.csv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</si>
</sst>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00"/>
    <numFmt numFmtId="167" formatCode="0"/>
    <numFmt numFmtId="168" formatCode="@"/>
    <numFmt numFmtId="169" formatCode="General"/>
    <numFmt numFmtId="170" formatCode="0.0000000"/>
    <numFmt numFmtId="171" formatCode="0.0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BFBFBF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i val="true"/>
      <sz val="8"/>
      <color rgb="FF787878"/>
      <name val="Consolas"/>
      <family val="3"/>
      <charset val="1"/>
    </font>
    <font>
      <sz val="8"/>
      <color rgb="FF000000"/>
      <name val="Consolas"/>
      <family val="3"/>
      <charset val="1"/>
    </font>
    <font>
      <sz val="8"/>
      <color rgb="FF007400"/>
      <name val="Consolas"/>
      <family val="3"/>
      <charset val="1"/>
    </font>
    <font>
      <sz val="8"/>
      <color rgb="FF005078"/>
      <name val="Consolas"/>
      <family val="3"/>
      <charset val="1"/>
    </font>
    <font>
      <sz val="8"/>
      <color rgb="FF6B006B"/>
      <name val="Consolas"/>
      <family val="3"/>
      <charset val="1"/>
    </font>
    <font>
      <i val="true"/>
      <sz val="8"/>
      <color rgb="FF0000DA"/>
      <name val="Consolas"/>
      <family val="3"/>
      <charset val="1"/>
    </font>
    <font>
      <b val="true"/>
      <sz val="8"/>
      <color rgb="FF0000B3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DA"/>
      <rgbColor rgb="FFFFFF00"/>
      <rgbColor rgb="FFFF00FF"/>
      <rgbColor rgb="FF00FFFF"/>
      <rgbColor rgb="FF800000"/>
      <rgbColor rgb="FF007400"/>
      <rgbColor rgb="FF0000B3"/>
      <rgbColor rgb="FF808000"/>
      <rgbColor rgb="FF800080"/>
      <rgbColor rgb="FF008080"/>
      <rgbColor rgb="FFBFBFBF"/>
      <rgbColor rgb="FF787878"/>
      <rgbColor rgb="FF5B9BD5"/>
      <rgbColor rgb="FF993366"/>
      <rgbColor rgb="FFFFFFCC"/>
      <rgbColor rgb="FFCCFFFF"/>
      <rgbColor rgb="FF6B006B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507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21659856"/>
        <c:axId val="34194949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659856"/>
        <c:axId val="34194949"/>
      </c:lineChart>
      <c:catAx>
        <c:axId val="216598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4194949"/>
        <c:crosses val="autoZero"/>
        <c:auto val="1"/>
        <c:lblAlgn val="ctr"/>
        <c:lblOffset val="100"/>
        <c:noMultiLvlLbl val="0"/>
      </c:catAx>
      <c:valAx>
        <c:axId val="341949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16598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NG1!$M$4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NG1!$M$5:$M$172</c:f>
              <c:numCache>
                <c:formatCode>General</c:formatCode>
                <c:ptCount val="168"/>
                <c:pt idx="0">
                  <c:v>65.4470856453318</c:v>
                </c:pt>
                <c:pt idx="1">
                  <c:v>60.3432663886295</c:v>
                </c:pt>
                <c:pt idx="2">
                  <c:v>55.8079248245468</c:v>
                </c:pt>
                <c:pt idx="3">
                  <c:v>48.2192052344633</c:v>
                </c:pt>
                <c:pt idx="4">
                  <c:v>42.5327535030768</c:v>
                </c:pt>
                <c:pt idx="5">
                  <c:v>35.3206641500829</c:v>
                </c:pt>
                <c:pt idx="6">
                  <c:v>28.8701182902498</c:v>
                </c:pt>
                <c:pt idx="7">
                  <c:v>29.0365063846508</c:v>
                </c:pt>
                <c:pt idx="8">
                  <c:v>29.036216019587</c:v>
                </c:pt>
                <c:pt idx="9">
                  <c:v>29.0359256574268</c:v>
                </c:pt>
                <c:pt idx="10">
                  <c:v>29.0356352981703</c:v>
                </c:pt>
                <c:pt idx="11">
                  <c:v>29.0353449418173</c:v>
                </c:pt>
                <c:pt idx="12">
                  <c:v>29.0350545883679</c:v>
                </c:pt>
                <c:pt idx="13">
                  <c:v>48.979021713616</c:v>
                </c:pt>
                <c:pt idx="14">
                  <c:v>69.3533492433928</c:v>
                </c:pt>
                <c:pt idx="15">
                  <c:v>78.7713492934807</c:v>
                </c:pt>
                <c:pt idx="16">
                  <c:v>81.5290815751769</c:v>
                </c:pt>
                <c:pt idx="17">
                  <c:v>77.6739817505003</c:v>
                </c:pt>
                <c:pt idx="18">
                  <c:v>70.0970193280807</c:v>
                </c:pt>
                <c:pt idx="19">
                  <c:v>60.6635878967722</c:v>
                </c:pt>
                <c:pt idx="20">
                  <c:v>50.513847050453</c:v>
                </c:pt>
                <c:pt idx="21">
                  <c:v>41.4713806889961</c:v>
                </c:pt>
                <c:pt idx="22">
                  <c:v>34.5039155892284</c:v>
                </c:pt>
                <c:pt idx="23">
                  <c:v>28.0290702265239</c:v>
                </c:pt>
                <c:pt idx="24">
                  <c:v>22.0125733634113</c:v>
                </c:pt>
                <c:pt idx="25">
                  <c:v>17.6993093576576</c:v>
                </c:pt>
                <c:pt idx="26">
                  <c:v>13.5335844057642</c:v>
                </c:pt>
                <c:pt idx="27">
                  <c:v>8.64973635607417</c:v>
                </c:pt>
                <c:pt idx="28">
                  <c:v>4.4863647652808</c:v>
                </c:pt>
                <c:pt idx="29">
                  <c:v>0.385617015577318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13.6799656644303</c:v>
                </c:pt>
                <c:pt idx="37">
                  <c:v>41.7743065149336</c:v>
                </c:pt>
                <c:pt idx="38">
                  <c:v>64.1098838136406</c:v>
                </c:pt>
                <c:pt idx="39">
                  <c:v>76.1026033523669</c:v>
                </c:pt>
                <c:pt idx="40">
                  <c:v>82.2425594880569</c:v>
                </c:pt>
                <c:pt idx="41">
                  <c:v>79.1820020799221</c:v>
                </c:pt>
                <c:pt idx="42">
                  <c:v>72.0042424995445</c:v>
                </c:pt>
                <c:pt idx="43">
                  <c:v>62.3373777928421</c:v>
                </c:pt>
                <c:pt idx="44">
                  <c:v>52.0238808533754</c:v>
                </c:pt>
                <c:pt idx="45">
                  <c:v>45.0167010907301</c:v>
                </c:pt>
                <c:pt idx="46">
                  <c:v>36.2445595591277</c:v>
                </c:pt>
                <c:pt idx="47">
                  <c:v>31.0948904701699</c:v>
                </c:pt>
                <c:pt idx="48">
                  <c:v>27.4995344588268</c:v>
                </c:pt>
                <c:pt idx="49">
                  <c:v>23.3656470466374</c:v>
                </c:pt>
                <c:pt idx="50">
                  <c:v>18.5415159607929</c:v>
                </c:pt>
                <c:pt idx="51">
                  <c:v>13.6126649679193</c:v>
                </c:pt>
                <c:pt idx="52">
                  <c:v>9.00178685414368</c:v>
                </c:pt>
                <c:pt idx="53">
                  <c:v>2.28717148563358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28.3030042714546</c:v>
                </c:pt>
                <c:pt idx="61">
                  <c:v>57.2904317234998</c:v>
                </c:pt>
                <c:pt idx="62">
                  <c:v>80.716018721418</c:v>
                </c:pt>
                <c:pt idx="63">
                  <c:v>92.0301475885298</c:v>
                </c:pt>
                <c:pt idx="64">
                  <c:v>88.005165994826</c:v>
                </c:pt>
                <c:pt idx="65">
                  <c:v>81.3852863381061</c:v>
                </c:pt>
                <c:pt idx="66">
                  <c:v>73.1655835711005</c:v>
                </c:pt>
                <c:pt idx="67">
                  <c:v>61.7769198826975</c:v>
                </c:pt>
                <c:pt idx="68">
                  <c:v>50.3603909558137</c:v>
                </c:pt>
                <c:pt idx="69">
                  <c:v>37.1843573324904</c:v>
                </c:pt>
                <c:pt idx="70">
                  <c:v>30.3513305086837</c:v>
                </c:pt>
                <c:pt idx="71">
                  <c:v>23.8876827060311</c:v>
                </c:pt>
                <c:pt idx="72">
                  <c:v>20.3567020075955</c:v>
                </c:pt>
                <c:pt idx="73">
                  <c:v>16.3766655335469</c:v>
                </c:pt>
                <c:pt idx="74">
                  <c:v>12.9133756396733</c:v>
                </c:pt>
                <c:pt idx="75">
                  <c:v>9.51578304759167</c:v>
                </c:pt>
                <c:pt idx="76">
                  <c:v>4.91979123482827</c:v>
                </c:pt>
                <c:pt idx="77">
                  <c:v>1.91205345239183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27.8693868492237</c:v>
                </c:pt>
                <c:pt idx="84">
                  <c:v>58.1348580473221</c:v>
                </c:pt>
                <c:pt idx="85">
                  <c:v>80.3077002605277</c:v>
                </c:pt>
                <c:pt idx="86">
                  <c:v>92.2125448861488</c:v>
                </c:pt>
                <c:pt idx="87">
                  <c:v>96.4303428081865</c:v>
                </c:pt>
                <c:pt idx="88">
                  <c:v>92.171753471358</c:v>
                </c:pt>
                <c:pt idx="89">
                  <c:v>85.4846060586691</c:v>
                </c:pt>
                <c:pt idx="90">
                  <c:v>76.8179810144033</c:v>
                </c:pt>
                <c:pt idx="91">
                  <c:v>64.9848705921298</c:v>
                </c:pt>
                <c:pt idx="92">
                  <c:v>51.1242315105407</c:v>
                </c:pt>
                <c:pt idx="93">
                  <c:v>42.5025903958454</c:v>
                </c:pt>
                <c:pt idx="94">
                  <c:v>35.9807263292908</c:v>
                </c:pt>
                <c:pt idx="95">
                  <c:v>29.4401113421056</c:v>
                </c:pt>
                <c:pt idx="96">
                  <c:v>23.95332312122</c:v>
                </c:pt>
                <c:pt idx="97">
                  <c:v>18.7797663781119</c:v>
                </c:pt>
                <c:pt idx="98">
                  <c:v>14.9544335671881</c:v>
                </c:pt>
                <c:pt idx="99">
                  <c:v>10.7257648198892</c:v>
                </c:pt>
                <c:pt idx="100">
                  <c:v>6.29613412632297</c:v>
                </c:pt>
                <c:pt idx="101">
                  <c:v>1.16582237039764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30.4390196191838</c:v>
                </c:pt>
                <c:pt idx="108">
                  <c:v>62.7374738657461</c:v>
                </c:pt>
                <c:pt idx="109">
                  <c:v>84.1832713009461</c:v>
                </c:pt>
                <c:pt idx="110">
                  <c:v>91.0825579914693</c:v>
                </c:pt>
                <c:pt idx="111">
                  <c:v>98.4259453393633</c:v>
                </c:pt>
                <c:pt idx="112">
                  <c:v>100</c:v>
                </c:pt>
                <c:pt idx="113">
                  <c:v>96.4029070745841</c:v>
                </c:pt>
                <c:pt idx="114">
                  <c:v>89.4646164475951</c:v>
                </c:pt>
                <c:pt idx="115">
                  <c:v>79.6330750991408</c:v>
                </c:pt>
                <c:pt idx="116">
                  <c:v>69.5528423403095</c:v>
                </c:pt>
                <c:pt idx="117">
                  <c:v>60.2879908269372</c:v>
                </c:pt>
                <c:pt idx="118">
                  <c:v>53.0455293804725</c:v>
                </c:pt>
                <c:pt idx="119">
                  <c:v>49.1597881473172</c:v>
                </c:pt>
                <c:pt idx="120">
                  <c:v>44.9009171470617</c:v>
                </c:pt>
                <c:pt idx="121">
                  <c:v>42.1703363585853</c:v>
                </c:pt>
                <c:pt idx="122">
                  <c:v>36.5042002792414</c:v>
                </c:pt>
                <c:pt idx="123">
                  <c:v>28.7991932711153</c:v>
                </c:pt>
                <c:pt idx="124">
                  <c:v>21.9653306726214</c:v>
                </c:pt>
                <c:pt idx="125">
                  <c:v>15.3677434403087</c:v>
                </c:pt>
                <c:pt idx="126">
                  <c:v>9.1927471531608</c:v>
                </c:pt>
                <c:pt idx="127">
                  <c:v>6.80467584508154</c:v>
                </c:pt>
                <c:pt idx="128">
                  <c:v>14.0168179389606</c:v>
                </c:pt>
                <c:pt idx="129">
                  <c:v>27.0914439834603</c:v>
                </c:pt>
                <c:pt idx="130">
                  <c:v>45.6554543154673</c:v>
                </c:pt>
                <c:pt idx="131">
                  <c:v>68.3221173576868</c:v>
                </c:pt>
                <c:pt idx="132">
                  <c:v>87.5733735307958</c:v>
                </c:pt>
                <c:pt idx="133">
                  <c:v>99.6944381524284</c:v>
                </c:pt>
                <c:pt idx="134">
                  <c:v>100</c:v>
                </c:pt>
                <c:pt idx="135">
                  <c:v>96.5337522491854</c:v>
                </c:pt>
                <c:pt idx="136">
                  <c:v>90.3910368270027</c:v>
                </c:pt>
                <c:pt idx="137">
                  <c:v>83.3286767287906</c:v>
                </c:pt>
                <c:pt idx="138">
                  <c:v>73.3062521845068</c:v>
                </c:pt>
                <c:pt idx="139">
                  <c:v>63.5957900158032</c:v>
                </c:pt>
                <c:pt idx="140">
                  <c:v>54.0058627232368</c:v>
                </c:pt>
                <c:pt idx="141">
                  <c:v>43.5724344904247</c:v>
                </c:pt>
                <c:pt idx="142">
                  <c:v>35.0057451777028</c:v>
                </c:pt>
                <c:pt idx="143">
                  <c:v>29.4234004672314</c:v>
                </c:pt>
                <c:pt idx="144">
                  <c:v>24.7739701841847</c:v>
                </c:pt>
                <c:pt idx="145">
                  <c:v>19.0472794534331</c:v>
                </c:pt>
                <c:pt idx="146">
                  <c:v>15.0052165975402</c:v>
                </c:pt>
                <c:pt idx="147">
                  <c:v>10.043575029554</c:v>
                </c:pt>
                <c:pt idx="148">
                  <c:v>6.4031717742698</c:v>
                </c:pt>
                <c:pt idx="149">
                  <c:v>1.48186204834895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15.0731400026213</c:v>
                </c:pt>
                <c:pt idx="156">
                  <c:v>38.25223401395</c:v>
                </c:pt>
                <c:pt idx="157">
                  <c:v>52.4215913856556</c:v>
                </c:pt>
                <c:pt idx="158">
                  <c:v>62.2383920306241</c:v>
                </c:pt>
                <c:pt idx="159">
                  <c:v>64.9152602179641</c:v>
                </c:pt>
                <c:pt idx="160">
                  <c:v>60.4619339257617</c:v>
                </c:pt>
                <c:pt idx="161">
                  <c:v>52.9652740133108</c:v>
                </c:pt>
                <c:pt idx="162">
                  <c:v>43.3860784199748</c:v>
                </c:pt>
                <c:pt idx="163">
                  <c:v>31.6365916815481</c:v>
                </c:pt>
                <c:pt idx="164">
                  <c:v>20.5117858715766</c:v>
                </c:pt>
                <c:pt idx="165">
                  <c:v>9.34835907708762</c:v>
                </c:pt>
                <c:pt idx="166">
                  <c:v>0</c:v>
                </c:pt>
                <c:pt idx="167">
                  <c:v>70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180244"/>
        <c:axId val="18983095"/>
      </c:lineChart>
      <c:catAx>
        <c:axId val="431802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8983095"/>
        <c:crosses val="autoZero"/>
        <c:auto val="1"/>
        <c:lblAlgn val="ctr"/>
        <c:lblOffset val="100"/>
        <c:noMultiLvlLbl val="0"/>
      </c:catAx>
      <c:valAx>
        <c:axId val="18983095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SoC 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31802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 in the MCP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038585"/>
        <c:axId val="60195344"/>
      </c:lineChart>
      <c:catAx>
        <c:axId val="670385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 of the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0195344"/>
        <c:crosses val="autoZero"/>
        <c:auto val="1"/>
        <c:lblAlgn val="ctr"/>
        <c:lblOffset val="100"/>
        <c:noMultiLvlLbl val="0"/>
      </c:catAx>
      <c:valAx>
        <c:axId val="601953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p_micro in Euro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70385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gapWidth val="150"/>
        <c:overlap val="100"/>
        <c:axId val="42372005"/>
        <c:axId val="90731847"/>
      </c:barChart>
      <c:catAx>
        <c:axId val="423720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0731847"/>
        <c:crosses val="autoZero"/>
        <c:auto val="1"/>
        <c:lblAlgn val="ctr"/>
        <c:lblOffset val="100"/>
        <c:noMultiLvlLbl val="0"/>
      </c:catAx>
      <c:valAx>
        <c:axId val="907318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23720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54891070"/>
        <c:axId val="58176121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891070"/>
        <c:axId val="58176121"/>
      </c:lineChart>
      <c:catAx>
        <c:axId val="548910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8176121"/>
        <c:crosses val="autoZero"/>
        <c:auto val="1"/>
        <c:lblAlgn val="ctr"/>
        <c:lblOffset val="100"/>
        <c:noMultiLvlLbl val="0"/>
      </c:catAx>
      <c:valAx>
        <c:axId val="581761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48910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NG2!$L$4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NG2!$L$5:$L$172</c:f>
              <c:numCache>
                <c:formatCode>General</c:formatCode>
                <c:ptCount val="168"/>
                <c:pt idx="0">
                  <c:v>69.2803447712511</c:v>
                </c:pt>
                <c:pt idx="1">
                  <c:v>60.6437892228179</c:v>
                </c:pt>
                <c:pt idx="2">
                  <c:v>52.0073200399402</c:v>
                </c:pt>
                <c:pt idx="3">
                  <c:v>43.3709372217544</c:v>
                </c:pt>
                <c:pt idx="4">
                  <c:v>34.7346407673967</c:v>
                </c:pt>
                <c:pt idx="5">
                  <c:v>32.5937576045784</c:v>
                </c:pt>
                <c:pt idx="6">
                  <c:v>33.1148367236179</c:v>
                </c:pt>
                <c:pt idx="7">
                  <c:v>33.1145055752507</c:v>
                </c:pt>
                <c:pt idx="8">
                  <c:v>33.1141744301949</c:v>
                </c:pt>
                <c:pt idx="9">
                  <c:v>33.1138432884506</c:v>
                </c:pt>
                <c:pt idx="10">
                  <c:v>33.1135121500177</c:v>
                </c:pt>
                <c:pt idx="11">
                  <c:v>33.1131810148962</c:v>
                </c:pt>
                <c:pt idx="12">
                  <c:v>34.5616077349083</c:v>
                </c:pt>
                <c:pt idx="13">
                  <c:v>56.521285378826</c:v>
                </c:pt>
                <c:pt idx="14">
                  <c:v>73.3950753330883</c:v>
                </c:pt>
                <c:pt idx="15">
                  <c:v>83.3669811348997</c:v>
                </c:pt>
                <c:pt idx="16">
                  <c:v>88.9935575752973</c:v>
                </c:pt>
                <c:pt idx="17">
                  <c:v>90.7929213642435</c:v>
                </c:pt>
                <c:pt idx="18">
                  <c:v>90.7920134350298</c:v>
                </c:pt>
                <c:pt idx="19">
                  <c:v>85.753518913654</c:v>
                </c:pt>
                <c:pt idx="20">
                  <c:v>77.1167986334794</c:v>
                </c:pt>
                <c:pt idx="21">
                  <c:v>68.4801647205076</c:v>
                </c:pt>
                <c:pt idx="22">
                  <c:v>59.843617173875</c:v>
                </c:pt>
                <c:pt idx="23">
                  <c:v>51.3510870384676</c:v>
                </c:pt>
                <c:pt idx="24">
                  <c:v>42.7147107826118</c:v>
                </c:pt>
                <c:pt idx="25">
                  <c:v>34.0784208905185</c:v>
                </c:pt>
                <c:pt idx="26">
                  <c:v>25.4422173613242</c:v>
                </c:pt>
                <c:pt idx="27">
                  <c:v>16.8061001941651</c:v>
                </c:pt>
                <c:pt idx="28">
                  <c:v>8.17006938817776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1.23060431452352</c:v>
                </c:pt>
                <c:pt idx="36">
                  <c:v>25.9455378530893</c:v>
                </c:pt>
                <c:pt idx="37">
                  <c:v>48.3199160355058</c:v>
                </c:pt>
                <c:pt idx="38">
                  <c:v>66.1303699495565</c:v>
                </c:pt>
                <c:pt idx="39">
                  <c:v>78.2681481742537</c:v>
                </c:pt>
                <c:pt idx="40">
                  <c:v>85.5324634521746</c:v>
                </c:pt>
                <c:pt idx="41">
                  <c:v>87.9068785987312</c:v>
                </c:pt>
                <c:pt idx="42">
                  <c:v>87.9059995299452</c:v>
                </c:pt>
                <c:pt idx="43">
                  <c:v>82.0039475942098</c:v>
                </c:pt>
                <c:pt idx="44">
                  <c:v>73.3672648097485</c:v>
                </c:pt>
                <c:pt idx="45">
                  <c:v>64.730668392115</c:v>
                </c:pt>
                <c:pt idx="46">
                  <c:v>56.0941583404456</c:v>
                </c:pt>
                <c:pt idx="47">
                  <c:v>50.0484934773724</c:v>
                </c:pt>
                <c:pt idx="48">
                  <c:v>45.8739926656947</c:v>
                </c:pt>
                <c:pt idx="49">
                  <c:v>37.2376711807825</c:v>
                </c:pt>
                <c:pt idx="50">
                  <c:v>28.6014360590853</c:v>
                </c:pt>
                <c:pt idx="51">
                  <c:v>19.9652872997393</c:v>
                </c:pt>
                <c:pt idx="52">
                  <c:v>11.3292249018809</c:v>
                </c:pt>
                <c:pt idx="53">
                  <c:v>3.07771197539503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14.2310836481103</c:v>
                </c:pt>
                <c:pt idx="60">
                  <c:v>38.8466687756737</c:v>
                </c:pt>
                <c:pt idx="61">
                  <c:v>61.6154982547708</c:v>
                </c:pt>
                <c:pt idx="62">
                  <c:v>80.7358656440441</c:v>
                </c:pt>
                <c:pt idx="63">
                  <c:v>91.5054694096387</c:v>
                </c:pt>
                <c:pt idx="64">
                  <c:v>93.1189628746396</c:v>
                </c:pt>
                <c:pt idx="65">
                  <c:v>92.3397926455367</c:v>
                </c:pt>
                <c:pt idx="66">
                  <c:v>83.7030065026248</c:v>
                </c:pt>
                <c:pt idx="67">
                  <c:v>75.0663067275743</c:v>
                </c:pt>
                <c:pt idx="68">
                  <c:v>66.4296933195216</c:v>
                </c:pt>
                <c:pt idx="69">
                  <c:v>57.793166277603</c:v>
                </c:pt>
                <c:pt idx="70">
                  <c:v>49.1567256009548</c:v>
                </c:pt>
                <c:pt idx="71">
                  <c:v>40.5203712887133</c:v>
                </c:pt>
                <c:pt idx="72">
                  <c:v>35.4823794837589</c:v>
                </c:pt>
                <c:pt idx="73">
                  <c:v>26.8461619149787</c:v>
                </c:pt>
                <c:pt idx="74">
                  <c:v>18.2100307083741</c:v>
                </c:pt>
                <c:pt idx="75">
                  <c:v>9.57398586308157</c:v>
                </c:pt>
                <c:pt idx="76">
                  <c:v>0.938027378237508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16.2190113403584</c:v>
                </c:pt>
                <c:pt idx="84">
                  <c:v>38.7997122237106</c:v>
                </c:pt>
                <c:pt idx="85">
                  <c:v>57.2230529092424</c:v>
                </c:pt>
                <c:pt idx="86">
                  <c:v>68.7672973048936</c:v>
                </c:pt>
                <c:pt idx="87">
                  <c:v>75.1806706906167</c:v>
                </c:pt>
                <c:pt idx="88">
                  <c:v>76.7885724764239</c:v>
                </c:pt>
                <c:pt idx="89">
                  <c:v>77.2960122579148</c:v>
                </c:pt>
                <c:pt idx="90">
                  <c:v>77.2952392977922</c:v>
                </c:pt>
                <c:pt idx="91">
                  <c:v>68.6586036004138</c:v>
                </c:pt>
                <c:pt idx="92">
                  <c:v>60.0220542693924</c:v>
                </c:pt>
                <c:pt idx="93">
                  <c:v>51.3855913038642</c:v>
                </c:pt>
                <c:pt idx="94">
                  <c:v>42.7492147029658</c:v>
                </c:pt>
                <c:pt idx="95">
                  <c:v>40.3019594330729</c:v>
                </c:pt>
                <c:pt idx="96">
                  <c:v>34.5443145834883</c:v>
                </c:pt>
                <c:pt idx="97">
                  <c:v>25.908106395357</c:v>
                </c:pt>
                <c:pt idx="98">
                  <c:v>17.2719845693076</c:v>
                </c:pt>
                <c:pt idx="99">
                  <c:v>8.63594910447648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10.4318360268858</c:v>
                </c:pt>
                <c:pt idx="107">
                  <c:v>34.04285655776</c:v>
                </c:pt>
                <c:pt idx="108">
                  <c:v>58.7757219683172</c:v>
                </c:pt>
                <c:pt idx="109">
                  <c:v>76.5233296369979</c:v>
                </c:pt>
                <c:pt idx="110">
                  <c:v>84.4814123442425</c:v>
                </c:pt>
                <c:pt idx="111">
                  <c:v>92.8993769438403</c:v>
                </c:pt>
                <c:pt idx="112">
                  <c:v>98.003414520564</c:v>
                </c:pt>
                <c:pt idx="113">
                  <c:v>100</c:v>
                </c:pt>
                <c:pt idx="114">
                  <c:v>91.8149628594771</c:v>
                </c:pt>
                <c:pt idx="115">
                  <c:v>83.1781819648631</c:v>
                </c:pt>
                <c:pt idx="116">
                  <c:v>74.541487438058</c:v>
                </c:pt>
                <c:pt idx="117">
                  <c:v>65.9048792781982</c:v>
                </c:pt>
                <c:pt idx="118">
                  <c:v>57.2683574844201</c:v>
                </c:pt>
                <c:pt idx="119">
                  <c:v>48.6319220558598</c:v>
                </c:pt>
                <c:pt idx="120">
                  <c:v>40.7152282204027</c:v>
                </c:pt>
                <c:pt idx="121">
                  <c:v>32.078958323135</c:v>
                </c:pt>
                <c:pt idx="122">
                  <c:v>23.4427747885664</c:v>
                </c:pt>
                <c:pt idx="123">
                  <c:v>14.8066776158331</c:v>
                </c:pt>
                <c:pt idx="124">
                  <c:v>6.17066680407157</c:v>
                </c:pt>
                <c:pt idx="125">
                  <c:v>0</c:v>
                </c:pt>
                <c:pt idx="126">
                  <c:v>0.197008898155222</c:v>
                </c:pt>
                <c:pt idx="127">
                  <c:v>2.84526864425208</c:v>
                </c:pt>
                <c:pt idx="128">
                  <c:v>11.0239869285979</c:v>
                </c:pt>
                <c:pt idx="129">
                  <c:v>23.0901849117828</c:v>
                </c:pt>
                <c:pt idx="130">
                  <c:v>38.9708270110836</c:v>
                </c:pt>
                <c:pt idx="131">
                  <c:v>57.7533945979175</c:v>
                </c:pt>
                <c:pt idx="132">
                  <c:v>73.6551520491946</c:v>
                </c:pt>
                <c:pt idx="133">
                  <c:v>84.8840092327803</c:v>
                </c:pt>
                <c:pt idx="134">
                  <c:v>88.5420392459951</c:v>
                </c:pt>
                <c:pt idx="135">
                  <c:v>89.5969449775876</c:v>
                </c:pt>
                <c:pt idx="136">
                  <c:v>90.2408172030447</c:v>
                </c:pt>
                <c:pt idx="137">
                  <c:v>90.3079065998488</c:v>
                </c:pt>
                <c:pt idx="138">
                  <c:v>81.6711407757974</c:v>
                </c:pt>
                <c:pt idx="139">
                  <c:v>73.0344613194042</c:v>
                </c:pt>
                <c:pt idx="140">
                  <c:v>64.3978682298056</c:v>
                </c:pt>
                <c:pt idx="141">
                  <c:v>55.7613615061379</c:v>
                </c:pt>
                <c:pt idx="142">
                  <c:v>47.1249411475374</c:v>
                </c:pt>
                <c:pt idx="143">
                  <c:v>38.4886071531404</c:v>
                </c:pt>
                <c:pt idx="144">
                  <c:v>38.2003601755694</c:v>
                </c:pt>
                <c:pt idx="145">
                  <c:v>29.5641154269822</c:v>
                </c:pt>
                <c:pt idx="146">
                  <c:v>20.9279570408425</c:v>
                </c:pt>
                <c:pt idx="147">
                  <c:v>12.2918850162867</c:v>
                </c:pt>
                <c:pt idx="148">
                  <c:v>3.65589935245107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9.43018723904727</c:v>
                </c:pt>
                <c:pt idx="157">
                  <c:v>21.6129708882392</c:v>
                </c:pt>
                <c:pt idx="158">
                  <c:v>31.7480901968107</c:v>
                </c:pt>
                <c:pt idx="159">
                  <c:v>37.1563225127267</c:v>
                </c:pt>
                <c:pt idx="160">
                  <c:v>38.2268866466994</c:v>
                </c:pt>
                <c:pt idx="161">
                  <c:v>38.7187020972522</c:v>
                </c:pt>
                <c:pt idx="162">
                  <c:v>34.5443145834883</c:v>
                </c:pt>
                <c:pt idx="163">
                  <c:v>25.908106395357</c:v>
                </c:pt>
                <c:pt idx="164">
                  <c:v>17.2719845693076</c:v>
                </c:pt>
                <c:pt idx="165">
                  <c:v>8.63594910447648</c:v>
                </c:pt>
                <c:pt idx="166">
                  <c:v>0</c:v>
                </c:pt>
                <c:pt idx="167">
                  <c:v>70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691512"/>
        <c:axId val="43632417"/>
      </c:lineChart>
      <c:catAx>
        <c:axId val="126915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3632417"/>
        <c:crosses val="autoZero"/>
        <c:auto val="1"/>
        <c:lblAlgn val="ctr"/>
        <c:lblOffset val="100"/>
        <c:noMultiLvlLbl val="0"/>
      </c:catAx>
      <c:valAx>
        <c:axId val="43632417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26915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029878"/>
        <c:axId val="57408142"/>
      </c:lineChart>
      <c:catAx>
        <c:axId val="760298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7408142"/>
        <c:crosses val="autoZero"/>
        <c:auto val="1"/>
        <c:lblAlgn val="ctr"/>
        <c:lblOffset val="100"/>
        <c:noMultiLvlLbl val="0"/>
      </c:catAx>
      <c:valAx>
        <c:axId val="574081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60298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68107535"/>
        <c:axId val="51532661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107535"/>
        <c:axId val="51532661"/>
      </c:lineChart>
      <c:catAx>
        <c:axId val="681075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1532661"/>
        <c:crosses val="autoZero"/>
        <c:auto val="1"/>
        <c:lblAlgn val="ctr"/>
        <c:lblOffset val="100"/>
        <c:noMultiLvlLbl val="0"/>
      </c:catAx>
      <c:valAx>
        <c:axId val="515326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81075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NG3!$L$4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NG3!$L$5:$L$172</c:f>
              <c:numCache>
                <c:formatCode>General</c:formatCode>
                <c:ptCount val="168"/>
                <c:pt idx="0">
                  <c:v>66.948082456703</c:v>
                </c:pt>
                <c:pt idx="1">
                  <c:v>63.2851359903137</c:v>
                </c:pt>
                <c:pt idx="2">
                  <c:v>59.8837990552587</c:v>
                </c:pt>
                <c:pt idx="3">
                  <c:v>56.7441030423005</c:v>
                </c:pt>
                <c:pt idx="4">
                  <c:v>53.517224787774</c:v>
                </c:pt>
                <c:pt idx="5">
                  <c:v>50.4007532730664</c:v>
                </c:pt>
                <c:pt idx="6">
                  <c:v>47.5469230965509</c:v>
                </c:pt>
                <c:pt idx="7">
                  <c:v>47.54644762732</c:v>
                </c:pt>
                <c:pt idx="8">
                  <c:v>47.5459721628437</c:v>
                </c:pt>
                <c:pt idx="9">
                  <c:v>47.5454967031221</c:v>
                </c:pt>
                <c:pt idx="10">
                  <c:v>47.5450212481551</c:v>
                </c:pt>
                <c:pt idx="11">
                  <c:v>47.5445457979426</c:v>
                </c:pt>
                <c:pt idx="12">
                  <c:v>62.9080333307216</c:v>
                </c:pt>
                <c:pt idx="13">
                  <c:v>83.5051456915039</c:v>
                </c:pt>
                <c:pt idx="14">
                  <c:v>99.9999999999995</c:v>
                </c:pt>
                <c:pt idx="15">
                  <c:v>99.1393375298916</c:v>
                </c:pt>
                <c:pt idx="16">
                  <c:v>94.5366794470711</c:v>
                </c:pt>
                <c:pt idx="17">
                  <c:v>72.7313011871678</c:v>
                </c:pt>
                <c:pt idx="18">
                  <c:v>50.5650426535816</c:v>
                </c:pt>
                <c:pt idx="19">
                  <c:v>42.1936164350657</c:v>
                </c:pt>
                <c:pt idx="20">
                  <c:v>35.1302317410264</c:v>
                </c:pt>
                <c:pt idx="21">
                  <c:v>28.0669176808342</c:v>
                </c:pt>
                <c:pt idx="22">
                  <c:v>24.4392318787609</c:v>
                </c:pt>
                <c:pt idx="23">
                  <c:v>22.5816689450372</c:v>
                </c:pt>
                <c:pt idx="24">
                  <c:v>17.9556271716759</c:v>
                </c:pt>
                <c:pt idx="25">
                  <c:v>14.4719228816221</c:v>
                </c:pt>
                <c:pt idx="26">
                  <c:v>10.8095011768285</c:v>
                </c:pt>
                <c:pt idx="27">
                  <c:v>7.14711609625201</c:v>
                </c:pt>
                <c:pt idx="28">
                  <c:v>4.89734972745276</c:v>
                </c:pt>
                <c:pt idx="29">
                  <c:v>0.307616663277714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4.7499552111511</c:v>
                </c:pt>
                <c:pt idx="36">
                  <c:v>18.7817172428075</c:v>
                </c:pt>
                <c:pt idx="37">
                  <c:v>41.1786222416597</c:v>
                </c:pt>
                <c:pt idx="38">
                  <c:v>59.0853306168552</c:v>
                </c:pt>
                <c:pt idx="39">
                  <c:v>69.7275628846966</c:v>
                </c:pt>
                <c:pt idx="40">
                  <c:v>52.678580719944</c:v>
                </c:pt>
                <c:pt idx="41">
                  <c:v>45.2846516895167</c:v>
                </c:pt>
                <c:pt idx="42">
                  <c:v>43.072926329311</c:v>
                </c:pt>
                <c:pt idx="43">
                  <c:v>36.9250890090034</c:v>
                </c:pt>
                <c:pt idx="44">
                  <c:v>33.2755197172991</c:v>
                </c:pt>
                <c:pt idx="45">
                  <c:v>28.9763626379105</c:v>
                </c:pt>
                <c:pt idx="46">
                  <c:v>25.32687283347</c:v>
                </c:pt>
                <c:pt idx="47">
                  <c:v>21.3852997441153</c:v>
                </c:pt>
                <c:pt idx="48">
                  <c:v>18.0715954459512</c:v>
                </c:pt>
                <c:pt idx="49">
                  <c:v>14.409137744432</c:v>
                </c:pt>
                <c:pt idx="50">
                  <c:v>12.1069909764139</c:v>
                </c:pt>
                <c:pt idx="51">
                  <c:v>10.057722168566</c:v>
                </c:pt>
                <c:pt idx="52">
                  <c:v>8.16979017885473</c:v>
                </c:pt>
                <c:pt idx="53">
                  <c:v>3.33383353103868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11.5850191901267</c:v>
                </c:pt>
                <c:pt idx="61">
                  <c:v>34.4779135801305</c:v>
                </c:pt>
                <c:pt idx="62">
                  <c:v>52.6135155983648</c:v>
                </c:pt>
                <c:pt idx="63">
                  <c:v>57.7149215385912</c:v>
                </c:pt>
                <c:pt idx="64">
                  <c:v>53.6791432482112</c:v>
                </c:pt>
                <c:pt idx="65">
                  <c:v>47.2161330740381</c:v>
                </c:pt>
                <c:pt idx="66">
                  <c:v>41.8285534875148</c:v>
                </c:pt>
                <c:pt idx="67">
                  <c:v>34.7651593645443</c:v>
                </c:pt>
                <c:pt idx="68">
                  <c:v>27.7018489550758</c:v>
                </c:pt>
                <c:pt idx="69">
                  <c:v>25.1684752223029</c:v>
                </c:pt>
                <c:pt idx="70">
                  <c:v>22.029126362583</c:v>
                </c:pt>
                <c:pt idx="71">
                  <c:v>19.5873819771479</c:v>
                </c:pt>
                <c:pt idx="72">
                  <c:v>17.4944485495547</c:v>
                </c:pt>
                <c:pt idx="73">
                  <c:v>13.8319966195045</c:v>
                </c:pt>
                <c:pt idx="74">
                  <c:v>10.1695813139736</c:v>
                </c:pt>
                <c:pt idx="75">
                  <c:v>6.50720263259567</c:v>
                </c:pt>
                <c:pt idx="76">
                  <c:v>2.84486057500459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5.25256934079135</c:v>
                </c:pt>
                <c:pt idx="84">
                  <c:v>27.9089060886301</c:v>
                </c:pt>
                <c:pt idx="85">
                  <c:v>45.3407420814527</c:v>
                </c:pt>
                <c:pt idx="86">
                  <c:v>54.1276693439877</c:v>
                </c:pt>
                <c:pt idx="87">
                  <c:v>56.4666840159442</c:v>
                </c:pt>
                <c:pt idx="88">
                  <c:v>51.8989544757164</c:v>
                </c:pt>
                <c:pt idx="89">
                  <c:v>44.3090109625007</c:v>
                </c:pt>
                <c:pt idx="90">
                  <c:v>37.2456051145162</c:v>
                </c:pt>
                <c:pt idx="91">
                  <c:v>33.3126308010058</c:v>
                </c:pt>
                <c:pt idx="92">
                  <c:v>29.990089266364</c:v>
                </c:pt>
                <c:pt idx="93">
                  <c:v>27.1994787309018</c:v>
                </c:pt>
                <c:pt idx="94">
                  <c:v>25.2808624525401</c:v>
                </c:pt>
                <c:pt idx="95">
                  <c:v>21.6270506215179</c:v>
                </c:pt>
                <c:pt idx="96">
                  <c:v>18.0430190339506</c:v>
                </c:pt>
                <c:pt idx="97">
                  <c:v>14.1058777647175</c:v>
                </c:pt>
                <c:pt idx="98">
                  <c:v>10.4434597203751</c:v>
                </c:pt>
                <c:pt idx="99">
                  <c:v>6.7810783002131</c:v>
                </c:pt>
                <c:pt idx="100">
                  <c:v>3.11873350386535</c:v>
                </c:pt>
                <c:pt idx="101">
                  <c:v>0</c:v>
                </c:pt>
                <c:pt idx="102">
                  <c:v>0.0318281231039938</c:v>
                </c:pt>
                <c:pt idx="103">
                  <c:v>0.0318278048227616</c:v>
                </c:pt>
                <c:pt idx="104">
                  <c:v>0.0318274865447133</c:v>
                </c:pt>
                <c:pt idx="105">
                  <c:v>0.0318271682698471</c:v>
                </c:pt>
                <c:pt idx="106">
                  <c:v>17.4939556943366</c:v>
                </c:pt>
                <c:pt idx="107">
                  <c:v>44.2877256978527</c:v>
                </c:pt>
                <c:pt idx="108">
                  <c:v>69.6485230094742</c:v>
                </c:pt>
                <c:pt idx="109">
                  <c:v>87.7919039970636</c:v>
                </c:pt>
                <c:pt idx="110">
                  <c:v>94.4485968705959</c:v>
                </c:pt>
                <c:pt idx="111">
                  <c:v>99.3065772319727</c:v>
                </c:pt>
                <c:pt idx="112">
                  <c:v>100</c:v>
                </c:pt>
                <c:pt idx="113">
                  <c:v>95.0830183233313</c:v>
                </c:pt>
                <c:pt idx="114">
                  <c:v>88.0442795532167</c:v>
                </c:pt>
                <c:pt idx="115">
                  <c:v>80.9804363525462</c:v>
                </c:pt>
                <c:pt idx="116">
                  <c:v>76.2273661187307</c:v>
                </c:pt>
                <c:pt idx="117">
                  <c:v>72.5643268595047</c:v>
                </c:pt>
                <c:pt idx="118">
                  <c:v>70.5013765335475</c:v>
                </c:pt>
                <c:pt idx="119">
                  <c:v>66.8689074053021</c:v>
                </c:pt>
                <c:pt idx="120">
                  <c:v>64.9978432300726</c:v>
                </c:pt>
                <c:pt idx="121">
                  <c:v>61.3349162660755</c:v>
                </c:pt>
                <c:pt idx="122">
                  <c:v>57.6720259313481</c:v>
                </c:pt>
                <c:pt idx="123">
                  <c:v>54.009172225524</c:v>
                </c:pt>
                <c:pt idx="124">
                  <c:v>50.346355148237</c:v>
                </c:pt>
                <c:pt idx="125">
                  <c:v>48.4855400862874</c:v>
                </c:pt>
                <c:pt idx="126">
                  <c:v>45.1327930831623</c:v>
                </c:pt>
                <c:pt idx="127">
                  <c:v>43.8784291552422</c:v>
                </c:pt>
                <c:pt idx="128">
                  <c:v>49.7361793804503</c:v>
                </c:pt>
                <c:pt idx="129">
                  <c:v>60.4709014121718</c:v>
                </c:pt>
                <c:pt idx="130">
                  <c:v>71.6498870015438</c:v>
                </c:pt>
                <c:pt idx="131">
                  <c:v>84.2029412050666</c:v>
                </c:pt>
                <c:pt idx="132">
                  <c:v>92.8377734001622</c:v>
                </c:pt>
                <c:pt idx="133">
                  <c:v>86.4719933831176</c:v>
                </c:pt>
                <c:pt idx="134">
                  <c:v>84.7988346578061</c:v>
                </c:pt>
                <c:pt idx="135">
                  <c:v>77.3360624692261</c:v>
                </c:pt>
                <c:pt idx="136">
                  <c:v>57.8006574201978</c:v>
                </c:pt>
                <c:pt idx="137">
                  <c:v>40.9219832497891</c:v>
                </c:pt>
                <c:pt idx="138">
                  <c:v>33.8585572098977</c:v>
                </c:pt>
                <c:pt idx="139">
                  <c:v>26.1368970524628</c:v>
                </c:pt>
                <c:pt idx="140">
                  <c:v>23.5076413743712</c:v>
                </c:pt>
                <c:pt idx="141">
                  <c:v>20.3857450493239</c:v>
                </c:pt>
                <c:pt idx="142">
                  <c:v>18.4715558898826</c:v>
                </c:pt>
                <c:pt idx="143">
                  <c:v>15.9034026073721</c:v>
                </c:pt>
                <c:pt idx="144">
                  <c:v>14.0502840135246</c:v>
                </c:pt>
                <c:pt idx="145">
                  <c:v>11.4124312383963</c:v>
                </c:pt>
                <c:pt idx="146">
                  <c:v>8.79204076812985</c:v>
                </c:pt>
                <c:pt idx="147">
                  <c:v>5.70080447017339</c:v>
                </c:pt>
                <c:pt idx="148">
                  <c:v>3.25922336795721</c:v>
                </c:pt>
                <c:pt idx="149">
                  <c:v>0.0671793893419139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5.53046251089293</c:v>
                </c:pt>
                <c:pt idx="154">
                  <c:v>22.9981827326465</c:v>
                </c:pt>
                <c:pt idx="155">
                  <c:v>38.3024691243676</c:v>
                </c:pt>
                <c:pt idx="156">
                  <c:v>52.1032005889034</c:v>
                </c:pt>
                <c:pt idx="157">
                  <c:v>59.0926488900975</c:v>
                </c:pt>
                <c:pt idx="158">
                  <c:v>64.5682583794534</c:v>
                </c:pt>
                <c:pt idx="159">
                  <c:v>48.4388460161153</c:v>
                </c:pt>
                <c:pt idx="160">
                  <c:v>30.235308135691</c:v>
                </c:pt>
                <c:pt idx="161">
                  <c:v>22.0135976189776</c:v>
                </c:pt>
                <c:pt idx="162">
                  <c:v>12.9621933246969</c:v>
                </c:pt>
                <c:pt idx="163">
                  <c:v>8.65886034166228</c:v>
                </c:pt>
                <c:pt idx="164">
                  <c:v>4.99649676749411</c:v>
                </c:pt>
                <c:pt idx="165">
                  <c:v>3.1086153900368</c:v>
                </c:pt>
                <c:pt idx="166">
                  <c:v>0</c:v>
                </c:pt>
                <c:pt idx="167">
                  <c:v>70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976627"/>
        <c:axId val="33408737"/>
      </c:lineChart>
      <c:catAx>
        <c:axId val="199766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3408737"/>
        <c:crosses val="autoZero"/>
        <c:auto val="1"/>
        <c:lblAlgn val="ctr"/>
        <c:lblOffset val="100"/>
        <c:noMultiLvlLbl val="0"/>
      </c:catAx>
      <c:valAx>
        <c:axId val="33408737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99766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77419644"/>
        <c:axId val="61512711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419644"/>
        <c:axId val="61512711"/>
      </c:lineChart>
      <c:catAx>
        <c:axId val="774196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1512711"/>
        <c:crosses val="autoZero"/>
        <c:auto val="1"/>
        <c:lblAlgn val="ctr"/>
        <c:lblOffset val="100"/>
        <c:noMultiLvlLbl val="0"/>
      </c:catAx>
      <c:valAx>
        <c:axId val="615127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74196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16313657"/>
        <c:axId val="74073825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313657"/>
        <c:axId val="74073825"/>
      </c:lineChart>
      <c:catAx>
        <c:axId val="163136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4073825"/>
        <c:crosses val="autoZero"/>
        <c:auto val="1"/>
        <c:lblAlgn val="ctr"/>
        <c:lblOffset val="100"/>
        <c:noMultiLvlLbl val="0"/>
      </c:catAx>
      <c:valAx>
        <c:axId val="740738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63136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92015508"/>
        <c:axId val="41854720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015508"/>
        <c:axId val="41854720"/>
      </c:lineChart>
      <c:catAx>
        <c:axId val="920155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1854720"/>
        <c:crosses val="autoZero"/>
        <c:auto val="1"/>
        <c:lblAlgn val="ctr"/>
        <c:lblOffset val="100"/>
        <c:noMultiLvlLbl val="0"/>
      </c:catAx>
      <c:valAx>
        <c:axId val="418547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20155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NG1!$N$5:$N$166</c:f>
              <c:numCache>
                <c:formatCode>0.000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993954"/>
        <c:axId val="17843000"/>
      </c:lineChart>
      <c:catAx>
        <c:axId val="569939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7843000"/>
        <c:crosses val="autoZero"/>
        <c:auto val="1"/>
        <c:lblAlgn val="ctr"/>
        <c:lblOffset val="100"/>
        <c:noMultiLvlLbl val="0"/>
      </c:catAx>
      <c:valAx>
        <c:axId val="178430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69939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21960</xdr:colOff>
      <xdr:row>4</xdr:row>
      <xdr:rowOff>18000</xdr:rowOff>
    </xdr:from>
    <xdr:to>
      <xdr:col>32</xdr:col>
      <xdr:colOff>587160</xdr:colOff>
      <xdr:row>29</xdr:row>
      <xdr:rowOff>99000</xdr:rowOff>
    </xdr:to>
    <xdr:graphicFrame>
      <xdr:nvGraphicFramePr>
        <xdr:cNvPr id="0" name="Chart 1"/>
        <xdr:cNvGraphicFramePr/>
      </xdr:nvGraphicFramePr>
      <xdr:xfrm>
        <a:off x="10496160" y="718920"/>
        <a:ext cx="12180600" cy="446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609480</xdr:colOff>
      <xdr:row>44</xdr:row>
      <xdr:rowOff>136080</xdr:rowOff>
    </xdr:from>
    <xdr:to>
      <xdr:col>32</xdr:col>
      <xdr:colOff>588600</xdr:colOff>
      <xdr:row>54</xdr:row>
      <xdr:rowOff>11520</xdr:rowOff>
    </xdr:to>
    <xdr:graphicFrame>
      <xdr:nvGraphicFramePr>
        <xdr:cNvPr id="1" name="Chart 2"/>
        <xdr:cNvGraphicFramePr/>
      </xdr:nvGraphicFramePr>
      <xdr:xfrm>
        <a:off x="10400400" y="7847640"/>
        <a:ext cx="12277800" cy="1627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609480</xdr:colOff>
      <xdr:row>54</xdr:row>
      <xdr:rowOff>21960</xdr:rowOff>
    </xdr:from>
    <xdr:to>
      <xdr:col>32</xdr:col>
      <xdr:colOff>600120</xdr:colOff>
      <xdr:row>71</xdr:row>
      <xdr:rowOff>80280</xdr:rowOff>
    </xdr:to>
    <xdr:graphicFrame>
      <xdr:nvGraphicFramePr>
        <xdr:cNvPr id="2" name="Chart 3"/>
        <xdr:cNvGraphicFramePr/>
      </xdr:nvGraphicFramePr>
      <xdr:xfrm>
        <a:off x="10400400" y="9486000"/>
        <a:ext cx="12289320" cy="303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19080</xdr:colOff>
      <xdr:row>29</xdr:row>
      <xdr:rowOff>100800</xdr:rowOff>
    </xdr:from>
    <xdr:to>
      <xdr:col>32</xdr:col>
      <xdr:colOff>584280</xdr:colOff>
      <xdr:row>44</xdr:row>
      <xdr:rowOff>125640</xdr:rowOff>
    </xdr:to>
    <xdr:graphicFrame>
      <xdr:nvGraphicFramePr>
        <xdr:cNvPr id="3" name="Chart 4"/>
        <xdr:cNvGraphicFramePr/>
      </xdr:nvGraphicFramePr>
      <xdr:xfrm>
        <a:off x="10493280" y="5183280"/>
        <a:ext cx="12180600" cy="2653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565200</xdr:colOff>
      <xdr:row>29</xdr:row>
      <xdr:rowOff>81000</xdr:rowOff>
    </xdr:to>
    <xdr:graphicFrame>
      <xdr:nvGraphicFramePr>
        <xdr:cNvPr id="4" name="Chart 6"/>
        <xdr:cNvGraphicFramePr/>
      </xdr:nvGraphicFramePr>
      <xdr:xfrm>
        <a:off x="9711000" y="700920"/>
        <a:ext cx="12180600" cy="446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600120</xdr:colOff>
      <xdr:row>29</xdr:row>
      <xdr:rowOff>85680</xdr:rowOff>
    </xdr:from>
    <xdr:to>
      <xdr:col>31</xdr:col>
      <xdr:colOff>579240</xdr:colOff>
      <xdr:row>41</xdr:row>
      <xdr:rowOff>68760</xdr:rowOff>
    </xdr:to>
    <xdr:graphicFrame>
      <xdr:nvGraphicFramePr>
        <xdr:cNvPr id="5" name="Chart 8"/>
        <xdr:cNvGraphicFramePr/>
      </xdr:nvGraphicFramePr>
      <xdr:xfrm>
        <a:off x="9627840" y="5168160"/>
        <a:ext cx="12277800" cy="208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601920</xdr:colOff>
      <xdr:row>41</xdr:row>
      <xdr:rowOff>76320</xdr:rowOff>
    </xdr:from>
    <xdr:to>
      <xdr:col>31</xdr:col>
      <xdr:colOff>588960</xdr:colOff>
      <xdr:row>56</xdr:row>
      <xdr:rowOff>112680</xdr:rowOff>
    </xdr:to>
    <xdr:graphicFrame>
      <xdr:nvGraphicFramePr>
        <xdr:cNvPr id="6" name="Chart 1"/>
        <xdr:cNvGraphicFramePr/>
      </xdr:nvGraphicFramePr>
      <xdr:xfrm>
        <a:off x="9629640" y="7261920"/>
        <a:ext cx="12285720" cy="266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565200</xdr:colOff>
      <xdr:row>29</xdr:row>
      <xdr:rowOff>81000</xdr:rowOff>
    </xdr:to>
    <xdr:graphicFrame>
      <xdr:nvGraphicFramePr>
        <xdr:cNvPr id="7" name="Chart 1"/>
        <xdr:cNvGraphicFramePr/>
      </xdr:nvGraphicFramePr>
      <xdr:xfrm>
        <a:off x="9711000" y="700920"/>
        <a:ext cx="12180600" cy="446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29</xdr:row>
      <xdr:rowOff>95400</xdr:rowOff>
    </xdr:from>
    <xdr:to>
      <xdr:col>31</xdr:col>
      <xdr:colOff>588960</xdr:colOff>
      <xdr:row>42</xdr:row>
      <xdr:rowOff>106920</xdr:rowOff>
    </xdr:to>
    <xdr:graphicFrame>
      <xdr:nvGraphicFramePr>
        <xdr:cNvPr id="8" name="Chart 2"/>
        <xdr:cNvGraphicFramePr/>
      </xdr:nvGraphicFramePr>
      <xdr:xfrm>
        <a:off x="9711000" y="5177880"/>
        <a:ext cx="12204360" cy="2289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31</xdr:col>
      <xdr:colOff>565200</xdr:colOff>
      <xdr:row>26</xdr:row>
      <xdr:rowOff>81000</xdr:rowOff>
    </xdr:to>
    <xdr:graphicFrame>
      <xdr:nvGraphicFramePr>
        <xdr:cNvPr id="9" name="Chart 5"/>
        <xdr:cNvGraphicFramePr/>
      </xdr:nvGraphicFramePr>
      <xdr:xfrm>
        <a:off x="9565560" y="175320"/>
        <a:ext cx="12180600" cy="446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27</xdr:row>
      <xdr:rowOff>0</xdr:rowOff>
    </xdr:from>
    <xdr:to>
      <xdr:col>31</xdr:col>
      <xdr:colOff>565200</xdr:colOff>
      <xdr:row>52</xdr:row>
      <xdr:rowOff>83160</xdr:rowOff>
    </xdr:to>
    <xdr:graphicFrame>
      <xdr:nvGraphicFramePr>
        <xdr:cNvPr id="10" name="Chart 6"/>
        <xdr:cNvGraphicFramePr/>
      </xdr:nvGraphicFramePr>
      <xdr:xfrm>
        <a:off x="9565560" y="4732200"/>
        <a:ext cx="12180600" cy="446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53</xdr:row>
      <xdr:rowOff>0</xdr:rowOff>
    </xdr:from>
    <xdr:to>
      <xdr:col>31</xdr:col>
      <xdr:colOff>565200</xdr:colOff>
      <xdr:row>78</xdr:row>
      <xdr:rowOff>83160</xdr:rowOff>
    </xdr:to>
    <xdr:graphicFrame>
      <xdr:nvGraphicFramePr>
        <xdr:cNvPr id="11" name="Chart 7"/>
        <xdr:cNvGraphicFramePr/>
      </xdr:nvGraphicFramePr>
      <xdr:xfrm>
        <a:off x="9565560" y="9288720"/>
        <a:ext cx="12180600" cy="446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79</xdr:row>
      <xdr:rowOff>0</xdr:rowOff>
    </xdr:from>
    <xdr:to>
      <xdr:col>31</xdr:col>
      <xdr:colOff>596520</xdr:colOff>
      <xdr:row>96</xdr:row>
      <xdr:rowOff>67680</xdr:rowOff>
    </xdr:to>
    <xdr:graphicFrame>
      <xdr:nvGraphicFramePr>
        <xdr:cNvPr id="12" name="Chart 8"/>
        <xdr:cNvGraphicFramePr/>
      </xdr:nvGraphicFramePr>
      <xdr:xfrm>
        <a:off x="9565560" y="13845600"/>
        <a:ext cx="12211920" cy="304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0</xdr:colOff>
      <xdr:row>1</xdr:row>
      <xdr:rowOff>0</xdr:rowOff>
    </xdr:from>
    <xdr:to>
      <xdr:col>51</xdr:col>
      <xdr:colOff>73440</xdr:colOff>
      <xdr:row>104</xdr:row>
      <xdr:rowOff>120960</xdr:rowOff>
    </xdr:to>
    <xdr:pic>
      <xdr:nvPicPr>
        <xdr:cNvPr id="13" name="Picture 9" descr=""/>
        <xdr:cNvPicPr/>
      </xdr:nvPicPr>
      <xdr:blipFill>
        <a:blip r:embed="rId5"/>
        <a:stretch/>
      </xdr:blipFill>
      <xdr:spPr>
        <a:xfrm>
          <a:off x="22547520" y="175320"/>
          <a:ext cx="12372120" cy="18172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1" sqref="B13:E16 C2"/>
    </sheetView>
  </sheetViews>
  <sheetFormatPr defaultColWidth="8.54296875" defaultRowHeight="13.8" zeroHeight="false" outlineLevelRow="0" outlineLevelCol="0"/>
  <cols>
    <col collapsed="false" customWidth="true" hidden="false" outlineLevel="0" max="2" min="2" style="1" width="8.85"/>
  </cols>
  <sheetData>
    <row r="2" customFormat="false" ht="13.8" hidden="false" customHeight="false" outlineLevel="0" collapsed="false">
      <c r="B2" s="1" t="n">
        <v>1</v>
      </c>
      <c r="C2" s="2" t="n">
        <v>0</v>
      </c>
    </row>
    <row r="3" customFormat="false" ht="13.8" hidden="false" customHeight="false" outlineLevel="0" collapsed="false">
      <c r="B3" s="1" t="n">
        <v>2</v>
      </c>
      <c r="C3" s="2" t="n">
        <v>0</v>
      </c>
    </row>
    <row r="4" customFormat="false" ht="13.8" hidden="false" customHeight="false" outlineLevel="0" collapsed="false">
      <c r="B4" s="1" t="n">
        <v>3</v>
      </c>
      <c r="C4" s="2" t="n">
        <v>0</v>
      </c>
    </row>
    <row r="5" customFormat="false" ht="13.8" hidden="false" customHeight="false" outlineLevel="0" collapsed="false">
      <c r="B5" s="1" t="n">
        <v>4</v>
      </c>
      <c r="C5" s="2" t="n">
        <v>0</v>
      </c>
    </row>
    <row r="6" customFormat="false" ht="13.8" hidden="false" customHeight="false" outlineLevel="0" collapsed="false">
      <c r="B6" s="1" t="n">
        <v>5</v>
      </c>
      <c r="C6" s="2" t="n">
        <v>0</v>
      </c>
    </row>
    <row r="7" customFormat="false" ht="13.8" hidden="false" customHeight="false" outlineLevel="0" collapsed="false">
      <c r="B7" s="1" t="n">
        <v>6</v>
      </c>
      <c r="C7" s="2" t="n">
        <v>0</v>
      </c>
    </row>
    <row r="8" customFormat="false" ht="13.8" hidden="false" customHeight="false" outlineLevel="0" collapsed="false">
      <c r="B8" s="1" t="n">
        <v>7</v>
      </c>
      <c r="C8" s="2" t="n">
        <v>0</v>
      </c>
    </row>
    <row r="9" customFormat="false" ht="13.8" hidden="false" customHeight="false" outlineLevel="0" collapsed="false">
      <c r="B9" s="1" t="n">
        <v>8</v>
      </c>
      <c r="C9" s="2" t="n">
        <v>0</v>
      </c>
    </row>
    <row r="10" customFormat="false" ht="13.8" hidden="false" customHeight="false" outlineLevel="0" collapsed="false">
      <c r="B10" s="1" t="n">
        <v>9</v>
      </c>
      <c r="C10" s="2" t="n">
        <v>0</v>
      </c>
    </row>
    <row r="11" customFormat="false" ht="13.8" hidden="false" customHeight="false" outlineLevel="0" collapsed="false">
      <c r="B11" s="1" t="n">
        <v>10</v>
      </c>
      <c r="C11" s="2" t="n">
        <v>0</v>
      </c>
    </row>
    <row r="12" customFormat="false" ht="13.8" hidden="false" customHeight="false" outlineLevel="0" collapsed="false">
      <c r="B12" s="1" t="n">
        <v>11</v>
      </c>
      <c r="C12" s="2" t="n">
        <v>0</v>
      </c>
    </row>
    <row r="13" customFormat="false" ht="13.8" hidden="false" customHeight="false" outlineLevel="0" collapsed="false">
      <c r="B13" s="1" t="n">
        <v>12</v>
      </c>
      <c r="C13" s="2" t="n">
        <v>0</v>
      </c>
    </row>
    <row r="14" customFormat="false" ht="13.8" hidden="false" customHeight="false" outlineLevel="0" collapsed="false">
      <c r="B14" s="1" t="n">
        <v>13</v>
      </c>
      <c r="C14" s="2" t="n">
        <v>0</v>
      </c>
    </row>
    <row r="15" customFormat="false" ht="13.8" hidden="false" customHeight="false" outlineLevel="0" collapsed="false">
      <c r="B15" s="1" t="n">
        <v>14</v>
      </c>
      <c r="C15" s="2" t="n">
        <v>0</v>
      </c>
    </row>
    <row r="16" customFormat="false" ht="13.8" hidden="false" customHeight="false" outlineLevel="0" collapsed="false">
      <c r="B16" s="1" t="n">
        <v>15</v>
      </c>
      <c r="C16" s="2" t="n">
        <v>0</v>
      </c>
    </row>
    <row r="17" customFormat="false" ht="13.8" hidden="false" customHeight="false" outlineLevel="0" collapsed="false">
      <c r="B17" s="1" t="n">
        <v>16</v>
      </c>
      <c r="C17" s="2" t="n">
        <v>0</v>
      </c>
    </row>
    <row r="18" customFormat="false" ht="13.8" hidden="false" customHeight="false" outlineLevel="0" collapsed="false">
      <c r="B18" s="1" t="n">
        <v>17</v>
      </c>
      <c r="C18" s="2" t="n">
        <v>0</v>
      </c>
    </row>
    <row r="19" customFormat="false" ht="13.8" hidden="false" customHeight="false" outlineLevel="0" collapsed="false">
      <c r="B19" s="1" t="n">
        <v>18</v>
      </c>
      <c r="C19" s="2" t="n">
        <v>0</v>
      </c>
    </row>
    <row r="20" customFormat="false" ht="13.8" hidden="false" customHeight="false" outlineLevel="0" collapsed="false">
      <c r="B20" s="1" t="n">
        <v>19</v>
      </c>
      <c r="C20" s="2" t="n">
        <v>0</v>
      </c>
    </row>
    <row r="21" customFormat="false" ht="13.8" hidden="false" customHeight="false" outlineLevel="0" collapsed="false">
      <c r="B21" s="1" t="n">
        <v>20</v>
      </c>
      <c r="C21" s="2" t="n">
        <v>0</v>
      </c>
    </row>
    <row r="22" customFormat="false" ht="13.8" hidden="false" customHeight="false" outlineLevel="0" collapsed="false">
      <c r="B22" s="1" t="n">
        <v>21</v>
      </c>
      <c r="C22" s="2" t="n">
        <v>0</v>
      </c>
    </row>
    <row r="23" customFormat="false" ht="13.8" hidden="false" customHeight="false" outlineLevel="0" collapsed="false">
      <c r="B23" s="1" t="n">
        <v>22</v>
      </c>
      <c r="C23" s="2" t="n">
        <v>7.1875E-005</v>
      </c>
    </row>
    <row r="24" customFormat="false" ht="13.8" hidden="false" customHeight="false" outlineLevel="0" collapsed="false">
      <c r="B24" s="1" t="n">
        <v>23</v>
      </c>
      <c r="C24" s="2" t="n">
        <v>0.00014375</v>
      </c>
    </row>
    <row r="25" customFormat="false" ht="13.8" hidden="false" customHeight="false" outlineLevel="0" collapsed="false">
      <c r="B25" s="1" t="n">
        <v>24</v>
      </c>
      <c r="C25" s="2" t="n">
        <v>0.000215625</v>
      </c>
    </row>
    <row r="26" customFormat="false" ht="13.8" hidden="false" customHeight="false" outlineLevel="0" collapsed="false">
      <c r="B26" s="1" t="n">
        <v>25</v>
      </c>
      <c r="C26" s="2" t="n">
        <v>0.0002875</v>
      </c>
    </row>
    <row r="27" customFormat="false" ht="13.8" hidden="false" customHeight="false" outlineLevel="0" collapsed="false">
      <c r="B27" s="1" t="n">
        <v>26</v>
      </c>
      <c r="C27" s="2" t="n">
        <v>0.00260625</v>
      </c>
    </row>
    <row r="28" customFormat="false" ht="13.8" hidden="false" customHeight="false" outlineLevel="0" collapsed="false">
      <c r="B28" s="1" t="n">
        <v>27</v>
      </c>
      <c r="C28" s="2" t="n">
        <v>0.004925</v>
      </c>
    </row>
    <row r="29" customFormat="false" ht="13.8" hidden="false" customHeight="false" outlineLevel="0" collapsed="false">
      <c r="B29" s="1" t="n">
        <v>28</v>
      </c>
      <c r="C29" s="2" t="n">
        <v>0.00724375</v>
      </c>
    </row>
    <row r="30" customFormat="false" ht="13.8" hidden="false" customHeight="false" outlineLevel="0" collapsed="false">
      <c r="B30" s="1" t="n">
        <v>29</v>
      </c>
      <c r="C30" s="2" t="n">
        <v>0.0095625</v>
      </c>
    </row>
    <row r="31" customFormat="false" ht="13.8" hidden="false" customHeight="false" outlineLevel="0" collapsed="false">
      <c r="B31" s="1" t="n">
        <v>30</v>
      </c>
      <c r="C31" s="2" t="n">
        <v>0.0196475</v>
      </c>
    </row>
    <row r="32" customFormat="false" ht="13.8" hidden="false" customHeight="false" outlineLevel="0" collapsed="false">
      <c r="B32" s="1" t="n">
        <v>31</v>
      </c>
      <c r="C32" s="2" t="n">
        <v>0.0297325</v>
      </c>
    </row>
    <row r="33" customFormat="false" ht="13.8" hidden="false" customHeight="false" outlineLevel="0" collapsed="false">
      <c r="B33" s="1" t="n">
        <v>32</v>
      </c>
      <c r="C33" s="2" t="n">
        <v>0.0398175</v>
      </c>
    </row>
    <row r="34" customFormat="false" ht="13.8" hidden="false" customHeight="false" outlineLevel="0" collapsed="false">
      <c r="B34" s="1" t="n">
        <v>33</v>
      </c>
      <c r="C34" s="2" t="n">
        <v>0.0499025</v>
      </c>
    </row>
    <row r="35" customFormat="false" ht="13.8" hidden="false" customHeight="false" outlineLevel="0" collapsed="false">
      <c r="B35" s="1" t="n">
        <v>34</v>
      </c>
      <c r="C35" s="2" t="n">
        <v>0.053</v>
      </c>
    </row>
    <row r="36" customFormat="false" ht="13.8" hidden="false" customHeight="false" outlineLevel="0" collapsed="false">
      <c r="B36" s="1" t="n">
        <v>35</v>
      </c>
      <c r="C36" s="2" t="n">
        <v>0.0560975</v>
      </c>
    </row>
    <row r="37" customFormat="false" ht="13.8" hidden="false" customHeight="false" outlineLevel="0" collapsed="false">
      <c r="B37" s="1" t="n">
        <v>36</v>
      </c>
      <c r="C37" s="2" t="n">
        <v>0.059195</v>
      </c>
    </row>
    <row r="38" customFormat="false" ht="13.8" hidden="false" customHeight="false" outlineLevel="0" collapsed="false">
      <c r="B38" s="1" t="n">
        <v>37</v>
      </c>
      <c r="C38" s="2" t="n">
        <v>0.0622925</v>
      </c>
    </row>
    <row r="39" customFormat="false" ht="13.8" hidden="false" customHeight="false" outlineLevel="0" collapsed="false">
      <c r="B39" s="1" t="n">
        <v>38</v>
      </c>
      <c r="C39" s="2" t="n">
        <v>0.083598125</v>
      </c>
    </row>
    <row r="40" customFormat="false" ht="13.8" hidden="false" customHeight="false" outlineLevel="0" collapsed="false">
      <c r="B40" s="1" t="n">
        <v>39</v>
      </c>
      <c r="C40" s="2" t="n">
        <v>0.10490375</v>
      </c>
    </row>
    <row r="41" customFormat="false" ht="13.8" hidden="false" customHeight="false" outlineLevel="0" collapsed="false">
      <c r="B41" s="1" t="n">
        <v>40</v>
      </c>
      <c r="C41" s="2" t="n">
        <v>0.126209375</v>
      </c>
    </row>
    <row r="42" customFormat="false" ht="13.8" hidden="false" customHeight="false" outlineLevel="0" collapsed="false">
      <c r="B42" s="1" t="n">
        <v>41</v>
      </c>
      <c r="C42" s="2" t="n">
        <v>0.147515</v>
      </c>
    </row>
    <row r="43" customFormat="false" ht="13.8" hidden="false" customHeight="false" outlineLevel="0" collapsed="false">
      <c r="B43" s="1" t="n">
        <v>42</v>
      </c>
      <c r="C43" s="2" t="n">
        <v>0.1505775</v>
      </c>
    </row>
    <row r="44" customFormat="false" ht="13.8" hidden="false" customHeight="false" outlineLevel="0" collapsed="false">
      <c r="B44" s="1" t="n">
        <v>43</v>
      </c>
      <c r="C44" s="2" t="n">
        <v>0.15364</v>
      </c>
    </row>
    <row r="45" customFormat="false" ht="13.8" hidden="false" customHeight="false" outlineLevel="0" collapsed="false">
      <c r="B45" s="1" t="n">
        <v>44</v>
      </c>
      <c r="C45" s="2" t="n">
        <v>0.1567025</v>
      </c>
    </row>
    <row r="46" customFormat="false" ht="13.8" hidden="false" customHeight="false" outlineLevel="0" collapsed="false">
      <c r="B46" s="1" t="n">
        <v>45</v>
      </c>
      <c r="C46" s="2" t="n">
        <v>0.159765</v>
      </c>
    </row>
    <row r="47" customFormat="false" ht="13.8" hidden="false" customHeight="false" outlineLevel="0" collapsed="false">
      <c r="B47" s="1" t="n">
        <v>46</v>
      </c>
      <c r="C47" s="2" t="n">
        <v>0.160353125</v>
      </c>
    </row>
    <row r="48" customFormat="false" ht="13.8" hidden="false" customHeight="false" outlineLevel="0" collapsed="false">
      <c r="B48" s="1" t="n">
        <v>47</v>
      </c>
      <c r="C48" s="2" t="n">
        <v>0.16094125</v>
      </c>
    </row>
    <row r="49" customFormat="false" ht="13.8" hidden="false" customHeight="false" outlineLevel="0" collapsed="false">
      <c r="B49" s="1" t="n">
        <v>48</v>
      </c>
      <c r="C49" s="2" t="n">
        <v>0.161529375</v>
      </c>
    </row>
    <row r="50" customFormat="false" ht="13.8" hidden="false" customHeight="false" outlineLevel="0" collapsed="false">
      <c r="B50" s="1" t="n">
        <v>49</v>
      </c>
      <c r="C50" s="2" t="n">
        <v>0.1621175</v>
      </c>
    </row>
    <row r="51" customFormat="false" ht="13.8" hidden="false" customHeight="false" outlineLevel="0" collapsed="false">
      <c r="B51" s="1" t="n">
        <v>50</v>
      </c>
      <c r="C51" s="2" t="n">
        <v>0.1633125</v>
      </c>
    </row>
    <row r="52" customFormat="false" ht="13.8" hidden="false" customHeight="false" outlineLevel="0" collapsed="false">
      <c r="B52" s="1" t="n">
        <v>51</v>
      </c>
      <c r="C52" s="2" t="n">
        <v>0.1645075</v>
      </c>
    </row>
    <row r="53" customFormat="false" ht="13.8" hidden="false" customHeight="false" outlineLevel="0" collapsed="false">
      <c r="B53" s="1" t="n">
        <v>52</v>
      </c>
      <c r="C53" s="2" t="n">
        <v>0.1657025</v>
      </c>
    </row>
    <row r="54" customFormat="false" ht="13.8" hidden="false" customHeight="false" outlineLevel="0" collapsed="false">
      <c r="B54" s="1" t="n">
        <v>53</v>
      </c>
      <c r="C54" s="2" t="n">
        <v>0.1668975</v>
      </c>
    </row>
    <row r="55" customFormat="false" ht="13.8" hidden="false" customHeight="false" outlineLevel="0" collapsed="false">
      <c r="B55" s="1" t="n">
        <v>54</v>
      </c>
      <c r="C55" s="2" t="n">
        <v>0.16136375</v>
      </c>
    </row>
    <row r="56" customFormat="false" ht="13.8" hidden="false" customHeight="false" outlineLevel="0" collapsed="false">
      <c r="B56" s="1" t="n">
        <v>55</v>
      </c>
      <c r="C56" s="2" t="n">
        <v>0.15583</v>
      </c>
    </row>
    <row r="57" customFormat="false" ht="13.8" hidden="false" customHeight="false" outlineLevel="0" collapsed="false">
      <c r="B57" s="1" t="n">
        <v>56</v>
      </c>
      <c r="C57" s="2" t="n">
        <v>0.15029625</v>
      </c>
    </row>
    <row r="58" customFormat="false" ht="13.8" hidden="false" customHeight="false" outlineLevel="0" collapsed="false">
      <c r="B58" s="1" t="n">
        <v>57</v>
      </c>
      <c r="C58" s="2" t="n">
        <v>0.1447625</v>
      </c>
    </row>
    <row r="59" customFormat="false" ht="13.8" hidden="false" customHeight="false" outlineLevel="0" collapsed="false">
      <c r="B59" s="1" t="n">
        <v>58</v>
      </c>
      <c r="C59" s="2" t="n">
        <v>0.129499375</v>
      </c>
    </row>
    <row r="60" customFormat="false" ht="13.8" hidden="false" customHeight="false" outlineLevel="0" collapsed="false">
      <c r="B60" s="1" t="n">
        <v>59</v>
      </c>
      <c r="C60" s="2" t="n">
        <v>0.11423625</v>
      </c>
    </row>
    <row r="61" customFormat="false" ht="13.8" hidden="false" customHeight="false" outlineLevel="0" collapsed="false">
      <c r="B61" s="1" t="n">
        <v>60</v>
      </c>
      <c r="C61" s="2" t="n">
        <v>0.098973125</v>
      </c>
    </row>
    <row r="62" customFormat="false" ht="13.8" hidden="false" customHeight="false" outlineLevel="0" collapsed="false">
      <c r="B62" s="1" t="n">
        <v>61</v>
      </c>
      <c r="C62" s="2" t="n">
        <v>0.08371</v>
      </c>
    </row>
    <row r="63" customFormat="false" ht="13.8" hidden="false" customHeight="false" outlineLevel="0" collapsed="false">
      <c r="B63" s="1" t="n">
        <v>62</v>
      </c>
      <c r="C63" s="2" t="n">
        <v>0.07591875</v>
      </c>
    </row>
    <row r="64" customFormat="false" ht="13.8" hidden="false" customHeight="false" outlineLevel="0" collapsed="false">
      <c r="B64" s="1" t="n">
        <v>63</v>
      </c>
      <c r="C64" s="2" t="n">
        <v>0.0681275</v>
      </c>
    </row>
    <row r="65" customFormat="false" ht="13.8" hidden="false" customHeight="false" outlineLevel="0" collapsed="false">
      <c r="B65" s="1" t="n">
        <v>64</v>
      </c>
      <c r="C65" s="2" t="n">
        <v>0.06033625</v>
      </c>
    </row>
    <row r="66" customFormat="false" ht="13.8" hidden="false" customHeight="false" outlineLevel="0" collapsed="false">
      <c r="B66" s="1" t="n">
        <v>65</v>
      </c>
      <c r="C66" s="2" t="n">
        <v>0.052545</v>
      </c>
    </row>
    <row r="67" customFormat="false" ht="13.8" hidden="false" customHeight="false" outlineLevel="0" collapsed="false">
      <c r="B67" s="1" t="n">
        <v>66</v>
      </c>
      <c r="C67" s="2" t="n">
        <v>0.044609375</v>
      </c>
    </row>
    <row r="68" customFormat="false" ht="13.8" hidden="false" customHeight="false" outlineLevel="0" collapsed="false">
      <c r="B68" s="1" t="n">
        <v>67</v>
      </c>
      <c r="C68" s="2" t="n">
        <v>0.03667375</v>
      </c>
    </row>
    <row r="69" customFormat="false" ht="13.8" hidden="false" customHeight="false" outlineLevel="0" collapsed="false">
      <c r="B69" s="1" t="n">
        <v>68</v>
      </c>
      <c r="C69" s="2" t="n">
        <v>0.028738125</v>
      </c>
    </row>
    <row r="70" customFormat="false" ht="13.8" hidden="false" customHeight="false" outlineLevel="0" collapsed="false">
      <c r="B70" s="1" t="n">
        <v>69</v>
      </c>
      <c r="C70" s="2" t="n">
        <v>0.0208025</v>
      </c>
    </row>
    <row r="71" customFormat="false" ht="13.8" hidden="false" customHeight="false" outlineLevel="0" collapsed="false">
      <c r="B71" s="1" t="n">
        <v>70</v>
      </c>
      <c r="C71" s="2" t="n">
        <v>0.015601875</v>
      </c>
    </row>
    <row r="72" customFormat="false" ht="13.8" hidden="false" customHeight="false" outlineLevel="0" collapsed="false">
      <c r="B72" s="1" t="n">
        <v>71</v>
      </c>
      <c r="C72" s="2" t="n">
        <v>0.01040125</v>
      </c>
    </row>
    <row r="73" customFormat="false" ht="13.8" hidden="false" customHeight="false" outlineLevel="0" collapsed="false">
      <c r="B73" s="1" t="n">
        <v>72</v>
      </c>
      <c r="C73" s="2" t="n">
        <v>0.005200625</v>
      </c>
    </row>
    <row r="74" customFormat="false" ht="13.8" hidden="false" customHeight="false" outlineLevel="0" collapsed="false">
      <c r="B74" s="1" t="n">
        <v>73</v>
      </c>
      <c r="C74" s="2" t="n">
        <v>0</v>
      </c>
    </row>
    <row r="75" customFormat="false" ht="13.8" hidden="false" customHeight="false" outlineLevel="0" collapsed="false">
      <c r="B75" s="1" t="n">
        <v>74</v>
      </c>
      <c r="C75" s="2" t="n">
        <v>0</v>
      </c>
    </row>
    <row r="76" customFormat="false" ht="13.8" hidden="false" customHeight="false" outlineLevel="0" collapsed="false">
      <c r="B76" s="1" t="n">
        <v>75</v>
      </c>
      <c r="C76" s="2" t="n">
        <v>0</v>
      </c>
    </row>
    <row r="77" customFormat="false" ht="13.8" hidden="false" customHeight="false" outlineLevel="0" collapsed="false">
      <c r="B77" s="1" t="n">
        <v>76</v>
      </c>
      <c r="C77" s="2" t="n">
        <v>0</v>
      </c>
    </row>
    <row r="78" customFormat="false" ht="13.8" hidden="false" customHeight="false" outlineLevel="0" collapsed="false">
      <c r="B78" s="1" t="n">
        <v>77</v>
      </c>
      <c r="C78" s="2" t="n">
        <v>0</v>
      </c>
    </row>
    <row r="79" customFormat="false" ht="13.8" hidden="false" customHeight="false" outlineLevel="0" collapsed="false">
      <c r="B79" s="1" t="n">
        <v>78</v>
      </c>
      <c r="C79" s="2" t="n">
        <v>0</v>
      </c>
    </row>
    <row r="80" customFormat="false" ht="13.8" hidden="false" customHeight="false" outlineLevel="0" collapsed="false">
      <c r="B80" s="1" t="n">
        <v>79</v>
      </c>
      <c r="C80" s="2" t="n">
        <v>0</v>
      </c>
    </row>
    <row r="81" customFormat="false" ht="13.8" hidden="false" customHeight="false" outlineLevel="0" collapsed="false">
      <c r="B81" s="1" t="n">
        <v>80</v>
      </c>
      <c r="C81" s="2" t="n">
        <v>0</v>
      </c>
    </row>
    <row r="82" customFormat="false" ht="13.8" hidden="false" customHeight="false" outlineLevel="0" collapsed="false">
      <c r="B82" s="1" t="n">
        <v>81</v>
      </c>
      <c r="C82" s="2" t="n">
        <v>0</v>
      </c>
    </row>
    <row r="83" customFormat="false" ht="13.8" hidden="false" customHeight="false" outlineLevel="0" collapsed="false">
      <c r="B83" s="1" t="n">
        <v>82</v>
      </c>
      <c r="C83" s="2" t="n">
        <v>0</v>
      </c>
    </row>
    <row r="84" customFormat="false" ht="13.8" hidden="false" customHeight="false" outlineLevel="0" collapsed="false">
      <c r="B84" s="1" t="n">
        <v>83</v>
      </c>
      <c r="C84" s="2" t="n">
        <v>0</v>
      </c>
    </row>
    <row r="85" customFormat="false" ht="13.8" hidden="false" customHeight="false" outlineLevel="0" collapsed="false">
      <c r="B85" s="1" t="n">
        <v>84</v>
      </c>
      <c r="C85" s="2" t="n">
        <v>0</v>
      </c>
    </row>
    <row r="86" customFormat="false" ht="13.8" hidden="false" customHeight="false" outlineLevel="0" collapsed="false">
      <c r="B86" s="1" t="n">
        <v>85</v>
      </c>
      <c r="C86" s="2" t="n">
        <v>0</v>
      </c>
    </row>
    <row r="87" customFormat="false" ht="13.8" hidden="false" customHeight="false" outlineLevel="0" collapsed="false">
      <c r="B87" s="1" t="n">
        <v>86</v>
      </c>
      <c r="C87" s="2" t="n">
        <v>0</v>
      </c>
    </row>
    <row r="88" customFormat="false" ht="13.8" hidden="false" customHeight="false" outlineLevel="0" collapsed="false">
      <c r="B88" s="1" t="n">
        <v>87</v>
      </c>
      <c r="C88" s="2" t="n">
        <v>0</v>
      </c>
    </row>
    <row r="89" customFormat="false" ht="13.8" hidden="false" customHeight="false" outlineLevel="0" collapsed="false">
      <c r="B89" s="1" t="n">
        <v>88</v>
      </c>
      <c r="C89" s="2" t="n">
        <v>0</v>
      </c>
    </row>
    <row r="90" customFormat="false" ht="13.8" hidden="false" customHeight="false" outlineLevel="0" collapsed="false">
      <c r="B90" s="1" t="n">
        <v>89</v>
      </c>
      <c r="C90" s="2" t="n">
        <v>0</v>
      </c>
    </row>
    <row r="91" customFormat="false" ht="13.8" hidden="false" customHeight="false" outlineLevel="0" collapsed="false">
      <c r="B91" s="1" t="n">
        <v>90</v>
      </c>
      <c r="C91" s="2" t="n">
        <v>0</v>
      </c>
    </row>
    <row r="92" customFormat="false" ht="13.8" hidden="false" customHeight="false" outlineLevel="0" collapsed="false">
      <c r="B92" s="1" t="n">
        <v>91</v>
      </c>
      <c r="C92" s="2" t="n">
        <v>0</v>
      </c>
    </row>
    <row r="93" customFormat="false" ht="13.8" hidden="false" customHeight="false" outlineLevel="0" collapsed="false">
      <c r="B93" s="1" t="n">
        <v>92</v>
      </c>
      <c r="C93" s="2" t="n">
        <v>0</v>
      </c>
    </row>
    <row r="94" customFormat="false" ht="13.8" hidden="false" customHeight="false" outlineLevel="0" collapsed="false">
      <c r="B94" s="1" t="n">
        <v>93</v>
      </c>
      <c r="C94" s="2" t="n">
        <v>0</v>
      </c>
    </row>
    <row r="95" customFormat="false" ht="13.8" hidden="false" customHeight="false" outlineLevel="0" collapsed="false">
      <c r="B95" s="1" t="n">
        <v>94</v>
      </c>
      <c r="C95" s="2" t="n">
        <v>0</v>
      </c>
    </row>
    <row r="96" customFormat="false" ht="13.8" hidden="false" customHeight="false" outlineLevel="0" collapsed="false">
      <c r="B96" s="1" t="n">
        <v>95</v>
      </c>
      <c r="C96" s="2" t="n">
        <v>0</v>
      </c>
    </row>
    <row r="97" customFormat="false" ht="13.8" hidden="false" customHeight="false" outlineLevel="0" collapsed="false">
      <c r="B97" s="1" t="n">
        <v>96</v>
      </c>
      <c r="C97" s="2" t="n">
        <v>0</v>
      </c>
    </row>
    <row r="98" customFormat="false" ht="13.8" hidden="false" customHeight="false" outlineLevel="0" collapsed="false">
      <c r="B98" s="1" t="n">
        <v>97</v>
      </c>
      <c r="C98" s="2" t="n">
        <v>0</v>
      </c>
    </row>
    <row r="99" customFormat="false" ht="13.8" hidden="false" customHeight="false" outlineLevel="0" collapsed="false">
      <c r="B99" s="1" t="n">
        <v>98</v>
      </c>
      <c r="C99" s="2" t="n">
        <v>0</v>
      </c>
    </row>
    <row r="100" customFormat="false" ht="13.8" hidden="false" customHeight="false" outlineLevel="0" collapsed="false">
      <c r="B100" s="1" t="n">
        <v>99</v>
      </c>
      <c r="C100" s="2" t="n">
        <v>0</v>
      </c>
    </row>
    <row r="101" customFormat="false" ht="13.8" hidden="false" customHeight="false" outlineLevel="0" collapsed="false">
      <c r="B101" s="1" t="n">
        <v>100</v>
      </c>
      <c r="C101" s="2" t="n">
        <v>0</v>
      </c>
    </row>
    <row r="102" customFormat="false" ht="13.8" hidden="false" customHeight="false" outlineLevel="0" collapsed="false">
      <c r="B102" s="1" t="n">
        <v>101</v>
      </c>
      <c r="C102" s="2" t="n">
        <v>0</v>
      </c>
    </row>
    <row r="103" customFormat="false" ht="13.8" hidden="false" customHeight="false" outlineLevel="0" collapsed="false">
      <c r="B103" s="1" t="n">
        <v>102</v>
      </c>
      <c r="C103" s="2" t="n">
        <v>0</v>
      </c>
    </row>
    <row r="104" customFormat="false" ht="13.8" hidden="false" customHeight="false" outlineLevel="0" collapsed="false">
      <c r="B104" s="1" t="n">
        <v>103</v>
      </c>
      <c r="C104" s="2" t="n">
        <v>0</v>
      </c>
    </row>
    <row r="105" customFormat="false" ht="13.8" hidden="false" customHeight="false" outlineLevel="0" collapsed="false">
      <c r="B105" s="1" t="n">
        <v>104</v>
      </c>
      <c r="C105" s="2" t="n">
        <v>0</v>
      </c>
    </row>
    <row r="106" customFormat="false" ht="13.8" hidden="false" customHeight="false" outlineLevel="0" collapsed="false">
      <c r="B106" s="1" t="n">
        <v>105</v>
      </c>
      <c r="C106" s="2" t="n">
        <v>0</v>
      </c>
    </row>
    <row r="107" customFormat="false" ht="13.8" hidden="false" customHeight="false" outlineLevel="0" collapsed="false">
      <c r="B107" s="1" t="n">
        <v>106</v>
      </c>
      <c r="C107" s="2" t="n">
        <v>0</v>
      </c>
    </row>
    <row r="108" customFormat="false" ht="13.8" hidden="false" customHeight="false" outlineLevel="0" collapsed="false">
      <c r="B108" s="1" t="n">
        <v>107</v>
      </c>
      <c r="C108" s="2" t="n">
        <v>0</v>
      </c>
    </row>
    <row r="109" customFormat="false" ht="13.8" hidden="false" customHeight="false" outlineLevel="0" collapsed="false">
      <c r="B109" s="1" t="n">
        <v>108</v>
      </c>
      <c r="C109" s="2" t="n">
        <v>0</v>
      </c>
    </row>
    <row r="110" customFormat="false" ht="13.8" hidden="false" customHeight="false" outlineLevel="0" collapsed="false">
      <c r="B110" s="1" t="n">
        <v>109</v>
      </c>
      <c r="C110" s="2" t="n">
        <v>0</v>
      </c>
    </row>
    <row r="111" customFormat="false" ht="13.8" hidden="false" customHeight="false" outlineLevel="0" collapsed="false">
      <c r="B111" s="1" t="n">
        <v>110</v>
      </c>
      <c r="C111" s="2" t="n">
        <v>0</v>
      </c>
    </row>
    <row r="112" customFormat="false" ht="13.8" hidden="false" customHeight="false" outlineLevel="0" collapsed="false">
      <c r="B112" s="1" t="n">
        <v>111</v>
      </c>
      <c r="C112" s="2" t="n">
        <v>0</v>
      </c>
    </row>
    <row r="113" customFormat="false" ht="13.8" hidden="false" customHeight="false" outlineLevel="0" collapsed="false">
      <c r="B113" s="1" t="n">
        <v>112</v>
      </c>
      <c r="C113" s="2" t="n">
        <v>0</v>
      </c>
    </row>
    <row r="114" customFormat="false" ht="13.8" hidden="false" customHeight="false" outlineLevel="0" collapsed="false">
      <c r="B114" s="1" t="n">
        <v>113</v>
      </c>
      <c r="C114" s="2" t="n">
        <v>0</v>
      </c>
    </row>
    <row r="115" customFormat="false" ht="13.8" hidden="false" customHeight="false" outlineLevel="0" collapsed="false">
      <c r="B115" s="1" t="n">
        <v>114</v>
      </c>
      <c r="C115" s="2" t="n">
        <v>0</v>
      </c>
    </row>
    <row r="116" customFormat="false" ht="13.8" hidden="false" customHeight="false" outlineLevel="0" collapsed="false">
      <c r="B116" s="1" t="n">
        <v>115</v>
      </c>
      <c r="C116" s="2" t="n">
        <v>0</v>
      </c>
    </row>
    <row r="117" customFormat="false" ht="13.8" hidden="false" customHeight="false" outlineLevel="0" collapsed="false">
      <c r="B117" s="1" t="n">
        <v>116</v>
      </c>
      <c r="C117" s="2" t="n">
        <v>0</v>
      </c>
    </row>
    <row r="118" customFormat="false" ht="13.8" hidden="false" customHeight="false" outlineLevel="0" collapsed="false">
      <c r="B118" s="1" t="n">
        <v>117</v>
      </c>
      <c r="C118" s="2" t="n">
        <v>0</v>
      </c>
    </row>
    <row r="119" customFormat="false" ht="13.8" hidden="false" customHeight="false" outlineLevel="0" collapsed="false">
      <c r="B119" s="1" t="n">
        <v>118</v>
      </c>
      <c r="C119" s="2" t="n">
        <v>0.001816875</v>
      </c>
    </row>
    <row r="120" customFormat="false" ht="13.8" hidden="false" customHeight="false" outlineLevel="0" collapsed="false">
      <c r="B120" s="1" t="n">
        <v>119</v>
      </c>
      <c r="C120" s="2" t="n">
        <v>0.00363375</v>
      </c>
    </row>
    <row r="121" customFormat="false" ht="13.8" hidden="false" customHeight="false" outlineLevel="0" collapsed="false">
      <c r="B121" s="1" t="n">
        <v>120</v>
      </c>
      <c r="C121" s="2" t="n">
        <v>0.005450625</v>
      </c>
    </row>
    <row r="122" customFormat="false" ht="13.8" hidden="false" customHeight="false" outlineLevel="0" collapsed="false">
      <c r="B122" s="1" t="n">
        <v>121</v>
      </c>
      <c r="C122" s="2" t="n">
        <v>0.0072675</v>
      </c>
    </row>
    <row r="123" customFormat="false" ht="13.8" hidden="false" customHeight="false" outlineLevel="0" collapsed="false">
      <c r="B123" s="1" t="n">
        <v>122</v>
      </c>
      <c r="C123" s="2" t="n">
        <v>0.0144025</v>
      </c>
    </row>
    <row r="124" customFormat="false" ht="13.8" hidden="false" customHeight="false" outlineLevel="0" collapsed="false">
      <c r="B124" s="1" t="n">
        <v>123</v>
      </c>
      <c r="C124" s="2" t="n">
        <v>0.0215375</v>
      </c>
    </row>
    <row r="125" customFormat="false" ht="13.8" hidden="false" customHeight="false" outlineLevel="0" collapsed="false">
      <c r="B125" s="1" t="n">
        <v>124</v>
      </c>
      <c r="C125" s="2" t="n">
        <v>0.0286725</v>
      </c>
    </row>
    <row r="126" customFormat="false" ht="13.8" hidden="false" customHeight="false" outlineLevel="0" collapsed="false">
      <c r="B126" s="1" t="n">
        <v>125</v>
      </c>
      <c r="C126" s="2" t="n">
        <v>0.0358075</v>
      </c>
    </row>
    <row r="127" customFormat="false" ht="13.8" hidden="false" customHeight="false" outlineLevel="0" collapsed="false">
      <c r="B127" s="1" t="n">
        <v>126</v>
      </c>
      <c r="C127" s="2" t="n">
        <v>0.04943</v>
      </c>
    </row>
    <row r="128" customFormat="false" ht="13.8" hidden="false" customHeight="false" outlineLevel="0" collapsed="false">
      <c r="B128" s="1" t="n">
        <v>127</v>
      </c>
      <c r="C128" s="2" t="n">
        <v>0.0630525</v>
      </c>
    </row>
    <row r="129" customFormat="false" ht="13.8" hidden="false" customHeight="false" outlineLevel="0" collapsed="false">
      <c r="B129" s="1" t="n">
        <v>128</v>
      </c>
      <c r="C129" s="2" t="n">
        <v>0.076675</v>
      </c>
    </row>
    <row r="130" customFormat="false" ht="13.8" hidden="false" customHeight="false" outlineLevel="0" collapsed="false">
      <c r="B130" s="1" t="n">
        <v>129</v>
      </c>
      <c r="C130" s="2" t="n">
        <v>0.0902975</v>
      </c>
    </row>
    <row r="131" customFormat="false" ht="13.8" hidden="false" customHeight="false" outlineLevel="0" collapsed="false">
      <c r="B131" s="1" t="n">
        <v>130</v>
      </c>
      <c r="C131" s="2" t="n">
        <v>0.100735625</v>
      </c>
    </row>
    <row r="132" customFormat="false" ht="13.8" hidden="false" customHeight="false" outlineLevel="0" collapsed="false">
      <c r="B132" s="1" t="n">
        <v>131</v>
      </c>
      <c r="C132" s="2" t="n">
        <v>0.11117375</v>
      </c>
    </row>
    <row r="133" customFormat="false" ht="13.8" hidden="false" customHeight="false" outlineLevel="0" collapsed="false">
      <c r="B133" s="1" t="n">
        <v>132</v>
      </c>
      <c r="C133" s="2" t="n">
        <v>0.121611875</v>
      </c>
    </row>
    <row r="134" customFormat="false" ht="13.8" hidden="false" customHeight="false" outlineLevel="0" collapsed="false">
      <c r="B134" s="1" t="n">
        <v>133</v>
      </c>
      <c r="C134" s="2" t="n">
        <v>0.13205</v>
      </c>
    </row>
    <row r="135" customFormat="false" ht="13.8" hidden="false" customHeight="false" outlineLevel="0" collapsed="false">
      <c r="B135" s="1" t="n">
        <v>134</v>
      </c>
      <c r="C135" s="2" t="n">
        <v>0.13931125</v>
      </c>
    </row>
    <row r="136" customFormat="false" ht="13.8" hidden="false" customHeight="false" outlineLevel="0" collapsed="false">
      <c r="B136" s="1" t="n">
        <v>135</v>
      </c>
      <c r="C136" s="2" t="n">
        <v>0.1465725</v>
      </c>
    </row>
    <row r="137" customFormat="false" ht="13.8" hidden="false" customHeight="false" outlineLevel="0" collapsed="false">
      <c r="B137" s="1" t="n">
        <v>136</v>
      </c>
      <c r="C137" s="2" t="n">
        <v>0.15383375</v>
      </c>
    </row>
    <row r="138" customFormat="false" ht="13.8" hidden="false" customHeight="false" outlineLevel="0" collapsed="false">
      <c r="B138" s="1" t="n">
        <v>137</v>
      </c>
      <c r="C138" s="2" t="n">
        <v>0.161095</v>
      </c>
    </row>
    <row r="139" customFormat="false" ht="13.8" hidden="false" customHeight="false" outlineLevel="0" collapsed="false">
      <c r="B139" s="1" t="n">
        <v>138</v>
      </c>
      <c r="C139" s="2" t="n">
        <v>0.1643125</v>
      </c>
    </row>
    <row r="140" customFormat="false" ht="13.8" hidden="false" customHeight="false" outlineLevel="0" collapsed="false">
      <c r="B140" s="1" t="n">
        <v>139</v>
      </c>
      <c r="C140" s="2" t="n">
        <v>0.16753</v>
      </c>
    </row>
    <row r="141" customFormat="false" ht="13.8" hidden="false" customHeight="false" outlineLevel="0" collapsed="false">
      <c r="B141" s="1" t="n">
        <v>140</v>
      </c>
      <c r="C141" s="2" t="n">
        <v>0.1707475</v>
      </c>
    </row>
    <row r="142" customFormat="false" ht="13.8" hidden="false" customHeight="false" outlineLevel="0" collapsed="false">
      <c r="B142" s="1" t="n">
        <v>141</v>
      </c>
      <c r="C142" s="2" t="n">
        <v>0.173965</v>
      </c>
    </row>
    <row r="143" customFormat="false" ht="13.8" hidden="false" customHeight="false" outlineLevel="0" collapsed="false">
      <c r="B143" s="1" t="n">
        <v>142</v>
      </c>
      <c r="C143" s="2" t="n">
        <v>0.176224375</v>
      </c>
    </row>
    <row r="144" customFormat="false" ht="13.8" hidden="false" customHeight="false" outlineLevel="0" collapsed="false">
      <c r="B144" s="1" t="n">
        <v>143</v>
      </c>
      <c r="C144" s="2" t="n">
        <v>0.17848375</v>
      </c>
    </row>
    <row r="145" customFormat="false" ht="13.8" hidden="false" customHeight="false" outlineLevel="0" collapsed="false">
      <c r="B145" s="1" t="n">
        <v>144</v>
      </c>
      <c r="C145" s="2" t="n">
        <v>0.180743125</v>
      </c>
    </row>
    <row r="146" customFormat="false" ht="13.8" hidden="false" customHeight="false" outlineLevel="0" collapsed="false">
      <c r="B146" s="1" t="n">
        <v>145</v>
      </c>
      <c r="C146" s="2" t="n">
        <v>0.1830025</v>
      </c>
    </row>
    <row r="147" customFormat="false" ht="13.8" hidden="false" customHeight="false" outlineLevel="0" collapsed="false">
      <c r="B147" s="1" t="n">
        <v>146</v>
      </c>
      <c r="C147" s="2" t="n">
        <v>0.17999625</v>
      </c>
    </row>
    <row r="148" customFormat="false" ht="13.8" hidden="false" customHeight="false" outlineLevel="0" collapsed="false">
      <c r="B148" s="1" t="n">
        <v>147</v>
      </c>
      <c r="C148" s="2" t="n">
        <v>0.17699</v>
      </c>
    </row>
    <row r="149" customFormat="false" ht="13.8" hidden="false" customHeight="false" outlineLevel="0" collapsed="false">
      <c r="B149" s="1" t="n">
        <v>148</v>
      </c>
      <c r="C149" s="2" t="n">
        <v>0.17398375</v>
      </c>
    </row>
    <row r="150" customFormat="false" ht="13.8" hidden="false" customHeight="false" outlineLevel="0" collapsed="false">
      <c r="B150" s="1" t="n">
        <v>149</v>
      </c>
      <c r="C150" s="2" t="n">
        <v>0.1709775</v>
      </c>
    </row>
    <row r="151" customFormat="false" ht="13.8" hidden="false" customHeight="false" outlineLevel="0" collapsed="false">
      <c r="B151" s="1" t="n">
        <v>150</v>
      </c>
      <c r="C151" s="2" t="n">
        <v>0.16472</v>
      </c>
    </row>
    <row r="152" customFormat="false" ht="13.8" hidden="false" customHeight="false" outlineLevel="0" collapsed="false">
      <c r="B152" s="1" t="n">
        <v>151</v>
      </c>
      <c r="C152" s="2" t="n">
        <v>0.1584625</v>
      </c>
    </row>
    <row r="153" customFormat="false" ht="13.8" hidden="false" customHeight="false" outlineLevel="0" collapsed="false">
      <c r="B153" s="1" t="n">
        <v>152</v>
      </c>
      <c r="C153" s="2" t="n">
        <v>0.152205</v>
      </c>
    </row>
    <row r="154" customFormat="false" ht="13.8" hidden="false" customHeight="false" outlineLevel="0" collapsed="false">
      <c r="B154" s="1" t="n">
        <v>153</v>
      </c>
      <c r="C154" s="2" t="n">
        <v>0.1459475</v>
      </c>
    </row>
    <row r="155" customFormat="false" ht="13.8" hidden="false" customHeight="false" outlineLevel="0" collapsed="false">
      <c r="B155" s="1" t="n">
        <v>154</v>
      </c>
      <c r="C155" s="2" t="n">
        <v>0.13440375</v>
      </c>
    </row>
    <row r="156" customFormat="false" ht="13.8" hidden="false" customHeight="false" outlineLevel="0" collapsed="false">
      <c r="B156" s="1" t="n">
        <v>155</v>
      </c>
      <c r="C156" s="2" t="n">
        <v>0.12286</v>
      </c>
    </row>
    <row r="157" customFormat="false" ht="13.8" hidden="false" customHeight="false" outlineLevel="0" collapsed="false">
      <c r="B157" s="1" t="n">
        <v>156</v>
      </c>
      <c r="C157" s="2" t="n">
        <v>0.11131625</v>
      </c>
    </row>
    <row r="158" customFormat="false" ht="13.8" hidden="false" customHeight="false" outlineLevel="0" collapsed="false">
      <c r="B158" s="1" t="n">
        <v>157</v>
      </c>
      <c r="C158" s="2" t="n">
        <v>0.0997725</v>
      </c>
    </row>
    <row r="159" customFormat="false" ht="13.8" hidden="false" customHeight="false" outlineLevel="0" collapsed="false">
      <c r="B159" s="1" t="n">
        <v>158</v>
      </c>
      <c r="C159" s="2" t="n">
        <v>0.091700625</v>
      </c>
    </row>
    <row r="160" customFormat="false" ht="13.8" hidden="false" customHeight="false" outlineLevel="0" collapsed="false">
      <c r="B160" s="1" t="n">
        <v>159</v>
      </c>
      <c r="C160" s="2" t="n">
        <v>0.08362875</v>
      </c>
    </row>
    <row r="161" customFormat="false" ht="13.8" hidden="false" customHeight="false" outlineLevel="0" collapsed="false">
      <c r="B161" s="1" t="n">
        <v>160</v>
      </c>
      <c r="C161" s="2" t="n">
        <v>0.075556875</v>
      </c>
    </row>
    <row r="162" customFormat="false" ht="13.8" hidden="false" customHeight="false" outlineLevel="0" collapsed="false">
      <c r="B162" s="1" t="n">
        <v>161</v>
      </c>
      <c r="C162" s="2" t="n">
        <v>0.067485</v>
      </c>
    </row>
    <row r="163" customFormat="false" ht="13.8" hidden="false" customHeight="false" outlineLevel="0" collapsed="false">
      <c r="B163" s="1" t="n">
        <v>162</v>
      </c>
      <c r="C163" s="2" t="n">
        <v>0.057474375</v>
      </c>
    </row>
    <row r="164" customFormat="false" ht="13.8" hidden="false" customHeight="false" outlineLevel="0" collapsed="false">
      <c r="B164" s="1" t="n">
        <v>163</v>
      </c>
      <c r="C164" s="2" t="n">
        <v>0.04746375</v>
      </c>
    </row>
    <row r="165" customFormat="false" ht="13.8" hidden="false" customHeight="false" outlineLevel="0" collapsed="false">
      <c r="B165" s="1" t="n">
        <v>164</v>
      </c>
      <c r="C165" s="2" t="n">
        <v>0.037453125</v>
      </c>
    </row>
    <row r="166" customFormat="false" ht="13.8" hidden="false" customHeight="false" outlineLevel="0" collapsed="false">
      <c r="B166" s="1" t="n">
        <v>165</v>
      </c>
      <c r="C166" s="2" t="n">
        <v>0.0274425</v>
      </c>
    </row>
    <row r="167" customFormat="false" ht="13.8" hidden="false" customHeight="false" outlineLevel="0" collapsed="false">
      <c r="B167" s="1" t="n">
        <v>166</v>
      </c>
      <c r="C167" s="2" t="n">
        <v>0.02058375</v>
      </c>
    </row>
    <row r="168" customFormat="false" ht="13.8" hidden="false" customHeight="false" outlineLevel="0" collapsed="false">
      <c r="B168" s="1" t="n">
        <v>167</v>
      </c>
      <c r="C168" s="2" t="n">
        <v>0.013725</v>
      </c>
    </row>
    <row r="169" customFormat="false" ht="13.8" hidden="false" customHeight="false" outlineLevel="0" collapsed="false">
      <c r="B169" s="1" t="n">
        <v>168</v>
      </c>
      <c r="C169" s="2" t="n">
        <v>0.00686625</v>
      </c>
    </row>
    <row r="170" customFormat="false" ht="13.8" hidden="false" customHeight="false" outlineLevel="0" collapsed="false">
      <c r="B170" s="1" t="n">
        <v>169</v>
      </c>
      <c r="C170" s="2" t="n">
        <v>7.5E-006</v>
      </c>
    </row>
    <row r="171" customFormat="false" ht="13.8" hidden="false" customHeight="false" outlineLevel="0" collapsed="false">
      <c r="B171" s="1" t="n">
        <v>170</v>
      </c>
      <c r="C171" s="2" t="n">
        <v>5.625E-006</v>
      </c>
    </row>
    <row r="172" customFormat="false" ht="13.8" hidden="false" customHeight="false" outlineLevel="0" collapsed="false">
      <c r="B172" s="1" t="n">
        <v>171</v>
      </c>
      <c r="C172" s="2" t="n">
        <v>3.75E-006</v>
      </c>
    </row>
    <row r="173" customFormat="false" ht="13.8" hidden="false" customHeight="false" outlineLevel="0" collapsed="false">
      <c r="B173" s="1" t="n">
        <v>172</v>
      </c>
      <c r="C173" s="2" t="n">
        <v>1.875E-006</v>
      </c>
    </row>
    <row r="174" customFormat="false" ht="13.8" hidden="false" customHeight="false" outlineLevel="0" collapsed="false">
      <c r="B174" s="1" t="n">
        <v>173</v>
      </c>
      <c r="C174" s="2" t="n">
        <v>0</v>
      </c>
    </row>
    <row r="175" customFormat="false" ht="13.8" hidden="false" customHeight="false" outlineLevel="0" collapsed="false">
      <c r="B175" s="1" t="n">
        <v>174</v>
      </c>
      <c r="C175" s="2" t="n">
        <v>0</v>
      </c>
    </row>
    <row r="176" customFormat="false" ht="13.8" hidden="false" customHeight="false" outlineLevel="0" collapsed="false">
      <c r="B176" s="1" t="n">
        <v>175</v>
      </c>
      <c r="C176" s="2" t="n">
        <v>0</v>
      </c>
    </row>
    <row r="177" customFormat="false" ht="13.8" hidden="false" customHeight="false" outlineLevel="0" collapsed="false">
      <c r="B177" s="1" t="n">
        <v>176</v>
      </c>
      <c r="C177" s="2" t="n">
        <v>0</v>
      </c>
    </row>
    <row r="178" customFormat="false" ht="13.8" hidden="false" customHeight="false" outlineLevel="0" collapsed="false">
      <c r="B178" s="1" t="n">
        <v>177</v>
      </c>
      <c r="C178" s="2" t="n">
        <v>0</v>
      </c>
    </row>
    <row r="179" customFormat="false" ht="13.8" hidden="false" customHeight="false" outlineLevel="0" collapsed="false">
      <c r="B179" s="1" t="n">
        <v>178</v>
      </c>
      <c r="C179" s="2" t="n">
        <v>0</v>
      </c>
    </row>
    <row r="180" customFormat="false" ht="13.8" hidden="false" customHeight="false" outlineLevel="0" collapsed="false">
      <c r="B180" s="1" t="n">
        <v>179</v>
      </c>
      <c r="C180" s="2" t="n">
        <v>0</v>
      </c>
    </row>
    <row r="181" customFormat="false" ht="13.8" hidden="false" customHeight="false" outlineLevel="0" collapsed="false">
      <c r="B181" s="1" t="n">
        <v>180</v>
      </c>
      <c r="C181" s="2" t="n">
        <v>0</v>
      </c>
    </row>
    <row r="182" customFormat="false" ht="13.8" hidden="false" customHeight="false" outlineLevel="0" collapsed="false">
      <c r="B182" s="1" t="n">
        <v>181</v>
      </c>
      <c r="C182" s="2" t="n">
        <v>0</v>
      </c>
    </row>
    <row r="183" customFormat="false" ht="13.8" hidden="false" customHeight="false" outlineLevel="0" collapsed="false">
      <c r="B183" s="1" t="n">
        <v>182</v>
      </c>
      <c r="C183" s="2" t="n">
        <v>0</v>
      </c>
    </row>
    <row r="184" customFormat="false" ht="13.8" hidden="false" customHeight="false" outlineLevel="0" collapsed="false">
      <c r="B184" s="1" t="n">
        <v>183</v>
      </c>
      <c r="C184" s="2" t="n">
        <v>0</v>
      </c>
    </row>
    <row r="185" customFormat="false" ht="13.8" hidden="false" customHeight="false" outlineLevel="0" collapsed="false">
      <c r="B185" s="1" t="n">
        <v>184</v>
      </c>
      <c r="C185" s="2" t="n">
        <v>0</v>
      </c>
    </row>
    <row r="186" customFormat="false" ht="13.8" hidden="false" customHeight="false" outlineLevel="0" collapsed="false">
      <c r="B186" s="1" t="n">
        <v>185</v>
      </c>
      <c r="C186" s="2" t="n">
        <v>0</v>
      </c>
    </row>
    <row r="187" customFormat="false" ht="13.8" hidden="false" customHeight="false" outlineLevel="0" collapsed="false">
      <c r="B187" s="1" t="n">
        <v>186</v>
      </c>
      <c r="C187" s="2" t="n">
        <v>0</v>
      </c>
    </row>
    <row r="188" customFormat="false" ht="13.8" hidden="false" customHeight="false" outlineLevel="0" collapsed="false">
      <c r="B188" s="1" t="n">
        <v>187</v>
      </c>
      <c r="C188" s="2" t="n">
        <v>0</v>
      </c>
    </row>
    <row r="189" customFormat="false" ht="13.8" hidden="false" customHeight="false" outlineLevel="0" collapsed="false">
      <c r="B189" s="1" t="n">
        <v>188</v>
      </c>
      <c r="C189" s="2" t="n">
        <v>0</v>
      </c>
    </row>
    <row r="190" customFormat="false" ht="13.8" hidden="false" customHeight="false" outlineLevel="0" collapsed="false">
      <c r="B190" s="1" t="n">
        <v>189</v>
      </c>
      <c r="C190" s="2" t="n">
        <v>0</v>
      </c>
    </row>
    <row r="191" customFormat="false" ht="13.8" hidden="false" customHeight="false" outlineLevel="0" collapsed="false">
      <c r="B191" s="1" t="n">
        <v>190</v>
      </c>
      <c r="C191" s="2" t="n">
        <v>0</v>
      </c>
    </row>
    <row r="192" customFormat="false" ht="13.8" hidden="false" customHeight="false" outlineLevel="0" collapsed="false">
      <c r="B192" s="1" t="n">
        <v>191</v>
      </c>
      <c r="C192" s="2" t="n">
        <v>0</v>
      </c>
    </row>
    <row r="193" customFormat="false" ht="13.8" hidden="false" customHeight="false" outlineLevel="0" collapsed="false">
      <c r="B193" s="1" t="n">
        <v>192</v>
      </c>
      <c r="C193" s="2" t="n">
        <v>0</v>
      </c>
    </row>
    <row r="194" customFormat="false" ht="13.8" hidden="false" customHeight="false" outlineLevel="0" collapsed="false">
      <c r="B194" s="1" t="n">
        <v>193</v>
      </c>
      <c r="C194" s="2" t="n">
        <v>0</v>
      </c>
    </row>
    <row r="195" customFormat="false" ht="13.8" hidden="false" customHeight="false" outlineLevel="0" collapsed="false">
      <c r="B195" s="1" t="n">
        <v>194</v>
      </c>
      <c r="C195" s="2" t="n">
        <v>0</v>
      </c>
    </row>
    <row r="196" customFormat="false" ht="13.8" hidden="false" customHeight="false" outlineLevel="0" collapsed="false">
      <c r="B196" s="1" t="n">
        <v>195</v>
      </c>
      <c r="C196" s="2" t="n">
        <v>0</v>
      </c>
    </row>
    <row r="197" customFormat="false" ht="13.8" hidden="false" customHeight="false" outlineLevel="0" collapsed="false">
      <c r="B197" s="1" t="n">
        <v>196</v>
      </c>
      <c r="C197" s="2" t="n">
        <v>0</v>
      </c>
    </row>
    <row r="198" customFormat="false" ht="13.8" hidden="false" customHeight="false" outlineLevel="0" collapsed="false">
      <c r="B198" s="1" t="n">
        <v>197</v>
      </c>
      <c r="C198" s="2" t="n">
        <v>0</v>
      </c>
    </row>
    <row r="199" customFormat="false" ht="13.8" hidden="false" customHeight="false" outlineLevel="0" collapsed="false">
      <c r="B199" s="1" t="n">
        <v>198</v>
      </c>
      <c r="C199" s="2" t="n">
        <v>0</v>
      </c>
    </row>
    <row r="200" customFormat="false" ht="13.8" hidden="false" customHeight="false" outlineLevel="0" collapsed="false">
      <c r="B200" s="1" t="n">
        <v>199</v>
      </c>
      <c r="C200" s="2" t="n">
        <v>0</v>
      </c>
    </row>
    <row r="201" customFormat="false" ht="13.8" hidden="false" customHeight="false" outlineLevel="0" collapsed="false">
      <c r="B201" s="1" t="n">
        <v>200</v>
      </c>
      <c r="C201" s="2" t="n">
        <v>0</v>
      </c>
    </row>
    <row r="202" customFormat="false" ht="13.8" hidden="false" customHeight="false" outlineLevel="0" collapsed="false">
      <c r="B202" s="1" t="n">
        <v>201</v>
      </c>
      <c r="C202" s="2" t="n">
        <v>0</v>
      </c>
    </row>
    <row r="203" customFormat="false" ht="13.8" hidden="false" customHeight="false" outlineLevel="0" collapsed="false">
      <c r="B203" s="1" t="n">
        <v>202</v>
      </c>
      <c r="C203" s="2" t="n">
        <v>0</v>
      </c>
    </row>
    <row r="204" customFormat="false" ht="13.8" hidden="false" customHeight="false" outlineLevel="0" collapsed="false">
      <c r="B204" s="1" t="n">
        <v>203</v>
      </c>
      <c r="C204" s="2" t="n">
        <v>0</v>
      </c>
    </row>
    <row r="205" customFormat="false" ht="13.8" hidden="false" customHeight="false" outlineLevel="0" collapsed="false">
      <c r="B205" s="1" t="n">
        <v>204</v>
      </c>
      <c r="C205" s="2" t="n">
        <v>0</v>
      </c>
    </row>
    <row r="206" customFormat="false" ht="13.8" hidden="false" customHeight="false" outlineLevel="0" collapsed="false">
      <c r="B206" s="1" t="n">
        <v>205</v>
      </c>
      <c r="C206" s="2" t="n">
        <v>0</v>
      </c>
    </row>
    <row r="207" customFormat="false" ht="13.8" hidden="false" customHeight="false" outlineLevel="0" collapsed="false">
      <c r="B207" s="1" t="n">
        <v>206</v>
      </c>
      <c r="C207" s="2" t="n">
        <v>0</v>
      </c>
    </row>
    <row r="208" customFormat="false" ht="13.8" hidden="false" customHeight="false" outlineLevel="0" collapsed="false">
      <c r="B208" s="1" t="n">
        <v>207</v>
      </c>
      <c r="C208" s="2" t="n">
        <v>0</v>
      </c>
    </row>
    <row r="209" customFormat="false" ht="13.8" hidden="false" customHeight="false" outlineLevel="0" collapsed="false">
      <c r="B209" s="1" t="n">
        <v>208</v>
      </c>
      <c r="C209" s="2" t="n">
        <v>0</v>
      </c>
    </row>
    <row r="210" customFormat="false" ht="13.8" hidden="false" customHeight="false" outlineLevel="0" collapsed="false">
      <c r="B210" s="1" t="n">
        <v>209</v>
      </c>
      <c r="C210" s="2" t="n">
        <v>0</v>
      </c>
    </row>
    <row r="211" customFormat="false" ht="13.8" hidden="false" customHeight="false" outlineLevel="0" collapsed="false">
      <c r="B211" s="1" t="n">
        <v>210</v>
      </c>
      <c r="C211" s="2" t="n">
        <v>0</v>
      </c>
    </row>
    <row r="212" customFormat="false" ht="13.8" hidden="false" customHeight="false" outlineLevel="0" collapsed="false">
      <c r="B212" s="1" t="n">
        <v>211</v>
      </c>
      <c r="C212" s="2" t="n">
        <v>0</v>
      </c>
    </row>
    <row r="213" customFormat="false" ht="13.8" hidden="false" customHeight="false" outlineLevel="0" collapsed="false">
      <c r="B213" s="1" t="n">
        <v>212</v>
      </c>
      <c r="C213" s="2" t="n">
        <v>0</v>
      </c>
    </row>
    <row r="214" customFormat="false" ht="13.8" hidden="false" customHeight="false" outlineLevel="0" collapsed="false">
      <c r="B214" s="1" t="n">
        <v>213</v>
      </c>
      <c r="C214" s="2" t="n">
        <v>0</v>
      </c>
    </row>
    <row r="215" customFormat="false" ht="13.8" hidden="false" customHeight="false" outlineLevel="0" collapsed="false">
      <c r="B215" s="1" t="n">
        <v>214</v>
      </c>
      <c r="C215" s="2" t="n">
        <v>0.001499375</v>
      </c>
    </row>
    <row r="216" customFormat="false" ht="13.8" hidden="false" customHeight="false" outlineLevel="0" collapsed="false">
      <c r="B216" s="1" t="n">
        <v>215</v>
      </c>
      <c r="C216" s="2" t="n">
        <v>0.00299875</v>
      </c>
    </row>
    <row r="217" customFormat="false" ht="13.8" hidden="false" customHeight="false" outlineLevel="0" collapsed="false">
      <c r="B217" s="1" t="n">
        <v>216</v>
      </c>
      <c r="C217" s="2" t="n">
        <v>0.004498125</v>
      </c>
    </row>
    <row r="218" customFormat="false" ht="13.8" hidden="false" customHeight="false" outlineLevel="0" collapsed="false">
      <c r="B218" s="1" t="n">
        <v>217</v>
      </c>
      <c r="C218" s="2" t="n">
        <v>0.0059975</v>
      </c>
    </row>
    <row r="219" customFormat="false" ht="13.8" hidden="false" customHeight="false" outlineLevel="0" collapsed="false">
      <c r="B219" s="1" t="n">
        <v>218</v>
      </c>
      <c r="C219" s="2" t="n">
        <v>0.013571875</v>
      </c>
    </row>
    <row r="220" customFormat="false" ht="13.8" hidden="false" customHeight="false" outlineLevel="0" collapsed="false">
      <c r="B220" s="1" t="n">
        <v>219</v>
      </c>
      <c r="C220" s="2" t="n">
        <v>0.02114625</v>
      </c>
    </row>
    <row r="221" customFormat="false" ht="13.8" hidden="false" customHeight="false" outlineLevel="0" collapsed="false">
      <c r="B221" s="1" t="n">
        <v>220</v>
      </c>
      <c r="C221" s="2" t="n">
        <v>0.028720625</v>
      </c>
    </row>
    <row r="222" customFormat="false" ht="13.8" hidden="false" customHeight="false" outlineLevel="0" collapsed="false">
      <c r="B222" s="1" t="n">
        <v>221</v>
      </c>
      <c r="C222" s="2" t="n">
        <v>0.036295</v>
      </c>
    </row>
    <row r="223" customFormat="false" ht="13.8" hidden="false" customHeight="false" outlineLevel="0" collapsed="false">
      <c r="B223" s="1" t="n">
        <v>222</v>
      </c>
      <c r="C223" s="2" t="n">
        <v>0.04875125</v>
      </c>
    </row>
    <row r="224" customFormat="false" ht="13.8" hidden="false" customHeight="false" outlineLevel="0" collapsed="false">
      <c r="B224" s="1" t="n">
        <v>223</v>
      </c>
      <c r="C224" s="2" t="n">
        <v>0.0612075</v>
      </c>
    </row>
    <row r="225" customFormat="false" ht="13.8" hidden="false" customHeight="false" outlineLevel="0" collapsed="false">
      <c r="B225" s="1" t="n">
        <v>224</v>
      </c>
      <c r="C225" s="2" t="n">
        <v>0.07366375</v>
      </c>
    </row>
    <row r="226" customFormat="false" ht="13.8" hidden="false" customHeight="false" outlineLevel="0" collapsed="false">
      <c r="B226" s="1" t="n">
        <v>225</v>
      </c>
      <c r="C226" s="2" t="n">
        <v>0.08612</v>
      </c>
    </row>
    <row r="227" customFormat="false" ht="13.8" hidden="false" customHeight="false" outlineLevel="0" collapsed="false">
      <c r="B227" s="1" t="n">
        <v>226</v>
      </c>
      <c r="C227" s="2" t="n">
        <v>0.097349375</v>
      </c>
    </row>
    <row r="228" customFormat="false" ht="13.8" hidden="false" customHeight="false" outlineLevel="0" collapsed="false">
      <c r="B228" s="1" t="n">
        <v>227</v>
      </c>
      <c r="C228" s="2" t="n">
        <v>0.10857875</v>
      </c>
    </row>
    <row r="229" customFormat="false" ht="13.8" hidden="false" customHeight="false" outlineLevel="0" collapsed="false">
      <c r="B229" s="1" t="n">
        <v>228</v>
      </c>
      <c r="C229" s="2" t="n">
        <v>0.119808125</v>
      </c>
    </row>
    <row r="230" customFormat="false" ht="13.8" hidden="false" customHeight="false" outlineLevel="0" collapsed="false">
      <c r="B230" s="1" t="n">
        <v>229</v>
      </c>
      <c r="C230" s="2" t="n">
        <v>0.1310375</v>
      </c>
    </row>
    <row r="231" customFormat="false" ht="13.8" hidden="false" customHeight="false" outlineLevel="0" collapsed="false">
      <c r="B231" s="1" t="n">
        <v>230</v>
      </c>
      <c r="C231" s="2" t="n">
        <v>0.138510625</v>
      </c>
    </row>
    <row r="232" customFormat="false" ht="13.8" hidden="false" customHeight="false" outlineLevel="0" collapsed="false">
      <c r="B232" s="1" t="n">
        <v>231</v>
      </c>
      <c r="C232" s="2" t="n">
        <v>0.14598375</v>
      </c>
    </row>
    <row r="233" customFormat="false" ht="13.8" hidden="false" customHeight="false" outlineLevel="0" collapsed="false">
      <c r="B233" s="1" t="n">
        <v>232</v>
      </c>
      <c r="C233" s="2" t="n">
        <v>0.153456875</v>
      </c>
    </row>
    <row r="234" customFormat="false" ht="13.8" hidden="false" customHeight="false" outlineLevel="0" collapsed="false">
      <c r="B234" s="1" t="n">
        <v>233</v>
      </c>
      <c r="C234" s="2" t="n">
        <v>0.16093</v>
      </c>
    </row>
    <row r="235" customFormat="false" ht="13.8" hidden="false" customHeight="false" outlineLevel="0" collapsed="false">
      <c r="B235" s="1" t="n">
        <v>234</v>
      </c>
      <c r="C235" s="2" t="n">
        <v>0.1652125</v>
      </c>
    </row>
    <row r="236" customFormat="false" ht="13.8" hidden="false" customHeight="false" outlineLevel="0" collapsed="false">
      <c r="B236" s="1" t="n">
        <v>235</v>
      </c>
      <c r="C236" s="2" t="n">
        <v>0.169495</v>
      </c>
    </row>
    <row r="237" customFormat="false" ht="13.8" hidden="false" customHeight="false" outlineLevel="0" collapsed="false">
      <c r="B237" s="1" t="n">
        <v>236</v>
      </c>
      <c r="C237" s="2" t="n">
        <v>0.1737775</v>
      </c>
    </row>
    <row r="238" customFormat="false" ht="13.8" hidden="false" customHeight="false" outlineLevel="0" collapsed="false">
      <c r="B238" s="1" t="n">
        <v>237</v>
      </c>
      <c r="C238" s="2" t="n">
        <v>0.17806</v>
      </c>
    </row>
    <row r="239" customFormat="false" ht="13.8" hidden="false" customHeight="false" outlineLevel="0" collapsed="false">
      <c r="B239" s="1" t="n">
        <v>238</v>
      </c>
      <c r="C239" s="2" t="n">
        <v>0.17883875</v>
      </c>
    </row>
    <row r="240" customFormat="false" ht="13.8" hidden="false" customHeight="false" outlineLevel="0" collapsed="false">
      <c r="B240" s="1" t="n">
        <v>239</v>
      </c>
      <c r="C240" s="2" t="n">
        <v>0.1796175</v>
      </c>
    </row>
    <row r="241" customFormat="false" ht="13.8" hidden="false" customHeight="false" outlineLevel="0" collapsed="false">
      <c r="B241" s="1" t="n">
        <v>240</v>
      </c>
      <c r="C241" s="2" t="n">
        <v>0.18039625</v>
      </c>
    </row>
    <row r="242" customFormat="false" ht="13.8" hidden="false" customHeight="false" outlineLevel="0" collapsed="false">
      <c r="B242" s="1" t="n">
        <v>241</v>
      </c>
      <c r="C242" s="2" t="n">
        <v>0.181175</v>
      </c>
    </row>
    <row r="243" customFormat="false" ht="13.8" hidden="false" customHeight="false" outlineLevel="0" collapsed="false">
      <c r="B243" s="1" t="n">
        <v>242</v>
      </c>
      <c r="C243" s="2" t="n">
        <v>0.178909375</v>
      </c>
    </row>
    <row r="244" customFormat="false" ht="13.8" hidden="false" customHeight="false" outlineLevel="0" collapsed="false">
      <c r="B244" s="1" t="n">
        <v>243</v>
      </c>
      <c r="C244" s="2" t="n">
        <v>0.17664375</v>
      </c>
    </row>
    <row r="245" customFormat="false" ht="13.8" hidden="false" customHeight="false" outlineLevel="0" collapsed="false">
      <c r="B245" s="1" t="n">
        <v>244</v>
      </c>
      <c r="C245" s="2" t="n">
        <v>0.174378125</v>
      </c>
    </row>
    <row r="246" customFormat="false" ht="13.8" hidden="false" customHeight="false" outlineLevel="0" collapsed="false">
      <c r="B246" s="1" t="n">
        <v>245</v>
      </c>
      <c r="C246" s="2" t="n">
        <v>0.1721125</v>
      </c>
    </row>
    <row r="247" customFormat="false" ht="13.8" hidden="false" customHeight="false" outlineLevel="0" collapsed="false">
      <c r="B247" s="1" t="n">
        <v>246</v>
      </c>
      <c r="C247" s="2" t="n">
        <v>0.166998125</v>
      </c>
    </row>
    <row r="248" customFormat="false" ht="13.8" hidden="false" customHeight="false" outlineLevel="0" collapsed="false">
      <c r="B248" s="1" t="n">
        <v>247</v>
      </c>
      <c r="C248" s="2" t="n">
        <v>0.16188375</v>
      </c>
    </row>
    <row r="249" customFormat="false" ht="13.8" hidden="false" customHeight="false" outlineLevel="0" collapsed="false">
      <c r="B249" s="1" t="n">
        <v>248</v>
      </c>
      <c r="C249" s="2" t="n">
        <v>0.156769375</v>
      </c>
    </row>
    <row r="250" customFormat="false" ht="13.8" hidden="false" customHeight="false" outlineLevel="0" collapsed="false">
      <c r="B250" s="1" t="n">
        <v>249</v>
      </c>
      <c r="C250" s="2" t="n">
        <v>0.151655</v>
      </c>
    </row>
    <row r="251" customFormat="false" ht="13.8" hidden="false" customHeight="false" outlineLevel="0" collapsed="false">
      <c r="B251" s="1" t="n">
        <v>250</v>
      </c>
      <c r="C251" s="2" t="n">
        <v>0.14261375</v>
      </c>
    </row>
    <row r="252" customFormat="false" ht="13.8" hidden="false" customHeight="false" outlineLevel="0" collapsed="false">
      <c r="B252" s="1" t="n">
        <v>251</v>
      </c>
      <c r="C252" s="2" t="n">
        <v>0.1335725</v>
      </c>
    </row>
    <row r="253" customFormat="false" ht="13.8" hidden="false" customHeight="false" outlineLevel="0" collapsed="false">
      <c r="B253" s="1" t="n">
        <v>252</v>
      </c>
      <c r="C253" s="2" t="n">
        <v>0.12453125</v>
      </c>
    </row>
    <row r="254" customFormat="false" ht="13.8" hidden="false" customHeight="false" outlineLevel="0" collapsed="false">
      <c r="B254" s="1" t="n">
        <v>253</v>
      </c>
      <c r="C254" s="2" t="n">
        <v>0.11549</v>
      </c>
    </row>
    <row r="255" customFormat="false" ht="13.8" hidden="false" customHeight="false" outlineLevel="0" collapsed="false">
      <c r="B255" s="1" t="n">
        <v>254</v>
      </c>
      <c r="C255" s="2" t="n">
        <v>0.090353125</v>
      </c>
    </row>
    <row r="256" customFormat="false" ht="13.8" hidden="false" customHeight="false" outlineLevel="0" collapsed="false">
      <c r="B256" s="1" t="n">
        <v>255</v>
      </c>
      <c r="C256" s="2" t="n">
        <v>0.06521625</v>
      </c>
    </row>
    <row r="257" customFormat="false" ht="13.8" hidden="false" customHeight="false" outlineLevel="0" collapsed="false">
      <c r="B257" s="1" t="n">
        <v>256</v>
      </c>
      <c r="C257" s="2" t="n">
        <v>0.040079375</v>
      </c>
    </row>
    <row r="258" customFormat="false" ht="13.8" hidden="false" customHeight="false" outlineLevel="0" collapsed="false">
      <c r="B258" s="1" t="n">
        <v>257</v>
      </c>
      <c r="C258" s="2" t="n">
        <v>0.0149425</v>
      </c>
    </row>
    <row r="259" customFormat="false" ht="13.8" hidden="false" customHeight="false" outlineLevel="0" collapsed="false">
      <c r="B259" s="1" t="n">
        <v>258</v>
      </c>
      <c r="C259" s="2" t="n">
        <v>0.01275375</v>
      </c>
    </row>
    <row r="260" customFormat="false" ht="13.8" hidden="false" customHeight="false" outlineLevel="0" collapsed="false">
      <c r="B260" s="1" t="n">
        <v>259</v>
      </c>
      <c r="C260" s="2" t="n">
        <v>0.010565</v>
      </c>
    </row>
    <row r="261" customFormat="false" ht="13.8" hidden="false" customHeight="false" outlineLevel="0" collapsed="false">
      <c r="B261" s="1" t="n">
        <v>260</v>
      </c>
      <c r="C261" s="2" t="n">
        <v>0.00837625</v>
      </c>
    </row>
    <row r="262" customFormat="false" ht="13.8" hidden="false" customHeight="false" outlineLevel="0" collapsed="false">
      <c r="B262" s="1" t="n">
        <v>261</v>
      </c>
      <c r="C262" s="2" t="n">
        <v>0.0061875</v>
      </c>
    </row>
    <row r="263" customFormat="false" ht="13.8" hidden="false" customHeight="false" outlineLevel="0" collapsed="false">
      <c r="B263" s="1" t="n">
        <v>262</v>
      </c>
      <c r="C263" s="2" t="n">
        <v>0.004640625</v>
      </c>
    </row>
    <row r="264" customFormat="false" ht="13.8" hidden="false" customHeight="false" outlineLevel="0" collapsed="false">
      <c r="B264" s="1" t="n">
        <v>263</v>
      </c>
      <c r="C264" s="2" t="n">
        <v>0.00309375</v>
      </c>
    </row>
    <row r="265" customFormat="false" ht="13.8" hidden="false" customHeight="false" outlineLevel="0" collapsed="false">
      <c r="B265" s="1" t="n">
        <v>264</v>
      </c>
      <c r="C265" s="2" t="n">
        <v>0.001546875</v>
      </c>
    </row>
    <row r="266" customFormat="false" ht="13.8" hidden="false" customHeight="false" outlineLevel="0" collapsed="false">
      <c r="B266" s="1" t="n">
        <v>265</v>
      </c>
      <c r="C266" s="2" t="n">
        <v>0</v>
      </c>
    </row>
    <row r="267" customFormat="false" ht="13.8" hidden="false" customHeight="false" outlineLevel="0" collapsed="false">
      <c r="B267" s="1" t="n">
        <v>266</v>
      </c>
      <c r="C267" s="2" t="n">
        <v>0</v>
      </c>
    </row>
    <row r="268" customFormat="false" ht="13.8" hidden="false" customHeight="false" outlineLevel="0" collapsed="false">
      <c r="B268" s="1" t="n">
        <v>267</v>
      </c>
      <c r="C268" s="2" t="n">
        <v>0</v>
      </c>
    </row>
    <row r="269" customFormat="false" ht="13.8" hidden="false" customHeight="false" outlineLevel="0" collapsed="false">
      <c r="B269" s="1" t="n">
        <v>268</v>
      </c>
      <c r="C269" s="2" t="n">
        <v>0</v>
      </c>
    </row>
    <row r="270" customFormat="false" ht="13.8" hidden="false" customHeight="false" outlineLevel="0" collapsed="false">
      <c r="B270" s="1" t="n">
        <v>269</v>
      </c>
      <c r="C270" s="2" t="n">
        <v>0</v>
      </c>
    </row>
    <row r="271" customFormat="false" ht="13.8" hidden="false" customHeight="false" outlineLevel="0" collapsed="false">
      <c r="B271" s="1" t="n">
        <v>270</v>
      </c>
      <c r="C271" s="2" t="n">
        <v>0</v>
      </c>
    </row>
    <row r="272" customFormat="false" ht="13.8" hidden="false" customHeight="false" outlineLevel="0" collapsed="false">
      <c r="B272" s="1" t="n">
        <v>271</v>
      </c>
      <c r="C272" s="2" t="n">
        <v>0</v>
      </c>
    </row>
    <row r="273" customFormat="false" ht="13.8" hidden="false" customHeight="false" outlineLevel="0" collapsed="false">
      <c r="B273" s="1" t="n">
        <v>272</v>
      </c>
      <c r="C273" s="2" t="n">
        <v>0</v>
      </c>
    </row>
    <row r="274" customFormat="false" ht="13.8" hidden="false" customHeight="false" outlineLevel="0" collapsed="false">
      <c r="B274" s="1" t="n">
        <v>273</v>
      </c>
      <c r="C274" s="2" t="n">
        <v>0</v>
      </c>
    </row>
    <row r="275" customFormat="false" ht="13.8" hidden="false" customHeight="false" outlineLevel="0" collapsed="false">
      <c r="B275" s="1" t="n">
        <v>274</v>
      </c>
      <c r="C275" s="2" t="n">
        <v>0</v>
      </c>
    </row>
    <row r="276" customFormat="false" ht="13.8" hidden="false" customHeight="false" outlineLevel="0" collapsed="false">
      <c r="B276" s="1" t="n">
        <v>275</v>
      </c>
      <c r="C276" s="2" t="n">
        <v>0</v>
      </c>
    </row>
    <row r="277" customFormat="false" ht="13.8" hidden="false" customHeight="false" outlineLevel="0" collapsed="false">
      <c r="B277" s="1" t="n">
        <v>276</v>
      </c>
      <c r="C277" s="2" t="n">
        <v>0</v>
      </c>
    </row>
    <row r="278" customFormat="false" ht="13.8" hidden="false" customHeight="false" outlineLevel="0" collapsed="false">
      <c r="B278" s="1" t="n">
        <v>277</v>
      </c>
      <c r="C278" s="2" t="n">
        <v>0</v>
      </c>
    </row>
    <row r="279" customFormat="false" ht="13.8" hidden="false" customHeight="false" outlineLevel="0" collapsed="false">
      <c r="B279" s="1" t="n">
        <v>278</v>
      </c>
      <c r="C279" s="2" t="n">
        <v>0</v>
      </c>
    </row>
    <row r="280" customFormat="false" ht="13.8" hidden="false" customHeight="false" outlineLevel="0" collapsed="false">
      <c r="B280" s="1" t="n">
        <v>279</v>
      </c>
      <c r="C280" s="2" t="n">
        <v>0</v>
      </c>
    </row>
    <row r="281" customFormat="false" ht="13.8" hidden="false" customHeight="false" outlineLevel="0" collapsed="false">
      <c r="B281" s="1" t="n">
        <v>280</v>
      </c>
      <c r="C281" s="2" t="n">
        <v>0</v>
      </c>
    </row>
    <row r="282" customFormat="false" ht="13.8" hidden="false" customHeight="false" outlineLevel="0" collapsed="false">
      <c r="B282" s="1" t="n">
        <v>281</v>
      </c>
      <c r="C282" s="2" t="n">
        <v>0</v>
      </c>
    </row>
    <row r="283" customFormat="false" ht="13.8" hidden="false" customHeight="false" outlineLevel="0" collapsed="false">
      <c r="B283" s="1" t="n">
        <v>282</v>
      </c>
      <c r="C283" s="2" t="n">
        <v>0</v>
      </c>
    </row>
    <row r="284" customFormat="false" ht="13.8" hidden="false" customHeight="false" outlineLevel="0" collapsed="false">
      <c r="B284" s="1" t="n">
        <v>283</v>
      </c>
      <c r="C284" s="2" t="n">
        <v>0</v>
      </c>
    </row>
    <row r="285" customFormat="false" ht="13.8" hidden="false" customHeight="false" outlineLevel="0" collapsed="false">
      <c r="B285" s="1" t="n">
        <v>284</v>
      </c>
      <c r="C285" s="2" t="n">
        <v>0</v>
      </c>
    </row>
    <row r="286" customFormat="false" ht="13.8" hidden="false" customHeight="false" outlineLevel="0" collapsed="false">
      <c r="B286" s="1" t="n">
        <v>285</v>
      </c>
      <c r="C286" s="2" t="n">
        <v>0</v>
      </c>
    </row>
    <row r="287" customFormat="false" ht="13.8" hidden="false" customHeight="false" outlineLevel="0" collapsed="false">
      <c r="B287" s="1" t="n">
        <v>286</v>
      </c>
      <c r="C287" s="2" t="n">
        <v>0</v>
      </c>
    </row>
    <row r="288" customFormat="false" ht="13.8" hidden="false" customHeight="false" outlineLevel="0" collapsed="false">
      <c r="B288" s="1" t="n">
        <v>287</v>
      </c>
      <c r="C288" s="2" t="n">
        <v>0</v>
      </c>
    </row>
    <row r="289" customFormat="false" ht="13.8" hidden="false" customHeight="false" outlineLevel="0" collapsed="false">
      <c r="B289" s="1" t="n">
        <v>288</v>
      </c>
      <c r="C289" s="2" t="n">
        <v>0</v>
      </c>
    </row>
    <row r="290" customFormat="false" ht="13.8" hidden="false" customHeight="false" outlineLevel="0" collapsed="false">
      <c r="B290" s="1" t="n">
        <v>289</v>
      </c>
      <c r="C290" s="2" t="n">
        <v>0</v>
      </c>
    </row>
    <row r="291" customFormat="false" ht="13.8" hidden="false" customHeight="false" outlineLevel="0" collapsed="false">
      <c r="B291" s="1" t="n">
        <v>290</v>
      </c>
      <c r="C291" s="2" t="n">
        <v>0</v>
      </c>
    </row>
    <row r="292" customFormat="false" ht="13.8" hidden="false" customHeight="false" outlineLevel="0" collapsed="false">
      <c r="B292" s="1" t="n">
        <v>291</v>
      </c>
      <c r="C292" s="2" t="n">
        <v>0</v>
      </c>
    </row>
    <row r="293" customFormat="false" ht="13.8" hidden="false" customHeight="false" outlineLevel="0" collapsed="false">
      <c r="B293" s="1" t="n">
        <v>292</v>
      </c>
      <c r="C293" s="2" t="n">
        <v>0</v>
      </c>
    </row>
    <row r="294" customFormat="false" ht="13.8" hidden="false" customHeight="false" outlineLevel="0" collapsed="false">
      <c r="B294" s="1" t="n">
        <v>293</v>
      </c>
      <c r="C294" s="2" t="n">
        <v>0</v>
      </c>
    </row>
    <row r="295" customFormat="false" ht="13.8" hidden="false" customHeight="false" outlineLevel="0" collapsed="false">
      <c r="B295" s="1" t="n">
        <v>294</v>
      </c>
      <c r="C295" s="2" t="n">
        <v>0</v>
      </c>
    </row>
    <row r="296" customFormat="false" ht="13.8" hidden="false" customHeight="false" outlineLevel="0" collapsed="false">
      <c r="B296" s="1" t="n">
        <v>295</v>
      </c>
      <c r="C296" s="2" t="n">
        <v>0</v>
      </c>
    </row>
    <row r="297" customFormat="false" ht="13.8" hidden="false" customHeight="false" outlineLevel="0" collapsed="false">
      <c r="B297" s="1" t="n">
        <v>296</v>
      </c>
      <c r="C297" s="2" t="n">
        <v>0</v>
      </c>
    </row>
    <row r="298" customFormat="false" ht="13.8" hidden="false" customHeight="false" outlineLevel="0" collapsed="false">
      <c r="B298" s="1" t="n">
        <v>297</v>
      </c>
      <c r="C298" s="2" t="n">
        <v>0</v>
      </c>
    </row>
    <row r="299" customFormat="false" ht="13.8" hidden="false" customHeight="false" outlineLevel="0" collapsed="false">
      <c r="B299" s="1" t="n">
        <v>298</v>
      </c>
      <c r="C299" s="2" t="n">
        <v>0</v>
      </c>
    </row>
    <row r="300" customFormat="false" ht="13.8" hidden="false" customHeight="false" outlineLevel="0" collapsed="false">
      <c r="B300" s="1" t="n">
        <v>299</v>
      </c>
      <c r="C300" s="2" t="n">
        <v>0</v>
      </c>
    </row>
    <row r="301" customFormat="false" ht="13.8" hidden="false" customHeight="false" outlineLevel="0" collapsed="false">
      <c r="B301" s="1" t="n">
        <v>300</v>
      </c>
      <c r="C301" s="2" t="n">
        <v>0</v>
      </c>
    </row>
    <row r="302" customFormat="false" ht="13.8" hidden="false" customHeight="false" outlineLevel="0" collapsed="false">
      <c r="B302" s="1" t="n">
        <v>301</v>
      </c>
      <c r="C302" s="2" t="n">
        <v>0</v>
      </c>
    </row>
    <row r="303" customFormat="false" ht="13.8" hidden="false" customHeight="false" outlineLevel="0" collapsed="false">
      <c r="B303" s="1" t="n">
        <v>302</v>
      </c>
      <c r="C303" s="2" t="n">
        <v>0</v>
      </c>
    </row>
    <row r="304" customFormat="false" ht="13.8" hidden="false" customHeight="false" outlineLevel="0" collapsed="false">
      <c r="B304" s="1" t="n">
        <v>303</v>
      </c>
      <c r="C304" s="2" t="n">
        <v>0</v>
      </c>
    </row>
    <row r="305" customFormat="false" ht="13.8" hidden="false" customHeight="false" outlineLevel="0" collapsed="false">
      <c r="B305" s="1" t="n">
        <v>304</v>
      </c>
      <c r="C305" s="2" t="n">
        <v>0</v>
      </c>
    </row>
    <row r="306" customFormat="false" ht="13.8" hidden="false" customHeight="false" outlineLevel="0" collapsed="false">
      <c r="B306" s="1" t="n">
        <v>305</v>
      </c>
      <c r="C306" s="2" t="n">
        <v>0</v>
      </c>
    </row>
    <row r="307" customFormat="false" ht="13.8" hidden="false" customHeight="false" outlineLevel="0" collapsed="false">
      <c r="B307" s="1" t="n">
        <v>306</v>
      </c>
      <c r="C307" s="2" t="n">
        <v>0</v>
      </c>
    </row>
    <row r="308" customFormat="false" ht="13.8" hidden="false" customHeight="false" outlineLevel="0" collapsed="false">
      <c r="B308" s="1" t="n">
        <v>307</v>
      </c>
      <c r="C308" s="2" t="n">
        <v>0</v>
      </c>
    </row>
    <row r="309" customFormat="false" ht="13.8" hidden="false" customHeight="false" outlineLevel="0" collapsed="false">
      <c r="B309" s="1" t="n">
        <v>308</v>
      </c>
      <c r="C309" s="2" t="n">
        <v>0</v>
      </c>
    </row>
    <row r="310" customFormat="false" ht="13.8" hidden="false" customHeight="false" outlineLevel="0" collapsed="false">
      <c r="B310" s="1" t="n">
        <v>309</v>
      </c>
      <c r="C310" s="2" t="n">
        <v>0</v>
      </c>
    </row>
    <row r="311" customFormat="false" ht="13.8" hidden="false" customHeight="false" outlineLevel="0" collapsed="false">
      <c r="B311" s="1" t="n">
        <v>310</v>
      </c>
      <c r="C311" s="2" t="n">
        <v>0.001955</v>
      </c>
    </row>
    <row r="312" customFormat="false" ht="13.8" hidden="false" customHeight="false" outlineLevel="0" collapsed="false">
      <c r="B312" s="1" t="n">
        <v>311</v>
      </c>
      <c r="C312" s="2" t="n">
        <v>0.00391</v>
      </c>
    </row>
    <row r="313" customFormat="false" ht="13.8" hidden="false" customHeight="false" outlineLevel="0" collapsed="false">
      <c r="B313" s="1" t="n">
        <v>312</v>
      </c>
      <c r="C313" s="2" t="n">
        <v>0.005865</v>
      </c>
    </row>
    <row r="314" customFormat="false" ht="13.8" hidden="false" customHeight="false" outlineLevel="0" collapsed="false">
      <c r="B314" s="1" t="n">
        <v>313</v>
      </c>
      <c r="C314" s="2" t="n">
        <v>0.00782</v>
      </c>
    </row>
    <row r="315" customFormat="false" ht="13.8" hidden="false" customHeight="false" outlineLevel="0" collapsed="false">
      <c r="B315" s="1" t="n">
        <v>314</v>
      </c>
      <c r="C315" s="2" t="n">
        <v>0.014230625</v>
      </c>
    </row>
    <row r="316" customFormat="false" ht="13.8" hidden="false" customHeight="false" outlineLevel="0" collapsed="false">
      <c r="B316" s="1" t="n">
        <v>315</v>
      </c>
      <c r="C316" s="2" t="n">
        <v>0.02064125</v>
      </c>
    </row>
    <row r="317" customFormat="false" ht="13.8" hidden="false" customHeight="false" outlineLevel="0" collapsed="false">
      <c r="B317" s="1" t="n">
        <v>316</v>
      </c>
      <c r="C317" s="2" t="n">
        <v>0.027051875</v>
      </c>
    </row>
    <row r="318" customFormat="false" ht="13.8" hidden="false" customHeight="false" outlineLevel="0" collapsed="false">
      <c r="B318" s="1" t="n">
        <v>317</v>
      </c>
      <c r="C318" s="2" t="n">
        <v>0.0334625</v>
      </c>
    </row>
    <row r="319" customFormat="false" ht="13.8" hidden="false" customHeight="false" outlineLevel="0" collapsed="false">
      <c r="B319" s="1" t="n">
        <v>318</v>
      </c>
      <c r="C319" s="2" t="n">
        <v>0.04670625</v>
      </c>
    </row>
    <row r="320" customFormat="false" ht="13.8" hidden="false" customHeight="false" outlineLevel="0" collapsed="false">
      <c r="B320" s="1" t="n">
        <v>319</v>
      </c>
      <c r="C320" s="2" t="n">
        <v>0.05995</v>
      </c>
    </row>
    <row r="321" customFormat="false" ht="13.8" hidden="false" customHeight="false" outlineLevel="0" collapsed="false">
      <c r="B321" s="1" t="n">
        <v>320</v>
      </c>
      <c r="C321" s="2" t="n">
        <v>0.07319375</v>
      </c>
    </row>
    <row r="322" customFormat="false" ht="13.8" hidden="false" customHeight="false" outlineLevel="0" collapsed="false">
      <c r="B322" s="1" t="n">
        <v>321</v>
      </c>
      <c r="C322" s="2" t="n">
        <v>0.0864375</v>
      </c>
    </row>
    <row r="323" customFormat="false" ht="13.8" hidden="false" customHeight="false" outlineLevel="0" collapsed="false">
      <c r="B323" s="1" t="n">
        <v>322</v>
      </c>
      <c r="C323" s="2" t="n">
        <v>0.09504375</v>
      </c>
    </row>
    <row r="324" customFormat="false" ht="13.8" hidden="false" customHeight="false" outlineLevel="0" collapsed="false">
      <c r="B324" s="1" t="n">
        <v>323</v>
      </c>
      <c r="C324" s="2" t="n">
        <v>0.10365</v>
      </c>
    </row>
    <row r="325" customFormat="false" ht="13.8" hidden="false" customHeight="false" outlineLevel="0" collapsed="false">
      <c r="B325" s="1" t="n">
        <v>324</v>
      </c>
      <c r="C325" s="2" t="n">
        <v>0.11225625</v>
      </c>
    </row>
    <row r="326" customFormat="false" ht="13.8" hidden="false" customHeight="false" outlineLevel="0" collapsed="false">
      <c r="B326" s="1" t="n">
        <v>325</v>
      </c>
      <c r="C326" s="2" t="n">
        <v>0.1208625</v>
      </c>
    </row>
    <row r="327" customFormat="false" ht="13.8" hidden="false" customHeight="false" outlineLevel="0" collapsed="false">
      <c r="B327" s="1" t="n">
        <v>326</v>
      </c>
      <c r="C327" s="2" t="n">
        <v>0.130099375</v>
      </c>
    </row>
    <row r="328" customFormat="false" ht="13.8" hidden="false" customHeight="false" outlineLevel="0" collapsed="false">
      <c r="B328" s="1" t="n">
        <v>327</v>
      </c>
      <c r="C328" s="2" t="n">
        <v>0.13933625</v>
      </c>
    </row>
    <row r="329" customFormat="false" ht="13.8" hidden="false" customHeight="false" outlineLevel="0" collapsed="false">
      <c r="B329" s="1" t="n">
        <v>328</v>
      </c>
      <c r="C329" s="2" t="n">
        <v>0.148573125</v>
      </c>
    </row>
    <row r="330" customFormat="false" ht="13.8" hidden="false" customHeight="false" outlineLevel="0" collapsed="false">
      <c r="B330" s="1" t="n">
        <v>329</v>
      </c>
      <c r="C330" s="2" t="n">
        <v>0.15781</v>
      </c>
    </row>
    <row r="331" customFormat="false" ht="13.8" hidden="false" customHeight="false" outlineLevel="0" collapsed="false">
      <c r="B331" s="1" t="n">
        <v>330</v>
      </c>
      <c r="C331" s="2" t="n">
        <v>0.159374375</v>
      </c>
    </row>
    <row r="332" customFormat="false" ht="13.8" hidden="false" customHeight="false" outlineLevel="0" collapsed="false">
      <c r="B332" s="1" t="n">
        <v>331</v>
      </c>
      <c r="C332" s="2" t="n">
        <v>0.16093875</v>
      </c>
    </row>
    <row r="333" customFormat="false" ht="13.8" hidden="false" customHeight="false" outlineLevel="0" collapsed="false">
      <c r="B333" s="1" t="n">
        <v>332</v>
      </c>
      <c r="C333" s="2" t="n">
        <v>0.162503125</v>
      </c>
    </row>
    <row r="334" customFormat="false" ht="13.8" hidden="false" customHeight="false" outlineLevel="0" collapsed="false">
      <c r="B334" s="1" t="n">
        <v>333</v>
      </c>
      <c r="C334" s="2" t="n">
        <v>0.1640675</v>
      </c>
    </row>
    <row r="335" customFormat="false" ht="13.8" hidden="false" customHeight="false" outlineLevel="0" collapsed="false">
      <c r="B335" s="1" t="n">
        <v>334</v>
      </c>
      <c r="C335" s="2" t="n">
        <v>0.16484125</v>
      </c>
    </row>
    <row r="336" customFormat="false" ht="13.8" hidden="false" customHeight="false" outlineLevel="0" collapsed="false">
      <c r="B336" s="1" t="n">
        <v>335</v>
      </c>
      <c r="C336" s="2" t="n">
        <v>0.165615</v>
      </c>
    </row>
    <row r="337" customFormat="false" ht="13.8" hidden="false" customHeight="false" outlineLevel="0" collapsed="false">
      <c r="B337" s="1" t="n">
        <v>336</v>
      </c>
      <c r="C337" s="2" t="n">
        <v>0.16638875</v>
      </c>
    </row>
    <row r="338" customFormat="false" ht="13.8" hidden="false" customHeight="false" outlineLevel="0" collapsed="false">
      <c r="B338" s="1" t="n">
        <v>337</v>
      </c>
      <c r="C338" s="2" t="n">
        <v>0.1671625</v>
      </c>
    </row>
    <row r="339" customFormat="false" ht="13.8" hidden="false" customHeight="false" outlineLevel="0" collapsed="false">
      <c r="B339" s="1" t="n">
        <v>338</v>
      </c>
      <c r="C339" s="2" t="n">
        <v>0.16444125</v>
      </c>
    </row>
    <row r="340" customFormat="false" ht="13.8" hidden="false" customHeight="false" outlineLevel="0" collapsed="false">
      <c r="B340" s="1" t="n">
        <v>339</v>
      </c>
      <c r="C340" s="2" t="n">
        <v>0.16172</v>
      </c>
    </row>
    <row r="341" customFormat="false" ht="13.8" hidden="false" customHeight="false" outlineLevel="0" collapsed="false">
      <c r="B341" s="1" t="n">
        <v>340</v>
      </c>
      <c r="C341" s="2" t="n">
        <v>0.15899875</v>
      </c>
    </row>
    <row r="342" customFormat="false" ht="13.8" hidden="false" customHeight="false" outlineLevel="0" collapsed="false">
      <c r="B342" s="1" t="n">
        <v>341</v>
      </c>
      <c r="C342" s="2" t="n">
        <v>0.1562775</v>
      </c>
    </row>
    <row r="343" customFormat="false" ht="13.8" hidden="false" customHeight="false" outlineLevel="0" collapsed="false">
      <c r="B343" s="1" t="n">
        <v>342</v>
      </c>
      <c r="C343" s="2" t="n">
        <v>0.1407975</v>
      </c>
    </row>
    <row r="344" customFormat="false" ht="13.8" hidden="false" customHeight="false" outlineLevel="0" collapsed="false">
      <c r="B344" s="1" t="n">
        <v>343</v>
      </c>
      <c r="C344" s="2" t="n">
        <v>0.1253175</v>
      </c>
    </row>
    <row r="345" customFormat="false" ht="13.8" hidden="false" customHeight="false" outlineLevel="0" collapsed="false">
      <c r="B345" s="1" t="n">
        <v>344</v>
      </c>
      <c r="C345" s="2" t="n">
        <v>0.1098375</v>
      </c>
    </row>
    <row r="346" customFormat="false" ht="13.8" hidden="false" customHeight="false" outlineLevel="0" collapsed="false">
      <c r="B346" s="1" t="n">
        <v>345</v>
      </c>
      <c r="C346" s="2" t="n">
        <v>0.0943575</v>
      </c>
    </row>
    <row r="347" customFormat="false" ht="13.8" hidden="false" customHeight="false" outlineLevel="0" collapsed="false">
      <c r="B347" s="1" t="n">
        <v>346</v>
      </c>
      <c r="C347" s="2" t="n">
        <v>0.0870375</v>
      </c>
    </row>
    <row r="348" customFormat="false" ht="13.8" hidden="false" customHeight="false" outlineLevel="0" collapsed="false">
      <c r="B348" s="1" t="n">
        <v>347</v>
      </c>
      <c r="C348" s="2" t="n">
        <v>0.0797175</v>
      </c>
    </row>
    <row r="349" customFormat="false" ht="13.8" hidden="false" customHeight="false" outlineLevel="0" collapsed="false">
      <c r="B349" s="1" t="n">
        <v>348</v>
      </c>
      <c r="C349" s="2" t="n">
        <v>0.0723975</v>
      </c>
    </row>
    <row r="350" customFormat="false" ht="13.8" hidden="false" customHeight="false" outlineLevel="0" collapsed="false">
      <c r="B350" s="1" t="n">
        <v>349</v>
      </c>
      <c r="C350" s="2" t="n">
        <v>0.0650775</v>
      </c>
    </row>
    <row r="351" customFormat="false" ht="13.8" hidden="false" customHeight="false" outlineLevel="0" collapsed="false">
      <c r="B351" s="1" t="n">
        <v>350</v>
      </c>
      <c r="C351" s="2" t="n">
        <v>0.052574375</v>
      </c>
    </row>
    <row r="352" customFormat="false" ht="13.8" hidden="false" customHeight="false" outlineLevel="0" collapsed="false">
      <c r="B352" s="1" t="n">
        <v>351</v>
      </c>
      <c r="C352" s="2" t="n">
        <v>0.04007125</v>
      </c>
    </row>
    <row r="353" customFormat="false" ht="13.8" hidden="false" customHeight="false" outlineLevel="0" collapsed="false">
      <c r="B353" s="1" t="n">
        <v>352</v>
      </c>
      <c r="C353" s="2" t="n">
        <v>0.027568125</v>
      </c>
    </row>
    <row r="354" customFormat="false" ht="13.8" hidden="false" customHeight="false" outlineLevel="0" collapsed="false">
      <c r="B354" s="1" t="n">
        <v>353</v>
      </c>
      <c r="C354" s="2" t="n">
        <v>0.015065</v>
      </c>
    </row>
    <row r="355" customFormat="false" ht="13.8" hidden="false" customHeight="false" outlineLevel="0" collapsed="false">
      <c r="B355" s="1" t="n">
        <v>354</v>
      </c>
      <c r="C355" s="2" t="n">
        <v>0.012766875</v>
      </c>
    </row>
    <row r="356" customFormat="false" ht="13.8" hidden="false" customHeight="false" outlineLevel="0" collapsed="false">
      <c r="B356" s="1" t="n">
        <v>355</v>
      </c>
      <c r="C356" s="2" t="n">
        <v>0.01046875</v>
      </c>
    </row>
    <row r="357" customFormat="false" ht="13.8" hidden="false" customHeight="false" outlineLevel="0" collapsed="false">
      <c r="B357" s="1" t="n">
        <v>356</v>
      </c>
      <c r="C357" s="2" t="n">
        <v>0.008170625</v>
      </c>
    </row>
    <row r="358" customFormat="false" ht="13.8" hidden="false" customHeight="false" outlineLevel="0" collapsed="false">
      <c r="B358" s="1" t="n">
        <v>357</v>
      </c>
      <c r="C358" s="2" t="n">
        <v>0.0058725</v>
      </c>
    </row>
    <row r="359" customFormat="false" ht="13.8" hidden="false" customHeight="false" outlineLevel="0" collapsed="false">
      <c r="B359" s="1" t="n">
        <v>358</v>
      </c>
      <c r="C359" s="2" t="n">
        <v>0.004404375</v>
      </c>
    </row>
    <row r="360" customFormat="false" ht="13.8" hidden="false" customHeight="false" outlineLevel="0" collapsed="false">
      <c r="B360" s="1" t="n">
        <v>359</v>
      </c>
      <c r="C360" s="2" t="n">
        <v>0.00293625</v>
      </c>
    </row>
    <row r="361" customFormat="false" ht="13.8" hidden="false" customHeight="false" outlineLevel="0" collapsed="false">
      <c r="B361" s="1" t="n">
        <v>360</v>
      </c>
      <c r="C361" s="2" t="n">
        <v>0.001468125</v>
      </c>
    </row>
    <row r="362" customFormat="false" ht="13.8" hidden="false" customHeight="false" outlineLevel="0" collapsed="false">
      <c r="B362" s="1" t="n">
        <v>361</v>
      </c>
      <c r="C362" s="2" t="n">
        <v>0</v>
      </c>
    </row>
    <row r="363" customFormat="false" ht="13.8" hidden="false" customHeight="false" outlineLevel="0" collapsed="false">
      <c r="B363" s="1" t="n">
        <v>362</v>
      </c>
      <c r="C363" s="2" t="n">
        <v>0</v>
      </c>
    </row>
    <row r="364" customFormat="false" ht="13.8" hidden="false" customHeight="false" outlineLevel="0" collapsed="false">
      <c r="B364" s="1" t="n">
        <v>363</v>
      </c>
      <c r="C364" s="2" t="n">
        <v>0</v>
      </c>
    </row>
    <row r="365" customFormat="false" ht="13.8" hidden="false" customHeight="false" outlineLevel="0" collapsed="false">
      <c r="B365" s="1" t="n">
        <v>364</v>
      </c>
      <c r="C365" s="2" t="n">
        <v>0</v>
      </c>
    </row>
    <row r="366" customFormat="false" ht="13.8" hidden="false" customHeight="false" outlineLevel="0" collapsed="false">
      <c r="B366" s="1" t="n">
        <v>365</v>
      </c>
      <c r="C366" s="2" t="n">
        <v>0</v>
      </c>
    </row>
    <row r="367" customFormat="false" ht="13.8" hidden="false" customHeight="false" outlineLevel="0" collapsed="false">
      <c r="B367" s="1" t="n">
        <v>366</v>
      </c>
      <c r="C367" s="2" t="n">
        <v>0</v>
      </c>
    </row>
    <row r="368" customFormat="false" ht="13.8" hidden="false" customHeight="false" outlineLevel="0" collapsed="false">
      <c r="B368" s="1" t="n">
        <v>367</v>
      </c>
      <c r="C368" s="2" t="n">
        <v>0</v>
      </c>
    </row>
    <row r="369" customFormat="false" ht="13.8" hidden="false" customHeight="false" outlineLevel="0" collapsed="false">
      <c r="B369" s="1" t="n">
        <v>368</v>
      </c>
      <c r="C369" s="2" t="n">
        <v>0</v>
      </c>
    </row>
    <row r="370" customFormat="false" ht="13.8" hidden="false" customHeight="false" outlineLevel="0" collapsed="false">
      <c r="B370" s="1" t="n">
        <v>369</v>
      </c>
      <c r="C370" s="2" t="n">
        <v>0</v>
      </c>
    </row>
    <row r="371" customFormat="false" ht="13.8" hidden="false" customHeight="false" outlineLevel="0" collapsed="false">
      <c r="B371" s="1" t="n">
        <v>370</v>
      </c>
      <c r="C371" s="2" t="n">
        <v>0</v>
      </c>
    </row>
    <row r="372" customFormat="false" ht="13.8" hidden="false" customHeight="false" outlineLevel="0" collapsed="false">
      <c r="B372" s="1" t="n">
        <v>371</v>
      </c>
      <c r="C372" s="2" t="n">
        <v>0</v>
      </c>
    </row>
    <row r="373" customFormat="false" ht="13.8" hidden="false" customHeight="false" outlineLevel="0" collapsed="false">
      <c r="B373" s="1" t="n">
        <v>372</v>
      </c>
      <c r="C373" s="2" t="n">
        <v>0</v>
      </c>
    </row>
    <row r="374" customFormat="false" ht="13.8" hidden="false" customHeight="false" outlineLevel="0" collapsed="false">
      <c r="B374" s="1" t="n">
        <v>373</v>
      </c>
      <c r="C374" s="2" t="n">
        <v>0</v>
      </c>
    </row>
    <row r="375" customFormat="false" ht="13.8" hidden="false" customHeight="false" outlineLevel="0" collapsed="false">
      <c r="B375" s="1" t="n">
        <v>374</v>
      </c>
      <c r="C375" s="2" t="n">
        <v>0</v>
      </c>
    </row>
    <row r="376" customFormat="false" ht="13.8" hidden="false" customHeight="false" outlineLevel="0" collapsed="false">
      <c r="B376" s="1" t="n">
        <v>375</v>
      </c>
      <c r="C376" s="2" t="n">
        <v>0</v>
      </c>
    </row>
    <row r="377" customFormat="false" ht="13.8" hidden="false" customHeight="false" outlineLevel="0" collapsed="false">
      <c r="B377" s="1" t="n">
        <v>376</v>
      </c>
      <c r="C377" s="2" t="n">
        <v>0</v>
      </c>
    </row>
    <row r="378" customFormat="false" ht="13.8" hidden="false" customHeight="false" outlineLevel="0" collapsed="false">
      <c r="B378" s="1" t="n">
        <v>377</v>
      </c>
      <c r="C378" s="2" t="n">
        <v>0</v>
      </c>
    </row>
    <row r="379" customFormat="false" ht="13.8" hidden="false" customHeight="false" outlineLevel="0" collapsed="false">
      <c r="B379" s="1" t="n">
        <v>378</v>
      </c>
      <c r="C379" s="2" t="n">
        <v>0</v>
      </c>
    </row>
    <row r="380" customFormat="false" ht="13.8" hidden="false" customHeight="false" outlineLevel="0" collapsed="false">
      <c r="B380" s="1" t="n">
        <v>379</v>
      </c>
      <c r="C380" s="2" t="n">
        <v>0</v>
      </c>
    </row>
    <row r="381" customFormat="false" ht="13.8" hidden="false" customHeight="false" outlineLevel="0" collapsed="false">
      <c r="B381" s="1" t="n">
        <v>380</v>
      </c>
      <c r="C381" s="2" t="n">
        <v>0</v>
      </c>
    </row>
    <row r="382" customFormat="false" ht="13.8" hidden="false" customHeight="false" outlineLevel="0" collapsed="false">
      <c r="B382" s="1" t="n">
        <v>381</v>
      </c>
      <c r="C382" s="2" t="n">
        <v>0</v>
      </c>
    </row>
    <row r="383" customFormat="false" ht="13.8" hidden="false" customHeight="false" outlineLevel="0" collapsed="false">
      <c r="B383" s="1" t="n">
        <v>382</v>
      </c>
      <c r="C383" s="2" t="n">
        <v>0</v>
      </c>
    </row>
    <row r="384" customFormat="false" ht="13.8" hidden="false" customHeight="false" outlineLevel="0" collapsed="false">
      <c r="B384" s="1" t="n">
        <v>383</v>
      </c>
      <c r="C384" s="2" t="n">
        <v>0</v>
      </c>
    </row>
    <row r="385" customFormat="false" ht="13.8" hidden="false" customHeight="false" outlineLevel="0" collapsed="false">
      <c r="B385" s="1" t="n">
        <v>384</v>
      </c>
      <c r="C385" s="2" t="n">
        <v>0</v>
      </c>
    </row>
    <row r="386" customFormat="false" ht="13.8" hidden="false" customHeight="false" outlineLevel="0" collapsed="false">
      <c r="B386" s="1" t="n">
        <v>385</v>
      </c>
      <c r="C386" s="2" t="n">
        <v>0</v>
      </c>
    </row>
    <row r="387" customFormat="false" ht="13.8" hidden="false" customHeight="false" outlineLevel="0" collapsed="false">
      <c r="B387" s="1" t="n">
        <v>386</v>
      </c>
      <c r="C387" s="2" t="n">
        <v>0</v>
      </c>
    </row>
    <row r="388" customFormat="false" ht="13.8" hidden="false" customHeight="false" outlineLevel="0" collapsed="false">
      <c r="B388" s="1" t="n">
        <v>387</v>
      </c>
      <c r="C388" s="2" t="n">
        <v>0</v>
      </c>
    </row>
    <row r="389" customFormat="false" ht="13.8" hidden="false" customHeight="false" outlineLevel="0" collapsed="false">
      <c r="B389" s="1" t="n">
        <v>388</v>
      </c>
      <c r="C389" s="2" t="n">
        <v>0</v>
      </c>
    </row>
    <row r="390" customFormat="false" ht="13.8" hidden="false" customHeight="false" outlineLevel="0" collapsed="false">
      <c r="B390" s="1" t="n">
        <v>389</v>
      </c>
      <c r="C390" s="2" t="n">
        <v>0</v>
      </c>
    </row>
    <row r="391" customFormat="false" ht="13.8" hidden="false" customHeight="false" outlineLevel="0" collapsed="false">
      <c r="B391" s="1" t="n">
        <v>390</v>
      </c>
      <c r="C391" s="2" t="n">
        <v>0</v>
      </c>
    </row>
    <row r="392" customFormat="false" ht="13.8" hidden="false" customHeight="false" outlineLevel="0" collapsed="false">
      <c r="B392" s="1" t="n">
        <v>391</v>
      </c>
      <c r="C392" s="2" t="n">
        <v>0</v>
      </c>
    </row>
    <row r="393" customFormat="false" ht="13.8" hidden="false" customHeight="false" outlineLevel="0" collapsed="false">
      <c r="B393" s="1" t="n">
        <v>392</v>
      </c>
      <c r="C393" s="2" t="n">
        <v>0</v>
      </c>
    </row>
    <row r="394" customFormat="false" ht="13.8" hidden="false" customHeight="false" outlineLevel="0" collapsed="false">
      <c r="B394" s="1" t="n">
        <v>393</v>
      </c>
      <c r="C394" s="2" t="n">
        <v>0</v>
      </c>
    </row>
    <row r="395" customFormat="false" ht="13.8" hidden="false" customHeight="false" outlineLevel="0" collapsed="false">
      <c r="B395" s="1" t="n">
        <v>394</v>
      </c>
      <c r="C395" s="2" t="n">
        <v>0</v>
      </c>
    </row>
    <row r="396" customFormat="false" ht="13.8" hidden="false" customHeight="false" outlineLevel="0" collapsed="false">
      <c r="B396" s="1" t="n">
        <v>395</v>
      </c>
      <c r="C396" s="2" t="n">
        <v>0</v>
      </c>
    </row>
    <row r="397" customFormat="false" ht="13.8" hidden="false" customHeight="false" outlineLevel="0" collapsed="false">
      <c r="B397" s="1" t="n">
        <v>396</v>
      </c>
      <c r="C397" s="2" t="n">
        <v>0</v>
      </c>
    </row>
    <row r="398" customFormat="false" ht="13.8" hidden="false" customHeight="false" outlineLevel="0" collapsed="false">
      <c r="B398" s="1" t="n">
        <v>397</v>
      </c>
      <c r="C398" s="2" t="n">
        <v>0</v>
      </c>
    </row>
    <row r="399" customFormat="false" ht="13.8" hidden="false" customHeight="false" outlineLevel="0" collapsed="false">
      <c r="B399" s="1" t="n">
        <v>398</v>
      </c>
      <c r="C399" s="2" t="n">
        <v>0</v>
      </c>
    </row>
    <row r="400" customFormat="false" ht="13.8" hidden="false" customHeight="false" outlineLevel="0" collapsed="false">
      <c r="B400" s="1" t="n">
        <v>399</v>
      </c>
      <c r="C400" s="2" t="n">
        <v>0</v>
      </c>
    </row>
    <row r="401" customFormat="false" ht="13.8" hidden="false" customHeight="false" outlineLevel="0" collapsed="false">
      <c r="B401" s="1" t="n">
        <v>400</v>
      </c>
      <c r="C401" s="2" t="n">
        <v>0</v>
      </c>
    </row>
    <row r="402" customFormat="false" ht="13.8" hidden="false" customHeight="false" outlineLevel="0" collapsed="false">
      <c r="B402" s="1" t="n">
        <v>401</v>
      </c>
      <c r="C402" s="2" t="n">
        <v>0</v>
      </c>
    </row>
    <row r="403" customFormat="false" ht="13.8" hidden="false" customHeight="false" outlineLevel="0" collapsed="false">
      <c r="B403" s="1" t="n">
        <v>402</v>
      </c>
      <c r="C403" s="2" t="n">
        <v>0</v>
      </c>
    </row>
    <row r="404" customFormat="false" ht="13.8" hidden="false" customHeight="false" outlineLevel="0" collapsed="false">
      <c r="B404" s="1" t="n">
        <v>403</v>
      </c>
      <c r="C404" s="2" t="n">
        <v>0</v>
      </c>
    </row>
    <row r="405" customFormat="false" ht="13.8" hidden="false" customHeight="false" outlineLevel="0" collapsed="false">
      <c r="B405" s="1" t="n">
        <v>404</v>
      </c>
      <c r="C405" s="2" t="n">
        <v>0</v>
      </c>
    </row>
    <row r="406" customFormat="false" ht="13.8" hidden="false" customHeight="false" outlineLevel="0" collapsed="false">
      <c r="B406" s="1" t="n">
        <v>405</v>
      </c>
      <c r="C406" s="2" t="n">
        <v>0</v>
      </c>
    </row>
    <row r="407" customFormat="false" ht="13.8" hidden="false" customHeight="false" outlineLevel="0" collapsed="false">
      <c r="B407" s="1" t="n">
        <v>406</v>
      </c>
      <c r="C407" s="2" t="n">
        <v>0.001686875</v>
      </c>
    </row>
    <row r="408" customFormat="false" ht="13.8" hidden="false" customHeight="false" outlineLevel="0" collapsed="false">
      <c r="B408" s="1" t="n">
        <v>407</v>
      </c>
      <c r="C408" s="2" t="n">
        <v>0.00337375</v>
      </c>
    </row>
    <row r="409" customFormat="false" ht="13.8" hidden="false" customHeight="false" outlineLevel="0" collapsed="false">
      <c r="B409" s="1" t="n">
        <v>408</v>
      </c>
      <c r="C409" s="2" t="n">
        <v>0.005060625</v>
      </c>
    </row>
    <row r="410" customFormat="false" ht="13.8" hidden="false" customHeight="false" outlineLevel="0" collapsed="false">
      <c r="B410" s="1" t="n">
        <v>409</v>
      </c>
      <c r="C410" s="2" t="n">
        <v>0.0067475</v>
      </c>
    </row>
    <row r="411" customFormat="false" ht="13.8" hidden="false" customHeight="false" outlineLevel="0" collapsed="false">
      <c r="B411" s="1" t="n">
        <v>410</v>
      </c>
      <c r="C411" s="2" t="n">
        <v>0.01373625</v>
      </c>
    </row>
    <row r="412" customFormat="false" ht="13.8" hidden="false" customHeight="false" outlineLevel="0" collapsed="false">
      <c r="B412" s="1" t="n">
        <v>411</v>
      </c>
      <c r="C412" s="2" t="n">
        <v>0.020725</v>
      </c>
    </row>
    <row r="413" customFormat="false" ht="13.8" hidden="false" customHeight="false" outlineLevel="0" collapsed="false">
      <c r="B413" s="1" t="n">
        <v>412</v>
      </c>
      <c r="C413" s="2" t="n">
        <v>0.02771375</v>
      </c>
    </row>
    <row r="414" customFormat="false" ht="13.8" hidden="false" customHeight="false" outlineLevel="0" collapsed="false">
      <c r="B414" s="1" t="n">
        <v>413</v>
      </c>
      <c r="C414" s="2" t="n">
        <v>0.0347025</v>
      </c>
    </row>
    <row r="415" customFormat="false" ht="13.8" hidden="false" customHeight="false" outlineLevel="0" collapsed="false">
      <c r="B415" s="1" t="n">
        <v>414</v>
      </c>
      <c r="C415" s="2" t="n">
        <v>0.04805125</v>
      </c>
    </row>
    <row r="416" customFormat="false" ht="13.8" hidden="false" customHeight="false" outlineLevel="0" collapsed="false">
      <c r="B416" s="1" t="n">
        <v>415</v>
      </c>
      <c r="C416" s="2" t="n">
        <v>0.0614</v>
      </c>
    </row>
    <row r="417" customFormat="false" ht="13.8" hidden="false" customHeight="false" outlineLevel="0" collapsed="false">
      <c r="B417" s="1" t="n">
        <v>416</v>
      </c>
      <c r="C417" s="2" t="n">
        <v>0.07474875</v>
      </c>
    </row>
    <row r="418" customFormat="false" ht="13.8" hidden="false" customHeight="false" outlineLevel="0" collapsed="false">
      <c r="B418" s="1" t="n">
        <v>417</v>
      </c>
      <c r="C418" s="2" t="n">
        <v>0.0880975</v>
      </c>
    </row>
    <row r="419" customFormat="false" ht="13.8" hidden="false" customHeight="false" outlineLevel="0" collapsed="false">
      <c r="B419" s="1" t="n">
        <v>418</v>
      </c>
      <c r="C419" s="2" t="n">
        <v>0.097803125</v>
      </c>
    </row>
    <row r="420" customFormat="false" ht="13.8" hidden="false" customHeight="false" outlineLevel="0" collapsed="false">
      <c r="B420" s="1" t="n">
        <v>419</v>
      </c>
      <c r="C420" s="2" t="n">
        <v>0.10750875</v>
      </c>
    </row>
    <row r="421" customFormat="false" ht="13.8" hidden="false" customHeight="false" outlineLevel="0" collapsed="false">
      <c r="B421" s="1" t="n">
        <v>420</v>
      </c>
      <c r="C421" s="2" t="n">
        <v>0.117214375</v>
      </c>
    </row>
    <row r="422" customFormat="false" ht="13.8" hidden="false" customHeight="false" outlineLevel="0" collapsed="false">
      <c r="B422" s="1" t="n">
        <v>421</v>
      </c>
      <c r="C422" s="2" t="n">
        <v>0.12692</v>
      </c>
    </row>
    <row r="423" customFormat="false" ht="13.8" hidden="false" customHeight="false" outlineLevel="0" collapsed="false">
      <c r="B423" s="1" t="n">
        <v>422</v>
      </c>
      <c r="C423" s="2" t="n">
        <v>0.1334675</v>
      </c>
    </row>
    <row r="424" customFormat="false" ht="13.8" hidden="false" customHeight="false" outlineLevel="0" collapsed="false">
      <c r="B424" s="1" t="n">
        <v>423</v>
      </c>
      <c r="C424" s="2" t="n">
        <v>0.140015</v>
      </c>
    </row>
    <row r="425" customFormat="false" ht="13.8" hidden="false" customHeight="false" outlineLevel="0" collapsed="false">
      <c r="B425" s="1" t="n">
        <v>424</v>
      </c>
      <c r="C425" s="2" t="n">
        <v>0.1465625</v>
      </c>
    </row>
    <row r="426" customFormat="false" ht="13.8" hidden="false" customHeight="false" outlineLevel="0" collapsed="false">
      <c r="B426" s="1" t="n">
        <v>425</v>
      </c>
      <c r="C426" s="2" t="n">
        <v>0.15311</v>
      </c>
    </row>
    <row r="427" customFormat="false" ht="13.8" hidden="false" customHeight="false" outlineLevel="0" collapsed="false">
      <c r="B427" s="1" t="n">
        <v>426</v>
      </c>
      <c r="C427" s="2" t="n">
        <v>0.155935625</v>
      </c>
    </row>
    <row r="428" customFormat="false" ht="13.8" hidden="false" customHeight="false" outlineLevel="0" collapsed="false">
      <c r="B428" s="1" t="n">
        <v>427</v>
      </c>
      <c r="C428" s="2" t="n">
        <v>0.15876125</v>
      </c>
    </row>
    <row r="429" customFormat="false" ht="13.8" hidden="false" customHeight="false" outlineLevel="0" collapsed="false">
      <c r="B429" s="1" t="n">
        <v>428</v>
      </c>
      <c r="C429" s="2" t="n">
        <v>0.161586875</v>
      </c>
    </row>
    <row r="430" customFormat="false" ht="13.8" hidden="false" customHeight="false" outlineLevel="0" collapsed="false">
      <c r="B430" s="1" t="n">
        <v>429</v>
      </c>
      <c r="C430" s="2" t="n">
        <v>0.1644125</v>
      </c>
    </row>
    <row r="431" customFormat="false" ht="13.8" hidden="false" customHeight="false" outlineLevel="0" collapsed="false">
      <c r="B431" s="1" t="n">
        <v>430</v>
      </c>
      <c r="C431" s="2" t="n">
        <v>0.168485</v>
      </c>
    </row>
    <row r="432" customFormat="false" ht="13.8" hidden="false" customHeight="false" outlineLevel="0" collapsed="false">
      <c r="B432" s="1" t="n">
        <v>431</v>
      </c>
      <c r="C432" s="2" t="n">
        <v>0.1725575</v>
      </c>
    </row>
    <row r="433" customFormat="false" ht="13.8" hidden="false" customHeight="false" outlineLevel="0" collapsed="false">
      <c r="B433" s="1" t="n">
        <v>432</v>
      </c>
      <c r="C433" s="2" t="n">
        <v>0.17663</v>
      </c>
    </row>
    <row r="434" customFormat="false" ht="13.8" hidden="false" customHeight="false" outlineLevel="0" collapsed="false">
      <c r="B434" s="1" t="n">
        <v>433</v>
      </c>
      <c r="C434" s="2" t="n">
        <v>0.1807025</v>
      </c>
    </row>
    <row r="435" customFormat="false" ht="13.8" hidden="false" customHeight="false" outlineLevel="0" collapsed="false">
      <c r="B435" s="1" t="n">
        <v>434</v>
      </c>
      <c r="C435" s="2" t="n">
        <v>0.1793175</v>
      </c>
    </row>
    <row r="436" customFormat="false" ht="13.8" hidden="false" customHeight="false" outlineLevel="0" collapsed="false">
      <c r="B436" s="1" t="n">
        <v>435</v>
      </c>
      <c r="C436" s="2" t="n">
        <v>0.1779325</v>
      </c>
    </row>
    <row r="437" customFormat="false" ht="13.8" hidden="false" customHeight="false" outlineLevel="0" collapsed="false">
      <c r="B437" s="1" t="n">
        <v>436</v>
      </c>
      <c r="C437" s="2" t="n">
        <v>0.1765475</v>
      </c>
    </row>
    <row r="438" customFormat="false" ht="13.8" hidden="false" customHeight="false" outlineLevel="0" collapsed="false">
      <c r="B438" s="1" t="n">
        <v>437</v>
      </c>
      <c r="C438" s="2" t="n">
        <v>0.1751625</v>
      </c>
    </row>
    <row r="439" customFormat="false" ht="13.8" hidden="false" customHeight="false" outlineLevel="0" collapsed="false">
      <c r="B439" s="1" t="n">
        <v>438</v>
      </c>
      <c r="C439" s="2" t="n">
        <v>0.14384</v>
      </c>
    </row>
    <row r="440" customFormat="false" ht="13.8" hidden="false" customHeight="false" outlineLevel="0" collapsed="false">
      <c r="B440" s="1" t="n">
        <v>439</v>
      </c>
      <c r="C440" s="2" t="n">
        <v>0.1125175</v>
      </c>
    </row>
    <row r="441" customFormat="false" ht="13.8" hidden="false" customHeight="false" outlineLevel="0" collapsed="false">
      <c r="B441" s="1" t="n">
        <v>440</v>
      </c>
      <c r="C441" s="2" t="n">
        <v>0.081195</v>
      </c>
    </row>
    <row r="442" customFormat="false" ht="13.8" hidden="false" customHeight="false" outlineLevel="0" collapsed="false">
      <c r="B442" s="1" t="n">
        <v>441</v>
      </c>
      <c r="C442" s="2" t="n">
        <v>0.0498725</v>
      </c>
    </row>
    <row r="443" customFormat="false" ht="13.8" hidden="false" customHeight="false" outlineLevel="0" collapsed="false">
      <c r="B443" s="1" t="n">
        <v>442</v>
      </c>
      <c r="C443" s="2" t="n">
        <v>0.05494375</v>
      </c>
    </row>
    <row r="444" customFormat="false" ht="13.8" hidden="false" customHeight="false" outlineLevel="0" collapsed="false">
      <c r="B444" s="1" t="n">
        <v>443</v>
      </c>
      <c r="C444" s="2" t="n">
        <v>0.060015</v>
      </c>
    </row>
    <row r="445" customFormat="false" ht="13.8" hidden="false" customHeight="false" outlineLevel="0" collapsed="false">
      <c r="B445" s="1" t="n">
        <v>444</v>
      </c>
      <c r="C445" s="2" t="n">
        <v>0.06508625</v>
      </c>
    </row>
    <row r="446" customFormat="false" ht="13.8" hidden="false" customHeight="false" outlineLevel="0" collapsed="false">
      <c r="B446" s="1" t="n">
        <v>445</v>
      </c>
      <c r="C446" s="2" t="n">
        <v>0.0701575</v>
      </c>
    </row>
    <row r="447" customFormat="false" ht="13.8" hidden="false" customHeight="false" outlineLevel="0" collapsed="false">
      <c r="B447" s="1" t="n">
        <v>446</v>
      </c>
      <c r="C447" s="2" t="n">
        <v>0.06392</v>
      </c>
    </row>
    <row r="448" customFormat="false" ht="13.8" hidden="false" customHeight="false" outlineLevel="0" collapsed="false">
      <c r="B448" s="1" t="n">
        <v>447</v>
      </c>
      <c r="C448" s="2" t="n">
        <v>0.0576825</v>
      </c>
    </row>
    <row r="449" customFormat="false" ht="13.8" hidden="false" customHeight="false" outlineLevel="0" collapsed="false">
      <c r="B449" s="1" t="n">
        <v>448</v>
      </c>
      <c r="C449" s="2" t="n">
        <v>0.051445</v>
      </c>
    </row>
    <row r="450" customFormat="false" ht="13.8" hidden="false" customHeight="false" outlineLevel="0" collapsed="false">
      <c r="B450" s="1" t="n">
        <v>449</v>
      </c>
      <c r="C450" s="2" t="n">
        <v>0.0452075</v>
      </c>
    </row>
    <row r="451" customFormat="false" ht="13.8" hidden="false" customHeight="false" outlineLevel="0" collapsed="false">
      <c r="B451" s="1" t="n">
        <v>450</v>
      </c>
      <c r="C451" s="2" t="n">
        <v>0.039648125</v>
      </c>
    </row>
    <row r="452" customFormat="false" ht="13.8" hidden="false" customHeight="false" outlineLevel="0" collapsed="false">
      <c r="B452" s="1" t="n">
        <v>451</v>
      </c>
      <c r="C452" s="2" t="n">
        <v>0.03408875</v>
      </c>
    </row>
    <row r="453" customFormat="false" ht="13.8" hidden="false" customHeight="false" outlineLevel="0" collapsed="false">
      <c r="B453" s="1" t="n">
        <v>452</v>
      </c>
      <c r="C453" s="2" t="n">
        <v>0.028529375</v>
      </c>
    </row>
    <row r="454" customFormat="false" ht="13.8" hidden="false" customHeight="false" outlineLevel="0" collapsed="false">
      <c r="B454" s="1" t="n">
        <v>453</v>
      </c>
      <c r="C454" s="2" t="n">
        <v>0.02297</v>
      </c>
    </row>
    <row r="455" customFormat="false" ht="13.8" hidden="false" customHeight="false" outlineLevel="0" collapsed="false">
      <c r="B455" s="1" t="n">
        <v>454</v>
      </c>
      <c r="C455" s="2" t="n">
        <v>0.017274375</v>
      </c>
    </row>
    <row r="456" customFormat="false" ht="13.8" hidden="false" customHeight="false" outlineLevel="0" collapsed="false">
      <c r="B456" s="1" t="n">
        <v>455</v>
      </c>
      <c r="C456" s="2" t="n">
        <v>0.01157875</v>
      </c>
    </row>
    <row r="457" customFormat="false" ht="13.8" hidden="false" customHeight="false" outlineLevel="0" collapsed="false">
      <c r="B457" s="1" t="n">
        <v>456</v>
      </c>
      <c r="C457" s="2" t="n">
        <v>0.005883125</v>
      </c>
    </row>
    <row r="458" customFormat="false" ht="13.8" hidden="false" customHeight="false" outlineLevel="0" collapsed="false">
      <c r="B458" s="1" t="n">
        <v>457</v>
      </c>
      <c r="C458" s="2" t="n">
        <v>0.0001875</v>
      </c>
    </row>
    <row r="459" customFormat="false" ht="13.8" hidden="false" customHeight="false" outlineLevel="0" collapsed="false">
      <c r="B459" s="1" t="n">
        <v>458</v>
      </c>
      <c r="C459" s="2" t="n">
        <v>0.000140625</v>
      </c>
    </row>
    <row r="460" customFormat="false" ht="13.8" hidden="false" customHeight="false" outlineLevel="0" collapsed="false">
      <c r="B460" s="1" t="n">
        <v>459</v>
      </c>
      <c r="C460" s="2" t="n">
        <v>9.375E-005</v>
      </c>
    </row>
    <row r="461" customFormat="false" ht="13.8" hidden="false" customHeight="false" outlineLevel="0" collapsed="false">
      <c r="B461" s="1" t="n">
        <v>460</v>
      </c>
      <c r="C461" s="2" t="n">
        <v>4.6875E-005</v>
      </c>
    </row>
    <row r="462" customFormat="false" ht="13.8" hidden="false" customHeight="false" outlineLevel="0" collapsed="false">
      <c r="B462" s="1" t="n">
        <v>461</v>
      </c>
      <c r="C462" s="2" t="n">
        <v>0</v>
      </c>
    </row>
    <row r="463" customFormat="false" ht="13.8" hidden="false" customHeight="false" outlineLevel="0" collapsed="false">
      <c r="B463" s="1" t="n">
        <v>462</v>
      </c>
      <c r="C463" s="2" t="n">
        <v>0</v>
      </c>
    </row>
    <row r="464" customFormat="false" ht="13.8" hidden="false" customHeight="false" outlineLevel="0" collapsed="false">
      <c r="B464" s="1" t="n">
        <v>463</v>
      </c>
      <c r="C464" s="2" t="n">
        <v>0</v>
      </c>
    </row>
    <row r="465" customFormat="false" ht="13.8" hidden="false" customHeight="false" outlineLevel="0" collapsed="false">
      <c r="B465" s="1" t="n">
        <v>464</v>
      </c>
      <c r="C465" s="2" t="n">
        <v>0</v>
      </c>
    </row>
    <row r="466" customFormat="false" ht="13.8" hidden="false" customHeight="false" outlineLevel="0" collapsed="false">
      <c r="B466" s="1" t="n">
        <v>465</v>
      </c>
      <c r="C466" s="2" t="n">
        <v>0</v>
      </c>
    </row>
    <row r="467" customFormat="false" ht="13.8" hidden="false" customHeight="false" outlineLevel="0" collapsed="false">
      <c r="B467" s="1" t="n">
        <v>466</v>
      </c>
      <c r="C467" s="2" t="n">
        <v>0</v>
      </c>
    </row>
    <row r="468" customFormat="false" ht="13.8" hidden="false" customHeight="false" outlineLevel="0" collapsed="false">
      <c r="B468" s="1" t="n">
        <v>467</v>
      </c>
      <c r="C468" s="2" t="n">
        <v>0</v>
      </c>
    </row>
    <row r="469" customFormat="false" ht="13.8" hidden="false" customHeight="false" outlineLevel="0" collapsed="false">
      <c r="B469" s="1" t="n">
        <v>468</v>
      </c>
      <c r="C469" s="2" t="n">
        <v>0</v>
      </c>
    </row>
    <row r="470" customFormat="false" ht="13.8" hidden="false" customHeight="false" outlineLevel="0" collapsed="false">
      <c r="B470" s="1" t="n">
        <v>469</v>
      </c>
      <c r="C470" s="2" t="n">
        <v>0</v>
      </c>
    </row>
    <row r="471" customFormat="false" ht="13.8" hidden="false" customHeight="false" outlineLevel="0" collapsed="false">
      <c r="B471" s="1" t="n">
        <v>470</v>
      </c>
      <c r="C471" s="2" t="n">
        <v>0</v>
      </c>
    </row>
    <row r="472" customFormat="false" ht="13.8" hidden="false" customHeight="false" outlineLevel="0" collapsed="false">
      <c r="B472" s="1" t="n">
        <v>471</v>
      </c>
      <c r="C472" s="2" t="n">
        <v>0</v>
      </c>
    </row>
    <row r="473" customFormat="false" ht="13.8" hidden="false" customHeight="false" outlineLevel="0" collapsed="false">
      <c r="B473" s="1" t="n">
        <v>472</v>
      </c>
      <c r="C473" s="2" t="n">
        <v>0</v>
      </c>
    </row>
    <row r="474" customFormat="false" ht="13.8" hidden="false" customHeight="false" outlineLevel="0" collapsed="false">
      <c r="B474" s="1" t="n">
        <v>473</v>
      </c>
      <c r="C474" s="2" t="n">
        <v>0</v>
      </c>
    </row>
    <row r="475" customFormat="false" ht="13.8" hidden="false" customHeight="false" outlineLevel="0" collapsed="false">
      <c r="B475" s="1" t="n">
        <v>474</v>
      </c>
      <c r="C475" s="2" t="n">
        <v>0</v>
      </c>
    </row>
    <row r="476" customFormat="false" ht="13.8" hidden="false" customHeight="false" outlineLevel="0" collapsed="false">
      <c r="B476" s="1" t="n">
        <v>475</v>
      </c>
      <c r="C476" s="2" t="n">
        <v>0</v>
      </c>
    </row>
    <row r="477" customFormat="false" ht="13.8" hidden="false" customHeight="false" outlineLevel="0" collapsed="false">
      <c r="B477" s="1" t="n">
        <v>476</v>
      </c>
      <c r="C477" s="2" t="n">
        <v>0</v>
      </c>
    </row>
    <row r="478" customFormat="false" ht="13.8" hidden="false" customHeight="false" outlineLevel="0" collapsed="false">
      <c r="B478" s="1" t="n">
        <v>477</v>
      </c>
      <c r="C478" s="2" t="n">
        <v>0</v>
      </c>
    </row>
    <row r="479" customFormat="false" ht="13.8" hidden="false" customHeight="false" outlineLevel="0" collapsed="false">
      <c r="B479" s="1" t="n">
        <v>478</v>
      </c>
      <c r="C479" s="2" t="n">
        <v>0</v>
      </c>
    </row>
    <row r="480" customFormat="false" ht="13.8" hidden="false" customHeight="false" outlineLevel="0" collapsed="false">
      <c r="B480" s="1" t="n">
        <v>479</v>
      </c>
      <c r="C480" s="2" t="n">
        <v>0</v>
      </c>
    </row>
    <row r="481" customFormat="false" ht="13.8" hidden="false" customHeight="false" outlineLevel="0" collapsed="false">
      <c r="B481" s="1" t="n">
        <v>480</v>
      </c>
      <c r="C481" s="2" t="n">
        <v>0</v>
      </c>
    </row>
    <row r="482" customFormat="false" ht="13.8" hidden="false" customHeight="false" outlineLevel="0" collapsed="false">
      <c r="B482" s="1" t="n">
        <v>481</v>
      </c>
      <c r="C482" s="2" t="n">
        <v>0</v>
      </c>
    </row>
    <row r="483" customFormat="false" ht="13.8" hidden="false" customHeight="false" outlineLevel="0" collapsed="false">
      <c r="B483" s="1" t="n">
        <v>482</v>
      </c>
      <c r="C483" s="2" t="n">
        <v>0</v>
      </c>
    </row>
    <row r="484" customFormat="false" ht="13.8" hidden="false" customHeight="false" outlineLevel="0" collapsed="false">
      <c r="B484" s="1" t="n">
        <v>483</v>
      </c>
      <c r="C484" s="2" t="n">
        <v>0</v>
      </c>
    </row>
    <row r="485" customFormat="false" ht="13.8" hidden="false" customHeight="false" outlineLevel="0" collapsed="false">
      <c r="B485" s="1" t="n">
        <v>484</v>
      </c>
      <c r="C485" s="2" t="n">
        <v>0</v>
      </c>
    </row>
    <row r="486" customFormat="false" ht="13.8" hidden="false" customHeight="false" outlineLevel="0" collapsed="false">
      <c r="B486" s="1" t="n">
        <v>485</v>
      </c>
      <c r="C486" s="2" t="n">
        <v>0</v>
      </c>
    </row>
    <row r="487" customFormat="false" ht="13.8" hidden="false" customHeight="false" outlineLevel="0" collapsed="false">
      <c r="B487" s="1" t="n">
        <v>486</v>
      </c>
      <c r="C487" s="2" t="n">
        <v>0</v>
      </c>
    </row>
    <row r="488" customFormat="false" ht="13.8" hidden="false" customHeight="false" outlineLevel="0" collapsed="false">
      <c r="B488" s="1" t="n">
        <v>487</v>
      </c>
      <c r="C488" s="2" t="n">
        <v>0</v>
      </c>
    </row>
    <row r="489" customFormat="false" ht="13.8" hidden="false" customHeight="false" outlineLevel="0" collapsed="false">
      <c r="B489" s="1" t="n">
        <v>488</v>
      </c>
      <c r="C489" s="2" t="n">
        <v>0</v>
      </c>
    </row>
    <row r="490" customFormat="false" ht="13.8" hidden="false" customHeight="false" outlineLevel="0" collapsed="false">
      <c r="B490" s="1" t="n">
        <v>489</v>
      </c>
      <c r="C490" s="2" t="n">
        <v>0</v>
      </c>
    </row>
    <row r="491" customFormat="false" ht="13.8" hidden="false" customHeight="false" outlineLevel="0" collapsed="false">
      <c r="B491" s="1" t="n">
        <v>490</v>
      </c>
      <c r="C491" s="2" t="n">
        <v>0</v>
      </c>
    </row>
    <row r="492" customFormat="false" ht="13.8" hidden="false" customHeight="false" outlineLevel="0" collapsed="false">
      <c r="B492" s="1" t="n">
        <v>491</v>
      </c>
      <c r="C492" s="2" t="n">
        <v>0</v>
      </c>
    </row>
    <row r="493" customFormat="false" ht="13.8" hidden="false" customHeight="false" outlineLevel="0" collapsed="false">
      <c r="B493" s="1" t="n">
        <v>492</v>
      </c>
      <c r="C493" s="2" t="n">
        <v>0</v>
      </c>
    </row>
    <row r="494" customFormat="false" ht="13.8" hidden="false" customHeight="false" outlineLevel="0" collapsed="false">
      <c r="B494" s="1" t="n">
        <v>493</v>
      </c>
      <c r="C494" s="2" t="n">
        <v>0</v>
      </c>
    </row>
    <row r="495" customFormat="false" ht="13.8" hidden="false" customHeight="false" outlineLevel="0" collapsed="false">
      <c r="B495" s="1" t="n">
        <v>494</v>
      </c>
      <c r="C495" s="2" t="n">
        <v>0</v>
      </c>
    </row>
    <row r="496" customFormat="false" ht="13.8" hidden="false" customHeight="false" outlineLevel="0" collapsed="false">
      <c r="B496" s="1" t="n">
        <v>495</v>
      </c>
      <c r="C496" s="2" t="n">
        <v>0</v>
      </c>
    </row>
    <row r="497" customFormat="false" ht="13.8" hidden="false" customHeight="false" outlineLevel="0" collapsed="false">
      <c r="B497" s="1" t="n">
        <v>496</v>
      </c>
      <c r="C497" s="2" t="n">
        <v>0</v>
      </c>
    </row>
    <row r="498" customFormat="false" ht="13.8" hidden="false" customHeight="false" outlineLevel="0" collapsed="false">
      <c r="B498" s="1" t="n">
        <v>497</v>
      </c>
      <c r="C498" s="2" t="n">
        <v>0</v>
      </c>
    </row>
    <row r="499" customFormat="false" ht="13.8" hidden="false" customHeight="false" outlineLevel="0" collapsed="false">
      <c r="B499" s="1" t="n">
        <v>498</v>
      </c>
      <c r="C499" s="2" t="n">
        <v>0</v>
      </c>
    </row>
    <row r="500" customFormat="false" ht="13.8" hidden="false" customHeight="false" outlineLevel="0" collapsed="false">
      <c r="B500" s="1" t="n">
        <v>499</v>
      </c>
      <c r="C500" s="2" t="n">
        <v>0</v>
      </c>
    </row>
    <row r="501" customFormat="false" ht="13.8" hidden="false" customHeight="false" outlineLevel="0" collapsed="false">
      <c r="B501" s="1" t="n">
        <v>500</v>
      </c>
      <c r="C501" s="2" t="n">
        <v>0</v>
      </c>
    </row>
    <row r="502" customFormat="false" ht="13.8" hidden="false" customHeight="false" outlineLevel="0" collapsed="false">
      <c r="B502" s="1" t="n">
        <v>501</v>
      </c>
      <c r="C502" s="2" t="n">
        <v>0</v>
      </c>
    </row>
    <row r="503" customFormat="false" ht="13.8" hidden="false" customHeight="false" outlineLevel="0" collapsed="false">
      <c r="B503" s="1" t="n">
        <v>502</v>
      </c>
      <c r="C503" s="2" t="n">
        <v>7.1875E-005</v>
      </c>
    </row>
    <row r="504" customFormat="false" ht="13.8" hidden="false" customHeight="false" outlineLevel="0" collapsed="false">
      <c r="B504" s="1" t="n">
        <v>503</v>
      </c>
      <c r="C504" s="2" t="n">
        <v>0.00014375</v>
      </c>
    </row>
    <row r="505" customFormat="false" ht="13.8" hidden="false" customHeight="false" outlineLevel="0" collapsed="false">
      <c r="B505" s="1" t="n">
        <v>504</v>
      </c>
      <c r="C505" s="2" t="n">
        <v>0.000215625</v>
      </c>
    </row>
    <row r="506" customFormat="false" ht="13.8" hidden="false" customHeight="false" outlineLevel="0" collapsed="false">
      <c r="B506" s="1" t="n">
        <v>505</v>
      </c>
      <c r="C506" s="2" t="n">
        <v>0.0002875</v>
      </c>
    </row>
    <row r="507" customFormat="false" ht="13.8" hidden="false" customHeight="false" outlineLevel="0" collapsed="false">
      <c r="B507" s="1" t="n">
        <v>506</v>
      </c>
      <c r="C507" s="2" t="n">
        <v>0.001044375</v>
      </c>
    </row>
    <row r="508" customFormat="false" ht="13.8" hidden="false" customHeight="false" outlineLevel="0" collapsed="false">
      <c r="B508" s="1" t="n">
        <v>507</v>
      </c>
      <c r="C508" s="2" t="n">
        <v>0.00180125</v>
      </c>
    </row>
    <row r="509" customFormat="false" ht="13.8" hidden="false" customHeight="false" outlineLevel="0" collapsed="false">
      <c r="B509" s="1" t="n">
        <v>508</v>
      </c>
      <c r="C509" s="2" t="n">
        <v>0.002558125</v>
      </c>
    </row>
    <row r="510" customFormat="false" ht="13.8" hidden="false" customHeight="false" outlineLevel="0" collapsed="false">
      <c r="B510" s="1" t="n">
        <v>509</v>
      </c>
      <c r="C510" s="2" t="n">
        <v>0.003315</v>
      </c>
    </row>
    <row r="511" customFormat="false" ht="13.8" hidden="false" customHeight="false" outlineLevel="0" collapsed="false">
      <c r="B511" s="1" t="n">
        <v>510</v>
      </c>
      <c r="C511" s="2" t="n">
        <v>0.013855625</v>
      </c>
    </row>
    <row r="512" customFormat="false" ht="13.8" hidden="false" customHeight="false" outlineLevel="0" collapsed="false">
      <c r="B512" s="1" t="n">
        <v>511</v>
      </c>
      <c r="C512" s="2" t="n">
        <v>0.02439625</v>
      </c>
    </row>
    <row r="513" customFormat="false" ht="13.8" hidden="false" customHeight="false" outlineLevel="0" collapsed="false">
      <c r="B513" s="1" t="n">
        <v>512</v>
      </c>
      <c r="C513" s="2" t="n">
        <v>0.034936875</v>
      </c>
    </row>
    <row r="514" customFormat="false" ht="13.8" hidden="false" customHeight="false" outlineLevel="0" collapsed="false">
      <c r="B514" s="1" t="n">
        <v>513</v>
      </c>
      <c r="C514" s="2" t="n">
        <v>0.0454775</v>
      </c>
    </row>
    <row r="515" customFormat="false" ht="13.8" hidden="false" customHeight="false" outlineLevel="0" collapsed="false">
      <c r="B515" s="1" t="n">
        <v>514</v>
      </c>
      <c r="C515" s="2" t="n">
        <v>0.0545375</v>
      </c>
    </row>
    <row r="516" customFormat="false" ht="13.8" hidden="false" customHeight="false" outlineLevel="0" collapsed="false">
      <c r="B516" s="1" t="n">
        <v>515</v>
      </c>
      <c r="C516" s="2" t="n">
        <v>0.0635975</v>
      </c>
    </row>
    <row r="517" customFormat="false" ht="13.8" hidden="false" customHeight="false" outlineLevel="0" collapsed="false">
      <c r="B517" s="1" t="n">
        <v>516</v>
      </c>
      <c r="C517" s="2" t="n">
        <v>0.0726575</v>
      </c>
    </row>
    <row r="518" customFormat="false" ht="13.8" hidden="false" customHeight="false" outlineLevel="0" collapsed="false">
      <c r="B518" s="1" t="n">
        <v>517</v>
      </c>
      <c r="C518" s="2" t="n">
        <v>0.0817175</v>
      </c>
    </row>
    <row r="519" customFormat="false" ht="13.8" hidden="false" customHeight="false" outlineLevel="0" collapsed="false">
      <c r="B519" s="1" t="n">
        <v>518</v>
      </c>
      <c r="C519" s="2" t="n">
        <v>0.085335</v>
      </c>
    </row>
    <row r="520" customFormat="false" ht="13.8" hidden="false" customHeight="false" outlineLevel="0" collapsed="false">
      <c r="B520" s="1" t="n">
        <v>519</v>
      </c>
      <c r="C520" s="2" t="n">
        <v>0.0889525</v>
      </c>
    </row>
    <row r="521" customFormat="false" ht="13.8" hidden="false" customHeight="false" outlineLevel="0" collapsed="false">
      <c r="B521" s="1" t="n">
        <v>520</v>
      </c>
      <c r="C521" s="2" t="n">
        <v>0.09257</v>
      </c>
    </row>
    <row r="522" customFormat="false" ht="13.8" hidden="false" customHeight="false" outlineLevel="0" collapsed="false">
      <c r="B522" s="1" t="n">
        <v>521</v>
      </c>
      <c r="C522" s="2" t="n">
        <v>0.0961875</v>
      </c>
    </row>
    <row r="523" customFormat="false" ht="13.8" hidden="false" customHeight="false" outlineLevel="0" collapsed="false">
      <c r="B523" s="1" t="n">
        <v>522</v>
      </c>
      <c r="C523" s="2" t="n">
        <v>0.108524375</v>
      </c>
    </row>
    <row r="524" customFormat="false" ht="13.8" hidden="false" customHeight="false" outlineLevel="0" collapsed="false">
      <c r="B524" s="1" t="n">
        <v>523</v>
      </c>
      <c r="C524" s="2" t="n">
        <v>0.12086125</v>
      </c>
    </row>
    <row r="525" customFormat="false" ht="13.8" hidden="false" customHeight="false" outlineLevel="0" collapsed="false">
      <c r="B525" s="1" t="n">
        <v>524</v>
      </c>
      <c r="C525" s="2" t="n">
        <v>0.133198125</v>
      </c>
    </row>
    <row r="526" customFormat="false" ht="13.8" hidden="false" customHeight="false" outlineLevel="0" collapsed="false">
      <c r="B526" s="1" t="n">
        <v>525</v>
      </c>
      <c r="C526" s="2" t="n">
        <v>0.145535</v>
      </c>
    </row>
    <row r="527" customFormat="false" ht="13.8" hidden="false" customHeight="false" outlineLevel="0" collapsed="false">
      <c r="B527" s="1" t="n">
        <v>526</v>
      </c>
      <c r="C527" s="2" t="n">
        <v>0.13894625</v>
      </c>
    </row>
    <row r="528" customFormat="false" ht="13.8" hidden="false" customHeight="false" outlineLevel="0" collapsed="false">
      <c r="B528" s="1" t="n">
        <v>527</v>
      </c>
      <c r="C528" s="2" t="n">
        <v>0.1323575</v>
      </c>
    </row>
    <row r="529" customFormat="false" ht="13.8" hidden="false" customHeight="false" outlineLevel="0" collapsed="false">
      <c r="B529" s="1" t="n">
        <v>528</v>
      </c>
      <c r="C529" s="2" t="n">
        <v>0.12576875</v>
      </c>
    </row>
    <row r="530" customFormat="false" ht="13.8" hidden="false" customHeight="false" outlineLevel="0" collapsed="false">
      <c r="B530" s="1" t="n">
        <v>529</v>
      </c>
      <c r="C530" s="2" t="n">
        <v>0.11918</v>
      </c>
    </row>
    <row r="531" customFormat="false" ht="13.8" hidden="false" customHeight="false" outlineLevel="0" collapsed="false">
      <c r="B531" s="1" t="n">
        <v>530</v>
      </c>
      <c r="C531" s="2" t="n">
        <v>0.116291875</v>
      </c>
    </row>
    <row r="532" customFormat="false" ht="13.8" hidden="false" customHeight="false" outlineLevel="0" collapsed="false">
      <c r="B532" s="1" t="n">
        <v>531</v>
      </c>
      <c r="C532" s="2" t="n">
        <v>0.11340375</v>
      </c>
    </row>
    <row r="533" customFormat="false" ht="13.8" hidden="false" customHeight="false" outlineLevel="0" collapsed="false">
      <c r="B533" s="1" t="n">
        <v>532</v>
      </c>
      <c r="C533" s="2" t="n">
        <v>0.110515625</v>
      </c>
    </row>
    <row r="534" customFormat="false" ht="13.8" hidden="false" customHeight="false" outlineLevel="0" collapsed="false">
      <c r="B534" s="1" t="n">
        <v>533</v>
      </c>
      <c r="C534" s="2" t="n">
        <v>0.1076275</v>
      </c>
    </row>
    <row r="535" customFormat="false" ht="13.8" hidden="false" customHeight="false" outlineLevel="0" collapsed="false">
      <c r="B535" s="1" t="n">
        <v>534</v>
      </c>
      <c r="C535" s="2" t="n">
        <v>0.089943125</v>
      </c>
    </row>
    <row r="536" customFormat="false" ht="13.8" hidden="false" customHeight="false" outlineLevel="0" collapsed="false">
      <c r="B536" s="1" t="n">
        <v>535</v>
      </c>
      <c r="C536" s="2" t="n">
        <v>0.07225875</v>
      </c>
    </row>
    <row r="537" customFormat="false" ht="13.8" hidden="false" customHeight="false" outlineLevel="0" collapsed="false">
      <c r="B537" s="1" t="n">
        <v>536</v>
      </c>
      <c r="C537" s="2" t="n">
        <v>0.054574375</v>
      </c>
    </row>
    <row r="538" customFormat="false" ht="13.8" hidden="false" customHeight="false" outlineLevel="0" collapsed="false">
      <c r="B538" s="1" t="n">
        <v>537</v>
      </c>
      <c r="C538" s="2" t="n">
        <v>0.03689</v>
      </c>
    </row>
    <row r="539" customFormat="false" ht="13.8" hidden="false" customHeight="false" outlineLevel="0" collapsed="false">
      <c r="B539" s="1" t="n">
        <v>538</v>
      </c>
      <c r="C539" s="2" t="n">
        <v>0.029913125</v>
      </c>
    </row>
    <row r="540" customFormat="false" ht="13.8" hidden="false" customHeight="false" outlineLevel="0" collapsed="false">
      <c r="B540" s="1" t="n">
        <v>539</v>
      </c>
      <c r="C540" s="2" t="n">
        <v>0.02293625</v>
      </c>
    </row>
    <row r="541" customFormat="false" ht="13.8" hidden="false" customHeight="false" outlineLevel="0" collapsed="false">
      <c r="B541" s="1" t="n">
        <v>540</v>
      </c>
      <c r="C541" s="2" t="n">
        <v>0.015959375</v>
      </c>
    </row>
    <row r="542" customFormat="false" ht="13.8" hidden="false" customHeight="false" outlineLevel="0" collapsed="false">
      <c r="B542" s="1" t="n">
        <v>541</v>
      </c>
      <c r="C542" s="2" t="n">
        <v>0.0089825</v>
      </c>
    </row>
    <row r="543" customFormat="false" ht="13.8" hidden="false" customHeight="false" outlineLevel="0" collapsed="false">
      <c r="B543" s="1" t="n">
        <v>542</v>
      </c>
      <c r="C543" s="2" t="n">
        <v>0.0080775</v>
      </c>
    </row>
    <row r="544" customFormat="false" ht="13.8" hidden="false" customHeight="false" outlineLevel="0" collapsed="false">
      <c r="B544" s="1" t="n">
        <v>543</v>
      </c>
      <c r="C544" s="2" t="n">
        <v>0.0071725</v>
      </c>
    </row>
    <row r="545" customFormat="false" ht="13.8" hidden="false" customHeight="false" outlineLevel="0" collapsed="false">
      <c r="B545" s="1" t="n">
        <v>544</v>
      </c>
      <c r="C545" s="2" t="n">
        <v>0.0062675</v>
      </c>
    </row>
    <row r="546" customFormat="false" ht="13.8" hidden="false" customHeight="false" outlineLevel="0" collapsed="false">
      <c r="B546" s="1" t="n">
        <v>545</v>
      </c>
      <c r="C546" s="2" t="n">
        <v>0.0053625</v>
      </c>
    </row>
    <row r="547" customFormat="false" ht="13.8" hidden="false" customHeight="false" outlineLevel="0" collapsed="false">
      <c r="B547" s="1" t="n">
        <v>546</v>
      </c>
      <c r="C547" s="2" t="n">
        <v>0.004891875</v>
      </c>
    </row>
    <row r="548" customFormat="false" ht="13.8" hidden="false" customHeight="false" outlineLevel="0" collapsed="false">
      <c r="B548" s="1" t="n">
        <v>547</v>
      </c>
      <c r="C548" s="2" t="n">
        <v>0.00442125</v>
      </c>
    </row>
    <row r="549" customFormat="false" ht="13.8" hidden="false" customHeight="false" outlineLevel="0" collapsed="false">
      <c r="B549" s="1" t="n">
        <v>548</v>
      </c>
      <c r="C549" s="2" t="n">
        <v>0.003950625</v>
      </c>
    </row>
    <row r="550" customFormat="false" ht="13.8" hidden="false" customHeight="false" outlineLevel="0" collapsed="false">
      <c r="B550" s="1" t="n">
        <v>549</v>
      </c>
      <c r="C550" s="2" t="n">
        <v>0.00348</v>
      </c>
    </row>
    <row r="551" customFormat="false" ht="13.8" hidden="false" customHeight="false" outlineLevel="0" collapsed="false">
      <c r="B551" s="1" t="n">
        <v>550</v>
      </c>
      <c r="C551" s="2" t="n">
        <v>0.00261</v>
      </c>
    </row>
    <row r="552" customFormat="false" ht="13.8" hidden="false" customHeight="false" outlineLevel="0" collapsed="false">
      <c r="B552" s="1" t="n">
        <v>551</v>
      </c>
      <c r="C552" s="2" t="n">
        <v>0.00174</v>
      </c>
    </row>
    <row r="553" customFormat="false" ht="13.8" hidden="false" customHeight="false" outlineLevel="0" collapsed="false">
      <c r="B553" s="1" t="n">
        <v>552</v>
      </c>
      <c r="C553" s="2" t="n">
        <v>0.00087</v>
      </c>
    </row>
    <row r="554" customFormat="false" ht="13.8" hidden="false" customHeight="false" outlineLevel="0" collapsed="false">
      <c r="B554" s="1" t="n">
        <v>553</v>
      </c>
      <c r="C554" s="2" t="n">
        <v>0</v>
      </c>
    </row>
    <row r="555" customFormat="false" ht="13.8" hidden="false" customHeight="false" outlineLevel="0" collapsed="false">
      <c r="B555" s="1" t="n">
        <v>554</v>
      </c>
      <c r="C555" s="2" t="n">
        <v>0</v>
      </c>
    </row>
    <row r="556" customFormat="false" ht="13.8" hidden="false" customHeight="false" outlineLevel="0" collapsed="false">
      <c r="B556" s="1" t="n">
        <v>555</v>
      </c>
      <c r="C556" s="2" t="n">
        <v>0</v>
      </c>
    </row>
    <row r="557" customFormat="false" ht="13.8" hidden="false" customHeight="false" outlineLevel="0" collapsed="false">
      <c r="B557" s="1" t="n">
        <v>556</v>
      </c>
      <c r="C557" s="2" t="n">
        <v>0</v>
      </c>
    </row>
    <row r="558" customFormat="false" ht="13.8" hidden="false" customHeight="false" outlineLevel="0" collapsed="false">
      <c r="B558" s="1" t="n">
        <v>557</v>
      </c>
      <c r="C558" s="2" t="n">
        <v>0</v>
      </c>
    </row>
    <row r="559" customFormat="false" ht="13.8" hidden="false" customHeight="false" outlineLevel="0" collapsed="false">
      <c r="B559" s="1" t="n">
        <v>558</v>
      </c>
      <c r="C559" s="2" t="n">
        <v>0</v>
      </c>
    </row>
    <row r="560" customFormat="false" ht="13.8" hidden="false" customHeight="false" outlineLevel="0" collapsed="false">
      <c r="B560" s="1" t="n">
        <v>559</v>
      </c>
      <c r="C560" s="2" t="n">
        <v>0</v>
      </c>
    </row>
    <row r="561" customFormat="false" ht="13.8" hidden="false" customHeight="false" outlineLevel="0" collapsed="false">
      <c r="B561" s="1" t="n">
        <v>560</v>
      </c>
      <c r="C561" s="2" t="n">
        <v>0</v>
      </c>
    </row>
    <row r="562" customFormat="false" ht="13.8" hidden="false" customHeight="false" outlineLevel="0" collapsed="false">
      <c r="B562" s="1" t="n">
        <v>561</v>
      </c>
      <c r="C562" s="2" t="n">
        <v>0</v>
      </c>
    </row>
    <row r="563" customFormat="false" ht="13.8" hidden="false" customHeight="false" outlineLevel="0" collapsed="false">
      <c r="B563" s="1" t="n">
        <v>562</v>
      </c>
      <c r="C563" s="2" t="n">
        <v>0</v>
      </c>
    </row>
    <row r="564" customFormat="false" ht="13.8" hidden="false" customHeight="false" outlineLevel="0" collapsed="false">
      <c r="B564" s="1" t="n">
        <v>563</v>
      </c>
      <c r="C564" s="2" t="n">
        <v>0</v>
      </c>
    </row>
    <row r="565" customFormat="false" ht="13.8" hidden="false" customHeight="false" outlineLevel="0" collapsed="false">
      <c r="B565" s="1" t="n">
        <v>564</v>
      </c>
      <c r="C565" s="2" t="n">
        <v>0</v>
      </c>
    </row>
    <row r="566" customFormat="false" ht="13.8" hidden="false" customHeight="false" outlineLevel="0" collapsed="false">
      <c r="B566" s="1" t="n">
        <v>565</v>
      </c>
      <c r="C566" s="2" t="n">
        <v>0</v>
      </c>
    </row>
    <row r="567" customFormat="false" ht="13.8" hidden="false" customHeight="false" outlineLevel="0" collapsed="false">
      <c r="B567" s="1" t="n">
        <v>566</v>
      </c>
      <c r="C567" s="2" t="n">
        <v>0</v>
      </c>
    </row>
    <row r="568" customFormat="false" ht="13.8" hidden="false" customHeight="false" outlineLevel="0" collapsed="false">
      <c r="B568" s="1" t="n">
        <v>567</v>
      </c>
      <c r="C568" s="2" t="n">
        <v>0</v>
      </c>
    </row>
    <row r="569" customFormat="false" ht="13.8" hidden="false" customHeight="false" outlineLevel="0" collapsed="false">
      <c r="B569" s="1" t="n">
        <v>568</v>
      </c>
      <c r="C569" s="2" t="n">
        <v>0</v>
      </c>
    </row>
    <row r="570" customFormat="false" ht="13.8" hidden="false" customHeight="false" outlineLevel="0" collapsed="false">
      <c r="B570" s="1" t="n">
        <v>569</v>
      </c>
      <c r="C570" s="2" t="n">
        <v>0</v>
      </c>
    </row>
    <row r="571" customFormat="false" ht="13.8" hidden="false" customHeight="false" outlineLevel="0" collapsed="false">
      <c r="B571" s="1" t="n">
        <v>570</v>
      </c>
      <c r="C571" s="2" t="n">
        <v>0</v>
      </c>
    </row>
    <row r="572" customFormat="false" ht="13.8" hidden="false" customHeight="false" outlineLevel="0" collapsed="false">
      <c r="B572" s="1" t="n">
        <v>571</v>
      </c>
      <c r="C572" s="2" t="n">
        <v>0</v>
      </c>
    </row>
    <row r="573" customFormat="false" ht="13.8" hidden="false" customHeight="false" outlineLevel="0" collapsed="false">
      <c r="B573" s="1" t="n">
        <v>572</v>
      </c>
      <c r="C573" s="2" t="n">
        <v>0</v>
      </c>
    </row>
    <row r="574" customFormat="false" ht="13.8" hidden="false" customHeight="false" outlineLevel="0" collapsed="false">
      <c r="B574" s="1" t="n">
        <v>573</v>
      </c>
      <c r="C574" s="2" t="n">
        <v>0</v>
      </c>
    </row>
    <row r="575" customFormat="false" ht="13.8" hidden="false" customHeight="false" outlineLevel="0" collapsed="false">
      <c r="B575" s="1" t="n">
        <v>574</v>
      </c>
      <c r="C575" s="2" t="n">
        <v>0</v>
      </c>
    </row>
    <row r="576" customFormat="false" ht="13.8" hidden="false" customHeight="false" outlineLevel="0" collapsed="false">
      <c r="B576" s="1" t="n">
        <v>575</v>
      </c>
      <c r="C576" s="2" t="n">
        <v>0</v>
      </c>
    </row>
    <row r="577" customFormat="false" ht="13.8" hidden="false" customHeight="false" outlineLevel="0" collapsed="false">
      <c r="B577" s="1" t="n">
        <v>576</v>
      </c>
      <c r="C577" s="2" t="n">
        <v>0</v>
      </c>
    </row>
    <row r="578" customFormat="false" ht="13.8" hidden="false" customHeight="false" outlineLevel="0" collapsed="false">
      <c r="B578" s="1" t="n">
        <v>577</v>
      </c>
      <c r="C578" s="2" t="n">
        <v>0</v>
      </c>
    </row>
    <row r="579" customFormat="false" ht="13.8" hidden="false" customHeight="false" outlineLevel="0" collapsed="false">
      <c r="B579" s="1" t="n">
        <v>578</v>
      </c>
      <c r="C579" s="2" t="n">
        <v>0</v>
      </c>
    </row>
    <row r="580" customFormat="false" ht="13.8" hidden="false" customHeight="false" outlineLevel="0" collapsed="false">
      <c r="B580" s="1" t="n">
        <v>579</v>
      </c>
      <c r="C580" s="2" t="n">
        <v>0</v>
      </c>
    </row>
    <row r="581" customFormat="false" ht="13.8" hidden="false" customHeight="false" outlineLevel="0" collapsed="false">
      <c r="B581" s="1" t="n">
        <v>580</v>
      </c>
      <c r="C581" s="2" t="n">
        <v>0</v>
      </c>
    </row>
    <row r="582" customFormat="false" ht="13.8" hidden="false" customHeight="false" outlineLevel="0" collapsed="false">
      <c r="B582" s="1" t="n">
        <v>581</v>
      </c>
      <c r="C582" s="2" t="n">
        <v>0</v>
      </c>
    </row>
    <row r="583" customFormat="false" ht="13.8" hidden="false" customHeight="false" outlineLevel="0" collapsed="false">
      <c r="B583" s="1" t="n">
        <v>582</v>
      </c>
      <c r="C583" s="2" t="n">
        <v>0</v>
      </c>
    </row>
    <row r="584" customFormat="false" ht="13.8" hidden="false" customHeight="false" outlineLevel="0" collapsed="false">
      <c r="B584" s="1" t="n">
        <v>583</v>
      </c>
      <c r="C584" s="2" t="n">
        <v>0</v>
      </c>
    </row>
    <row r="585" customFormat="false" ht="13.8" hidden="false" customHeight="false" outlineLevel="0" collapsed="false">
      <c r="B585" s="1" t="n">
        <v>584</v>
      </c>
      <c r="C585" s="2" t="n">
        <v>0</v>
      </c>
    </row>
    <row r="586" customFormat="false" ht="13.8" hidden="false" customHeight="false" outlineLevel="0" collapsed="false">
      <c r="B586" s="1" t="n">
        <v>585</v>
      </c>
      <c r="C586" s="2" t="n">
        <v>0</v>
      </c>
    </row>
    <row r="587" customFormat="false" ht="13.8" hidden="false" customHeight="false" outlineLevel="0" collapsed="false">
      <c r="B587" s="1" t="n">
        <v>586</v>
      </c>
      <c r="C587" s="2" t="n">
        <v>0</v>
      </c>
    </row>
    <row r="588" customFormat="false" ht="13.8" hidden="false" customHeight="false" outlineLevel="0" collapsed="false">
      <c r="B588" s="1" t="n">
        <v>587</v>
      </c>
      <c r="C588" s="2" t="n">
        <v>0</v>
      </c>
    </row>
    <row r="589" customFormat="false" ht="13.8" hidden="false" customHeight="false" outlineLevel="0" collapsed="false">
      <c r="B589" s="1" t="n">
        <v>588</v>
      </c>
      <c r="C589" s="2" t="n">
        <v>0</v>
      </c>
    </row>
    <row r="590" customFormat="false" ht="13.8" hidden="false" customHeight="false" outlineLevel="0" collapsed="false">
      <c r="B590" s="1" t="n">
        <v>589</v>
      </c>
      <c r="C590" s="2" t="n">
        <v>0</v>
      </c>
    </row>
    <row r="591" customFormat="false" ht="13.8" hidden="false" customHeight="false" outlineLevel="0" collapsed="false">
      <c r="B591" s="1" t="n">
        <v>590</v>
      </c>
      <c r="C591" s="2" t="n">
        <v>0</v>
      </c>
    </row>
    <row r="592" customFormat="false" ht="13.8" hidden="false" customHeight="false" outlineLevel="0" collapsed="false">
      <c r="B592" s="1" t="n">
        <v>591</v>
      </c>
      <c r="C592" s="2" t="n">
        <v>0</v>
      </c>
    </row>
    <row r="593" customFormat="false" ht="13.8" hidden="false" customHeight="false" outlineLevel="0" collapsed="false">
      <c r="B593" s="1" t="n">
        <v>592</v>
      </c>
      <c r="C593" s="2" t="n">
        <v>0</v>
      </c>
    </row>
    <row r="594" customFormat="false" ht="13.8" hidden="false" customHeight="false" outlineLevel="0" collapsed="false">
      <c r="B594" s="1" t="n">
        <v>593</v>
      </c>
      <c r="C594" s="2" t="n">
        <v>0</v>
      </c>
    </row>
    <row r="595" customFormat="false" ht="13.8" hidden="false" customHeight="false" outlineLevel="0" collapsed="false">
      <c r="B595" s="1" t="n">
        <v>594</v>
      </c>
      <c r="C595" s="2" t="n">
        <v>0</v>
      </c>
    </row>
    <row r="596" customFormat="false" ht="13.8" hidden="false" customHeight="false" outlineLevel="0" collapsed="false">
      <c r="B596" s="1" t="n">
        <v>595</v>
      </c>
      <c r="C596" s="2" t="n">
        <v>0</v>
      </c>
    </row>
    <row r="597" customFormat="false" ht="13.8" hidden="false" customHeight="false" outlineLevel="0" collapsed="false">
      <c r="B597" s="1" t="n">
        <v>596</v>
      </c>
      <c r="C597" s="2" t="n">
        <v>0</v>
      </c>
    </row>
    <row r="598" customFormat="false" ht="13.8" hidden="false" customHeight="false" outlineLevel="0" collapsed="false">
      <c r="B598" s="1" t="n">
        <v>597</v>
      </c>
      <c r="C598" s="2" t="n">
        <v>0</v>
      </c>
    </row>
    <row r="599" customFormat="false" ht="13.8" hidden="false" customHeight="false" outlineLevel="0" collapsed="false">
      <c r="B599" s="1" t="n">
        <v>598</v>
      </c>
      <c r="C599" s="2" t="n">
        <v>0.001459375</v>
      </c>
    </row>
    <row r="600" customFormat="false" ht="13.8" hidden="false" customHeight="false" outlineLevel="0" collapsed="false">
      <c r="B600" s="1" t="n">
        <v>599</v>
      </c>
      <c r="C600" s="2" t="n">
        <v>0.00291875</v>
      </c>
    </row>
    <row r="601" customFormat="false" ht="13.8" hidden="false" customHeight="false" outlineLevel="0" collapsed="false">
      <c r="B601" s="1" t="n">
        <v>600</v>
      </c>
      <c r="C601" s="2" t="n">
        <v>0.004378125</v>
      </c>
    </row>
    <row r="602" customFormat="false" ht="13.8" hidden="false" customHeight="false" outlineLevel="0" collapsed="false">
      <c r="B602" s="1" t="n">
        <v>601</v>
      </c>
      <c r="C602" s="2" t="n">
        <v>0.0058375</v>
      </c>
    </row>
    <row r="603" customFormat="false" ht="13.8" hidden="false" customHeight="false" outlineLevel="0" collapsed="false">
      <c r="B603" s="1" t="n">
        <v>602</v>
      </c>
      <c r="C603" s="2" t="n">
        <v>0.0131025</v>
      </c>
    </row>
    <row r="604" customFormat="false" ht="13.8" hidden="false" customHeight="false" outlineLevel="0" collapsed="false">
      <c r="B604" s="1" t="n">
        <v>603</v>
      </c>
      <c r="C604" s="2" t="n">
        <v>0.0203675</v>
      </c>
    </row>
    <row r="605" customFormat="false" ht="13.8" hidden="false" customHeight="false" outlineLevel="0" collapsed="false">
      <c r="B605" s="1" t="n">
        <v>604</v>
      </c>
      <c r="C605" s="2" t="n">
        <v>0.0276325</v>
      </c>
    </row>
    <row r="606" customFormat="false" ht="13.8" hidden="false" customHeight="false" outlineLevel="0" collapsed="false">
      <c r="B606" s="1" t="n">
        <v>605</v>
      </c>
      <c r="C606" s="2" t="n">
        <v>0.0348975</v>
      </c>
    </row>
    <row r="607" customFormat="false" ht="13.8" hidden="false" customHeight="false" outlineLevel="0" collapsed="false">
      <c r="B607" s="1" t="n">
        <v>606</v>
      </c>
      <c r="C607" s="2" t="n">
        <v>0.047335625</v>
      </c>
    </row>
    <row r="608" customFormat="false" ht="13.8" hidden="false" customHeight="false" outlineLevel="0" collapsed="false">
      <c r="B608" s="1" t="n">
        <v>607</v>
      </c>
      <c r="C608" s="2" t="n">
        <v>0.05977375</v>
      </c>
    </row>
    <row r="609" customFormat="false" ht="13.8" hidden="false" customHeight="false" outlineLevel="0" collapsed="false">
      <c r="B609" s="1" t="n">
        <v>608</v>
      </c>
      <c r="C609" s="2" t="n">
        <v>0.072211875</v>
      </c>
    </row>
    <row r="610" customFormat="false" ht="13.8" hidden="false" customHeight="false" outlineLevel="0" collapsed="false">
      <c r="B610" s="1" t="n">
        <v>609</v>
      </c>
      <c r="C610" s="2" t="n">
        <v>0.08465</v>
      </c>
    </row>
    <row r="611" customFormat="false" ht="13.8" hidden="false" customHeight="false" outlineLevel="0" collapsed="false">
      <c r="B611" s="1" t="n">
        <v>610</v>
      </c>
      <c r="C611" s="2" t="n">
        <v>0.09511875</v>
      </c>
    </row>
    <row r="612" customFormat="false" ht="13.8" hidden="false" customHeight="false" outlineLevel="0" collapsed="false">
      <c r="B612" s="1" t="n">
        <v>611</v>
      </c>
      <c r="C612" s="2" t="n">
        <v>0.1055875</v>
      </c>
    </row>
    <row r="613" customFormat="false" ht="13.8" hidden="false" customHeight="false" outlineLevel="0" collapsed="false">
      <c r="B613" s="1" t="n">
        <v>612</v>
      </c>
      <c r="C613" s="2" t="n">
        <v>0.11605625</v>
      </c>
    </row>
    <row r="614" customFormat="false" ht="13.8" hidden="false" customHeight="false" outlineLevel="0" collapsed="false">
      <c r="B614" s="1" t="n">
        <v>613</v>
      </c>
      <c r="C614" s="2" t="n">
        <v>0.126525</v>
      </c>
    </row>
    <row r="615" customFormat="false" ht="13.8" hidden="false" customHeight="false" outlineLevel="0" collapsed="false">
      <c r="B615" s="1" t="n">
        <v>614</v>
      </c>
      <c r="C615" s="2" t="n">
        <v>0.1344325</v>
      </c>
    </row>
    <row r="616" customFormat="false" ht="13.8" hidden="false" customHeight="false" outlineLevel="0" collapsed="false">
      <c r="B616" s="1" t="n">
        <v>615</v>
      </c>
      <c r="C616" s="2" t="n">
        <v>0.14234</v>
      </c>
    </row>
    <row r="617" customFormat="false" ht="13.8" hidden="false" customHeight="false" outlineLevel="0" collapsed="false">
      <c r="B617" s="1" t="n">
        <v>616</v>
      </c>
      <c r="C617" s="2" t="n">
        <v>0.1502475</v>
      </c>
    </row>
    <row r="618" customFormat="false" ht="13.8" hidden="false" customHeight="false" outlineLevel="0" collapsed="false">
      <c r="B618" s="1" t="n">
        <v>617</v>
      </c>
      <c r="C618" s="2" t="n">
        <v>0.158155</v>
      </c>
    </row>
    <row r="619" customFormat="false" ht="13.8" hidden="false" customHeight="false" outlineLevel="0" collapsed="false">
      <c r="B619" s="1" t="n">
        <v>618</v>
      </c>
      <c r="C619" s="2" t="n">
        <v>0.162835</v>
      </c>
    </row>
    <row r="620" customFormat="false" ht="13.8" hidden="false" customHeight="false" outlineLevel="0" collapsed="false">
      <c r="B620" s="1" t="n">
        <v>619</v>
      </c>
      <c r="C620" s="2" t="n">
        <v>0.167515</v>
      </c>
    </row>
    <row r="621" customFormat="false" ht="13.8" hidden="false" customHeight="false" outlineLevel="0" collapsed="false">
      <c r="B621" s="1" t="n">
        <v>620</v>
      </c>
      <c r="C621" s="2" t="n">
        <v>0.172195</v>
      </c>
    </row>
    <row r="622" customFormat="false" ht="13.8" hidden="false" customHeight="false" outlineLevel="0" collapsed="false">
      <c r="B622" s="1" t="n">
        <v>621</v>
      </c>
      <c r="C622" s="2" t="n">
        <v>0.176875</v>
      </c>
    </row>
    <row r="623" customFormat="false" ht="13.8" hidden="false" customHeight="false" outlineLevel="0" collapsed="false">
      <c r="B623" s="1" t="n">
        <v>622</v>
      </c>
      <c r="C623" s="2" t="n">
        <v>0.17365125</v>
      </c>
    </row>
    <row r="624" customFormat="false" ht="13.8" hidden="false" customHeight="false" outlineLevel="0" collapsed="false">
      <c r="B624" s="1" t="n">
        <v>623</v>
      </c>
      <c r="C624" s="2" t="n">
        <v>0.1704275</v>
      </c>
    </row>
    <row r="625" customFormat="false" ht="13.8" hidden="false" customHeight="false" outlineLevel="0" collapsed="false">
      <c r="B625" s="1" t="n">
        <v>624</v>
      </c>
      <c r="C625" s="2" t="n">
        <v>0.16720375</v>
      </c>
    </row>
    <row r="626" customFormat="false" ht="13.8" hidden="false" customHeight="false" outlineLevel="0" collapsed="false">
      <c r="B626" s="1" t="n">
        <v>625</v>
      </c>
      <c r="C626" s="2" t="n">
        <v>0.16398</v>
      </c>
    </row>
    <row r="627" customFormat="false" ht="13.8" hidden="false" customHeight="false" outlineLevel="0" collapsed="false">
      <c r="B627" s="1" t="n">
        <v>626</v>
      </c>
      <c r="C627" s="2" t="n">
        <v>0.1457525</v>
      </c>
    </row>
    <row r="628" customFormat="false" ht="13.8" hidden="false" customHeight="false" outlineLevel="0" collapsed="false">
      <c r="B628" s="1" t="n">
        <v>627</v>
      </c>
      <c r="C628" s="2" t="n">
        <v>0.127525</v>
      </c>
    </row>
    <row r="629" customFormat="false" ht="13.8" hidden="false" customHeight="false" outlineLevel="0" collapsed="false">
      <c r="B629" s="1" t="n">
        <v>628</v>
      </c>
      <c r="C629" s="2" t="n">
        <v>0.1092975</v>
      </c>
    </row>
    <row r="630" customFormat="false" ht="13.8" hidden="false" customHeight="false" outlineLevel="0" collapsed="false">
      <c r="B630" s="1" t="n">
        <v>629</v>
      </c>
      <c r="C630" s="2" t="n">
        <v>0.09107</v>
      </c>
    </row>
    <row r="631" customFormat="false" ht="13.8" hidden="false" customHeight="false" outlineLevel="0" collapsed="false">
      <c r="B631" s="1" t="n">
        <v>630</v>
      </c>
      <c r="C631" s="2" t="n">
        <v>0.08901375</v>
      </c>
    </row>
    <row r="632" customFormat="false" ht="13.8" hidden="false" customHeight="false" outlineLevel="0" collapsed="false">
      <c r="B632" s="1" t="n">
        <v>631</v>
      </c>
      <c r="C632" s="2" t="n">
        <v>0.0869575</v>
      </c>
    </row>
    <row r="633" customFormat="false" ht="13.8" hidden="false" customHeight="false" outlineLevel="0" collapsed="false">
      <c r="B633" s="1" t="n">
        <v>632</v>
      </c>
      <c r="C633" s="2" t="n">
        <v>0.08490125</v>
      </c>
    </row>
    <row r="634" customFormat="false" ht="13.8" hidden="false" customHeight="false" outlineLevel="0" collapsed="false">
      <c r="B634" s="1" t="n">
        <v>633</v>
      </c>
      <c r="C634" s="2" t="n">
        <v>0.082845</v>
      </c>
    </row>
    <row r="635" customFormat="false" ht="13.8" hidden="false" customHeight="false" outlineLevel="0" collapsed="false">
      <c r="B635" s="1" t="n">
        <v>634</v>
      </c>
      <c r="C635" s="2" t="n">
        <v>0.07641375</v>
      </c>
    </row>
    <row r="636" customFormat="false" ht="13.8" hidden="false" customHeight="false" outlineLevel="0" collapsed="false">
      <c r="B636" s="1" t="n">
        <v>635</v>
      </c>
      <c r="C636" s="2" t="n">
        <v>0.0699825</v>
      </c>
    </row>
    <row r="637" customFormat="false" ht="13.8" hidden="false" customHeight="false" outlineLevel="0" collapsed="false">
      <c r="B637" s="1" t="n">
        <v>636</v>
      </c>
      <c r="C637" s="2" t="n">
        <v>0.06355125</v>
      </c>
    </row>
    <row r="638" customFormat="false" ht="13.8" hidden="false" customHeight="false" outlineLevel="0" collapsed="false">
      <c r="B638" s="1" t="n">
        <v>637</v>
      </c>
      <c r="C638" s="2" t="n">
        <v>0.05712</v>
      </c>
    </row>
    <row r="639" customFormat="false" ht="13.8" hidden="false" customHeight="false" outlineLevel="0" collapsed="false">
      <c r="B639" s="1" t="n">
        <v>638</v>
      </c>
      <c r="C639" s="2" t="n">
        <v>0.045080625</v>
      </c>
    </row>
    <row r="640" customFormat="false" ht="13.8" hidden="false" customHeight="false" outlineLevel="0" collapsed="false">
      <c r="B640" s="1" t="n">
        <v>639</v>
      </c>
      <c r="C640" s="2" t="n">
        <v>0.03304125</v>
      </c>
    </row>
    <row r="641" customFormat="false" ht="13.8" hidden="false" customHeight="false" outlineLevel="0" collapsed="false">
      <c r="B641" s="1" t="n">
        <v>640</v>
      </c>
      <c r="C641" s="2" t="n">
        <v>0.021001875</v>
      </c>
    </row>
    <row r="642" customFormat="false" ht="13.8" hidden="false" customHeight="false" outlineLevel="0" collapsed="false">
      <c r="B642" s="1" t="n">
        <v>641</v>
      </c>
      <c r="C642" s="2" t="n">
        <v>0.0089625</v>
      </c>
    </row>
    <row r="643" customFormat="false" ht="13.8" hidden="false" customHeight="false" outlineLevel="0" collapsed="false">
      <c r="B643" s="1" t="n">
        <v>642</v>
      </c>
      <c r="C643" s="2" t="n">
        <v>0.00814375</v>
      </c>
    </row>
    <row r="644" customFormat="false" ht="13.8" hidden="false" customHeight="false" outlineLevel="0" collapsed="false">
      <c r="B644" s="1" t="n">
        <v>643</v>
      </c>
      <c r="C644" s="2" t="n">
        <v>0.007325</v>
      </c>
    </row>
    <row r="645" customFormat="false" ht="13.8" hidden="false" customHeight="false" outlineLevel="0" collapsed="false">
      <c r="B645" s="1" t="n">
        <v>644</v>
      </c>
      <c r="C645" s="2" t="n">
        <v>0.00650625</v>
      </c>
    </row>
    <row r="646" customFormat="false" ht="13.8" hidden="false" customHeight="false" outlineLevel="0" collapsed="false">
      <c r="B646" s="1" t="n">
        <v>645</v>
      </c>
      <c r="C646" s="2" t="n">
        <v>0.0056875</v>
      </c>
    </row>
    <row r="647" customFormat="false" ht="13.8" hidden="false" customHeight="false" outlineLevel="0" collapsed="false">
      <c r="B647" s="1" t="n">
        <v>646</v>
      </c>
      <c r="C647" s="2" t="n">
        <v>0.004265625</v>
      </c>
    </row>
    <row r="648" customFormat="false" ht="13.8" hidden="false" customHeight="false" outlineLevel="0" collapsed="false">
      <c r="B648" s="1" t="n">
        <v>647</v>
      </c>
      <c r="C648" s="2" t="n">
        <v>0.00284375</v>
      </c>
    </row>
    <row r="649" customFormat="false" ht="13.8" hidden="false" customHeight="false" outlineLevel="0" collapsed="false">
      <c r="B649" s="1" t="n">
        <v>648</v>
      </c>
      <c r="C649" s="2" t="n">
        <v>0.001421875</v>
      </c>
    </row>
    <row r="650" customFormat="false" ht="13.8" hidden="false" customHeight="false" outlineLevel="0" collapsed="false">
      <c r="B650" s="1" t="n">
        <v>649</v>
      </c>
      <c r="C650" s="2" t="n">
        <v>0</v>
      </c>
    </row>
    <row r="651" customFormat="false" ht="13.8" hidden="false" customHeight="false" outlineLevel="0" collapsed="false">
      <c r="B651" s="1" t="n">
        <v>650</v>
      </c>
      <c r="C651" s="2" t="n">
        <v>0</v>
      </c>
    </row>
    <row r="652" customFormat="false" ht="13.8" hidden="false" customHeight="false" outlineLevel="0" collapsed="false">
      <c r="B652" s="1" t="n">
        <v>651</v>
      </c>
      <c r="C652" s="2" t="n">
        <v>0</v>
      </c>
    </row>
    <row r="653" customFormat="false" ht="13.8" hidden="false" customHeight="false" outlineLevel="0" collapsed="false">
      <c r="B653" s="1" t="n">
        <v>652</v>
      </c>
      <c r="C653" s="2" t="n">
        <v>0</v>
      </c>
    </row>
    <row r="654" customFormat="false" ht="13.8" hidden="false" customHeight="false" outlineLevel="0" collapsed="false">
      <c r="B654" s="1" t="n">
        <v>653</v>
      </c>
      <c r="C654" s="2" t="n">
        <v>0</v>
      </c>
    </row>
    <row r="655" customFormat="false" ht="13.8" hidden="false" customHeight="false" outlineLevel="0" collapsed="false">
      <c r="B655" s="1" t="n">
        <v>654</v>
      </c>
      <c r="C655" s="2" t="n">
        <v>0</v>
      </c>
    </row>
    <row r="656" customFormat="false" ht="13.8" hidden="false" customHeight="false" outlineLevel="0" collapsed="false">
      <c r="B656" s="1" t="n">
        <v>655</v>
      </c>
      <c r="C656" s="2" t="n">
        <v>0</v>
      </c>
    </row>
    <row r="657" customFormat="false" ht="13.8" hidden="false" customHeight="false" outlineLevel="0" collapsed="false">
      <c r="B657" s="1" t="n">
        <v>656</v>
      </c>
      <c r="C657" s="2" t="n">
        <v>0</v>
      </c>
    </row>
    <row r="658" customFormat="false" ht="13.8" hidden="false" customHeight="false" outlineLevel="0" collapsed="false">
      <c r="B658" s="1" t="n">
        <v>657</v>
      </c>
      <c r="C658" s="2" t="n">
        <v>0</v>
      </c>
    </row>
    <row r="659" customFormat="false" ht="13.8" hidden="false" customHeight="false" outlineLevel="0" collapsed="false">
      <c r="B659" s="1" t="n">
        <v>658</v>
      </c>
      <c r="C659" s="2" t="n">
        <v>0</v>
      </c>
    </row>
    <row r="660" customFormat="false" ht="13.8" hidden="false" customHeight="false" outlineLevel="0" collapsed="false">
      <c r="B660" s="1" t="n">
        <v>659</v>
      </c>
      <c r="C660" s="2" t="n">
        <v>0</v>
      </c>
    </row>
    <row r="661" customFormat="false" ht="13.8" hidden="false" customHeight="false" outlineLevel="0" collapsed="false">
      <c r="B661" s="1" t="n">
        <v>660</v>
      </c>
      <c r="C661" s="2" t="n">
        <v>0</v>
      </c>
    </row>
    <row r="662" customFormat="false" ht="13.8" hidden="false" customHeight="false" outlineLevel="0" collapsed="false">
      <c r="B662" s="1" t="n">
        <v>661</v>
      </c>
      <c r="C662" s="2" t="n">
        <v>0</v>
      </c>
    </row>
    <row r="663" customFormat="false" ht="13.8" hidden="false" customHeight="false" outlineLevel="0" collapsed="false">
      <c r="B663" s="1" t="n">
        <v>662</v>
      </c>
      <c r="C663" s="2" t="n">
        <v>0</v>
      </c>
    </row>
    <row r="664" customFormat="false" ht="13.8" hidden="false" customHeight="false" outlineLevel="0" collapsed="false">
      <c r="B664" s="1" t="n">
        <v>663</v>
      </c>
      <c r="C664" s="2" t="n">
        <v>0</v>
      </c>
    </row>
    <row r="665" customFormat="false" ht="13.8" hidden="false" customHeight="false" outlineLevel="0" collapsed="false">
      <c r="B665" s="1" t="n">
        <v>664</v>
      </c>
      <c r="C665" s="2" t="n">
        <v>0</v>
      </c>
    </row>
    <row r="666" customFormat="false" ht="13.8" hidden="false" customHeight="false" outlineLevel="0" collapsed="false">
      <c r="B666" s="1" t="n">
        <v>665</v>
      </c>
      <c r="C666" s="2" t="n">
        <v>0</v>
      </c>
    </row>
    <row r="667" customFormat="false" ht="13.8" hidden="false" customHeight="false" outlineLevel="0" collapsed="false">
      <c r="B667" s="1" t="n">
        <v>666</v>
      </c>
      <c r="C667" s="2" t="n">
        <v>0</v>
      </c>
    </row>
    <row r="668" customFormat="false" ht="13.8" hidden="false" customHeight="false" outlineLevel="0" collapsed="false">
      <c r="B668" s="1" t="n">
        <v>667</v>
      </c>
      <c r="C668" s="2" t="n">
        <v>0</v>
      </c>
    </row>
    <row r="669" customFormat="false" ht="13.8" hidden="false" customHeight="false" outlineLevel="0" collapsed="false">
      <c r="B669" s="1" t="n">
        <v>668</v>
      </c>
      <c r="C669" s="2" t="n">
        <v>0</v>
      </c>
    </row>
    <row r="670" customFormat="false" ht="13.8" hidden="false" customHeight="false" outlineLevel="0" collapsed="false">
      <c r="B670" s="1" t="n">
        <v>669</v>
      </c>
      <c r="C670" s="2" t="n">
        <v>0</v>
      </c>
    </row>
    <row r="671" customFormat="false" ht="13.8" hidden="false" customHeight="false" outlineLevel="0" collapsed="false">
      <c r="B671" s="1" t="n">
        <v>670</v>
      </c>
      <c r="C671" s="2" t="n">
        <v>0</v>
      </c>
    </row>
    <row r="672" customFormat="false" ht="13.8" hidden="false" customHeight="false" outlineLevel="0" collapsed="false">
      <c r="B672" s="1" t="n">
        <v>671</v>
      </c>
      <c r="C672" s="2" t="n">
        <v>0</v>
      </c>
    </row>
    <row r="673" customFormat="false" ht="13.8" hidden="false" customHeight="false" outlineLevel="0" collapsed="false">
      <c r="B673" s="1" t="n">
        <v>672</v>
      </c>
      <c r="C67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B170" activeCellId="1" sqref="B13:E16 B170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0.0480098666666667</v>
      </c>
      <c r="D3" s="2" t="n">
        <v>0.201542</v>
      </c>
      <c r="E3" s="2" t="n">
        <v>0.166009466666667</v>
      </c>
    </row>
    <row r="4" customFormat="false" ht="13.8" hidden="false" customHeight="false" outlineLevel="0" collapsed="false">
      <c r="B4" s="2" t="n">
        <v>2</v>
      </c>
      <c r="C4" s="2" t="n">
        <v>0.193541933333333</v>
      </c>
      <c r="D4" s="2" t="n">
        <v>0.158008</v>
      </c>
      <c r="E4" s="2" t="n">
        <v>0.167141866666667</v>
      </c>
    </row>
    <row r="5" customFormat="false" ht="13.8" hidden="false" customHeight="false" outlineLevel="0" collapsed="false">
      <c r="B5" s="2" t="n">
        <v>3</v>
      </c>
      <c r="C5" s="2" t="n">
        <v>0.220741066666667</v>
      </c>
      <c r="D5" s="2" t="n">
        <v>0.1938726</v>
      </c>
      <c r="E5" s="2" t="n">
        <v>0.251671666666667</v>
      </c>
    </row>
    <row r="6" customFormat="false" ht="13.8" hidden="false" customHeight="false" outlineLevel="0" collapsed="false">
      <c r="B6" s="2" t="n">
        <v>4</v>
      </c>
      <c r="C6" s="2" t="n">
        <v>0.2126704</v>
      </c>
      <c r="D6" s="2" t="n">
        <v>0.252936266666667</v>
      </c>
      <c r="E6" s="2" t="n">
        <v>0.0791374</v>
      </c>
    </row>
    <row r="7" customFormat="false" ht="13.8" hidden="false" customHeight="false" outlineLevel="0" collapsed="false">
      <c r="B7" s="2" t="n">
        <v>5</v>
      </c>
      <c r="C7" s="2" t="n">
        <v>0.217001733333333</v>
      </c>
      <c r="D7" s="2" t="n">
        <v>0.101400333333333</v>
      </c>
      <c r="E7" s="2" t="n">
        <v>0.317934666666667</v>
      </c>
    </row>
    <row r="8" customFormat="false" ht="13.8" hidden="false" customHeight="false" outlineLevel="0" collapsed="false">
      <c r="B8" s="2" t="n">
        <v>6</v>
      </c>
      <c r="C8" s="2" t="n">
        <v>0.1589342</v>
      </c>
      <c r="D8" s="2" t="n">
        <v>0.2694672</v>
      </c>
      <c r="E8" s="2" t="n">
        <v>0.0674671333333334</v>
      </c>
    </row>
    <row r="9" customFormat="false" ht="13.8" hidden="false" customHeight="false" outlineLevel="0" collapsed="false">
      <c r="B9" s="2" t="n">
        <v>7</v>
      </c>
      <c r="C9" s="2" t="n">
        <v>0.216133866666667</v>
      </c>
      <c r="D9" s="2" t="n">
        <v>0.0872005333333333</v>
      </c>
      <c r="E9" s="2" t="n">
        <v>0.0775347333333333</v>
      </c>
    </row>
    <row r="10" customFormat="false" ht="13.8" hidden="false" customHeight="false" outlineLevel="0" collapsed="false">
      <c r="B10" s="2" t="n">
        <v>8</v>
      </c>
      <c r="C10" s="2" t="n">
        <v>0.164467333333333</v>
      </c>
      <c r="D10" s="2" t="n">
        <v>0.1680018</v>
      </c>
      <c r="E10" s="2" t="n">
        <v>0.137934466666667</v>
      </c>
    </row>
    <row r="11" customFormat="false" ht="13.8" hidden="false" customHeight="false" outlineLevel="0" collapsed="false">
      <c r="B11" s="2" t="n">
        <v>9</v>
      </c>
      <c r="C11" s="2" t="n">
        <v>0.221000466666667</v>
      </c>
      <c r="D11" s="2" t="n">
        <v>0.182334466666667</v>
      </c>
      <c r="E11" s="2" t="n">
        <v>0.0975340666666667</v>
      </c>
    </row>
    <row r="12" customFormat="false" ht="13.8" hidden="false" customHeight="false" outlineLevel="0" collapsed="false">
      <c r="B12" s="2" t="n">
        <v>10</v>
      </c>
      <c r="C12" s="2" t="n">
        <v>0.160201066666667</v>
      </c>
      <c r="D12" s="2" t="n">
        <v>0.0474674666666667</v>
      </c>
      <c r="E12" s="2" t="n">
        <v>0.271933466666667</v>
      </c>
    </row>
    <row r="13" customFormat="false" ht="13.8" hidden="false" customHeight="false" outlineLevel="0" collapsed="false">
      <c r="B13" s="2" t="n">
        <v>11</v>
      </c>
      <c r="C13" s="2" t="n">
        <v>0.0846671333333333</v>
      </c>
      <c r="D13" s="2" t="n">
        <v>0.1736674</v>
      </c>
      <c r="E13" s="2" t="n">
        <v>0.150667</v>
      </c>
    </row>
    <row r="14" customFormat="false" ht="13.8" hidden="false" customHeight="false" outlineLevel="0" collapsed="false">
      <c r="B14" s="2" t="n">
        <v>12</v>
      </c>
      <c r="C14" s="2" t="n">
        <v>0.2064</v>
      </c>
      <c r="D14" s="2" t="n">
        <v>0.2544672</v>
      </c>
      <c r="E14" s="2" t="n">
        <v>0.269</v>
      </c>
    </row>
    <row r="15" customFormat="false" ht="13.8" hidden="false" customHeight="false" outlineLevel="0" collapsed="false">
      <c r="B15" s="2" t="n">
        <v>13</v>
      </c>
      <c r="C15" s="2" t="n">
        <v>0.292200466666667</v>
      </c>
      <c r="D15" s="2" t="n">
        <v>0.104</v>
      </c>
      <c r="E15" s="2" t="n">
        <v>0.152333466666667</v>
      </c>
    </row>
    <row r="16" customFormat="false" ht="13.8" hidden="false" customHeight="false" outlineLevel="0" collapsed="false">
      <c r="B16" s="2" t="n">
        <v>14</v>
      </c>
      <c r="C16" s="2" t="n">
        <v>0.335866733333333</v>
      </c>
      <c r="D16" s="2" t="n">
        <v>0.2566672</v>
      </c>
      <c r="E16" s="2" t="n">
        <v>0.2770668</v>
      </c>
    </row>
    <row r="17" customFormat="false" ht="13.8" hidden="false" customHeight="false" outlineLevel="0" collapsed="false">
      <c r="B17" s="2" t="n">
        <v>15</v>
      </c>
      <c r="C17" s="2" t="n">
        <v>0.189266733333333</v>
      </c>
      <c r="D17" s="2" t="n">
        <v>0.0440012</v>
      </c>
      <c r="E17" s="2" t="n">
        <v>0.154667</v>
      </c>
    </row>
    <row r="18" customFormat="false" ht="13.8" hidden="false" customHeight="false" outlineLevel="0" collapsed="false">
      <c r="B18" s="2" t="n">
        <v>16</v>
      </c>
      <c r="C18" s="2" t="n">
        <v>0.307600533333333</v>
      </c>
      <c r="D18" s="2" t="n">
        <v>0.316801133333333</v>
      </c>
      <c r="E18" s="2" t="n">
        <v>0.263867333333333</v>
      </c>
    </row>
    <row r="19" customFormat="false" ht="13.8" hidden="false" customHeight="false" outlineLevel="0" collapsed="false">
      <c r="B19" s="2" t="n">
        <v>17</v>
      </c>
      <c r="C19" s="2" t="n">
        <v>0.172800866666667</v>
      </c>
      <c r="D19" s="2" t="n">
        <v>0.0647336666666667</v>
      </c>
      <c r="E19" s="2" t="n">
        <v>0.1474668</v>
      </c>
    </row>
    <row r="20" customFormat="false" ht="13.8" hidden="false" customHeight="false" outlineLevel="0" collapsed="false">
      <c r="B20" s="2" t="n">
        <v>18</v>
      </c>
      <c r="C20" s="2" t="n">
        <v>0.2914676</v>
      </c>
      <c r="D20" s="2" t="n">
        <v>0.255067933333333</v>
      </c>
      <c r="E20" s="2" t="n">
        <v>0.177734666666667</v>
      </c>
    </row>
    <row r="21" customFormat="false" ht="13.8" hidden="false" customHeight="false" outlineLevel="0" collapsed="false">
      <c r="B21" s="2" t="n">
        <v>19</v>
      </c>
      <c r="C21" s="2" t="n">
        <v>0.163934066666667</v>
      </c>
      <c r="D21" s="2" t="n">
        <v>0.225133466666667</v>
      </c>
      <c r="E21" s="2" t="n">
        <v>0.0958003333333333</v>
      </c>
    </row>
    <row r="22" customFormat="false" ht="13.8" hidden="false" customHeight="false" outlineLevel="0" collapsed="false">
      <c r="B22" s="2" t="n">
        <v>20</v>
      </c>
      <c r="C22" s="2" t="n">
        <v>0.2147346</v>
      </c>
      <c r="D22" s="2" t="n">
        <v>0.2119336</v>
      </c>
      <c r="E22" s="2" t="n">
        <v>0.3076006</v>
      </c>
    </row>
    <row r="23" customFormat="false" ht="13.8" hidden="false" customHeight="false" outlineLevel="0" collapsed="false">
      <c r="B23" s="2" t="n">
        <v>21</v>
      </c>
      <c r="C23" s="2" t="n">
        <v>0.257201733333333</v>
      </c>
      <c r="D23" s="2" t="n">
        <v>0.213</v>
      </c>
      <c r="E23" s="2" t="n">
        <v>0.121867066666667</v>
      </c>
    </row>
    <row r="24" customFormat="false" ht="13.8" hidden="false" customHeight="false" outlineLevel="0" collapsed="false">
      <c r="B24" s="2" t="n">
        <v>22</v>
      </c>
      <c r="C24" s="2" t="n">
        <v>0.281133466666667</v>
      </c>
      <c r="D24" s="2" t="n">
        <v>0.2122002</v>
      </c>
      <c r="E24" s="2" t="n">
        <v>0.326533466666667</v>
      </c>
    </row>
    <row r="25" customFormat="false" ht="13.8" hidden="false" customHeight="false" outlineLevel="0" collapsed="false">
      <c r="B25" s="2" t="n">
        <v>23</v>
      </c>
      <c r="C25" s="2" t="n">
        <v>0.152267466666667</v>
      </c>
      <c r="D25" s="2" t="n">
        <v>0.211400066666667</v>
      </c>
      <c r="E25" s="2" t="n">
        <v>0.0811336</v>
      </c>
    </row>
    <row r="26" customFormat="false" ht="13.8" hidden="false" customHeight="false" outlineLevel="0" collapsed="false">
      <c r="B26" s="2" t="n">
        <v>24</v>
      </c>
      <c r="C26" s="2" t="n">
        <v>0.382734133333333</v>
      </c>
      <c r="D26" s="2" t="n">
        <v>0.209</v>
      </c>
      <c r="E26" s="2" t="n">
        <v>0.3630672</v>
      </c>
    </row>
    <row r="27" customFormat="false" ht="13.8" hidden="false" customHeight="false" outlineLevel="0" collapsed="false">
      <c r="B27" s="2" t="n">
        <v>25</v>
      </c>
      <c r="C27" s="2" t="n">
        <v>0.1504674</v>
      </c>
      <c r="D27" s="2" t="n">
        <v>0.209000133333333</v>
      </c>
      <c r="E27" s="2" t="n">
        <v>0.0722011333333334</v>
      </c>
    </row>
    <row r="28" customFormat="false" ht="13.8" hidden="false" customHeight="false" outlineLevel="0" collapsed="false">
      <c r="B28" s="2" t="n">
        <v>26</v>
      </c>
      <c r="C28" s="2" t="n">
        <v>0.407667866666667</v>
      </c>
      <c r="D28" s="2" t="n">
        <v>0.2106016</v>
      </c>
      <c r="E28" s="2" t="n">
        <v>0.348002666666667</v>
      </c>
    </row>
    <row r="29" customFormat="false" ht="13.8" hidden="false" customHeight="false" outlineLevel="0" collapsed="false">
      <c r="B29" s="2" t="n">
        <v>27</v>
      </c>
      <c r="C29" s="2" t="n">
        <v>0.160868666666667</v>
      </c>
      <c r="D29" s="2" t="n">
        <v>0.358134733333333</v>
      </c>
      <c r="E29" s="2" t="n">
        <v>0.0620042666666667</v>
      </c>
    </row>
    <row r="30" customFormat="false" ht="13.8" hidden="false" customHeight="false" outlineLevel="0" collapsed="false">
      <c r="B30" s="2" t="n">
        <v>28</v>
      </c>
      <c r="C30" s="2" t="n">
        <v>0.3845374</v>
      </c>
      <c r="D30" s="2" t="n">
        <v>0.1866022</v>
      </c>
      <c r="E30" s="2" t="n">
        <v>0.320004866666667</v>
      </c>
    </row>
    <row r="31" customFormat="false" ht="13.8" hidden="false" customHeight="false" outlineLevel="0" collapsed="false">
      <c r="B31" s="2" t="n">
        <v>29</v>
      </c>
      <c r="C31" s="2" t="n">
        <v>0.1332708</v>
      </c>
      <c r="D31" s="2" t="n">
        <v>0.340934866666667</v>
      </c>
      <c r="E31" s="2" t="n">
        <v>0.283804133333333</v>
      </c>
    </row>
    <row r="32" customFormat="false" ht="13.8" hidden="false" customHeight="false" outlineLevel="0" collapsed="false">
      <c r="B32" s="2" t="n">
        <v>30</v>
      </c>
      <c r="C32" s="2" t="n">
        <v>0.378405533333333</v>
      </c>
      <c r="D32" s="2" t="n">
        <v>0.284403866666667</v>
      </c>
      <c r="E32" s="2" t="n">
        <v>0.181404333333333</v>
      </c>
    </row>
    <row r="33" customFormat="false" ht="13.8" hidden="false" customHeight="false" outlineLevel="0" collapsed="false">
      <c r="B33" s="2" t="n">
        <v>31</v>
      </c>
      <c r="C33" s="2" t="n">
        <v>0.141004133333333</v>
      </c>
      <c r="D33" s="2" t="n">
        <v>0.270004</v>
      </c>
      <c r="E33" s="2" t="n">
        <v>0.163673</v>
      </c>
    </row>
    <row r="34" customFormat="false" ht="13.8" hidden="false" customHeight="false" outlineLevel="0" collapsed="false">
      <c r="B34" s="2" t="n">
        <v>32</v>
      </c>
      <c r="C34" s="2" t="n">
        <v>0.282673066666667</v>
      </c>
      <c r="D34" s="2" t="n">
        <v>0.2716038</v>
      </c>
      <c r="E34" s="2" t="n">
        <v>0.350672333333333</v>
      </c>
    </row>
    <row r="35" customFormat="false" ht="13.8" hidden="false" customHeight="false" outlineLevel="0" collapsed="false">
      <c r="B35" s="2" t="n">
        <v>33</v>
      </c>
      <c r="C35" s="2" t="n">
        <v>0.1280074</v>
      </c>
      <c r="D35" s="2" t="n">
        <v>0.2700048</v>
      </c>
      <c r="E35" s="2" t="n">
        <v>0.143605666666667</v>
      </c>
    </row>
    <row r="36" customFormat="false" ht="13.8" hidden="false" customHeight="false" outlineLevel="0" collapsed="false">
      <c r="B36" s="2" t="n">
        <v>34</v>
      </c>
      <c r="C36" s="2" t="n">
        <v>0.369007</v>
      </c>
      <c r="D36" s="2" t="n">
        <v>0.270007066666667</v>
      </c>
      <c r="E36" s="2" t="n">
        <v>0.386871266666667</v>
      </c>
    </row>
    <row r="37" customFormat="false" ht="13.8" hidden="false" customHeight="false" outlineLevel="0" collapsed="false">
      <c r="B37" s="2" t="n">
        <v>35</v>
      </c>
      <c r="C37" s="2" t="n">
        <v>0.1822076</v>
      </c>
      <c r="D37" s="2" t="n">
        <v>0.270008</v>
      </c>
      <c r="E37" s="2" t="n">
        <v>0.106473333333333</v>
      </c>
    </row>
    <row r="38" customFormat="false" ht="13.8" hidden="false" customHeight="false" outlineLevel="0" collapsed="false">
      <c r="B38" s="2" t="n">
        <v>36</v>
      </c>
      <c r="C38" s="2" t="n">
        <v>0.291008333333333</v>
      </c>
      <c r="D38" s="2" t="n">
        <v>0.203341666666667</v>
      </c>
      <c r="E38" s="2" t="n">
        <v>0.158009333333333</v>
      </c>
    </row>
    <row r="39" customFormat="false" ht="13.8" hidden="false" customHeight="false" outlineLevel="0" collapsed="false">
      <c r="B39" s="2" t="n">
        <v>37</v>
      </c>
      <c r="C39" s="2" t="n">
        <v>0.298008</v>
      </c>
      <c r="D39" s="2" t="n">
        <v>0.402008333333333</v>
      </c>
      <c r="E39" s="2" t="n">
        <v>0.2440074</v>
      </c>
    </row>
    <row r="40" customFormat="false" ht="13.8" hidden="false" customHeight="false" outlineLevel="0" collapsed="false">
      <c r="B40" s="2" t="n">
        <v>38</v>
      </c>
      <c r="C40" s="2" t="n">
        <v>0.273673933333333</v>
      </c>
      <c r="D40" s="2" t="n">
        <v>0.153008133333333</v>
      </c>
      <c r="E40" s="2" t="n">
        <v>0.288073533333333</v>
      </c>
    </row>
    <row r="41" customFormat="false" ht="13.8" hidden="false" customHeight="false" outlineLevel="0" collapsed="false">
      <c r="B41" s="2" t="n">
        <v>39</v>
      </c>
      <c r="C41" s="2" t="n">
        <v>0.3010068</v>
      </c>
      <c r="D41" s="2" t="n">
        <v>0.4349396</v>
      </c>
      <c r="E41" s="2" t="n">
        <v>0.256539266666667</v>
      </c>
    </row>
    <row r="42" customFormat="false" ht="13.8" hidden="false" customHeight="false" outlineLevel="0" collapsed="false">
      <c r="B42" s="2" t="n">
        <v>40</v>
      </c>
      <c r="C42" s="2" t="n">
        <v>0.265008</v>
      </c>
      <c r="D42" s="2" t="n">
        <v>0.1749396</v>
      </c>
      <c r="E42" s="2" t="n">
        <v>0.290205466666667</v>
      </c>
    </row>
    <row r="43" customFormat="false" ht="13.8" hidden="false" customHeight="false" outlineLevel="0" collapsed="false">
      <c r="B43" s="2" t="n">
        <v>41</v>
      </c>
      <c r="C43" s="2" t="n">
        <v>0.184341866666667</v>
      </c>
      <c r="D43" s="2" t="n">
        <v>0.3516748</v>
      </c>
      <c r="E43" s="2" t="n">
        <v>0.233005333333333</v>
      </c>
    </row>
    <row r="44" customFormat="false" ht="13.8" hidden="false" customHeight="false" outlineLevel="0" collapsed="false">
      <c r="B44" s="2" t="n">
        <v>42</v>
      </c>
      <c r="C44" s="2" t="n">
        <v>0.1658084</v>
      </c>
      <c r="D44" s="2" t="n">
        <v>0.249340066666667</v>
      </c>
      <c r="E44" s="2" t="n">
        <v>0.2570056</v>
      </c>
    </row>
    <row r="45" customFormat="false" ht="13.8" hidden="false" customHeight="false" outlineLevel="0" collapsed="false">
      <c r="B45" s="2" t="n">
        <v>43</v>
      </c>
      <c r="C45" s="2" t="n">
        <v>0.311140933333333</v>
      </c>
      <c r="D45" s="2" t="n">
        <v>0.311005533333333</v>
      </c>
      <c r="E45" s="2" t="n">
        <v>0.218003733333333</v>
      </c>
    </row>
    <row r="46" customFormat="false" ht="13.8" hidden="false" customHeight="false" outlineLevel="0" collapsed="false">
      <c r="B46" s="2" t="n">
        <v>44</v>
      </c>
      <c r="C46" s="2" t="n">
        <v>0.244739666666667</v>
      </c>
      <c r="D46" s="2" t="n">
        <v>0.178070733333333</v>
      </c>
      <c r="E46" s="2" t="n">
        <v>0.257001266666667</v>
      </c>
    </row>
    <row r="47" customFormat="false" ht="13.8" hidden="false" customHeight="false" outlineLevel="0" collapsed="false">
      <c r="B47" s="2" t="n">
        <v>45</v>
      </c>
      <c r="C47" s="2" t="n">
        <v>0.367004733333333</v>
      </c>
      <c r="D47" s="2" t="n">
        <v>0.404136066666667</v>
      </c>
      <c r="E47" s="2" t="n">
        <v>0.1780012</v>
      </c>
    </row>
    <row r="48" customFormat="false" ht="13.8" hidden="false" customHeight="false" outlineLevel="0" collapsed="false">
      <c r="B48" s="2" t="n">
        <v>46</v>
      </c>
      <c r="C48" s="2" t="n">
        <v>0.2610054</v>
      </c>
      <c r="D48" s="2" t="n">
        <v>0.1530046</v>
      </c>
      <c r="E48" s="2" t="n">
        <v>0.189003066666667</v>
      </c>
    </row>
    <row r="49" customFormat="false" ht="13.8" hidden="false" customHeight="false" outlineLevel="0" collapsed="false">
      <c r="B49" s="2" t="n">
        <v>47</v>
      </c>
      <c r="C49" s="2" t="n">
        <v>0.196006533333333</v>
      </c>
      <c r="D49" s="2" t="n">
        <v>0.387003</v>
      </c>
      <c r="E49" s="2" t="n">
        <v>0.348004333333333</v>
      </c>
    </row>
    <row r="50" customFormat="false" ht="13.8" hidden="false" customHeight="false" outlineLevel="0" collapsed="false">
      <c r="B50" s="2" t="n">
        <v>48</v>
      </c>
      <c r="C50" s="2" t="n">
        <v>0.1662068</v>
      </c>
      <c r="D50" s="2" t="n">
        <v>0.153003</v>
      </c>
      <c r="E50" s="2" t="n">
        <v>0.1650042</v>
      </c>
    </row>
    <row r="51" customFormat="false" ht="13.8" hidden="false" customHeight="false" outlineLevel="0" collapsed="false">
      <c r="B51" s="2" t="n">
        <v>49</v>
      </c>
      <c r="C51" s="2" t="n">
        <v>0.2823404</v>
      </c>
      <c r="D51" s="2" t="n">
        <v>0.395003866666667</v>
      </c>
      <c r="E51" s="2" t="n">
        <v>0.365004733333333</v>
      </c>
    </row>
    <row r="52" customFormat="false" ht="13.8" hidden="false" customHeight="false" outlineLevel="0" collapsed="false">
      <c r="B52" s="2" t="n">
        <v>50</v>
      </c>
      <c r="C52" s="2" t="n">
        <v>0.2570072</v>
      </c>
      <c r="D52" s="2" t="n">
        <v>0.161006</v>
      </c>
      <c r="E52" s="2" t="n">
        <v>0.179005666666667</v>
      </c>
    </row>
    <row r="53" customFormat="false" ht="13.8" hidden="false" customHeight="false" outlineLevel="0" collapsed="false">
      <c r="B53" s="2" t="n">
        <v>51</v>
      </c>
      <c r="C53" s="2" t="n">
        <v>0.295674333333333</v>
      </c>
      <c r="D53" s="2" t="n">
        <v>0.298140933333333</v>
      </c>
      <c r="E53" s="2" t="n">
        <v>0.3626084</v>
      </c>
    </row>
    <row r="54" customFormat="false" ht="13.8" hidden="false" customHeight="false" outlineLevel="0" collapsed="false">
      <c r="B54" s="2" t="n">
        <v>52</v>
      </c>
      <c r="C54" s="2" t="n">
        <v>0.292872666666667</v>
      </c>
      <c r="D54" s="2" t="n">
        <v>0.273741</v>
      </c>
      <c r="E54" s="2" t="n">
        <v>0.181675333333333</v>
      </c>
    </row>
    <row r="55" customFormat="false" ht="13.8" hidden="false" customHeight="false" outlineLevel="0" collapsed="false">
      <c r="B55" s="2" t="n">
        <v>53</v>
      </c>
      <c r="C55" s="2" t="n">
        <v>0.310673666666667</v>
      </c>
      <c r="D55" s="2" t="n">
        <v>0.2946068</v>
      </c>
      <c r="E55" s="2" t="n">
        <v>0.378407466666667</v>
      </c>
    </row>
    <row r="56" customFormat="false" ht="13.8" hidden="false" customHeight="false" outlineLevel="0" collapsed="false">
      <c r="B56" s="2" t="n">
        <v>54</v>
      </c>
      <c r="C56" s="2" t="n">
        <v>0.257008266666667</v>
      </c>
      <c r="D56" s="2" t="n">
        <v>0.285007533333333</v>
      </c>
      <c r="E56" s="2" t="n">
        <v>0.202006</v>
      </c>
    </row>
    <row r="57" customFormat="false" ht="13.8" hidden="false" customHeight="false" outlineLevel="0" collapsed="false">
      <c r="B57" s="2" t="n">
        <v>55</v>
      </c>
      <c r="C57" s="2" t="n">
        <v>0.283006733333333</v>
      </c>
      <c r="D57" s="2" t="n">
        <v>0.2900732</v>
      </c>
      <c r="E57" s="2" t="n">
        <v>0.371339466666667</v>
      </c>
    </row>
    <row r="58" customFormat="false" ht="13.8" hidden="false" customHeight="false" outlineLevel="0" collapsed="false">
      <c r="B58" s="2" t="n">
        <v>56</v>
      </c>
      <c r="C58" s="2" t="n">
        <v>0.257004933333333</v>
      </c>
      <c r="D58" s="2" t="n">
        <v>0.286006133333333</v>
      </c>
      <c r="E58" s="2" t="n">
        <v>0.190003866666667</v>
      </c>
    </row>
    <row r="59" customFormat="false" ht="13.8" hidden="false" customHeight="false" outlineLevel="0" collapsed="false">
      <c r="B59" s="2" t="n">
        <v>57</v>
      </c>
      <c r="C59" s="2" t="n">
        <v>0.202337666666667</v>
      </c>
      <c r="D59" s="2" t="n">
        <v>0.275869666666667</v>
      </c>
      <c r="E59" s="2" t="n">
        <v>0.361002533333333</v>
      </c>
    </row>
    <row r="60" customFormat="false" ht="13.8" hidden="false" customHeight="false" outlineLevel="0" collapsed="false">
      <c r="B60" s="2" t="n">
        <v>58</v>
      </c>
      <c r="C60" s="2" t="n">
        <v>0.296002933333333</v>
      </c>
      <c r="D60" s="2" t="n">
        <v>0.270001266666667</v>
      </c>
      <c r="E60" s="2" t="n">
        <v>0.179002</v>
      </c>
    </row>
    <row r="61" customFormat="false" ht="13.8" hidden="false" customHeight="false" outlineLevel="0" collapsed="false">
      <c r="B61" s="2" t="n">
        <v>59</v>
      </c>
      <c r="C61" s="2" t="n">
        <v>0.244001266666667</v>
      </c>
      <c r="D61" s="2" t="n">
        <v>0.256666733333333</v>
      </c>
      <c r="E61" s="2" t="n">
        <v>0.267668333333333</v>
      </c>
    </row>
    <row r="62" customFormat="false" ht="13.8" hidden="false" customHeight="false" outlineLevel="0" collapsed="false">
      <c r="B62" s="2" t="n">
        <v>60</v>
      </c>
      <c r="C62" s="2" t="n">
        <v>0.296</v>
      </c>
      <c r="D62" s="2" t="n">
        <v>0.0966675333333333</v>
      </c>
      <c r="E62" s="2" t="n">
        <v>0.309000133333333</v>
      </c>
    </row>
    <row r="63" customFormat="false" ht="13.8" hidden="false" customHeight="false" outlineLevel="0" collapsed="false">
      <c r="B63" s="2" t="n">
        <v>61</v>
      </c>
      <c r="C63" s="2" t="n">
        <v>0.244000666666667</v>
      </c>
      <c r="D63" s="2" t="n">
        <v>0.4</v>
      </c>
      <c r="E63" s="2" t="n">
        <v>0.231</v>
      </c>
    </row>
    <row r="64" customFormat="false" ht="13.8" hidden="false" customHeight="false" outlineLevel="0" collapsed="false">
      <c r="B64" s="2" t="n">
        <v>62</v>
      </c>
      <c r="C64" s="2" t="n">
        <v>0.299666933333333</v>
      </c>
      <c r="D64" s="2" t="n">
        <v>0.14</v>
      </c>
      <c r="E64" s="2" t="n">
        <v>0.309</v>
      </c>
    </row>
    <row r="65" customFormat="false" ht="13.8" hidden="false" customHeight="false" outlineLevel="0" collapsed="false">
      <c r="B65" s="2" t="n">
        <v>63</v>
      </c>
      <c r="C65" s="2" t="n">
        <v>0.249</v>
      </c>
      <c r="D65" s="2" t="n">
        <v>0.226667533333333</v>
      </c>
      <c r="E65" s="2" t="n">
        <v>0.231</v>
      </c>
    </row>
    <row r="66" customFormat="false" ht="13.8" hidden="false" customHeight="false" outlineLevel="0" collapsed="false">
      <c r="B66" s="2" t="n">
        <v>64</v>
      </c>
      <c r="C66" s="2" t="n">
        <v>0.301</v>
      </c>
      <c r="D66" s="2" t="n">
        <v>0.271333666666667</v>
      </c>
      <c r="E66" s="2" t="n">
        <v>0.309</v>
      </c>
    </row>
    <row r="67" customFormat="false" ht="13.8" hidden="false" customHeight="false" outlineLevel="0" collapsed="false">
      <c r="B67" s="2" t="n">
        <v>65</v>
      </c>
      <c r="C67" s="2" t="n">
        <v>0.249</v>
      </c>
      <c r="D67" s="2" t="n">
        <v>0.270334266666667</v>
      </c>
      <c r="E67" s="2" t="n">
        <v>0.231</v>
      </c>
    </row>
    <row r="68" customFormat="false" ht="13.8" hidden="false" customHeight="false" outlineLevel="0" collapsed="false">
      <c r="B68" s="2" t="n">
        <v>66</v>
      </c>
      <c r="C68" s="2" t="n">
        <v>0.296001</v>
      </c>
      <c r="D68" s="2" t="n">
        <v>0.270001</v>
      </c>
      <c r="E68" s="2" t="n">
        <v>0.319000333333333</v>
      </c>
    </row>
    <row r="69" customFormat="false" ht="13.8" hidden="false" customHeight="false" outlineLevel="0" collapsed="false">
      <c r="B69" s="2" t="n">
        <v>67</v>
      </c>
      <c r="C69" s="2" t="n">
        <v>0.244001</v>
      </c>
      <c r="D69" s="2" t="n">
        <v>0.2760006</v>
      </c>
      <c r="E69" s="2" t="n">
        <v>0.205333666666667</v>
      </c>
    </row>
    <row r="70" customFormat="false" ht="13.8" hidden="false" customHeight="false" outlineLevel="0" collapsed="false">
      <c r="B70" s="2" t="n">
        <v>68</v>
      </c>
      <c r="C70" s="2" t="n">
        <v>0.296001</v>
      </c>
      <c r="D70" s="2" t="n">
        <v>0.2850002</v>
      </c>
      <c r="E70" s="2" t="n">
        <v>0.310666733333333</v>
      </c>
    </row>
    <row r="71" customFormat="false" ht="13.8" hidden="false" customHeight="false" outlineLevel="0" collapsed="false">
      <c r="B71" s="2" t="n">
        <v>69</v>
      </c>
      <c r="C71" s="2" t="n">
        <v>0.244001</v>
      </c>
      <c r="D71" s="2" t="n">
        <v>0.289000666666667</v>
      </c>
      <c r="E71" s="2" t="n">
        <v>0.259</v>
      </c>
    </row>
    <row r="72" customFormat="false" ht="13.8" hidden="false" customHeight="false" outlineLevel="0" collapsed="false">
      <c r="B72" s="2" t="n">
        <v>70</v>
      </c>
      <c r="C72" s="2" t="n">
        <v>0.296001333333333</v>
      </c>
      <c r="D72" s="2" t="n">
        <v>0.294000666666667</v>
      </c>
      <c r="E72" s="2" t="n">
        <v>0.284333466666667</v>
      </c>
    </row>
    <row r="73" customFormat="false" ht="13.8" hidden="false" customHeight="false" outlineLevel="0" collapsed="false">
      <c r="B73" s="2" t="n">
        <v>71</v>
      </c>
      <c r="C73" s="2" t="n">
        <v>0.244002</v>
      </c>
      <c r="D73" s="2" t="n">
        <v>0.301067333333333</v>
      </c>
      <c r="E73" s="2" t="n">
        <v>0.2990002</v>
      </c>
    </row>
    <row r="74" customFormat="false" ht="13.8" hidden="false" customHeight="false" outlineLevel="0" collapsed="false">
      <c r="B74" s="2" t="n">
        <v>72</v>
      </c>
      <c r="C74" s="2" t="n">
        <v>0.296002</v>
      </c>
      <c r="D74" s="2" t="n">
        <v>0.3013346</v>
      </c>
      <c r="E74" s="2" t="n">
        <v>0.275467866666667</v>
      </c>
    </row>
    <row r="75" customFormat="false" ht="13.8" hidden="false" customHeight="false" outlineLevel="0" collapsed="false">
      <c r="B75" s="2" t="n">
        <v>73</v>
      </c>
      <c r="C75" s="2" t="n">
        <v>0.282335666666667</v>
      </c>
      <c r="D75" s="2" t="n">
        <v>0.3002694</v>
      </c>
      <c r="E75" s="2" t="n">
        <v>0.339735066666667</v>
      </c>
    </row>
    <row r="76" customFormat="false" ht="13.8" hidden="false" customHeight="false" outlineLevel="0" collapsed="false">
      <c r="B76" s="2" t="n">
        <v>74</v>
      </c>
      <c r="C76" s="2" t="n">
        <v>0.347671266666667</v>
      </c>
      <c r="D76" s="2" t="n">
        <v>0.326536466666667</v>
      </c>
      <c r="E76" s="2" t="n">
        <v>0.2610684</v>
      </c>
    </row>
    <row r="77" customFormat="false" ht="13.8" hidden="false" customHeight="false" outlineLevel="0" collapsed="false">
      <c r="B77" s="2" t="n">
        <v>75</v>
      </c>
      <c r="C77" s="2" t="n">
        <v>0.311340733333333</v>
      </c>
      <c r="D77" s="2" t="n">
        <v>0.331537333333333</v>
      </c>
      <c r="E77" s="2" t="n">
        <v>0.323603133333333</v>
      </c>
    </row>
    <row r="78" customFormat="false" ht="13.8" hidden="false" customHeight="false" outlineLevel="0" collapsed="false">
      <c r="B78" s="2" t="n">
        <v>76</v>
      </c>
      <c r="C78" s="2" t="n">
        <v>0.1818114</v>
      </c>
      <c r="D78" s="2" t="n">
        <v>0.3323388</v>
      </c>
      <c r="E78" s="2" t="n">
        <v>0.341407066666667</v>
      </c>
    </row>
    <row r="79" customFormat="false" ht="13.8" hidden="false" customHeight="false" outlineLevel="0" collapsed="false">
      <c r="B79" s="2" t="n">
        <v>77</v>
      </c>
      <c r="C79" s="2" t="n">
        <v>0.4102792</v>
      </c>
      <c r="D79" s="2" t="n">
        <v>0.394873466666667</v>
      </c>
      <c r="E79" s="2" t="n">
        <v>0.323274</v>
      </c>
    </row>
    <row r="80" customFormat="false" ht="13.8" hidden="false" customHeight="false" outlineLevel="0" collapsed="false">
      <c r="B80" s="2" t="n">
        <v>78</v>
      </c>
      <c r="C80" s="2" t="n">
        <v>0.258812133333333</v>
      </c>
      <c r="D80" s="2" t="n">
        <v>0.403676933333333</v>
      </c>
      <c r="E80" s="2" t="n">
        <v>0.369276266666667</v>
      </c>
    </row>
    <row r="81" customFormat="false" ht="13.8" hidden="false" customHeight="false" outlineLevel="0" collapsed="false">
      <c r="B81" s="2" t="n">
        <v>79</v>
      </c>
      <c r="C81" s="2" t="n">
        <v>0.526013333333333</v>
      </c>
      <c r="D81" s="2" t="n">
        <v>0.5019402</v>
      </c>
      <c r="E81" s="2" t="n">
        <v>0.3987416</v>
      </c>
    </row>
    <row r="82" customFormat="false" ht="13.8" hidden="false" customHeight="false" outlineLevel="0" collapsed="false">
      <c r="B82" s="2" t="n">
        <v>80</v>
      </c>
      <c r="C82" s="2" t="n">
        <v>0.2032846</v>
      </c>
      <c r="D82" s="2" t="n">
        <v>0.441810933333333</v>
      </c>
      <c r="E82" s="2" t="n">
        <v>0.469475</v>
      </c>
    </row>
    <row r="83" customFormat="false" ht="13.8" hidden="false" customHeight="false" outlineLevel="0" collapsed="false">
      <c r="B83" s="2" t="n">
        <v>81</v>
      </c>
      <c r="C83" s="2" t="n">
        <v>0.428150266666667</v>
      </c>
      <c r="D83" s="2" t="n">
        <v>0.564676133333333</v>
      </c>
      <c r="E83" s="2" t="n">
        <v>0.393011666666667</v>
      </c>
    </row>
    <row r="84" customFormat="false" ht="13.8" hidden="false" customHeight="false" outlineLevel="0" collapsed="false">
      <c r="B84" s="2" t="n">
        <v>82</v>
      </c>
      <c r="C84" s="2" t="n">
        <v>0.254882733333333</v>
      </c>
      <c r="D84" s="2" t="n">
        <v>0.5318116</v>
      </c>
      <c r="E84" s="2" t="n">
        <v>0.4282802</v>
      </c>
    </row>
    <row r="85" customFormat="false" ht="13.8" hidden="false" customHeight="false" outlineLevel="0" collapsed="false">
      <c r="B85" s="2" t="n">
        <v>83</v>
      </c>
      <c r="C85" s="2" t="n">
        <v>0.398214466666667</v>
      </c>
      <c r="D85" s="2" t="n">
        <v>0.539145466666667</v>
      </c>
      <c r="E85" s="2" t="n">
        <v>0.4144802</v>
      </c>
    </row>
    <row r="86" customFormat="false" ht="13.8" hidden="false" customHeight="false" outlineLevel="0" collapsed="false">
      <c r="B86" s="2" t="n">
        <v>84</v>
      </c>
      <c r="C86" s="2" t="n">
        <v>0.423347666666667</v>
      </c>
      <c r="D86" s="2" t="n">
        <v>0.600544333333333</v>
      </c>
      <c r="E86" s="2" t="n">
        <v>0.2768828</v>
      </c>
    </row>
    <row r="87" customFormat="false" ht="13.8" hidden="false" customHeight="false" outlineLevel="0" collapsed="false">
      <c r="B87" s="2" t="n">
        <v>85</v>
      </c>
      <c r="C87" s="2" t="n">
        <v>0.360882933333333</v>
      </c>
      <c r="D87" s="2" t="n">
        <v>0.5738128</v>
      </c>
      <c r="E87" s="2" t="n">
        <v>0.518750666666667</v>
      </c>
    </row>
    <row r="88" customFormat="false" ht="13.8" hidden="false" customHeight="false" outlineLevel="0" collapsed="false">
      <c r="B88" s="2" t="n">
        <v>86</v>
      </c>
      <c r="C88" s="2" t="n">
        <v>0.3121492</v>
      </c>
      <c r="D88" s="2" t="n">
        <v>0.477347666666667</v>
      </c>
      <c r="E88" s="2" t="n">
        <v>0.374680733333333</v>
      </c>
    </row>
    <row r="89" customFormat="false" ht="13.8" hidden="false" customHeight="false" outlineLevel="0" collapsed="false">
      <c r="B89" s="2" t="n">
        <v>87</v>
      </c>
      <c r="C89" s="2" t="n">
        <v>0.288680533333333</v>
      </c>
      <c r="D89" s="2" t="n">
        <v>0.494681866666667</v>
      </c>
      <c r="E89" s="2" t="n">
        <v>0.538615333333333</v>
      </c>
    </row>
    <row r="90" customFormat="false" ht="13.8" hidden="false" customHeight="false" outlineLevel="0" collapsed="false">
      <c r="B90" s="2" t="n">
        <v>88</v>
      </c>
      <c r="C90" s="2" t="n">
        <v>0.3787456</v>
      </c>
      <c r="D90" s="2" t="n">
        <v>0.466482666666667</v>
      </c>
      <c r="E90" s="2" t="n">
        <v>0.331616533333333</v>
      </c>
    </row>
    <row r="91" customFormat="false" ht="13.8" hidden="false" customHeight="false" outlineLevel="0" collapsed="false">
      <c r="B91" s="2" t="n">
        <v>89</v>
      </c>
      <c r="C91" s="2" t="n">
        <v>0.3160794</v>
      </c>
      <c r="D91" s="2" t="n">
        <v>0.397684466666667</v>
      </c>
      <c r="E91" s="2" t="n">
        <v>0.3479498</v>
      </c>
    </row>
    <row r="92" customFormat="false" ht="13.8" hidden="false" customHeight="false" outlineLevel="0" collapsed="false">
      <c r="B92" s="2" t="n">
        <v>90</v>
      </c>
      <c r="C92" s="2" t="n">
        <v>0.168082466666667</v>
      </c>
      <c r="D92" s="2" t="n">
        <v>0.389684133333333</v>
      </c>
      <c r="E92" s="2" t="n">
        <v>0.276482466666667</v>
      </c>
    </row>
    <row r="93" customFormat="false" ht="13.8" hidden="false" customHeight="false" outlineLevel="0" collapsed="false">
      <c r="B93" s="2" t="n">
        <v>91</v>
      </c>
      <c r="C93" s="2" t="n">
        <v>0.152014333333333</v>
      </c>
      <c r="D93" s="2" t="n">
        <v>0.386013866666667</v>
      </c>
      <c r="E93" s="2" t="n">
        <v>0.438014666666667</v>
      </c>
    </row>
    <row r="94" customFormat="false" ht="13.8" hidden="false" customHeight="false" outlineLevel="0" collapsed="false">
      <c r="B94" s="2" t="n">
        <v>92</v>
      </c>
      <c r="C94" s="2" t="n">
        <v>0.3966794</v>
      </c>
      <c r="D94" s="2" t="n">
        <v>0.3698128</v>
      </c>
      <c r="E94" s="2" t="n">
        <v>0.2018164</v>
      </c>
    </row>
    <row r="95" customFormat="false" ht="13.8" hidden="false" customHeight="false" outlineLevel="0" collapsed="false">
      <c r="B95" s="2" t="n">
        <v>93</v>
      </c>
      <c r="C95" s="2" t="n">
        <v>0.215207866666667</v>
      </c>
      <c r="D95" s="2" t="n">
        <v>0.095014</v>
      </c>
      <c r="E95" s="2" t="n">
        <v>0.395948933333333</v>
      </c>
    </row>
    <row r="96" customFormat="false" ht="13.8" hidden="false" customHeight="false" outlineLevel="0" collapsed="false">
      <c r="B96" s="2" t="n">
        <v>94</v>
      </c>
      <c r="C96" s="2" t="n">
        <v>0.4427408</v>
      </c>
      <c r="D96" s="2" t="n">
        <v>0.264212466666667</v>
      </c>
      <c r="E96" s="2" t="n">
        <v>0.2178852</v>
      </c>
    </row>
    <row r="97" customFormat="false" ht="13.8" hidden="false" customHeight="false" outlineLevel="0" collapsed="false">
      <c r="B97" s="2" t="n">
        <v>95</v>
      </c>
      <c r="C97" s="2" t="n">
        <v>0.160209733333333</v>
      </c>
      <c r="D97" s="2" t="n">
        <v>0.1416768</v>
      </c>
      <c r="E97" s="2" t="n">
        <v>0.221549533333333</v>
      </c>
    </row>
    <row r="98" customFormat="false" ht="13.8" hidden="false" customHeight="false" outlineLevel="0" collapsed="false">
      <c r="B98" s="2" t="n">
        <v>96</v>
      </c>
      <c r="C98" s="2" t="n">
        <v>0.141677333333333</v>
      </c>
      <c r="D98" s="2" t="n">
        <v>0.134612133333333</v>
      </c>
      <c r="E98" s="2" t="n">
        <v>0.1723474</v>
      </c>
    </row>
    <row r="99" customFormat="false" ht="13.8" hidden="false" customHeight="false" outlineLevel="0" collapsed="false">
      <c r="B99" s="2" t="n">
        <v>97</v>
      </c>
      <c r="C99" s="2" t="n">
        <v>0.124078933333333</v>
      </c>
      <c r="D99" s="2" t="n">
        <v>0.231278266666667</v>
      </c>
      <c r="E99" s="2" t="n">
        <v>0.0514082666666667</v>
      </c>
    </row>
    <row r="100" customFormat="false" ht="13.8" hidden="false" customHeight="false" outlineLevel="0" collapsed="false">
      <c r="B100" s="2" t="n">
        <v>98</v>
      </c>
      <c r="C100" s="2" t="n">
        <v>0.44234</v>
      </c>
      <c r="D100" s="2" t="n">
        <v>0.094478</v>
      </c>
      <c r="E100" s="2" t="n">
        <v>0.2634766</v>
      </c>
    </row>
    <row r="101" customFormat="false" ht="13.8" hidden="false" customHeight="false" outlineLevel="0" collapsed="false">
      <c r="B101" s="2" t="n">
        <v>99</v>
      </c>
      <c r="C101" s="2" t="n">
        <v>0.159005466666667</v>
      </c>
      <c r="D101" s="2" t="n">
        <v>0.247007866666667</v>
      </c>
      <c r="E101" s="2" t="n">
        <v>0.0721398</v>
      </c>
    </row>
    <row r="102" customFormat="false" ht="13.8" hidden="false" customHeight="false" outlineLevel="0" collapsed="false">
      <c r="B102" s="2" t="n">
        <v>100</v>
      </c>
      <c r="C102" s="2" t="n">
        <v>0.1664714</v>
      </c>
      <c r="D102" s="2" t="n">
        <v>0.0944690666666667</v>
      </c>
      <c r="E102" s="2" t="n">
        <v>0.184004266666667</v>
      </c>
    </row>
    <row r="103" customFormat="false" ht="13.8" hidden="false" customHeight="false" outlineLevel="0" collapsed="false">
      <c r="B103" s="2" t="n">
        <v>101</v>
      </c>
      <c r="C103" s="2" t="n">
        <v>0.211933933333333</v>
      </c>
      <c r="D103" s="2" t="n">
        <v>0.2378684</v>
      </c>
      <c r="E103" s="2" t="n">
        <v>0.1268032</v>
      </c>
    </row>
    <row r="104" customFormat="false" ht="13.8" hidden="false" customHeight="false" outlineLevel="0" collapsed="false">
      <c r="B104" s="2" t="n">
        <v>102</v>
      </c>
      <c r="C104" s="2" t="n">
        <v>0.0707345333333333</v>
      </c>
      <c r="D104" s="2" t="n">
        <v>0.198400933333333</v>
      </c>
      <c r="E104" s="2" t="n">
        <v>0.0738005333333333</v>
      </c>
    </row>
    <row r="105" customFormat="false" ht="13.8" hidden="false" customHeight="false" outlineLevel="0" collapsed="false">
      <c r="B105" s="2" t="n">
        <v>103</v>
      </c>
      <c r="C105" s="2" t="n">
        <v>0.3085336</v>
      </c>
      <c r="D105" s="2" t="n">
        <v>0.0698677333333333</v>
      </c>
      <c r="E105" s="2" t="n">
        <v>0.284600866666667</v>
      </c>
    </row>
    <row r="106" customFormat="false" ht="13.8" hidden="false" customHeight="false" outlineLevel="0" collapsed="false">
      <c r="B106" s="2" t="n">
        <v>104</v>
      </c>
      <c r="C106" s="2" t="n">
        <v>0.0482007333333333</v>
      </c>
      <c r="D106" s="2" t="n">
        <v>0.239201666666667</v>
      </c>
      <c r="E106" s="2" t="n">
        <v>0.0870005333333333</v>
      </c>
    </row>
    <row r="107" customFormat="false" ht="13.8" hidden="false" customHeight="false" outlineLevel="0" collapsed="false">
      <c r="B107" s="2" t="n">
        <v>105</v>
      </c>
      <c r="C107" s="2" t="n">
        <v>0.1990016</v>
      </c>
      <c r="D107" s="2" t="n">
        <v>0.226267133333333</v>
      </c>
      <c r="E107" s="2" t="n">
        <v>0.241667</v>
      </c>
    </row>
    <row r="108" customFormat="false" ht="13.8" hidden="false" customHeight="false" outlineLevel="0" collapsed="false">
      <c r="B108" s="2" t="n">
        <v>106</v>
      </c>
      <c r="C108" s="2" t="n">
        <v>0.0556667333333333</v>
      </c>
      <c r="D108" s="2" t="n">
        <v>0.205668</v>
      </c>
      <c r="E108" s="2" t="n">
        <v>0.139666866666667</v>
      </c>
    </row>
    <row r="109" customFormat="false" ht="13.8" hidden="false" customHeight="false" outlineLevel="0" collapsed="false">
      <c r="B109" s="2" t="n">
        <v>107</v>
      </c>
      <c r="C109" s="2" t="n">
        <v>0.298200533333333</v>
      </c>
      <c r="D109" s="2" t="n">
        <v>0.223600533333333</v>
      </c>
      <c r="E109" s="2" t="n">
        <v>0.169600933333333</v>
      </c>
    </row>
    <row r="110" customFormat="false" ht="13.8" hidden="false" customHeight="false" outlineLevel="0" collapsed="false">
      <c r="B110" s="2" t="n">
        <v>108</v>
      </c>
      <c r="C110" s="2" t="n">
        <v>0.0646678666666667</v>
      </c>
      <c r="D110" s="2" t="n">
        <v>0.205600666666667</v>
      </c>
      <c r="E110" s="2" t="n">
        <v>0.127200533333333</v>
      </c>
    </row>
    <row r="111" customFormat="false" ht="13.8" hidden="false" customHeight="false" outlineLevel="0" collapsed="false">
      <c r="B111" s="2" t="n">
        <v>109</v>
      </c>
      <c r="C111" s="2" t="n">
        <v>0.256001</v>
      </c>
      <c r="D111" s="2" t="n">
        <v>0.2250672</v>
      </c>
      <c r="E111" s="2" t="n">
        <v>0.1554668</v>
      </c>
    </row>
    <row r="112" customFormat="false" ht="13.8" hidden="false" customHeight="false" outlineLevel="0" collapsed="false">
      <c r="B112" s="2" t="n">
        <v>110</v>
      </c>
      <c r="C112" s="2" t="n">
        <v>0.125534266666667</v>
      </c>
      <c r="D112" s="2" t="n">
        <v>0.2146006</v>
      </c>
      <c r="E112" s="2" t="n">
        <v>0.176267133333333</v>
      </c>
    </row>
    <row r="113" customFormat="false" ht="13.8" hidden="false" customHeight="false" outlineLevel="0" collapsed="false">
      <c r="B113" s="2" t="n">
        <v>111</v>
      </c>
      <c r="C113" s="2" t="n">
        <v>0.179534066666667</v>
      </c>
      <c r="D113" s="2" t="n">
        <v>0.228267066666667</v>
      </c>
      <c r="E113" s="2" t="n">
        <v>0.1529338</v>
      </c>
    </row>
    <row r="114" customFormat="false" ht="13.8" hidden="false" customHeight="false" outlineLevel="0" collapsed="false">
      <c r="B114" s="2" t="n">
        <v>112</v>
      </c>
      <c r="C114" s="2" t="n">
        <v>0.162934333333333</v>
      </c>
      <c r="D114" s="2" t="n">
        <v>0.279467066666667</v>
      </c>
      <c r="E114" s="2" t="n">
        <v>0.202200533333333</v>
      </c>
    </row>
    <row r="115" customFormat="false" ht="13.8" hidden="false" customHeight="false" outlineLevel="0" collapsed="false">
      <c r="B115" s="2" t="n">
        <v>113</v>
      </c>
      <c r="C115" s="2" t="n">
        <v>0.156</v>
      </c>
      <c r="D115" s="2" t="n">
        <v>0.164666866666667</v>
      </c>
      <c r="E115" s="2" t="n">
        <v>0.1022672</v>
      </c>
    </row>
    <row r="116" customFormat="false" ht="13.8" hidden="false" customHeight="false" outlineLevel="0" collapsed="false">
      <c r="B116" s="2" t="n">
        <v>114</v>
      </c>
      <c r="C116" s="2" t="n">
        <v>0.1522006</v>
      </c>
      <c r="D116" s="2" t="n">
        <v>0.219666933333333</v>
      </c>
      <c r="E116" s="2" t="n">
        <v>0.2665342</v>
      </c>
    </row>
    <row r="117" customFormat="false" ht="13.8" hidden="false" customHeight="false" outlineLevel="0" collapsed="false">
      <c r="B117" s="2" t="n">
        <v>115</v>
      </c>
      <c r="C117" s="2" t="n">
        <v>0.219333666666667</v>
      </c>
      <c r="D117" s="2" t="n">
        <v>0.234867133333333</v>
      </c>
      <c r="E117" s="2" t="n">
        <v>0.0567336</v>
      </c>
    </row>
    <row r="118" customFormat="false" ht="13.8" hidden="false" customHeight="false" outlineLevel="0" collapsed="false">
      <c r="B118" s="2" t="n">
        <v>116</v>
      </c>
      <c r="C118" s="2" t="n">
        <v>0.089667</v>
      </c>
      <c r="D118" s="2" t="n">
        <v>0.3222004</v>
      </c>
      <c r="E118" s="2" t="n">
        <v>0.382533666666667</v>
      </c>
    </row>
    <row r="119" customFormat="false" ht="13.8" hidden="false" customHeight="false" outlineLevel="0" collapsed="false">
      <c r="B119" s="2" t="n">
        <v>117</v>
      </c>
      <c r="C119" s="2" t="n">
        <v>0.221800066666667</v>
      </c>
      <c r="D119" s="2" t="n">
        <v>0.225800333333333</v>
      </c>
      <c r="E119" s="2" t="n">
        <v>0.0308681333333333</v>
      </c>
    </row>
    <row r="120" customFormat="false" ht="13.8" hidden="false" customHeight="false" outlineLevel="0" collapsed="false">
      <c r="B120" s="2" t="n">
        <v>118</v>
      </c>
      <c r="C120" s="2" t="n">
        <v>0.085068</v>
      </c>
      <c r="D120" s="2" t="n">
        <v>0.292267466666667</v>
      </c>
      <c r="E120" s="2" t="n">
        <v>0.2472002</v>
      </c>
    </row>
    <row r="121" customFormat="false" ht="13.8" hidden="false" customHeight="false" outlineLevel="0" collapsed="false">
      <c r="B121" s="2" t="n">
        <v>119</v>
      </c>
      <c r="C121" s="2" t="n">
        <v>0.121134</v>
      </c>
      <c r="D121" s="2" t="n">
        <v>0.1968008</v>
      </c>
      <c r="E121" s="2" t="n">
        <v>0.1954668</v>
      </c>
    </row>
    <row r="122" customFormat="false" ht="13.8" hidden="false" customHeight="false" outlineLevel="0" collapsed="false">
      <c r="B122" s="2" t="n">
        <v>120</v>
      </c>
      <c r="C122" s="2" t="n">
        <v>0.2865342</v>
      </c>
      <c r="D122" s="2" t="n">
        <v>0.292866933333333</v>
      </c>
      <c r="E122" s="2" t="n">
        <v>0.247733733333333</v>
      </c>
    </row>
    <row r="123" customFormat="false" ht="13.8" hidden="false" customHeight="false" outlineLevel="0" collapsed="false">
      <c r="B123" s="2" t="n">
        <v>121</v>
      </c>
      <c r="C123" s="2" t="n">
        <v>0.04</v>
      </c>
      <c r="D123" s="2" t="n">
        <v>0.198134533333333</v>
      </c>
      <c r="E123" s="2" t="n">
        <v>0.195734733333333</v>
      </c>
    </row>
    <row r="124" customFormat="false" ht="13.8" hidden="false" customHeight="false" outlineLevel="0" collapsed="false">
      <c r="B124" s="2" t="n">
        <v>122</v>
      </c>
      <c r="C124" s="2" t="n">
        <v>0.377468266666667</v>
      </c>
      <c r="D124" s="2" t="n">
        <v>0.293666933333333</v>
      </c>
      <c r="E124" s="2" t="n">
        <v>0.274402066666667</v>
      </c>
    </row>
    <row r="125" customFormat="false" ht="13.8" hidden="false" customHeight="false" outlineLevel="0" collapsed="false">
      <c r="B125" s="2" t="n">
        <v>123</v>
      </c>
      <c r="C125" s="2" t="n">
        <v>0.0216707333333333</v>
      </c>
      <c r="D125" s="2" t="n">
        <v>0.2298674</v>
      </c>
      <c r="E125" s="2" t="n">
        <v>0.232003066666667</v>
      </c>
    </row>
    <row r="126" customFormat="false" ht="13.8" hidden="false" customHeight="false" outlineLevel="0" collapsed="false">
      <c r="B126" s="2" t="n">
        <v>124</v>
      </c>
      <c r="C126" s="2" t="n">
        <v>0.321004133333333</v>
      </c>
      <c r="D126" s="2" t="n">
        <v>0.3115358</v>
      </c>
      <c r="E126" s="2" t="n">
        <v>0.279738266666667</v>
      </c>
    </row>
    <row r="127" customFormat="false" ht="13.8" hidden="false" customHeight="false" outlineLevel="0" collapsed="false">
      <c r="B127" s="2" t="n">
        <v>125</v>
      </c>
      <c r="C127" s="2" t="n">
        <v>0.101005</v>
      </c>
      <c r="D127" s="2" t="n">
        <v>0.198138066666667</v>
      </c>
      <c r="E127" s="2" t="n">
        <v>0.230873266666667</v>
      </c>
    </row>
    <row r="128" customFormat="false" ht="13.8" hidden="false" customHeight="false" outlineLevel="0" collapsed="false">
      <c r="B128" s="2" t="n">
        <v>126</v>
      </c>
      <c r="C128" s="2" t="n">
        <v>0.3428714</v>
      </c>
      <c r="D128" s="2" t="n">
        <v>0.2888708</v>
      </c>
      <c r="E128" s="2" t="n">
        <v>0.240605866666667</v>
      </c>
    </row>
    <row r="129" customFormat="false" ht="13.8" hidden="false" customHeight="false" outlineLevel="0" collapsed="false">
      <c r="B129" s="2" t="n">
        <v>127</v>
      </c>
      <c r="C129" s="2" t="n">
        <v>0.125672866666667</v>
      </c>
      <c r="D129" s="2" t="n">
        <v>0.218004333333333</v>
      </c>
      <c r="E129" s="2" t="n">
        <v>0.191004666666667</v>
      </c>
    </row>
    <row r="130" customFormat="false" ht="13.8" hidden="false" customHeight="false" outlineLevel="0" collapsed="false">
      <c r="B130" s="2" t="n">
        <v>128</v>
      </c>
      <c r="C130" s="2" t="n">
        <v>0.203207866666667</v>
      </c>
      <c r="D130" s="2" t="n">
        <v>0.3156708</v>
      </c>
      <c r="E130" s="2" t="n">
        <v>0.261003</v>
      </c>
    </row>
    <row r="131" customFormat="false" ht="13.8" hidden="false" customHeight="false" outlineLevel="0" collapsed="false">
      <c r="B131" s="2" t="n">
        <v>129</v>
      </c>
      <c r="C131" s="2" t="n">
        <v>0.3008074</v>
      </c>
      <c r="D131" s="2" t="n">
        <v>0.227005666666667</v>
      </c>
      <c r="E131" s="2" t="n">
        <v>0.212205066666667</v>
      </c>
    </row>
    <row r="132" customFormat="false" ht="13.8" hidden="false" customHeight="false" outlineLevel="0" collapsed="false">
      <c r="B132" s="2" t="n">
        <v>130</v>
      </c>
      <c r="C132" s="2" t="n">
        <v>0.244541266666667</v>
      </c>
      <c r="D132" s="2" t="n">
        <v>0.313006</v>
      </c>
      <c r="E132" s="2" t="n">
        <v>0.257939133333333</v>
      </c>
    </row>
    <row r="133" customFormat="false" ht="13.8" hidden="false" customHeight="false" outlineLevel="0" collapsed="false">
      <c r="B133" s="2" t="n">
        <v>131</v>
      </c>
      <c r="C133" s="2" t="n">
        <v>0.157341266666667</v>
      </c>
      <c r="D133" s="2" t="n">
        <v>0.18034</v>
      </c>
      <c r="E133" s="2" t="n">
        <v>0.1942072</v>
      </c>
    </row>
    <row r="134" customFormat="false" ht="13.8" hidden="false" customHeight="false" outlineLevel="0" collapsed="false">
      <c r="B134" s="2" t="n">
        <v>132</v>
      </c>
      <c r="C134" s="2" t="n">
        <v>0.379874933333333</v>
      </c>
      <c r="D134" s="2" t="n">
        <v>0.306007466666667</v>
      </c>
      <c r="E134" s="2" t="n">
        <v>0.268342066666667</v>
      </c>
    </row>
    <row r="135" customFormat="false" ht="13.8" hidden="false" customHeight="false" outlineLevel="0" collapsed="false">
      <c r="B135" s="2" t="n">
        <v>133</v>
      </c>
      <c r="C135" s="2" t="n">
        <v>0.166009</v>
      </c>
      <c r="D135" s="2" t="n">
        <v>0.268008266666667</v>
      </c>
      <c r="E135" s="2" t="n">
        <v>0.212141733333333</v>
      </c>
    </row>
    <row r="136" customFormat="false" ht="13.8" hidden="false" customHeight="false" outlineLevel="0" collapsed="false">
      <c r="B136" s="2" t="n">
        <v>134</v>
      </c>
      <c r="C136" s="2" t="n">
        <v>0.374009</v>
      </c>
      <c r="D136" s="2" t="n">
        <v>0.188676333333333</v>
      </c>
      <c r="E136" s="2" t="n">
        <v>0.173474933333333</v>
      </c>
    </row>
    <row r="137" customFormat="false" ht="13.8" hidden="false" customHeight="false" outlineLevel="0" collapsed="false">
      <c r="B137" s="2" t="n">
        <v>135</v>
      </c>
      <c r="C137" s="2" t="n">
        <v>0.166009</v>
      </c>
      <c r="D137" s="2" t="n">
        <v>0.0856761333333333</v>
      </c>
      <c r="E137" s="2" t="n">
        <v>0.2092086</v>
      </c>
    </row>
    <row r="138" customFormat="false" ht="13.8" hidden="false" customHeight="false" outlineLevel="0" collapsed="false">
      <c r="B138" s="2" t="n">
        <v>136</v>
      </c>
      <c r="C138" s="2" t="n">
        <v>0.374009</v>
      </c>
      <c r="D138" s="2" t="n">
        <v>0.362608466666667</v>
      </c>
      <c r="E138" s="2" t="n">
        <v>0.270541733333333</v>
      </c>
    </row>
    <row r="139" customFormat="false" ht="13.8" hidden="false" customHeight="false" outlineLevel="0" collapsed="false">
      <c r="B139" s="2" t="n">
        <v>137</v>
      </c>
      <c r="C139" s="2" t="n">
        <v>0.171874933333333</v>
      </c>
      <c r="D139" s="2" t="n">
        <v>0.1990064</v>
      </c>
      <c r="E139" s="2" t="n">
        <v>0.272006866666667</v>
      </c>
    </row>
    <row r="140" customFormat="false" ht="13.8" hidden="false" customHeight="false" outlineLevel="0" collapsed="false">
      <c r="B140" s="2" t="n">
        <v>138</v>
      </c>
      <c r="C140" s="2" t="n">
        <v>0.382007</v>
      </c>
      <c r="D140" s="2" t="n">
        <v>0.377472266666667</v>
      </c>
      <c r="E140" s="2" t="n">
        <v>0.287139066666667</v>
      </c>
    </row>
    <row r="141" customFormat="false" ht="13.8" hidden="false" customHeight="false" outlineLevel="0" collapsed="false">
      <c r="B141" s="2" t="n">
        <v>139</v>
      </c>
      <c r="C141" s="2" t="n">
        <v>0.1578738</v>
      </c>
      <c r="D141" s="2" t="n">
        <v>0.213472733333333</v>
      </c>
      <c r="E141" s="2" t="n">
        <v>0.288738733333333</v>
      </c>
    </row>
    <row r="142" customFormat="false" ht="13.8" hidden="false" customHeight="false" outlineLevel="0" collapsed="false">
      <c r="B142" s="2" t="n">
        <v>140</v>
      </c>
      <c r="C142" s="2" t="n">
        <v>0.415005</v>
      </c>
      <c r="D142" s="2" t="n">
        <v>0.2680066</v>
      </c>
      <c r="E142" s="2" t="n">
        <v>0.274005733333333</v>
      </c>
    </row>
    <row r="143" customFormat="false" ht="13.8" hidden="false" customHeight="false" outlineLevel="0" collapsed="false">
      <c r="B143" s="2" t="n">
        <v>141</v>
      </c>
      <c r="C143" s="2" t="n">
        <v>0.1576718</v>
      </c>
      <c r="D143" s="2" t="n">
        <v>0.0860044</v>
      </c>
      <c r="E143" s="2" t="n">
        <v>0.270006</v>
      </c>
    </row>
    <row r="144" customFormat="false" ht="13.8" hidden="false" customHeight="false" outlineLevel="0" collapsed="false">
      <c r="B144" s="2" t="n">
        <v>142</v>
      </c>
      <c r="C144" s="2" t="n">
        <v>0.366672333333333</v>
      </c>
      <c r="D144" s="2" t="n">
        <v>0.374003266666667</v>
      </c>
      <c r="E144" s="2" t="n">
        <v>0.270004733333333</v>
      </c>
    </row>
    <row r="145" customFormat="false" ht="13.8" hidden="false" customHeight="false" outlineLevel="0" collapsed="false">
      <c r="B145" s="2" t="n">
        <v>143</v>
      </c>
      <c r="C145" s="2" t="n">
        <v>0.372005</v>
      </c>
      <c r="D145" s="2" t="n">
        <v>0.171868666666667</v>
      </c>
      <c r="E145" s="2" t="n">
        <v>0.2700054</v>
      </c>
    </row>
    <row r="146" customFormat="false" ht="13.8" hidden="false" customHeight="false" outlineLevel="0" collapsed="false">
      <c r="B146" s="2" t="n">
        <v>144</v>
      </c>
      <c r="C146" s="2" t="n">
        <v>0.234673066666667</v>
      </c>
      <c r="D146" s="2" t="n">
        <v>0.3820022</v>
      </c>
      <c r="E146" s="2" t="n">
        <v>0.272139</v>
      </c>
    </row>
    <row r="147" customFormat="false" ht="13.8" hidden="false" customHeight="false" outlineLevel="0" collapsed="false">
      <c r="B147" s="2" t="n">
        <v>145</v>
      </c>
      <c r="C147" s="2" t="n">
        <v>0.2020088</v>
      </c>
      <c r="D147" s="2" t="n">
        <v>0.173336466666667</v>
      </c>
      <c r="E147" s="2" t="n">
        <v>0.283003266666667</v>
      </c>
    </row>
    <row r="148" customFormat="false" ht="13.8" hidden="false" customHeight="false" outlineLevel="0" collapsed="false">
      <c r="B148" s="2" t="n">
        <v>146</v>
      </c>
      <c r="C148" s="2" t="n">
        <v>0.164409</v>
      </c>
      <c r="D148" s="2" t="n">
        <v>0.356003</v>
      </c>
      <c r="E148" s="2" t="n">
        <v>0.272605733333333</v>
      </c>
    </row>
    <row r="149" customFormat="false" ht="13.8" hidden="false" customHeight="false" outlineLevel="0" collapsed="false">
      <c r="B149" s="2" t="n">
        <v>147</v>
      </c>
      <c r="C149" s="2" t="n">
        <v>0.1766096</v>
      </c>
      <c r="D149" s="2" t="n">
        <v>0.193606533333333</v>
      </c>
      <c r="E149" s="2" t="n">
        <v>0.271606133333333</v>
      </c>
    </row>
    <row r="150" customFormat="false" ht="13.8" hidden="false" customHeight="false" outlineLevel="0" collapsed="false">
      <c r="B150" s="2" t="n">
        <v>148</v>
      </c>
      <c r="C150" s="2" t="n">
        <v>0.386873133333333</v>
      </c>
      <c r="D150" s="2" t="n">
        <v>0.356008</v>
      </c>
      <c r="E150" s="2" t="n">
        <v>0.1396748</v>
      </c>
    </row>
    <row r="151" customFormat="false" ht="13.8" hidden="false" customHeight="false" outlineLevel="0" collapsed="false">
      <c r="B151" s="2" t="n">
        <v>149</v>
      </c>
      <c r="C151" s="2" t="n">
        <v>0.2036068</v>
      </c>
      <c r="D151" s="2" t="n">
        <v>0.103874333333333</v>
      </c>
      <c r="E151" s="2" t="n">
        <v>0.3902086</v>
      </c>
    </row>
    <row r="152" customFormat="false" ht="13.8" hidden="false" customHeight="false" outlineLevel="0" collapsed="false">
      <c r="B152" s="2" t="n">
        <v>150</v>
      </c>
      <c r="C152" s="2" t="n">
        <v>0.385073533333333</v>
      </c>
      <c r="D152" s="2" t="n">
        <v>0.406005733333333</v>
      </c>
      <c r="E152" s="2" t="n">
        <v>0.160541933333333</v>
      </c>
    </row>
    <row r="153" customFormat="false" ht="13.8" hidden="false" customHeight="false" outlineLevel="0" collapsed="false">
      <c r="B153" s="2" t="n">
        <v>151</v>
      </c>
      <c r="C153" s="2" t="n">
        <v>0.1885402</v>
      </c>
      <c r="D153" s="2" t="n">
        <v>0.1556722</v>
      </c>
      <c r="E153" s="2" t="n">
        <v>0.298008</v>
      </c>
    </row>
    <row r="154" customFormat="false" ht="13.8" hidden="false" customHeight="false" outlineLevel="0" collapsed="false">
      <c r="B154" s="2" t="n">
        <v>152</v>
      </c>
      <c r="C154" s="2" t="n">
        <v>0.402205066666667</v>
      </c>
      <c r="D154" s="2" t="n">
        <v>0.296004133333333</v>
      </c>
      <c r="E154" s="2" t="n">
        <v>0.2626746</v>
      </c>
    </row>
    <row r="155" customFormat="false" ht="13.8" hidden="false" customHeight="false" outlineLevel="0" collapsed="false">
      <c r="B155" s="2" t="n">
        <v>153</v>
      </c>
      <c r="C155" s="2" t="n">
        <v>0.127336866666667</v>
      </c>
      <c r="D155" s="2" t="n">
        <v>0.244002533333333</v>
      </c>
      <c r="E155" s="2" t="n">
        <v>0.2108738</v>
      </c>
    </row>
    <row r="156" customFormat="false" ht="13.8" hidden="false" customHeight="false" outlineLevel="0" collapsed="false">
      <c r="B156" s="2" t="n">
        <v>154</v>
      </c>
      <c r="C156" s="2" t="n">
        <v>0.258669</v>
      </c>
      <c r="D156" s="2" t="n">
        <v>0.202668666666667</v>
      </c>
      <c r="E156" s="2" t="n">
        <v>0.179005466666667</v>
      </c>
    </row>
    <row r="157" customFormat="false" ht="13.8" hidden="false" customHeight="false" outlineLevel="0" collapsed="false">
      <c r="B157" s="2" t="n">
        <v>155</v>
      </c>
      <c r="C157" s="2" t="n">
        <v>0.298001</v>
      </c>
      <c r="D157" s="2" t="n">
        <v>0.0863342666666667</v>
      </c>
      <c r="E157" s="2" t="n">
        <v>0.361003</v>
      </c>
    </row>
    <row r="158" customFormat="false" ht="13.8" hidden="false" customHeight="false" outlineLevel="0" collapsed="false">
      <c r="B158" s="2" t="n">
        <v>156</v>
      </c>
      <c r="C158" s="2" t="n">
        <v>0.2600008</v>
      </c>
      <c r="D158" s="2" t="n">
        <v>0.387</v>
      </c>
      <c r="E158" s="2" t="n">
        <v>0.179000133333333</v>
      </c>
    </row>
    <row r="159" customFormat="false" ht="13.8" hidden="false" customHeight="false" outlineLevel="0" collapsed="false">
      <c r="B159" s="2" t="n">
        <v>157</v>
      </c>
      <c r="C159" s="2" t="n">
        <v>0.283</v>
      </c>
      <c r="D159" s="2" t="n">
        <v>0.153</v>
      </c>
      <c r="E159" s="2" t="n">
        <v>0.255666933333333</v>
      </c>
    </row>
    <row r="160" customFormat="false" ht="13.8" hidden="false" customHeight="false" outlineLevel="0" collapsed="false">
      <c r="B160" s="2" t="n">
        <v>158</v>
      </c>
      <c r="C160" s="2" t="n">
        <v>0.387</v>
      </c>
      <c r="D160" s="2" t="n">
        <v>0.387</v>
      </c>
      <c r="E160" s="2" t="n">
        <v>0.214334066666667</v>
      </c>
    </row>
    <row r="161" customFormat="false" ht="13.8" hidden="false" customHeight="false" outlineLevel="0" collapsed="false">
      <c r="B161" s="2" t="n">
        <v>159</v>
      </c>
      <c r="C161" s="2" t="n">
        <v>0.203333666666667</v>
      </c>
      <c r="D161" s="2" t="n">
        <v>0.150333866666667</v>
      </c>
      <c r="E161" s="2" t="n">
        <v>0.309</v>
      </c>
    </row>
    <row r="162" customFormat="false" ht="13.8" hidden="false" customHeight="false" outlineLevel="0" collapsed="false">
      <c r="B162" s="2" t="n">
        <v>160</v>
      </c>
      <c r="C162" s="2" t="n">
        <v>0.361</v>
      </c>
      <c r="D162" s="2" t="n">
        <v>0.188334066666667</v>
      </c>
      <c r="E162" s="2" t="n">
        <v>0.231</v>
      </c>
    </row>
    <row r="163" customFormat="false" ht="13.8" hidden="false" customHeight="false" outlineLevel="0" collapsed="false">
      <c r="B163" s="2" t="n">
        <v>161</v>
      </c>
      <c r="C163" s="2" t="n">
        <v>0.152333466666667</v>
      </c>
      <c r="D163" s="2" t="n">
        <v>0.2050008</v>
      </c>
      <c r="E163" s="2" t="n">
        <v>0.309</v>
      </c>
    </row>
    <row r="164" customFormat="false" ht="13.8" hidden="false" customHeight="false" outlineLevel="0" collapsed="false">
      <c r="B164" s="2" t="n">
        <v>162</v>
      </c>
      <c r="C164" s="2" t="n">
        <v>0.226667533333333</v>
      </c>
      <c r="D164" s="2" t="n">
        <v>0.334667733333333</v>
      </c>
      <c r="E164" s="2" t="n">
        <v>0.231</v>
      </c>
    </row>
    <row r="165" customFormat="false" ht="13.8" hidden="false" customHeight="false" outlineLevel="0" collapsed="false">
      <c r="B165" s="2" t="n">
        <v>163</v>
      </c>
      <c r="C165" s="2" t="n">
        <v>0.2740002</v>
      </c>
      <c r="D165" s="2" t="n">
        <v>0.1870002</v>
      </c>
      <c r="E165" s="2" t="n">
        <v>0.307666933333333</v>
      </c>
    </row>
    <row r="166" customFormat="false" ht="13.8" hidden="false" customHeight="false" outlineLevel="0" collapsed="false">
      <c r="B166" s="2" t="n">
        <v>164</v>
      </c>
      <c r="C166" s="2" t="n">
        <v>0.275667266666667</v>
      </c>
      <c r="D166" s="2" t="n">
        <v>0.367667933333333</v>
      </c>
      <c r="E166" s="2" t="n">
        <v>0.070001</v>
      </c>
    </row>
    <row r="167" customFormat="false" ht="13.8" hidden="false" customHeight="false" outlineLevel="0" collapsed="false">
      <c r="B167" s="2" t="n">
        <v>165</v>
      </c>
      <c r="C167" s="2" t="n">
        <v>0.277333466666667</v>
      </c>
      <c r="D167" s="2" t="n">
        <v>0.1883346</v>
      </c>
      <c r="E167" s="2" t="n">
        <v>0.202667133333333</v>
      </c>
    </row>
    <row r="168" customFormat="false" ht="13.8" hidden="false" customHeight="false" outlineLevel="0" collapsed="false">
      <c r="B168" s="2" t="n">
        <v>166</v>
      </c>
      <c r="C168" s="2" t="n">
        <v>0.248334</v>
      </c>
      <c r="D168" s="2" t="n">
        <v>0.316002066666667</v>
      </c>
      <c r="E168" s="2" t="n">
        <v>0.244</v>
      </c>
    </row>
    <row r="169" customFormat="false" ht="13.8" hidden="false" customHeight="false" outlineLevel="0" collapsed="false">
      <c r="B169" s="2" t="n">
        <v>167</v>
      </c>
      <c r="C169" s="2" t="n">
        <v>0.246668933333333</v>
      </c>
      <c r="D169" s="2" t="n">
        <v>0.0333364</v>
      </c>
      <c r="E169" s="2" t="n">
        <v>0.296000933333333</v>
      </c>
    </row>
    <row r="170" customFormat="false" ht="13.8" hidden="false" customHeight="false" outlineLevel="0" collapsed="false">
      <c r="B170" s="2" t="n">
        <v>168</v>
      </c>
      <c r="C170" s="2" t="n">
        <v>0.3523348</v>
      </c>
      <c r="D170" s="2" t="n">
        <v>0.406468666666667</v>
      </c>
      <c r="E170" s="2" t="n">
        <v>0.2493346</v>
      </c>
    </row>
    <row r="171" customFormat="false" ht="13.8" hidden="false" customHeight="false" outlineLevel="0" collapsed="false">
      <c r="B171" s="2" t="n">
        <v>169</v>
      </c>
      <c r="C171" s="2" t="n">
        <v>0.222002266666667</v>
      </c>
      <c r="D171" s="2" t="n">
        <v>0.193536866666667</v>
      </c>
      <c r="E171" s="2" t="n">
        <v>0.316001</v>
      </c>
    </row>
    <row r="172" customFormat="false" ht="13.8" hidden="false" customHeight="false" outlineLevel="0" collapsed="false">
      <c r="B172" s="2" t="n">
        <v>170</v>
      </c>
      <c r="C172" s="2" t="n">
        <v>0.378005266666667</v>
      </c>
      <c r="D172" s="2" t="n">
        <v>0.301938133333333</v>
      </c>
      <c r="E172" s="2" t="n">
        <v>0.278334933333333</v>
      </c>
    </row>
    <row r="173" customFormat="false" ht="13.8" hidden="false" customHeight="false" outlineLevel="0" collapsed="false">
      <c r="B173" s="2" t="n">
        <v>171</v>
      </c>
      <c r="C173" s="2" t="n">
        <v>0.176940533333333</v>
      </c>
      <c r="D173" s="2" t="n">
        <v>0.377806333333333</v>
      </c>
      <c r="E173" s="2" t="n">
        <v>0.3360036</v>
      </c>
    </row>
    <row r="174" customFormat="false" ht="13.8" hidden="false" customHeight="false" outlineLevel="0" collapsed="false">
      <c r="B174" s="2" t="n">
        <v>172</v>
      </c>
      <c r="C174" s="2" t="n">
        <v>0.287210866666667</v>
      </c>
      <c r="D174" s="2" t="n">
        <v>0.2072072</v>
      </c>
      <c r="E174" s="2" t="n">
        <v>0.304205666666667</v>
      </c>
    </row>
    <row r="175" customFormat="false" ht="13.8" hidden="false" customHeight="false" outlineLevel="0" collapsed="false">
      <c r="B175" s="2" t="n">
        <v>173</v>
      </c>
      <c r="C175" s="2" t="n">
        <v>0.2924808</v>
      </c>
      <c r="D175" s="2" t="n">
        <v>0.314673333333333</v>
      </c>
      <c r="E175" s="2" t="n">
        <v>0.354875333333333</v>
      </c>
    </row>
    <row r="176" customFormat="false" ht="13.8" hidden="false" customHeight="false" outlineLevel="0" collapsed="false">
      <c r="B176" s="2" t="n">
        <v>174</v>
      </c>
      <c r="C176" s="2" t="n">
        <v>0.409147666666667</v>
      </c>
      <c r="D176" s="2" t="n">
        <v>0.385409533333333</v>
      </c>
      <c r="E176" s="2" t="n">
        <v>0.311875266666667</v>
      </c>
    </row>
    <row r="177" customFormat="false" ht="13.8" hidden="false" customHeight="false" outlineLevel="0" collapsed="false">
      <c r="B177" s="2" t="n">
        <v>175</v>
      </c>
      <c r="C177" s="2" t="n">
        <v>0.302816733333333</v>
      </c>
      <c r="D177" s="2" t="n">
        <v>0.392544466666667</v>
      </c>
      <c r="E177" s="2" t="n">
        <v>0.39381</v>
      </c>
    </row>
    <row r="178" customFormat="false" ht="13.8" hidden="false" customHeight="false" outlineLevel="0" collapsed="false">
      <c r="B178" s="2" t="n">
        <v>176</v>
      </c>
      <c r="C178" s="2" t="n">
        <v>0.4285474</v>
      </c>
      <c r="D178" s="2" t="n">
        <v>0.2798822</v>
      </c>
      <c r="E178" s="2" t="n">
        <v>0.3696802</v>
      </c>
    </row>
    <row r="179" customFormat="false" ht="13.8" hidden="false" customHeight="false" outlineLevel="0" collapsed="false">
      <c r="B179" s="2" t="n">
        <v>177</v>
      </c>
      <c r="C179" s="2" t="n">
        <v>0.358749666666667</v>
      </c>
      <c r="D179" s="2" t="n">
        <v>0.3754806</v>
      </c>
      <c r="E179" s="2" t="n">
        <v>0.439482666666667</v>
      </c>
    </row>
    <row r="180" customFormat="false" ht="13.8" hidden="false" customHeight="false" outlineLevel="0" collapsed="false">
      <c r="B180" s="2" t="n">
        <v>178</v>
      </c>
      <c r="C180" s="2" t="n">
        <v>0.4338178</v>
      </c>
      <c r="D180" s="2" t="n">
        <v>0.413544866666667</v>
      </c>
      <c r="E180" s="2" t="n">
        <v>0.4559474</v>
      </c>
    </row>
    <row r="181" customFormat="false" ht="13.8" hidden="false" customHeight="false" outlineLevel="0" collapsed="false">
      <c r="B181" s="2" t="n">
        <v>179</v>
      </c>
      <c r="C181" s="2" t="n">
        <v>0.348617466666667</v>
      </c>
      <c r="D181" s="2" t="n">
        <v>0.454478333333333</v>
      </c>
      <c r="E181" s="2" t="n">
        <v>0.4778132</v>
      </c>
    </row>
    <row r="182" customFormat="false" ht="13.8" hidden="false" customHeight="false" outlineLevel="0" collapsed="false">
      <c r="B182" s="2" t="n">
        <v>180</v>
      </c>
      <c r="C182" s="2" t="n">
        <v>0.387684333333333</v>
      </c>
      <c r="D182" s="2" t="n">
        <v>0.381412933333333</v>
      </c>
      <c r="E182" s="2" t="n">
        <v>0.526544266666667</v>
      </c>
    </row>
    <row r="183" customFormat="false" ht="13.8" hidden="false" customHeight="false" outlineLevel="0" collapsed="false">
      <c r="B183" s="2" t="n">
        <v>181</v>
      </c>
      <c r="C183" s="2" t="n">
        <v>0.307949466666667</v>
      </c>
      <c r="D183" s="2" t="n">
        <v>0.428082666666667</v>
      </c>
      <c r="E183" s="2" t="n">
        <v>0.589081066666667</v>
      </c>
    </row>
    <row r="184" customFormat="false" ht="13.8" hidden="false" customHeight="false" outlineLevel="0" collapsed="false">
      <c r="B184" s="2" t="n">
        <v>182</v>
      </c>
      <c r="C184" s="2" t="n">
        <v>0.302682066666667</v>
      </c>
      <c r="D184" s="2" t="n">
        <v>0.277550333333333</v>
      </c>
      <c r="E184" s="2" t="n">
        <v>0.4938822</v>
      </c>
    </row>
    <row r="185" customFormat="false" ht="13.8" hidden="false" customHeight="false" outlineLevel="0" collapsed="false">
      <c r="B185" s="2" t="n">
        <v>183</v>
      </c>
      <c r="C185" s="2" t="n">
        <v>0.251146866666667</v>
      </c>
      <c r="D185" s="2" t="n">
        <v>0.2638162</v>
      </c>
      <c r="E185" s="2" t="n">
        <v>0.335950133333333</v>
      </c>
    </row>
    <row r="186" customFormat="false" ht="13.8" hidden="false" customHeight="false" outlineLevel="0" collapsed="false">
      <c r="B186" s="2" t="n">
        <v>184</v>
      </c>
      <c r="C186" s="2" t="n">
        <v>0.1769492</v>
      </c>
      <c r="D186" s="2" t="n">
        <v>0.411817266666667</v>
      </c>
      <c r="E186" s="2" t="n">
        <v>0.2429488</v>
      </c>
    </row>
    <row r="187" customFormat="false" ht="13.8" hidden="false" customHeight="false" outlineLevel="0" collapsed="false">
      <c r="B187" s="2" t="n">
        <v>185</v>
      </c>
      <c r="C187" s="2" t="n">
        <v>0.431882333333333</v>
      </c>
      <c r="D187" s="2" t="n">
        <v>0.280882066666667</v>
      </c>
      <c r="E187" s="2" t="n">
        <v>0.199750733333333</v>
      </c>
    </row>
    <row r="188" customFormat="false" ht="13.8" hidden="false" customHeight="false" outlineLevel="0" collapsed="false">
      <c r="B188" s="2" t="n">
        <v>186</v>
      </c>
      <c r="C188" s="2" t="n">
        <v>0.194150133333333</v>
      </c>
      <c r="D188" s="2" t="n">
        <v>0.330213266666667</v>
      </c>
      <c r="E188" s="2" t="n">
        <v>0.446815066666667</v>
      </c>
    </row>
    <row r="189" customFormat="false" ht="13.8" hidden="false" customHeight="false" outlineLevel="0" collapsed="false">
      <c r="B189" s="2" t="n">
        <v>187</v>
      </c>
      <c r="C189" s="2" t="n">
        <v>0.2950132</v>
      </c>
      <c r="D189" s="2" t="n">
        <v>0.514144333333333</v>
      </c>
      <c r="E189" s="2" t="n">
        <v>0.273484666666667</v>
      </c>
    </row>
    <row r="190" customFormat="false" ht="13.8" hidden="false" customHeight="false" outlineLevel="0" collapsed="false">
      <c r="B190" s="2" t="n">
        <v>188</v>
      </c>
      <c r="C190" s="2" t="n">
        <v>0.379345466666667</v>
      </c>
      <c r="D190" s="2" t="n">
        <v>0.2584772</v>
      </c>
      <c r="E190" s="2" t="n">
        <v>0.329082333333333</v>
      </c>
    </row>
    <row r="191" customFormat="false" ht="13.8" hidden="false" customHeight="false" outlineLevel="0" collapsed="false">
      <c r="B191" s="2" t="n">
        <v>189</v>
      </c>
      <c r="C191" s="2" t="n">
        <v>0.274612133333333</v>
      </c>
      <c r="D191" s="2" t="n">
        <v>0.435078333333333</v>
      </c>
      <c r="E191" s="2" t="n">
        <v>0.240144533333333</v>
      </c>
    </row>
    <row r="192" customFormat="false" ht="13.8" hidden="false" customHeight="false" outlineLevel="0" collapsed="false">
      <c r="B192" s="2" t="n">
        <v>190</v>
      </c>
      <c r="C192" s="2" t="n">
        <v>0.2364802</v>
      </c>
      <c r="D192" s="2" t="n">
        <v>0.198213266666667</v>
      </c>
      <c r="E192" s="2" t="n">
        <v>0.227674733333333</v>
      </c>
    </row>
    <row r="193" customFormat="false" ht="13.8" hidden="false" customHeight="false" outlineLevel="0" collapsed="false">
      <c r="B193" s="2" t="n">
        <v>191</v>
      </c>
      <c r="C193" s="2" t="n">
        <v>0.0742753333333333</v>
      </c>
      <c r="D193" s="2" t="n">
        <v>0.229480866666667</v>
      </c>
      <c r="E193" s="2" t="n">
        <v>0.227609666666667</v>
      </c>
    </row>
    <row r="194" customFormat="false" ht="13.8" hidden="false" customHeight="false" outlineLevel="0" collapsed="false">
      <c r="B194" s="2" t="n">
        <v>192</v>
      </c>
      <c r="C194" s="2" t="n">
        <v>0.178009933333333</v>
      </c>
      <c r="D194" s="2" t="n">
        <v>0.0788146</v>
      </c>
      <c r="E194" s="2" t="n">
        <v>0.272011466666667</v>
      </c>
    </row>
    <row r="195" customFormat="false" ht="13.8" hidden="false" customHeight="false" outlineLevel="0" collapsed="false">
      <c r="B195" s="2" t="n">
        <v>193</v>
      </c>
      <c r="C195" s="2" t="n">
        <v>0.0370768</v>
      </c>
      <c r="D195" s="2" t="n">
        <v>0.0634769333333334</v>
      </c>
      <c r="E195" s="2" t="n">
        <v>0.129940933333333</v>
      </c>
    </row>
    <row r="196" customFormat="false" ht="13.8" hidden="false" customHeight="false" outlineLevel="0" collapsed="false">
      <c r="B196" s="2" t="n">
        <v>194</v>
      </c>
      <c r="C196" s="2" t="n">
        <v>0.115809533333333</v>
      </c>
      <c r="D196" s="2" t="n">
        <v>0.375742466666667</v>
      </c>
      <c r="E196" s="2" t="n">
        <v>0.3014754</v>
      </c>
    </row>
    <row r="197" customFormat="false" ht="13.8" hidden="false" customHeight="false" outlineLevel="0" collapsed="false">
      <c r="B197" s="2" t="n">
        <v>195</v>
      </c>
      <c r="C197" s="2" t="n">
        <v>0.3270722</v>
      </c>
      <c r="D197" s="2" t="n">
        <v>0.0541402</v>
      </c>
      <c r="E197" s="2" t="n">
        <v>0.180873</v>
      </c>
    </row>
    <row r="198" customFormat="false" ht="13.8" hidden="false" customHeight="false" outlineLevel="0" collapsed="false">
      <c r="B198" s="2" t="n">
        <v>196</v>
      </c>
      <c r="C198" s="2" t="n">
        <v>0.0530019333333333</v>
      </c>
      <c r="D198" s="2" t="n">
        <v>0.359270333333333</v>
      </c>
      <c r="E198" s="2" t="n">
        <v>0.11867</v>
      </c>
    </row>
    <row r="199" customFormat="false" ht="13.8" hidden="false" customHeight="false" outlineLevel="0" collapsed="false">
      <c r="B199" s="2" t="n">
        <v>197</v>
      </c>
      <c r="C199" s="2" t="n">
        <v>0.310467533333333</v>
      </c>
      <c r="D199" s="2" t="n">
        <v>0.1479376</v>
      </c>
      <c r="E199" s="2" t="n">
        <v>0.237467933333333</v>
      </c>
    </row>
    <row r="200" customFormat="false" ht="13.8" hidden="false" customHeight="false" outlineLevel="0" collapsed="false">
      <c r="B200" s="2" t="n">
        <v>198</v>
      </c>
      <c r="C200" s="2" t="n">
        <v>0.0550004666666667</v>
      </c>
      <c r="D200" s="2" t="n">
        <v>0.1674674</v>
      </c>
      <c r="E200" s="2" t="n">
        <v>0.0570002</v>
      </c>
    </row>
    <row r="201" customFormat="false" ht="13.8" hidden="false" customHeight="false" outlineLevel="0" collapsed="false">
      <c r="B201" s="2" t="n">
        <v>199</v>
      </c>
      <c r="C201" s="2" t="n">
        <v>0.186334333333333</v>
      </c>
      <c r="D201" s="2" t="n">
        <v>0.190934266666667</v>
      </c>
      <c r="E201" s="2" t="n">
        <v>0.289267066666667</v>
      </c>
    </row>
    <row r="202" customFormat="false" ht="13.8" hidden="false" customHeight="false" outlineLevel="0" collapsed="false">
      <c r="B202" s="2" t="n">
        <v>200</v>
      </c>
      <c r="C202" s="2" t="n">
        <v>0.061</v>
      </c>
      <c r="D202" s="2" t="n">
        <v>0.114334466666667</v>
      </c>
      <c r="E202" s="2" t="n">
        <v>0.0508669333333333</v>
      </c>
    </row>
    <row r="203" customFormat="false" ht="13.8" hidden="false" customHeight="false" outlineLevel="0" collapsed="false">
      <c r="B203" s="2" t="n">
        <v>201</v>
      </c>
      <c r="C203" s="2" t="n">
        <v>0.319667</v>
      </c>
      <c r="D203" s="2" t="n">
        <v>0.247533666666667</v>
      </c>
      <c r="E203" s="2" t="n">
        <v>0.190667733333333</v>
      </c>
    </row>
    <row r="204" customFormat="false" ht="13.8" hidden="false" customHeight="false" outlineLevel="0" collapsed="false">
      <c r="B204" s="2" t="n">
        <v>202</v>
      </c>
      <c r="C204" s="2" t="n">
        <v>0.0586009333333333</v>
      </c>
      <c r="D204" s="2" t="n">
        <v>0.0728004</v>
      </c>
      <c r="E204" s="2" t="n">
        <v>0.0810012</v>
      </c>
    </row>
    <row r="205" customFormat="false" ht="13.8" hidden="false" customHeight="false" outlineLevel="0" collapsed="false">
      <c r="B205" s="2" t="n">
        <v>203</v>
      </c>
      <c r="C205" s="2" t="n">
        <v>0.0568676666666667</v>
      </c>
      <c r="D205" s="2" t="n">
        <v>0.3116668</v>
      </c>
      <c r="E205" s="2" t="n">
        <v>0.2780674</v>
      </c>
    </row>
    <row r="206" customFormat="false" ht="13.8" hidden="false" customHeight="false" outlineLevel="0" collapsed="false">
      <c r="B206" s="2" t="n">
        <v>204</v>
      </c>
      <c r="C206" s="2" t="n">
        <v>0.280000533333333</v>
      </c>
      <c r="D206" s="2" t="n">
        <v>0.0612010666666667</v>
      </c>
      <c r="E206" s="2" t="n">
        <v>0.0698674</v>
      </c>
    </row>
    <row r="207" customFormat="false" ht="13.8" hidden="false" customHeight="false" outlineLevel="0" collapsed="false">
      <c r="B207" s="2" t="n">
        <v>205</v>
      </c>
      <c r="C207" s="2" t="n">
        <v>0.0878001333333333</v>
      </c>
      <c r="D207" s="2" t="n">
        <v>0.1955338</v>
      </c>
      <c r="E207" s="2" t="n">
        <v>0.2924672</v>
      </c>
    </row>
    <row r="208" customFormat="false" ht="13.8" hidden="false" customHeight="false" outlineLevel="0" collapsed="false">
      <c r="B208" s="2" t="n">
        <v>206</v>
      </c>
      <c r="C208" s="2" t="n">
        <v>0.281000533333333</v>
      </c>
      <c r="D208" s="2" t="n">
        <v>0.1712668</v>
      </c>
      <c r="E208" s="2" t="n">
        <v>0.0567344</v>
      </c>
    </row>
    <row r="209" customFormat="false" ht="13.8" hidden="false" customHeight="false" outlineLevel="0" collapsed="false">
      <c r="B209" s="2" t="n">
        <v>207</v>
      </c>
      <c r="C209" s="2" t="n">
        <v>0.0763336</v>
      </c>
      <c r="D209" s="2" t="n">
        <v>0.1963342</v>
      </c>
      <c r="E209" s="2" t="n">
        <v>0.2926006</v>
      </c>
    </row>
    <row r="210" customFormat="false" ht="13.8" hidden="false" customHeight="false" outlineLevel="0" collapsed="false">
      <c r="B210" s="2" t="n">
        <v>208</v>
      </c>
      <c r="C210" s="2" t="n">
        <v>0.2855336</v>
      </c>
      <c r="D210" s="2" t="n">
        <v>0.160002066666667</v>
      </c>
      <c r="E210" s="2" t="n">
        <v>0.0618004666666667</v>
      </c>
    </row>
    <row r="211" customFormat="false" ht="13.8" hidden="false" customHeight="false" outlineLevel="0" collapsed="false">
      <c r="B211" s="2" t="n">
        <v>209</v>
      </c>
      <c r="C211" s="2" t="n">
        <v>0.0741348666666667</v>
      </c>
      <c r="D211" s="2" t="n">
        <v>0.198935266666667</v>
      </c>
      <c r="E211" s="2" t="n">
        <v>0.295</v>
      </c>
    </row>
    <row r="212" customFormat="false" ht="13.8" hidden="false" customHeight="false" outlineLevel="0" collapsed="false">
      <c r="B212" s="2" t="n">
        <v>210</v>
      </c>
      <c r="C212" s="2" t="n">
        <v>0.176734333333333</v>
      </c>
      <c r="D212" s="2" t="n">
        <v>0.225134</v>
      </c>
      <c r="E212" s="2" t="n">
        <v>0.0550677333333333</v>
      </c>
    </row>
    <row r="213" customFormat="false" ht="13.8" hidden="false" customHeight="false" outlineLevel="0" collapsed="false">
      <c r="B213" s="2" t="n">
        <v>211</v>
      </c>
      <c r="C213" s="2" t="n">
        <v>0.1640002</v>
      </c>
      <c r="D213" s="2" t="n">
        <v>0.180002533333333</v>
      </c>
      <c r="E213" s="2" t="n">
        <v>0.157200733333333</v>
      </c>
    </row>
    <row r="214" customFormat="false" ht="13.8" hidden="false" customHeight="false" outlineLevel="0" collapsed="false">
      <c r="B214" s="2" t="n">
        <v>212</v>
      </c>
      <c r="C214" s="2" t="n">
        <v>0.268666733333333</v>
      </c>
      <c r="D214" s="2" t="n">
        <v>0.1261342</v>
      </c>
      <c r="E214" s="2" t="n">
        <v>0.204733866666667</v>
      </c>
    </row>
    <row r="215" customFormat="false" ht="13.8" hidden="false" customHeight="false" outlineLevel="0" collapsed="false">
      <c r="B215" s="2" t="n">
        <v>213</v>
      </c>
      <c r="C215" s="2" t="n">
        <v>0.334</v>
      </c>
      <c r="D215" s="2" t="n">
        <v>0.277933933333333</v>
      </c>
      <c r="E215" s="2" t="n">
        <v>0.1029336</v>
      </c>
    </row>
    <row r="216" customFormat="false" ht="13.8" hidden="false" customHeight="false" outlineLevel="0" collapsed="false">
      <c r="B216" s="2" t="n">
        <v>214</v>
      </c>
      <c r="C216" s="2" t="n">
        <v>0.2291336</v>
      </c>
      <c r="D216" s="2" t="n">
        <v>0.226334</v>
      </c>
      <c r="E216" s="2" t="n">
        <v>0.377667</v>
      </c>
    </row>
    <row r="217" customFormat="false" ht="13.8" hidden="false" customHeight="false" outlineLevel="0" collapsed="false">
      <c r="B217" s="2" t="n">
        <v>215</v>
      </c>
      <c r="C217" s="2" t="n">
        <v>0.306334133333333</v>
      </c>
      <c r="D217" s="2" t="n">
        <v>0.2852012</v>
      </c>
      <c r="E217" s="2" t="n">
        <v>0.0868004666666667</v>
      </c>
    </row>
    <row r="218" customFormat="false" ht="13.8" hidden="false" customHeight="false" outlineLevel="0" collapsed="false">
      <c r="B218" s="2" t="n">
        <v>216</v>
      </c>
      <c r="C218" s="2" t="n">
        <v>0.213933466666667</v>
      </c>
      <c r="D218" s="2" t="n">
        <v>0.2265342</v>
      </c>
      <c r="E218" s="2" t="n">
        <v>0.356000133333333</v>
      </c>
    </row>
    <row r="219" customFormat="false" ht="13.8" hidden="false" customHeight="false" outlineLevel="0" collapsed="false">
      <c r="B219" s="2" t="n">
        <v>217</v>
      </c>
      <c r="C219" s="2" t="n">
        <v>0.299267866666667</v>
      </c>
      <c r="D219" s="2" t="n">
        <v>0.2734674</v>
      </c>
      <c r="E219" s="2" t="n">
        <v>0.0705338666666667</v>
      </c>
    </row>
    <row r="220" customFormat="false" ht="13.8" hidden="false" customHeight="false" outlineLevel="0" collapsed="false">
      <c r="B220" s="2" t="n">
        <v>218</v>
      </c>
      <c r="C220" s="2" t="n">
        <v>0.194935666666667</v>
      </c>
      <c r="D220" s="2" t="n">
        <v>0.2068672</v>
      </c>
      <c r="E220" s="2" t="n">
        <v>0.155469666666667</v>
      </c>
    </row>
    <row r="221" customFormat="false" ht="13.8" hidden="false" customHeight="false" outlineLevel="0" collapsed="false">
      <c r="B221" s="2" t="n">
        <v>219</v>
      </c>
      <c r="C221" s="2" t="n">
        <v>0.294402933333333</v>
      </c>
      <c r="D221" s="2" t="n">
        <v>0.216670466666667</v>
      </c>
      <c r="E221" s="2" t="n">
        <v>0.0904705333333333</v>
      </c>
    </row>
    <row r="222" customFormat="false" ht="13.8" hidden="false" customHeight="false" outlineLevel="0" collapsed="false">
      <c r="B222" s="2" t="n">
        <v>220</v>
      </c>
      <c r="C222" s="2" t="n">
        <v>0.229537133333333</v>
      </c>
      <c r="D222" s="2" t="n">
        <v>0.167206133333333</v>
      </c>
      <c r="E222" s="2" t="n">
        <v>0.1901384</v>
      </c>
    </row>
    <row r="223" customFormat="false" ht="13.8" hidden="false" customHeight="false" outlineLevel="0" collapsed="false">
      <c r="B223" s="2" t="n">
        <v>221</v>
      </c>
      <c r="C223" s="2" t="n">
        <v>0.3022062</v>
      </c>
      <c r="D223" s="2" t="n">
        <v>0.2732056</v>
      </c>
      <c r="E223" s="2" t="n">
        <v>0.0994045333333333</v>
      </c>
    </row>
    <row r="224" customFormat="false" ht="13.8" hidden="false" customHeight="false" outlineLevel="0" collapsed="false">
      <c r="B224" s="2" t="n">
        <v>222</v>
      </c>
      <c r="C224" s="2" t="n">
        <v>0.2220054</v>
      </c>
      <c r="D224" s="2" t="n">
        <v>0.259804933333333</v>
      </c>
      <c r="E224" s="2" t="n">
        <v>0.227671933333333</v>
      </c>
    </row>
    <row r="225" customFormat="false" ht="13.8" hidden="false" customHeight="false" outlineLevel="0" collapsed="false">
      <c r="B225" s="2" t="n">
        <v>223</v>
      </c>
      <c r="C225" s="2" t="n">
        <v>0.293005133333333</v>
      </c>
      <c r="D225" s="2" t="n">
        <v>0.252273133333333</v>
      </c>
      <c r="E225" s="2" t="n">
        <v>0.0516703333333333</v>
      </c>
    </row>
    <row r="226" customFormat="false" ht="13.8" hidden="false" customHeight="false" outlineLevel="0" collapsed="false">
      <c r="B226" s="2" t="n">
        <v>224</v>
      </c>
      <c r="C226" s="2" t="n">
        <v>0.200004933333333</v>
      </c>
      <c r="D226" s="2" t="n">
        <v>0.325006333333333</v>
      </c>
      <c r="E226" s="2" t="n">
        <v>0.219671333333333</v>
      </c>
    </row>
    <row r="227" customFormat="false" ht="13.8" hidden="false" customHeight="false" outlineLevel="0" collapsed="false">
      <c r="B227" s="2" t="n">
        <v>225</v>
      </c>
      <c r="C227" s="2" t="n">
        <v>0.300139533333333</v>
      </c>
      <c r="D227" s="2" t="n">
        <v>0.233006933333333</v>
      </c>
      <c r="E227" s="2" t="n">
        <v>0.213004</v>
      </c>
    </row>
    <row r="228" customFormat="false" ht="13.8" hidden="false" customHeight="false" outlineLevel="0" collapsed="false">
      <c r="B228" s="2" t="n">
        <v>226</v>
      </c>
      <c r="C228" s="2" t="n">
        <v>0.212406733333333</v>
      </c>
      <c r="D228" s="2" t="n">
        <v>0.338006933333333</v>
      </c>
      <c r="E228" s="2" t="n">
        <v>0.1660052</v>
      </c>
    </row>
    <row r="229" customFormat="false" ht="13.8" hidden="false" customHeight="false" outlineLevel="0" collapsed="false">
      <c r="B229" s="2" t="n">
        <v>227</v>
      </c>
      <c r="C229" s="2" t="n">
        <v>0.285008866666667</v>
      </c>
      <c r="D229" s="2" t="n">
        <v>0.208340333333333</v>
      </c>
      <c r="E229" s="2" t="n">
        <v>0.2016076</v>
      </c>
    </row>
    <row r="230" customFormat="false" ht="13.8" hidden="false" customHeight="false" outlineLevel="0" collapsed="false">
      <c r="B230" s="2" t="n">
        <v>228</v>
      </c>
      <c r="C230" s="2" t="n">
        <v>0.1120094</v>
      </c>
      <c r="D230" s="2" t="n">
        <v>0.370007333333333</v>
      </c>
      <c r="E230" s="2" t="n">
        <v>0.1900094</v>
      </c>
    </row>
    <row r="231" customFormat="false" ht="13.8" hidden="false" customHeight="false" outlineLevel="0" collapsed="false">
      <c r="B231" s="2" t="n">
        <v>229</v>
      </c>
      <c r="C231" s="2" t="n">
        <v>0.200343266666667</v>
      </c>
      <c r="D231" s="2" t="n">
        <v>0.207541266666667</v>
      </c>
      <c r="E231" s="2" t="n">
        <v>0.3573414</v>
      </c>
    </row>
    <row r="232" customFormat="false" ht="13.8" hidden="false" customHeight="false" outlineLevel="0" collapsed="false">
      <c r="B232" s="2" t="n">
        <v>230</v>
      </c>
      <c r="C232" s="2" t="n">
        <v>0.285675333333333</v>
      </c>
      <c r="D232" s="2" t="n">
        <v>0.3572082</v>
      </c>
      <c r="E232" s="2" t="n">
        <v>0.266007066666667</v>
      </c>
    </row>
    <row r="233" customFormat="false" ht="13.8" hidden="false" customHeight="false" outlineLevel="0" collapsed="false">
      <c r="B233" s="2" t="n">
        <v>231</v>
      </c>
      <c r="C233" s="2" t="n">
        <v>0.265008</v>
      </c>
      <c r="D233" s="2" t="n">
        <v>0.197141866666667</v>
      </c>
      <c r="E233" s="2" t="n">
        <v>0.273606133333333</v>
      </c>
    </row>
    <row r="234" customFormat="false" ht="13.8" hidden="false" customHeight="false" outlineLevel="0" collapsed="false">
      <c r="B234" s="2" t="n">
        <v>232</v>
      </c>
      <c r="C234" s="2" t="n">
        <v>0.2935416</v>
      </c>
      <c r="D234" s="2" t="n">
        <v>0.375806133333333</v>
      </c>
      <c r="E234" s="2" t="n">
        <v>0.310607066666667</v>
      </c>
    </row>
    <row r="235" customFormat="false" ht="13.8" hidden="false" customHeight="false" outlineLevel="0" collapsed="false">
      <c r="B235" s="2" t="n">
        <v>233</v>
      </c>
      <c r="C235" s="2" t="n">
        <v>0.2720072</v>
      </c>
      <c r="D235" s="2" t="n">
        <v>0.132608133333333</v>
      </c>
      <c r="E235" s="2" t="n">
        <v>0.231006266666667</v>
      </c>
    </row>
    <row r="236" customFormat="false" ht="13.8" hidden="false" customHeight="false" outlineLevel="0" collapsed="false">
      <c r="B236" s="2" t="n">
        <v>234</v>
      </c>
      <c r="C236" s="2" t="n">
        <v>0.2908072</v>
      </c>
      <c r="D236" s="2" t="n">
        <v>0.335338666666667</v>
      </c>
      <c r="E236" s="2" t="n">
        <v>0.309539266666667</v>
      </c>
    </row>
    <row r="237" customFormat="false" ht="13.8" hidden="false" customHeight="false" outlineLevel="0" collapsed="false">
      <c r="B237" s="2" t="n">
        <v>235</v>
      </c>
      <c r="C237" s="2" t="n">
        <v>0.257007733333333</v>
      </c>
      <c r="D237" s="2" t="n">
        <v>0.2180062</v>
      </c>
      <c r="E237" s="2" t="n">
        <v>0.233673</v>
      </c>
    </row>
    <row r="238" customFormat="false" ht="13.8" hidden="false" customHeight="false" outlineLevel="0" collapsed="false">
      <c r="B238" s="2" t="n">
        <v>236</v>
      </c>
      <c r="C238" s="2" t="n">
        <v>0.289939133333333</v>
      </c>
      <c r="D238" s="2" t="n">
        <v>0.255338866666667</v>
      </c>
      <c r="E238" s="2" t="n">
        <v>0.309007</v>
      </c>
    </row>
    <row r="239" customFormat="false" ht="13.8" hidden="false" customHeight="false" outlineLevel="0" collapsed="false">
      <c r="B239" s="2" t="n">
        <v>237</v>
      </c>
      <c r="C239" s="2" t="n">
        <v>0.2612716</v>
      </c>
      <c r="D239" s="2" t="n">
        <v>0.3383368</v>
      </c>
      <c r="E239" s="2" t="n">
        <v>0.2360068</v>
      </c>
    </row>
    <row r="240" customFormat="false" ht="13.8" hidden="false" customHeight="false" outlineLevel="0" collapsed="false">
      <c r="B240" s="2" t="n">
        <v>238</v>
      </c>
      <c r="C240" s="2" t="n">
        <v>0.287406</v>
      </c>
      <c r="D240" s="2" t="n">
        <v>0.2220046</v>
      </c>
      <c r="E240" s="2" t="n">
        <v>0.324006133333333</v>
      </c>
    </row>
    <row r="241" customFormat="false" ht="13.8" hidden="false" customHeight="false" outlineLevel="0" collapsed="false">
      <c r="B241" s="2" t="n">
        <v>239</v>
      </c>
      <c r="C241" s="2" t="n">
        <v>0.265140666666667</v>
      </c>
      <c r="D241" s="2" t="n">
        <v>0.348671133333333</v>
      </c>
      <c r="E241" s="2" t="n">
        <v>0.2963382</v>
      </c>
    </row>
    <row r="242" customFormat="false" ht="13.8" hidden="false" customHeight="false" outlineLevel="0" collapsed="false">
      <c r="B242" s="2" t="n">
        <v>240</v>
      </c>
      <c r="C242" s="2" t="n">
        <v>0.1730094</v>
      </c>
      <c r="D242" s="2" t="n">
        <v>0.239670933333333</v>
      </c>
      <c r="E242" s="2" t="n">
        <v>0.211806533333333</v>
      </c>
    </row>
    <row r="243" customFormat="false" ht="13.8" hidden="false" customHeight="false" outlineLevel="0" collapsed="false">
      <c r="B243" s="2" t="n">
        <v>241</v>
      </c>
      <c r="C243" s="2" t="n">
        <v>0.379874333333333</v>
      </c>
      <c r="D243" s="2" t="n">
        <v>0.179807533333333</v>
      </c>
      <c r="E243" s="2" t="n">
        <v>0.2846724</v>
      </c>
    </row>
    <row r="244" customFormat="false" ht="13.8" hidden="false" customHeight="false" outlineLevel="0" collapsed="false">
      <c r="B244" s="2" t="n">
        <v>242</v>
      </c>
      <c r="C244" s="2" t="n">
        <v>0.141476333333333</v>
      </c>
      <c r="D244" s="2" t="n">
        <v>0.142075133333333</v>
      </c>
      <c r="E244" s="2" t="n">
        <v>0.160674466666667</v>
      </c>
    </row>
    <row r="245" customFormat="false" ht="13.8" hidden="false" customHeight="false" outlineLevel="0" collapsed="false">
      <c r="B245" s="2" t="n">
        <v>243</v>
      </c>
      <c r="C245" s="2" t="n">
        <v>0.387009</v>
      </c>
      <c r="D245" s="2" t="n">
        <v>0.3040092</v>
      </c>
      <c r="E245" s="2" t="n">
        <v>0.3336768</v>
      </c>
    </row>
    <row r="246" customFormat="false" ht="13.8" hidden="false" customHeight="false" outlineLevel="0" collapsed="false">
      <c r="B246" s="2" t="n">
        <v>244</v>
      </c>
      <c r="C246" s="2" t="n">
        <v>0.126342466666667</v>
      </c>
      <c r="D246" s="2" t="n">
        <v>0.244543266666667</v>
      </c>
      <c r="E246" s="2" t="n">
        <v>0.256676533333333</v>
      </c>
    </row>
    <row r="247" customFormat="false" ht="13.8" hidden="false" customHeight="false" outlineLevel="0" collapsed="false">
      <c r="B247" s="2" t="n">
        <v>245</v>
      </c>
      <c r="C247" s="2" t="n">
        <v>0.392874333333333</v>
      </c>
      <c r="D247" s="2" t="n">
        <v>0.296008266666667</v>
      </c>
      <c r="E247" s="2" t="n">
        <v>0.272342</v>
      </c>
    </row>
    <row r="248" customFormat="false" ht="13.8" hidden="false" customHeight="false" outlineLevel="0" collapsed="false">
      <c r="B248" s="2" t="n">
        <v>246</v>
      </c>
      <c r="C248" s="2" t="n">
        <v>0.156207133333333</v>
      </c>
      <c r="D248" s="2" t="n">
        <v>0.244008</v>
      </c>
      <c r="E248" s="2" t="n">
        <v>0.362673533333333</v>
      </c>
    </row>
    <row r="249" customFormat="false" ht="13.8" hidden="false" customHeight="false" outlineLevel="0" collapsed="false">
      <c r="B249" s="2" t="n">
        <v>247</v>
      </c>
      <c r="C249" s="2" t="n">
        <v>0.360337733333333</v>
      </c>
      <c r="D249" s="2" t="n">
        <v>0.296008</v>
      </c>
      <c r="E249" s="2" t="n">
        <v>0.199006733333333</v>
      </c>
    </row>
    <row r="250" customFormat="false" ht="13.8" hidden="false" customHeight="false" outlineLevel="0" collapsed="false">
      <c r="B250" s="2" t="n">
        <v>248</v>
      </c>
      <c r="C250" s="2" t="n">
        <v>0.218002466666667</v>
      </c>
      <c r="D250" s="2" t="n">
        <v>0.249339466666667</v>
      </c>
      <c r="E250" s="2" t="n">
        <v>0.3480052</v>
      </c>
    </row>
    <row r="251" customFormat="false" ht="13.8" hidden="false" customHeight="false" outlineLevel="0" collapsed="false">
      <c r="B251" s="2" t="n">
        <v>249</v>
      </c>
      <c r="C251" s="2" t="n">
        <v>0.303333533333333</v>
      </c>
      <c r="D251" s="2" t="n">
        <v>0.162071333333333</v>
      </c>
      <c r="E251" s="2" t="n">
        <v>0.096671</v>
      </c>
    </row>
    <row r="252" customFormat="false" ht="13.8" hidden="false" customHeight="false" outlineLevel="0" collapsed="false">
      <c r="B252" s="2" t="n">
        <v>250</v>
      </c>
      <c r="C252" s="2" t="n">
        <v>0.2846008</v>
      </c>
      <c r="D252" s="2" t="n">
        <v>0.1760038</v>
      </c>
      <c r="E252" s="2" t="n">
        <v>0.387000866666667</v>
      </c>
    </row>
    <row r="253" customFormat="false" ht="13.8" hidden="false" customHeight="false" outlineLevel="0" collapsed="false">
      <c r="B253" s="2" t="n">
        <v>251</v>
      </c>
      <c r="C253" s="2" t="n">
        <v>0.243667</v>
      </c>
      <c r="D253" s="2" t="n">
        <v>0.309001533333333</v>
      </c>
      <c r="E253" s="2" t="n">
        <v>0.1563338</v>
      </c>
    </row>
    <row r="254" customFormat="false" ht="13.8" hidden="false" customHeight="false" outlineLevel="0" collapsed="false">
      <c r="B254" s="2" t="n">
        <v>252</v>
      </c>
      <c r="C254" s="2" t="n">
        <v>0.283</v>
      </c>
      <c r="D254" s="2" t="n">
        <v>0.164333666666667</v>
      </c>
      <c r="E254" s="2" t="n">
        <v>0.290333866666667</v>
      </c>
    </row>
    <row r="255" customFormat="false" ht="13.8" hidden="false" customHeight="false" outlineLevel="0" collapsed="false">
      <c r="B255" s="2" t="n">
        <v>253</v>
      </c>
      <c r="C255" s="2" t="n">
        <v>0.2300002</v>
      </c>
      <c r="D255" s="2" t="n">
        <v>0.281333666666667</v>
      </c>
      <c r="E255" s="2" t="n">
        <v>0.106334266666667</v>
      </c>
    </row>
    <row r="256" customFormat="false" ht="13.8" hidden="false" customHeight="false" outlineLevel="0" collapsed="false">
      <c r="B256" s="2" t="n">
        <v>254</v>
      </c>
      <c r="C256" s="2" t="n">
        <v>0.2020006</v>
      </c>
      <c r="D256" s="2" t="n">
        <v>0.257000866666667</v>
      </c>
      <c r="E256" s="2" t="n">
        <v>0.397</v>
      </c>
    </row>
    <row r="257" customFormat="false" ht="13.8" hidden="false" customHeight="false" outlineLevel="0" collapsed="false">
      <c r="B257" s="2" t="n">
        <v>255</v>
      </c>
      <c r="C257" s="2" t="n">
        <v>0.218</v>
      </c>
      <c r="D257" s="2" t="n">
        <v>0.283001066666667</v>
      </c>
      <c r="E257" s="2" t="n">
        <v>0.163</v>
      </c>
    </row>
    <row r="258" customFormat="false" ht="13.8" hidden="false" customHeight="false" outlineLevel="0" collapsed="false">
      <c r="B258" s="2" t="n">
        <v>256</v>
      </c>
      <c r="C258" s="2" t="n">
        <v>0.322</v>
      </c>
      <c r="D258" s="2" t="n">
        <v>0.1750028</v>
      </c>
      <c r="E258" s="2" t="n">
        <v>0.397</v>
      </c>
    </row>
    <row r="259" customFormat="false" ht="13.8" hidden="false" customHeight="false" outlineLevel="0" collapsed="false">
      <c r="B259" s="2" t="n">
        <v>257</v>
      </c>
      <c r="C259" s="2" t="n">
        <v>0.218</v>
      </c>
      <c r="D259" s="2" t="n">
        <v>0.151668933333333</v>
      </c>
      <c r="E259" s="2" t="n">
        <v>0.1630002</v>
      </c>
    </row>
    <row r="260" customFormat="false" ht="13.8" hidden="false" customHeight="false" outlineLevel="0" collapsed="false">
      <c r="B260" s="2" t="n">
        <v>258</v>
      </c>
      <c r="C260" s="2" t="n">
        <v>0.322000933333333</v>
      </c>
      <c r="D260" s="2" t="n">
        <v>0.3443344</v>
      </c>
      <c r="E260" s="2" t="n">
        <v>0.409666933333333</v>
      </c>
    </row>
    <row r="261" customFormat="false" ht="13.8" hidden="false" customHeight="false" outlineLevel="0" collapsed="false">
      <c r="B261" s="2" t="n">
        <v>259</v>
      </c>
      <c r="C261" s="2" t="n">
        <v>0.218001</v>
      </c>
      <c r="D261" s="2" t="n">
        <v>0.228001</v>
      </c>
      <c r="E261" s="2" t="n">
        <v>0.176333666666667</v>
      </c>
    </row>
    <row r="262" customFormat="false" ht="13.8" hidden="false" customHeight="false" outlineLevel="0" collapsed="false">
      <c r="B262" s="2" t="n">
        <v>260</v>
      </c>
      <c r="C262" s="2" t="n">
        <v>0.294667933333333</v>
      </c>
      <c r="D262" s="2" t="n">
        <v>0.386668</v>
      </c>
      <c r="E262" s="2" t="n">
        <v>0.417</v>
      </c>
    </row>
    <row r="263" customFormat="false" ht="13.8" hidden="false" customHeight="false" outlineLevel="0" collapsed="false">
      <c r="B263" s="2" t="n">
        <v>261</v>
      </c>
      <c r="C263" s="2" t="n">
        <v>0.192001</v>
      </c>
      <c r="D263" s="2" t="n">
        <v>0.244001733333333</v>
      </c>
      <c r="E263" s="2" t="n">
        <v>0.176333666666667</v>
      </c>
    </row>
    <row r="264" customFormat="false" ht="13.8" hidden="false" customHeight="false" outlineLevel="0" collapsed="false">
      <c r="B264" s="2" t="n">
        <v>262</v>
      </c>
      <c r="C264" s="2" t="n">
        <v>0.3480016</v>
      </c>
      <c r="D264" s="2" t="n">
        <v>0.3616686</v>
      </c>
      <c r="E264" s="2" t="n">
        <v>0.409000666666667</v>
      </c>
    </row>
    <row r="265" customFormat="false" ht="13.8" hidden="false" customHeight="false" outlineLevel="0" collapsed="false">
      <c r="B265" s="2" t="n">
        <v>263</v>
      </c>
      <c r="C265" s="2" t="n">
        <v>0.232001533333333</v>
      </c>
      <c r="D265" s="2" t="n">
        <v>0.238668</v>
      </c>
      <c r="E265" s="2" t="n">
        <v>0.1663348</v>
      </c>
    </row>
    <row r="266" customFormat="false" ht="13.8" hidden="false" customHeight="false" outlineLevel="0" collapsed="false">
      <c r="B266" s="2" t="n">
        <v>264</v>
      </c>
      <c r="C266" s="2" t="n">
        <v>0.360535666666667</v>
      </c>
      <c r="D266" s="2" t="n">
        <v>0.370335866666667</v>
      </c>
      <c r="E266" s="2" t="n">
        <v>0.213203266666667</v>
      </c>
    </row>
    <row r="267" customFormat="false" ht="13.8" hidden="false" customHeight="false" outlineLevel="0" collapsed="false">
      <c r="B267" s="2" t="n">
        <v>265</v>
      </c>
      <c r="C267" s="2" t="n">
        <v>0.200339266666667</v>
      </c>
      <c r="D267" s="2" t="n">
        <v>0.251538666666667</v>
      </c>
      <c r="E267" s="2" t="n">
        <v>0.1208052</v>
      </c>
    </row>
    <row r="268" customFormat="false" ht="13.8" hidden="false" customHeight="false" outlineLevel="0" collapsed="false">
      <c r="B268" s="2" t="n">
        <v>266</v>
      </c>
      <c r="C268" s="2" t="n">
        <v>0.3715416</v>
      </c>
      <c r="D268" s="2" t="n">
        <v>0.249805666666667</v>
      </c>
      <c r="E268" s="2" t="n">
        <v>0.472671933333333</v>
      </c>
    </row>
    <row r="269" customFormat="false" ht="13.8" hidden="false" customHeight="false" outlineLevel="0" collapsed="false">
      <c r="B269" s="2" t="n">
        <v>267</v>
      </c>
      <c r="C269" s="2" t="n">
        <v>0.2216118</v>
      </c>
      <c r="D269" s="2" t="n">
        <v>0.3912086</v>
      </c>
      <c r="E269" s="2" t="n">
        <v>0.2093432</v>
      </c>
    </row>
    <row r="270" customFormat="false" ht="13.8" hidden="false" customHeight="false" outlineLevel="0" collapsed="false">
      <c r="B270" s="2" t="n">
        <v>268</v>
      </c>
      <c r="C270" s="2" t="n">
        <v>0.424946266666667</v>
      </c>
      <c r="D270" s="2" t="n">
        <v>0.243277</v>
      </c>
      <c r="E270" s="2" t="n">
        <v>0.276348933333333</v>
      </c>
    </row>
    <row r="271" customFormat="false" ht="13.8" hidden="false" customHeight="false" outlineLevel="0" collapsed="false">
      <c r="B271" s="2" t="n">
        <v>269</v>
      </c>
      <c r="C271" s="2" t="n">
        <v>0.329010933333333</v>
      </c>
      <c r="D271" s="2" t="n">
        <v>0.271545333333333</v>
      </c>
      <c r="E271" s="2" t="n">
        <v>0.347946333333333</v>
      </c>
    </row>
    <row r="272" customFormat="false" ht="13.8" hidden="false" customHeight="false" outlineLevel="0" collapsed="false">
      <c r="B272" s="2" t="n">
        <v>270</v>
      </c>
      <c r="C272" s="2" t="n">
        <v>0.542341333333333</v>
      </c>
      <c r="D272" s="2" t="n">
        <v>0.434412266666667</v>
      </c>
      <c r="E272" s="2" t="n">
        <v>0.157014266666667</v>
      </c>
    </row>
    <row r="273" customFormat="false" ht="13.8" hidden="false" customHeight="false" outlineLevel="0" collapsed="false">
      <c r="B273" s="2" t="n">
        <v>271</v>
      </c>
      <c r="C273" s="2" t="n">
        <v>0.299811933333333</v>
      </c>
      <c r="D273" s="2" t="n">
        <v>0.334945866666667</v>
      </c>
      <c r="E273" s="2" t="n">
        <v>0.315880466666667</v>
      </c>
    </row>
    <row r="274" customFormat="false" ht="13.8" hidden="false" customHeight="false" outlineLevel="0" collapsed="false">
      <c r="B274" s="2" t="n">
        <v>272</v>
      </c>
      <c r="C274" s="2" t="n">
        <v>0.517081</v>
      </c>
      <c r="D274" s="2" t="n">
        <v>0.38228</v>
      </c>
      <c r="E274" s="2" t="n">
        <v>0.3182138</v>
      </c>
    </row>
    <row r="275" customFormat="false" ht="13.8" hidden="false" customHeight="false" outlineLevel="0" collapsed="false">
      <c r="B275" s="2" t="n">
        <v>273</v>
      </c>
      <c r="C275" s="2" t="n">
        <v>0.392215933333333</v>
      </c>
      <c r="D275" s="2" t="n">
        <v>0.3202138</v>
      </c>
      <c r="E275" s="2" t="n">
        <v>0.3134848</v>
      </c>
    </row>
    <row r="276" customFormat="false" ht="13.8" hidden="false" customHeight="false" outlineLevel="0" collapsed="false">
      <c r="B276" s="2" t="n">
        <v>274</v>
      </c>
      <c r="C276" s="2" t="n">
        <v>0.5263478</v>
      </c>
      <c r="D276" s="2" t="n">
        <v>0.424216066666667</v>
      </c>
      <c r="E276" s="2" t="n">
        <v>0.208617</v>
      </c>
    </row>
    <row r="277" customFormat="false" ht="13.8" hidden="false" customHeight="false" outlineLevel="0" collapsed="false">
      <c r="B277" s="2" t="n">
        <v>275</v>
      </c>
      <c r="C277" s="2" t="n">
        <v>0.334548466666667</v>
      </c>
      <c r="D277" s="2" t="n">
        <v>0.313218733333333</v>
      </c>
      <c r="E277" s="2" t="n">
        <v>0.3464146</v>
      </c>
    </row>
    <row r="278" customFormat="false" ht="13.8" hidden="false" customHeight="false" outlineLevel="0" collapsed="false">
      <c r="B278" s="2" t="n">
        <v>276</v>
      </c>
      <c r="C278" s="2" t="n">
        <v>0.439280866666667</v>
      </c>
      <c r="D278" s="2" t="n">
        <v>0.3530832</v>
      </c>
      <c r="E278" s="2" t="n">
        <v>0.3350828</v>
      </c>
    </row>
    <row r="279" customFormat="false" ht="13.8" hidden="false" customHeight="false" outlineLevel="0" collapsed="false">
      <c r="B279" s="2" t="n">
        <v>277</v>
      </c>
      <c r="C279" s="2" t="n">
        <v>0.447682866666667</v>
      </c>
      <c r="D279" s="2" t="n">
        <v>0.403280466666667</v>
      </c>
      <c r="E279" s="2" t="n">
        <v>0.379551266666667</v>
      </c>
    </row>
    <row r="280" customFormat="false" ht="13.8" hidden="false" customHeight="false" outlineLevel="0" collapsed="false">
      <c r="B280" s="2" t="n">
        <v>278</v>
      </c>
      <c r="C280" s="2" t="n">
        <v>0.493147</v>
      </c>
      <c r="D280" s="2" t="n">
        <v>0.554480466666667</v>
      </c>
      <c r="E280" s="2" t="n">
        <v>0.2036188</v>
      </c>
    </row>
    <row r="281" customFormat="false" ht="13.8" hidden="false" customHeight="false" outlineLevel="0" collapsed="false">
      <c r="B281" s="2" t="n">
        <v>279</v>
      </c>
      <c r="C281" s="2" t="n">
        <v>0.502412133333333</v>
      </c>
      <c r="D281" s="2" t="n">
        <v>0.3898146</v>
      </c>
      <c r="E281" s="2" t="n">
        <v>0.4816842</v>
      </c>
    </row>
    <row r="282" customFormat="false" ht="13.8" hidden="false" customHeight="false" outlineLevel="0" collapsed="false">
      <c r="B282" s="2" t="n">
        <v>280</v>
      </c>
      <c r="C282" s="2" t="n">
        <v>0.510012133333333</v>
      </c>
      <c r="D282" s="2" t="n">
        <v>0.389615533333333</v>
      </c>
      <c r="E282" s="2" t="n">
        <v>0.266549533333333</v>
      </c>
    </row>
    <row r="283" customFormat="false" ht="13.8" hidden="false" customHeight="false" outlineLevel="0" collapsed="false">
      <c r="B283" s="2" t="n">
        <v>281</v>
      </c>
      <c r="C283" s="2" t="n">
        <v>0.400948133333333</v>
      </c>
      <c r="D283" s="2" t="n">
        <v>0.377813466666667</v>
      </c>
      <c r="E283" s="2" t="n">
        <v>0.527482133333333</v>
      </c>
    </row>
    <row r="284" customFormat="false" ht="13.8" hidden="false" customHeight="false" outlineLevel="0" collapsed="false">
      <c r="B284" s="2" t="n">
        <v>282</v>
      </c>
      <c r="C284" s="2" t="n">
        <v>0.329883333333333</v>
      </c>
      <c r="D284" s="2" t="n">
        <v>0.260946866666667</v>
      </c>
      <c r="E284" s="2" t="n">
        <v>0.242682533333333</v>
      </c>
    </row>
    <row r="285" customFormat="false" ht="13.8" hidden="false" customHeight="false" outlineLevel="0" collapsed="false">
      <c r="B285" s="2" t="n">
        <v>283</v>
      </c>
      <c r="C285" s="2" t="n">
        <v>0.117017866666667</v>
      </c>
      <c r="D285" s="2" t="n">
        <v>0.310546733333333</v>
      </c>
      <c r="E285" s="2" t="n">
        <v>0.317414866666667</v>
      </c>
    </row>
    <row r="286" customFormat="false" ht="13.8" hidden="false" customHeight="false" outlineLevel="0" collapsed="false">
      <c r="B286" s="2" t="n">
        <v>284</v>
      </c>
      <c r="C286" s="2" t="n">
        <v>0.165082333333333</v>
      </c>
      <c r="D286" s="2" t="n">
        <v>0.257081333333333</v>
      </c>
      <c r="E286" s="2" t="n">
        <v>0.291478733333333</v>
      </c>
    </row>
    <row r="287" customFormat="false" ht="13.8" hidden="false" customHeight="false" outlineLevel="0" collapsed="false">
      <c r="B287" s="2" t="n">
        <v>285</v>
      </c>
      <c r="C287" s="2" t="n">
        <v>0.2253482</v>
      </c>
      <c r="D287" s="2" t="n">
        <v>0.187744533333333</v>
      </c>
      <c r="E287" s="2" t="n">
        <v>0.267410266666667</v>
      </c>
    </row>
    <row r="288" customFormat="false" ht="13.8" hidden="false" customHeight="false" outlineLevel="0" collapsed="false">
      <c r="B288" s="2" t="n">
        <v>286</v>
      </c>
      <c r="C288" s="2" t="n">
        <v>0.205812666666667</v>
      </c>
      <c r="D288" s="2" t="n">
        <v>0.1146792</v>
      </c>
      <c r="E288" s="2" t="n">
        <v>0.297010666666667</v>
      </c>
    </row>
    <row r="289" customFormat="false" ht="13.8" hidden="false" customHeight="false" outlineLevel="0" collapsed="false">
      <c r="B289" s="2" t="n">
        <v>287</v>
      </c>
      <c r="C289" s="2" t="n">
        <v>0.189942266666667</v>
      </c>
      <c r="D289" s="2" t="n">
        <v>0.294012733333333</v>
      </c>
      <c r="E289" s="2" t="n">
        <v>0.153676933333333</v>
      </c>
    </row>
    <row r="290" customFormat="false" ht="13.8" hidden="false" customHeight="false" outlineLevel="0" collapsed="false">
      <c r="B290" s="2" t="n">
        <v>288</v>
      </c>
      <c r="C290" s="2" t="n">
        <v>0.337078733333333</v>
      </c>
      <c r="D290" s="2" t="n">
        <v>0.0694122666666667</v>
      </c>
      <c r="E290" s="2" t="n">
        <v>0.0822112</v>
      </c>
    </row>
    <row r="291" customFormat="false" ht="13.8" hidden="false" customHeight="false" outlineLevel="0" collapsed="false">
      <c r="B291" s="2" t="n">
        <v>289</v>
      </c>
      <c r="C291" s="2" t="n">
        <v>0.0575448</v>
      </c>
      <c r="D291" s="2" t="n">
        <v>0.0418104</v>
      </c>
      <c r="E291" s="2" t="n">
        <v>0.109141733333333</v>
      </c>
    </row>
    <row r="292" customFormat="false" ht="13.8" hidden="false" customHeight="false" outlineLevel="0" collapsed="false">
      <c r="B292" s="2" t="n">
        <v>290</v>
      </c>
      <c r="C292" s="2" t="n">
        <v>0.106542</v>
      </c>
      <c r="D292" s="2" t="n">
        <v>0.234074866666667</v>
      </c>
      <c r="E292" s="2" t="n">
        <v>0.207943466666667</v>
      </c>
    </row>
    <row r="293" customFormat="false" ht="13.8" hidden="false" customHeight="false" outlineLevel="0" collapsed="false">
      <c r="B293" s="2" t="n">
        <v>291</v>
      </c>
      <c r="C293" s="2" t="n">
        <v>0.1984722</v>
      </c>
      <c r="D293" s="2" t="n">
        <v>0.3140048</v>
      </c>
      <c r="E293" s="2" t="n">
        <v>0.242339133333333</v>
      </c>
    </row>
    <row r="294" customFormat="false" ht="13.8" hidden="false" customHeight="false" outlineLevel="0" collapsed="false">
      <c r="B294" s="2" t="n">
        <v>292</v>
      </c>
      <c r="C294" s="2" t="n">
        <v>0.1608686</v>
      </c>
      <c r="D294" s="2" t="n">
        <v>0.1568036</v>
      </c>
      <c r="E294" s="2" t="n">
        <v>0.3140042</v>
      </c>
    </row>
    <row r="295" customFormat="false" ht="13.8" hidden="false" customHeight="false" outlineLevel="0" collapsed="false">
      <c r="B295" s="2" t="n">
        <v>293</v>
      </c>
      <c r="C295" s="2" t="n">
        <v>0.167400666666667</v>
      </c>
      <c r="D295" s="2" t="n">
        <v>0.0611351333333333</v>
      </c>
      <c r="E295" s="2" t="n">
        <v>0.170000666666667</v>
      </c>
    </row>
    <row r="296" customFormat="false" ht="13.8" hidden="false" customHeight="false" outlineLevel="0" collapsed="false">
      <c r="B296" s="2" t="n">
        <v>294</v>
      </c>
      <c r="C296" s="2" t="n">
        <v>0.176601</v>
      </c>
      <c r="D296" s="2" t="n">
        <v>0.236534466666667</v>
      </c>
      <c r="E296" s="2" t="n">
        <v>0.2740002</v>
      </c>
    </row>
    <row r="297" customFormat="false" ht="13.8" hidden="false" customHeight="false" outlineLevel="0" collapsed="false">
      <c r="B297" s="2" t="n">
        <v>295</v>
      </c>
      <c r="C297" s="2" t="n">
        <v>0.0984016666666667</v>
      </c>
      <c r="D297" s="2" t="n">
        <v>0.113333733333333</v>
      </c>
      <c r="E297" s="2" t="n">
        <v>0.0874686666666667</v>
      </c>
    </row>
    <row r="298" customFormat="false" ht="13.8" hidden="false" customHeight="false" outlineLevel="0" collapsed="false">
      <c r="B298" s="2" t="n">
        <v>296</v>
      </c>
      <c r="C298" s="2" t="n">
        <v>0.1476014</v>
      </c>
      <c r="D298" s="2" t="n">
        <v>0.2480668</v>
      </c>
      <c r="E298" s="2" t="n">
        <v>0.366400466666667</v>
      </c>
    </row>
    <row r="299" customFormat="false" ht="13.8" hidden="false" customHeight="false" outlineLevel="0" collapsed="false">
      <c r="B299" s="2" t="n">
        <v>297</v>
      </c>
      <c r="C299" s="2" t="n">
        <v>0.0989336</v>
      </c>
      <c r="D299" s="2" t="n">
        <v>0.113933933333333</v>
      </c>
      <c r="E299" s="2" t="n">
        <v>0.110467</v>
      </c>
    </row>
    <row r="300" customFormat="false" ht="13.8" hidden="false" customHeight="false" outlineLevel="0" collapsed="false">
      <c r="B300" s="2" t="n">
        <v>298</v>
      </c>
      <c r="C300" s="2" t="n">
        <v>0.193200666666667</v>
      </c>
      <c r="D300" s="2" t="n">
        <v>0.2447336</v>
      </c>
      <c r="E300" s="2" t="n">
        <v>0.378533866666667</v>
      </c>
    </row>
    <row r="301" customFormat="false" ht="13.8" hidden="false" customHeight="false" outlineLevel="0" collapsed="false">
      <c r="B301" s="2" t="n">
        <v>299</v>
      </c>
      <c r="C301" s="2" t="n">
        <v>0.0545344</v>
      </c>
      <c r="D301" s="2" t="n">
        <v>0.115133933333333</v>
      </c>
      <c r="E301" s="2" t="n">
        <v>0.127866933333333</v>
      </c>
    </row>
    <row r="302" customFormat="false" ht="13.8" hidden="false" customHeight="false" outlineLevel="0" collapsed="false">
      <c r="B302" s="2" t="n">
        <v>300</v>
      </c>
      <c r="C302" s="2" t="n">
        <v>0.166735</v>
      </c>
      <c r="D302" s="2" t="n">
        <v>0.153134333333333</v>
      </c>
      <c r="E302" s="2" t="n">
        <v>0.3873342</v>
      </c>
    </row>
    <row r="303" customFormat="false" ht="13.8" hidden="false" customHeight="false" outlineLevel="0" collapsed="false">
      <c r="B303" s="2" t="n">
        <v>301</v>
      </c>
      <c r="C303" s="2" t="n">
        <v>0.0486010666666667</v>
      </c>
      <c r="D303" s="2" t="n">
        <v>0.0764002</v>
      </c>
      <c r="E303" s="2" t="n">
        <v>0.1296672</v>
      </c>
    </row>
    <row r="304" customFormat="false" ht="13.8" hidden="false" customHeight="false" outlineLevel="0" collapsed="false">
      <c r="B304" s="2" t="n">
        <v>302</v>
      </c>
      <c r="C304" s="2" t="n">
        <v>0.111667</v>
      </c>
      <c r="D304" s="2" t="n">
        <v>0.2831338</v>
      </c>
      <c r="E304" s="2" t="n">
        <v>0.390400866666667</v>
      </c>
    </row>
    <row r="305" customFormat="false" ht="13.8" hidden="false" customHeight="false" outlineLevel="0" collapsed="false">
      <c r="B305" s="2" t="n">
        <v>303</v>
      </c>
      <c r="C305" s="2" t="n">
        <v>0.1904668</v>
      </c>
      <c r="D305" s="2" t="n">
        <v>0.050734</v>
      </c>
      <c r="E305" s="2" t="n">
        <v>0.121600266666667</v>
      </c>
    </row>
    <row r="306" customFormat="false" ht="13.8" hidden="false" customHeight="false" outlineLevel="0" collapsed="false">
      <c r="B306" s="2" t="n">
        <v>304</v>
      </c>
      <c r="C306" s="2" t="n">
        <v>0.1529344</v>
      </c>
      <c r="D306" s="2" t="n">
        <v>0.208</v>
      </c>
      <c r="E306" s="2" t="n">
        <v>0.364334066666667</v>
      </c>
    </row>
    <row r="307" customFormat="false" ht="13.8" hidden="false" customHeight="false" outlineLevel="0" collapsed="false">
      <c r="B307" s="2" t="n">
        <v>305</v>
      </c>
      <c r="C307" s="2" t="n">
        <v>0.197467</v>
      </c>
      <c r="D307" s="2" t="n">
        <v>0.181333466666667</v>
      </c>
      <c r="E307" s="2" t="n">
        <v>0.105934066666667</v>
      </c>
    </row>
    <row r="308" customFormat="false" ht="13.8" hidden="false" customHeight="false" outlineLevel="0" collapsed="false">
      <c r="B308" s="2" t="n">
        <v>306</v>
      </c>
      <c r="C308" s="2" t="n">
        <v>0.1543342</v>
      </c>
      <c r="D308" s="2" t="n">
        <v>0.141267533333333</v>
      </c>
      <c r="E308" s="2" t="n">
        <v>0.374</v>
      </c>
    </row>
    <row r="309" customFormat="false" ht="13.8" hidden="false" customHeight="false" outlineLevel="0" collapsed="false">
      <c r="B309" s="2" t="n">
        <v>307</v>
      </c>
      <c r="C309" s="2" t="n">
        <v>0.177534133333333</v>
      </c>
      <c r="D309" s="2" t="n">
        <v>0.0851342</v>
      </c>
      <c r="E309" s="2" t="n">
        <v>0.114</v>
      </c>
    </row>
    <row r="310" customFormat="false" ht="13.8" hidden="false" customHeight="false" outlineLevel="0" collapsed="false">
      <c r="B310" s="2" t="n">
        <v>308</v>
      </c>
      <c r="C310" s="2" t="n">
        <v>0.152</v>
      </c>
      <c r="D310" s="2" t="n">
        <v>0.2678672</v>
      </c>
      <c r="E310" s="2" t="n">
        <v>0.345600266666667</v>
      </c>
    </row>
    <row r="311" customFormat="false" ht="13.8" hidden="false" customHeight="false" outlineLevel="0" collapsed="false">
      <c r="B311" s="2" t="n">
        <v>309</v>
      </c>
      <c r="C311" s="2" t="n">
        <v>0.184067066666667</v>
      </c>
      <c r="D311" s="2" t="n">
        <v>0.0908669333333333</v>
      </c>
      <c r="E311" s="2" t="n">
        <v>0.1029344</v>
      </c>
    </row>
    <row r="312" customFormat="false" ht="13.8" hidden="false" customHeight="false" outlineLevel="0" collapsed="false">
      <c r="B312" s="2" t="n">
        <v>310</v>
      </c>
      <c r="C312" s="2" t="n">
        <v>0.0475351333333333</v>
      </c>
      <c r="D312" s="2" t="n">
        <v>0.2390678</v>
      </c>
      <c r="E312" s="2" t="n">
        <v>0.399333466666667</v>
      </c>
    </row>
    <row r="313" customFormat="false" ht="13.8" hidden="false" customHeight="false" outlineLevel="0" collapsed="false">
      <c r="B313" s="2" t="n">
        <v>311</v>
      </c>
      <c r="C313" s="2" t="n">
        <v>0.156067666666667</v>
      </c>
      <c r="D313" s="2" t="n">
        <v>0.1998012</v>
      </c>
      <c r="E313" s="2" t="n">
        <v>0.127</v>
      </c>
    </row>
    <row r="314" customFormat="false" ht="13.8" hidden="false" customHeight="false" outlineLevel="0" collapsed="false">
      <c r="B314" s="2" t="n">
        <v>312</v>
      </c>
      <c r="C314" s="2" t="n">
        <v>0.1729336</v>
      </c>
      <c r="D314" s="2" t="n">
        <v>0.2587338</v>
      </c>
      <c r="E314" s="2" t="n">
        <v>0.394801066666667</v>
      </c>
    </row>
    <row r="315" customFormat="false" ht="13.8" hidden="false" customHeight="false" outlineLevel="0" collapsed="false">
      <c r="B315" s="2" t="n">
        <v>313</v>
      </c>
      <c r="C315" s="2" t="n">
        <v>0.280000733333333</v>
      </c>
      <c r="D315" s="2" t="n">
        <v>0.0686677333333333</v>
      </c>
      <c r="E315" s="2" t="n">
        <v>0.111067933333333</v>
      </c>
    </row>
    <row r="316" customFormat="false" ht="13.8" hidden="false" customHeight="false" outlineLevel="0" collapsed="false">
      <c r="B316" s="2" t="n">
        <v>314</v>
      </c>
      <c r="C316" s="2" t="n">
        <v>0.224601333333333</v>
      </c>
      <c r="D316" s="2" t="n">
        <v>0.269934133333333</v>
      </c>
      <c r="E316" s="2" t="n">
        <v>0.2078028</v>
      </c>
    </row>
    <row r="317" customFormat="false" ht="13.8" hidden="false" customHeight="false" outlineLevel="0" collapsed="false">
      <c r="B317" s="2" t="n">
        <v>315</v>
      </c>
      <c r="C317" s="2" t="n">
        <v>0.292602733333333</v>
      </c>
      <c r="D317" s="2" t="n">
        <v>0.326601133333333</v>
      </c>
      <c r="E317" s="2" t="n">
        <v>0.163336666666667</v>
      </c>
    </row>
    <row r="318" customFormat="false" ht="13.8" hidden="false" customHeight="false" outlineLevel="0" collapsed="false">
      <c r="B318" s="2" t="n">
        <v>316</v>
      </c>
      <c r="C318" s="2" t="n">
        <v>0.168335933333333</v>
      </c>
      <c r="D318" s="2" t="n">
        <v>0.231002866666667</v>
      </c>
      <c r="E318" s="2" t="n">
        <v>0.3164704</v>
      </c>
    </row>
    <row r="319" customFormat="false" ht="13.8" hidden="false" customHeight="false" outlineLevel="0" collapsed="false">
      <c r="B319" s="2" t="n">
        <v>317</v>
      </c>
      <c r="C319" s="2" t="n">
        <v>0.268671</v>
      </c>
      <c r="D319" s="2" t="n">
        <v>0.3090046</v>
      </c>
      <c r="E319" s="2" t="n">
        <v>0.166005</v>
      </c>
    </row>
    <row r="320" customFormat="false" ht="13.8" hidden="false" customHeight="false" outlineLevel="0" collapsed="false">
      <c r="B320" s="2" t="n">
        <v>318</v>
      </c>
      <c r="C320" s="2" t="n">
        <v>0.257003466666667</v>
      </c>
      <c r="D320" s="2" t="n">
        <v>0.2574038</v>
      </c>
      <c r="E320" s="2" t="n">
        <v>0.329605533333333</v>
      </c>
    </row>
    <row r="321" customFormat="false" ht="13.8" hidden="false" customHeight="false" outlineLevel="0" collapsed="false">
      <c r="B321" s="2" t="n">
        <v>319</v>
      </c>
      <c r="C321" s="2" t="n">
        <v>0.151337066666667</v>
      </c>
      <c r="D321" s="2" t="n">
        <v>0.3282038</v>
      </c>
      <c r="E321" s="2" t="n">
        <v>0.0868068</v>
      </c>
    </row>
    <row r="322" customFormat="false" ht="13.8" hidden="false" customHeight="false" outlineLevel="0" collapsed="false">
      <c r="B322" s="2" t="n">
        <v>320</v>
      </c>
      <c r="C322" s="2" t="n">
        <v>0.151204666666667</v>
      </c>
      <c r="D322" s="2" t="n">
        <v>0.231006</v>
      </c>
      <c r="E322" s="2" t="n">
        <v>0.216005533333333</v>
      </c>
    </row>
    <row r="323" customFormat="false" ht="13.8" hidden="false" customHeight="false" outlineLevel="0" collapsed="false">
      <c r="B323" s="2" t="n">
        <v>321</v>
      </c>
      <c r="C323" s="2" t="n">
        <v>0.263872333333333</v>
      </c>
      <c r="D323" s="2" t="n">
        <v>0.314339666666667</v>
      </c>
      <c r="E323" s="2" t="n">
        <v>0.2720058</v>
      </c>
    </row>
    <row r="324" customFormat="false" ht="13.8" hidden="false" customHeight="false" outlineLevel="0" collapsed="false">
      <c r="B324" s="2" t="n">
        <v>322</v>
      </c>
      <c r="C324" s="2" t="n">
        <v>0.2830078</v>
      </c>
      <c r="D324" s="2" t="n">
        <v>0.2342066</v>
      </c>
      <c r="E324" s="2" t="n">
        <v>0.3042074</v>
      </c>
    </row>
    <row r="325" customFormat="false" ht="13.8" hidden="false" customHeight="false" outlineLevel="0" collapsed="false">
      <c r="B325" s="2" t="n">
        <v>323</v>
      </c>
      <c r="C325" s="2" t="n">
        <v>0.257008</v>
      </c>
      <c r="D325" s="2" t="n">
        <v>0.325005466666667</v>
      </c>
      <c r="E325" s="2" t="n">
        <v>0.0960074</v>
      </c>
    </row>
    <row r="326" customFormat="false" ht="13.8" hidden="false" customHeight="false" outlineLevel="0" collapsed="false">
      <c r="B326" s="2" t="n">
        <v>324</v>
      </c>
      <c r="C326" s="2" t="n">
        <v>0.241341866666667</v>
      </c>
      <c r="D326" s="2" t="n">
        <v>0.239006133333333</v>
      </c>
      <c r="E326" s="2" t="n">
        <v>0.402541266666667</v>
      </c>
    </row>
    <row r="327" customFormat="false" ht="13.8" hidden="false" customHeight="false" outlineLevel="0" collapsed="false">
      <c r="B327" s="2" t="n">
        <v>325</v>
      </c>
      <c r="C327" s="2" t="n">
        <v>0.140675733333333</v>
      </c>
      <c r="D327" s="2" t="n">
        <v>0.3416718</v>
      </c>
      <c r="E327" s="2" t="n">
        <v>0.168008</v>
      </c>
    </row>
    <row r="328" customFormat="false" ht="13.8" hidden="false" customHeight="false" outlineLevel="0" collapsed="false">
      <c r="B328" s="2" t="n">
        <v>326</v>
      </c>
      <c r="C328" s="2" t="n">
        <v>0.357407733333333</v>
      </c>
      <c r="D328" s="2" t="n">
        <v>0.257672333333333</v>
      </c>
      <c r="E328" s="2" t="n">
        <v>0.407340666666667</v>
      </c>
    </row>
    <row r="329" customFormat="false" ht="13.8" hidden="false" customHeight="false" outlineLevel="0" collapsed="false">
      <c r="B329" s="2" t="n">
        <v>327</v>
      </c>
      <c r="C329" s="2" t="n">
        <v>0.197671933333333</v>
      </c>
      <c r="D329" s="2" t="n">
        <v>0.323939466666667</v>
      </c>
      <c r="E329" s="2" t="n">
        <v>0.135873933333333</v>
      </c>
    </row>
    <row r="330" customFormat="false" ht="13.8" hidden="false" customHeight="false" outlineLevel="0" collapsed="false">
      <c r="B330" s="2" t="n">
        <v>328</v>
      </c>
      <c r="C330" s="2" t="n">
        <v>0.340738333333333</v>
      </c>
      <c r="D330" s="2" t="n">
        <v>0.239340466666667</v>
      </c>
      <c r="E330" s="2" t="n">
        <v>0.368675</v>
      </c>
    </row>
    <row r="331" customFormat="false" ht="13.8" hidden="false" customHeight="false" outlineLevel="0" collapsed="false">
      <c r="B331" s="2" t="n">
        <v>329</v>
      </c>
      <c r="C331" s="2" t="n">
        <v>0.228671066666667</v>
      </c>
      <c r="D331" s="2" t="n">
        <v>0.3200066</v>
      </c>
      <c r="E331" s="2" t="n">
        <v>0.194007</v>
      </c>
    </row>
    <row r="332" customFormat="false" ht="13.8" hidden="false" customHeight="false" outlineLevel="0" collapsed="false">
      <c r="B332" s="2" t="n">
        <v>330</v>
      </c>
      <c r="C332" s="2" t="n">
        <v>0.3268044</v>
      </c>
      <c r="D332" s="2" t="n">
        <v>0.231005333333333</v>
      </c>
      <c r="E332" s="2" t="n">
        <v>0.3760056</v>
      </c>
    </row>
    <row r="333" customFormat="false" ht="13.8" hidden="false" customHeight="false" outlineLevel="0" collapsed="false">
      <c r="B333" s="2" t="n">
        <v>331</v>
      </c>
      <c r="C333" s="2" t="n">
        <v>0.218003</v>
      </c>
      <c r="D333" s="2" t="n">
        <v>0.310738266666667</v>
      </c>
      <c r="E333" s="2" t="n">
        <v>0.194003266666667</v>
      </c>
    </row>
    <row r="334" customFormat="false" ht="13.8" hidden="false" customHeight="false" outlineLevel="0" collapsed="false">
      <c r="B334" s="2" t="n">
        <v>332</v>
      </c>
      <c r="C334" s="2" t="n">
        <v>0.3220024</v>
      </c>
      <c r="D334" s="2" t="n">
        <v>0.291004</v>
      </c>
      <c r="E334" s="2" t="n">
        <v>0.362002533333333</v>
      </c>
    </row>
    <row r="335" customFormat="false" ht="13.8" hidden="false" customHeight="false" outlineLevel="0" collapsed="false">
      <c r="B335" s="2" t="n">
        <v>333</v>
      </c>
      <c r="C335" s="2" t="n">
        <v>0.218001266666667</v>
      </c>
      <c r="D335" s="2" t="n">
        <v>0.192671666666667</v>
      </c>
      <c r="E335" s="2" t="n">
        <v>0.1790028</v>
      </c>
    </row>
    <row r="336" customFormat="false" ht="13.8" hidden="false" customHeight="false" outlineLevel="0" collapsed="false">
      <c r="B336" s="2" t="n">
        <v>334</v>
      </c>
      <c r="C336" s="2" t="n">
        <v>0.335335466666667</v>
      </c>
      <c r="D336" s="2" t="n">
        <v>0.204272266666667</v>
      </c>
      <c r="E336" s="2" t="n">
        <v>0.381004333333333</v>
      </c>
    </row>
    <row r="337" customFormat="false" ht="13.8" hidden="false" customHeight="false" outlineLevel="0" collapsed="false">
      <c r="B337" s="2" t="n">
        <v>335</v>
      </c>
      <c r="C337" s="2" t="n">
        <v>0.2453386</v>
      </c>
      <c r="D337" s="2" t="n">
        <v>0.1521408</v>
      </c>
      <c r="E337" s="2" t="n">
        <v>0.196206133333333</v>
      </c>
    </row>
    <row r="338" customFormat="false" ht="13.8" hidden="false" customHeight="false" outlineLevel="0" collapsed="false">
      <c r="B338" s="2" t="n">
        <v>336</v>
      </c>
      <c r="C338" s="2" t="n">
        <v>0.371337866666667</v>
      </c>
      <c r="D338" s="2" t="n">
        <v>0.403342733333333</v>
      </c>
      <c r="E338" s="2" t="n">
        <v>0.41234</v>
      </c>
    </row>
    <row r="339" customFormat="false" ht="13.8" hidden="false" customHeight="false" outlineLevel="0" collapsed="false">
      <c r="B339" s="2" t="n">
        <v>337</v>
      </c>
      <c r="C339" s="2" t="n">
        <v>0.198005133333333</v>
      </c>
      <c r="D339" s="2" t="n">
        <v>0.200007333333333</v>
      </c>
      <c r="E339" s="2" t="n">
        <v>0.177009266666667</v>
      </c>
    </row>
    <row r="340" customFormat="false" ht="13.8" hidden="false" customHeight="false" outlineLevel="0" collapsed="false">
      <c r="B340" s="2" t="n">
        <v>338</v>
      </c>
      <c r="C340" s="2" t="n">
        <v>0.2946734</v>
      </c>
      <c r="D340" s="2" t="n">
        <v>0.4836728</v>
      </c>
      <c r="E340" s="2" t="n">
        <v>0.202009066666667</v>
      </c>
    </row>
    <row r="341" customFormat="false" ht="13.8" hidden="false" customHeight="false" outlineLevel="0" collapsed="false">
      <c r="B341" s="2" t="n">
        <v>339</v>
      </c>
      <c r="C341" s="2" t="n">
        <v>0.0700094666666667</v>
      </c>
      <c r="D341" s="2" t="n">
        <v>0.1804074</v>
      </c>
      <c r="E341" s="2" t="n">
        <v>0.139672266666667</v>
      </c>
    </row>
    <row r="342" customFormat="false" ht="13.8" hidden="false" customHeight="false" outlineLevel="0" collapsed="false">
      <c r="B342" s="2" t="n">
        <v>340</v>
      </c>
      <c r="C342" s="2" t="n">
        <v>0.2776084</v>
      </c>
      <c r="D342" s="2" t="n">
        <v>0.4090082</v>
      </c>
      <c r="E342" s="2" t="n">
        <v>0.413207466666667</v>
      </c>
    </row>
    <row r="343" customFormat="false" ht="13.8" hidden="false" customHeight="false" outlineLevel="0" collapsed="false">
      <c r="B343" s="2" t="n">
        <v>341</v>
      </c>
      <c r="C343" s="2" t="n">
        <v>0.295140066666667</v>
      </c>
      <c r="D343" s="2" t="n">
        <v>0.137675</v>
      </c>
      <c r="E343" s="2" t="n">
        <v>0.135340266666667</v>
      </c>
    </row>
    <row r="344" customFormat="false" ht="13.8" hidden="false" customHeight="false" outlineLevel="0" collapsed="false">
      <c r="B344" s="2" t="n">
        <v>342</v>
      </c>
      <c r="C344" s="2" t="n">
        <v>0.293006266666667</v>
      </c>
      <c r="D344" s="2" t="n">
        <v>0.3216744</v>
      </c>
      <c r="E344" s="2" t="n">
        <v>0.216474066666667</v>
      </c>
    </row>
    <row r="345" customFormat="false" ht="13.8" hidden="false" customHeight="false" outlineLevel="0" collapsed="false">
      <c r="B345" s="2" t="n">
        <v>343</v>
      </c>
      <c r="C345" s="2" t="n">
        <v>0.288738533333333</v>
      </c>
      <c r="D345" s="2" t="n">
        <v>0.2684714</v>
      </c>
      <c r="E345" s="2" t="n">
        <v>0.238472333333333</v>
      </c>
    </row>
    <row r="346" customFormat="false" ht="13.8" hidden="false" customHeight="false" outlineLevel="0" collapsed="false">
      <c r="B346" s="2" t="n">
        <v>344</v>
      </c>
      <c r="C346" s="2" t="n">
        <v>0.270005133333333</v>
      </c>
      <c r="D346" s="2" t="n">
        <v>0.334138533333333</v>
      </c>
      <c r="E346" s="2" t="n">
        <v>0.3090054</v>
      </c>
    </row>
    <row r="347" customFormat="false" ht="13.8" hidden="false" customHeight="false" outlineLevel="0" collapsed="false">
      <c r="B347" s="2" t="n">
        <v>345</v>
      </c>
      <c r="C347" s="2" t="n">
        <v>0.2700048</v>
      </c>
      <c r="D347" s="2" t="n">
        <v>0.238004733333333</v>
      </c>
      <c r="E347" s="2" t="n">
        <v>0.231003666666667</v>
      </c>
    </row>
    <row r="348" customFormat="false" ht="13.8" hidden="false" customHeight="false" outlineLevel="0" collapsed="false">
      <c r="B348" s="2" t="n">
        <v>346</v>
      </c>
      <c r="C348" s="2" t="n">
        <v>0.271602533333333</v>
      </c>
      <c r="D348" s="2" t="n">
        <v>0.1660032</v>
      </c>
      <c r="E348" s="2" t="n">
        <v>0.308335466666667</v>
      </c>
    </row>
    <row r="349" customFormat="false" ht="13.8" hidden="false" customHeight="false" outlineLevel="0" collapsed="false">
      <c r="B349" s="2" t="n">
        <v>347</v>
      </c>
      <c r="C349" s="2" t="n">
        <v>0.2710674</v>
      </c>
      <c r="D349" s="2" t="n">
        <v>0.1630032</v>
      </c>
      <c r="E349" s="2" t="n">
        <v>0.070002</v>
      </c>
    </row>
    <row r="350" customFormat="false" ht="13.8" hidden="false" customHeight="false" outlineLevel="0" collapsed="false">
      <c r="B350" s="2" t="n">
        <v>348</v>
      </c>
      <c r="C350" s="2" t="n">
        <v>0.27</v>
      </c>
      <c r="D350" s="2" t="n">
        <v>0.2570014</v>
      </c>
      <c r="E350" s="2" t="n">
        <v>0.256667466666667</v>
      </c>
    </row>
    <row r="351" customFormat="false" ht="13.8" hidden="false" customHeight="false" outlineLevel="0" collapsed="false">
      <c r="B351" s="2" t="n">
        <v>349</v>
      </c>
      <c r="C351" s="2" t="n">
        <v>0.27</v>
      </c>
      <c r="D351" s="2" t="n">
        <v>0.283001</v>
      </c>
      <c r="E351" s="2" t="n">
        <v>0.270001</v>
      </c>
    </row>
    <row r="352" customFormat="false" ht="13.8" hidden="false" customHeight="false" outlineLevel="0" collapsed="false">
      <c r="B352" s="2" t="n">
        <v>350</v>
      </c>
      <c r="C352" s="2" t="n">
        <v>0.2300002</v>
      </c>
      <c r="D352" s="2" t="n">
        <v>0.257001</v>
      </c>
      <c r="E352" s="2" t="n">
        <v>0.2170012</v>
      </c>
    </row>
    <row r="353" customFormat="false" ht="13.8" hidden="false" customHeight="false" outlineLevel="0" collapsed="false">
      <c r="B353" s="2" t="n">
        <v>351</v>
      </c>
      <c r="C353" s="2" t="n">
        <v>0.27</v>
      </c>
      <c r="D353" s="2" t="n">
        <v>0.283001</v>
      </c>
      <c r="E353" s="2" t="n">
        <v>0.179001</v>
      </c>
    </row>
    <row r="354" customFormat="false" ht="13.8" hidden="false" customHeight="false" outlineLevel="0" collapsed="false">
      <c r="B354" s="2" t="n">
        <v>352</v>
      </c>
      <c r="C354" s="2" t="n">
        <v>0.27</v>
      </c>
      <c r="D354" s="2" t="n">
        <v>0.270000866666667</v>
      </c>
      <c r="E354" s="2" t="n">
        <v>0.361001</v>
      </c>
    </row>
    <row r="355" customFormat="false" ht="13.8" hidden="false" customHeight="false" outlineLevel="0" collapsed="false">
      <c r="B355" s="2" t="n">
        <v>353</v>
      </c>
      <c r="C355" s="2" t="n">
        <v>0.270000133333333</v>
      </c>
      <c r="D355" s="2" t="n">
        <v>0.302001</v>
      </c>
      <c r="E355" s="2" t="n">
        <v>0.179001</v>
      </c>
    </row>
    <row r="356" customFormat="false" ht="13.8" hidden="false" customHeight="false" outlineLevel="0" collapsed="false">
      <c r="B356" s="2" t="n">
        <v>354</v>
      </c>
      <c r="C356" s="2" t="n">
        <v>0.276333866666667</v>
      </c>
      <c r="D356" s="2" t="n">
        <v>0.130335933333333</v>
      </c>
      <c r="E356" s="2" t="n">
        <v>0.361001</v>
      </c>
    </row>
    <row r="357" customFormat="false" ht="13.8" hidden="false" customHeight="false" outlineLevel="0" collapsed="false">
      <c r="B357" s="2" t="n">
        <v>355</v>
      </c>
      <c r="C357" s="2" t="n">
        <v>0.218001</v>
      </c>
      <c r="D357" s="2" t="n">
        <v>0.3626682</v>
      </c>
      <c r="E357" s="2" t="n">
        <v>0.179001</v>
      </c>
    </row>
    <row r="358" customFormat="false" ht="13.8" hidden="false" customHeight="false" outlineLevel="0" collapsed="false">
      <c r="B358" s="2" t="n">
        <v>356</v>
      </c>
      <c r="C358" s="2" t="n">
        <v>0.321334466666667</v>
      </c>
      <c r="D358" s="2" t="n">
        <v>0.268001</v>
      </c>
      <c r="E358" s="2" t="n">
        <v>0.1900014</v>
      </c>
    </row>
    <row r="359" customFormat="false" ht="13.8" hidden="false" customHeight="false" outlineLevel="0" collapsed="false">
      <c r="B359" s="2" t="n">
        <v>357</v>
      </c>
      <c r="C359" s="2" t="n">
        <v>0.192801133333333</v>
      </c>
      <c r="D359" s="2" t="n">
        <v>0.362668133333333</v>
      </c>
      <c r="E359" s="2" t="n">
        <v>0.202402266666667</v>
      </c>
    </row>
    <row r="360" customFormat="false" ht="13.8" hidden="false" customHeight="false" outlineLevel="0" collapsed="false">
      <c r="B360" s="2" t="n">
        <v>358</v>
      </c>
      <c r="C360" s="2" t="n">
        <v>0.350668</v>
      </c>
      <c r="D360" s="2" t="n">
        <v>0.232335933333333</v>
      </c>
      <c r="E360" s="2" t="n">
        <v>0.191935333333333</v>
      </c>
    </row>
    <row r="361" customFormat="false" ht="13.8" hidden="false" customHeight="false" outlineLevel="0" collapsed="false">
      <c r="B361" s="2" t="n">
        <v>359</v>
      </c>
      <c r="C361" s="2" t="n">
        <v>0.218000866666667</v>
      </c>
      <c r="D361" s="2" t="n">
        <v>0.264736066666667</v>
      </c>
      <c r="E361" s="2" t="n">
        <v>0.229734333333333</v>
      </c>
    </row>
    <row r="362" customFormat="false" ht="13.8" hidden="false" customHeight="false" outlineLevel="0" collapsed="false">
      <c r="B362" s="2" t="n">
        <v>360</v>
      </c>
      <c r="C362" s="2" t="n">
        <v>0.373334333333333</v>
      </c>
      <c r="D362" s="2" t="n">
        <v>0.2684008</v>
      </c>
      <c r="E362" s="2" t="n">
        <v>0.2470008</v>
      </c>
    </row>
    <row r="363" customFormat="false" ht="13.8" hidden="false" customHeight="false" outlineLevel="0" collapsed="false">
      <c r="B363" s="2" t="n">
        <v>361</v>
      </c>
      <c r="C363" s="2" t="n">
        <v>0.2040028</v>
      </c>
      <c r="D363" s="2" t="n">
        <v>0.214935533333333</v>
      </c>
      <c r="E363" s="2" t="n">
        <v>0.258467333333333</v>
      </c>
    </row>
    <row r="364" customFormat="false" ht="13.8" hidden="false" customHeight="false" outlineLevel="0" collapsed="false">
      <c r="B364" s="2" t="n">
        <v>362</v>
      </c>
      <c r="C364" s="2" t="n">
        <v>0.3600048</v>
      </c>
      <c r="D364" s="2" t="n">
        <v>0.2203382</v>
      </c>
      <c r="E364" s="2" t="n">
        <v>0.214669266666667</v>
      </c>
    </row>
    <row r="365" customFormat="false" ht="13.8" hidden="false" customHeight="false" outlineLevel="0" collapsed="false">
      <c r="B365" s="2" t="n">
        <v>363</v>
      </c>
      <c r="C365" s="2" t="n">
        <v>0.2520726</v>
      </c>
      <c r="D365" s="2" t="n">
        <v>0.4079416</v>
      </c>
      <c r="E365" s="2" t="n">
        <v>0.156803466666667</v>
      </c>
    </row>
    <row r="366" customFormat="false" ht="13.8" hidden="false" customHeight="false" outlineLevel="0" collapsed="false">
      <c r="B366" s="2" t="n">
        <v>364</v>
      </c>
      <c r="C366" s="2" t="n">
        <v>0.468608266666667</v>
      </c>
      <c r="D366" s="2" t="n">
        <v>0.2422126</v>
      </c>
      <c r="E366" s="2" t="n">
        <v>0.327473133333333</v>
      </c>
    </row>
    <row r="367" customFormat="false" ht="13.8" hidden="false" customHeight="false" outlineLevel="0" collapsed="false">
      <c r="B367" s="2" t="n">
        <v>365</v>
      </c>
      <c r="C367" s="2" t="n">
        <v>0.3649454</v>
      </c>
      <c r="D367" s="2" t="n">
        <v>0.4082154</v>
      </c>
      <c r="E367" s="2" t="n">
        <v>0.218874333333333</v>
      </c>
    </row>
    <row r="368" customFormat="false" ht="13.8" hidden="false" customHeight="false" outlineLevel="0" collapsed="false">
      <c r="B368" s="2" t="n">
        <v>366</v>
      </c>
      <c r="C368" s="2" t="n">
        <v>0.4950166</v>
      </c>
      <c r="D368" s="2" t="n">
        <v>0.149819666666667</v>
      </c>
      <c r="E368" s="2" t="n">
        <v>0.3219446</v>
      </c>
    </row>
    <row r="369" customFormat="false" ht="13.8" hidden="false" customHeight="false" outlineLevel="0" collapsed="false">
      <c r="B369" s="2" t="n">
        <v>367</v>
      </c>
      <c r="C369" s="2" t="n">
        <v>0.364082866666667</v>
      </c>
      <c r="D369" s="2" t="n">
        <v>0.187218333333333</v>
      </c>
      <c r="E369" s="2" t="n">
        <v>0.0616808</v>
      </c>
    </row>
    <row r="370" customFormat="false" ht="13.8" hidden="false" customHeight="false" outlineLevel="0" collapsed="false">
      <c r="B370" s="2" t="n">
        <v>368</v>
      </c>
      <c r="C370" s="2" t="n">
        <v>0.530083533333333</v>
      </c>
      <c r="D370" s="2" t="n">
        <v>0.198349066666667</v>
      </c>
      <c r="E370" s="2" t="n">
        <v>0.343882133333333</v>
      </c>
    </row>
    <row r="371" customFormat="false" ht="13.8" hidden="false" customHeight="false" outlineLevel="0" collapsed="false">
      <c r="B371" s="2" t="n">
        <v>369</v>
      </c>
      <c r="C371" s="2" t="n">
        <v>0.428015466666667</v>
      </c>
      <c r="D371" s="2" t="n">
        <v>0.3028142</v>
      </c>
      <c r="E371" s="2" t="n">
        <v>0.195281533333333</v>
      </c>
    </row>
    <row r="372" customFormat="false" ht="13.8" hidden="false" customHeight="false" outlineLevel="0" collapsed="false">
      <c r="B372" s="2" t="n">
        <v>370</v>
      </c>
      <c r="C372" s="2" t="n">
        <v>0.600813133333333</v>
      </c>
      <c r="D372" s="2" t="n">
        <v>0.332943333333333</v>
      </c>
      <c r="E372" s="2" t="n">
        <v>0.252684933333333</v>
      </c>
    </row>
    <row r="373" customFormat="false" ht="13.8" hidden="false" customHeight="false" outlineLevel="0" collapsed="false">
      <c r="B373" s="2" t="n">
        <v>371</v>
      </c>
      <c r="C373" s="2" t="n">
        <v>0.442946533333333</v>
      </c>
      <c r="D373" s="2" t="n">
        <v>0.325814333333333</v>
      </c>
      <c r="E373" s="2" t="n">
        <v>0.277615533333333</v>
      </c>
    </row>
    <row r="374" customFormat="false" ht="13.8" hidden="false" customHeight="false" outlineLevel="0" collapsed="false">
      <c r="B374" s="2" t="n">
        <v>372</v>
      </c>
      <c r="C374" s="2" t="n">
        <v>0.582949133333333</v>
      </c>
      <c r="D374" s="2" t="n">
        <v>0.2702184</v>
      </c>
      <c r="E374" s="2" t="n">
        <v>0.398215533333333</v>
      </c>
    </row>
    <row r="375" customFormat="false" ht="13.8" hidden="false" customHeight="false" outlineLevel="0" collapsed="false">
      <c r="B375" s="2" t="n">
        <v>373</v>
      </c>
      <c r="C375" s="2" t="n">
        <v>0.357817666666667</v>
      </c>
      <c r="D375" s="2" t="n">
        <v>0.3054832</v>
      </c>
      <c r="E375" s="2" t="n">
        <v>0.383347533333333</v>
      </c>
    </row>
    <row r="376" customFormat="false" ht="13.8" hidden="false" customHeight="false" outlineLevel="0" collapsed="false">
      <c r="B376" s="2" t="n">
        <v>374</v>
      </c>
      <c r="C376" s="2" t="n">
        <v>0.316953066666667</v>
      </c>
      <c r="D376" s="2" t="n">
        <v>0.397015333333333</v>
      </c>
      <c r="E376" s="2" t="n">
        <v>0.396613933333333</v>
      </c>
    </row>
    <row r="377" customFormat="false" ht="13.8" hidden="false" customHeight="false" outlineLevel="0" collapsed="false">
      <c r="B377" s="2" t="n">
        <v>375</v>
      </c>
      <c r="C377" s="2" t="n">
        <v>0.333016733333333</v>
      </c>
      <c r="D377" s="2" t="n">
        <v>0.393947133333333</v>
      </c>
      <c r="E377" s="2" t="n">
        <v>0.4030126</v>
      </c>
    </row>
    <row r="378" customFormat="false" ht="13.8" hidden="false" customHeight="false" outlineLevel="0" collapsed="false">
      <c r="B378" s="2" t="n">
        <v>376</v>
      </c>
      <c r="C378" s="2" t="n">
        <v>0.270283133333333</v>
      </c>
      <c r="D378" s="2" t="n">
        <v>0.2990176</v>
      </c>
      <c r="E378" s="2" t="n">
        <v>0.432413466666667</v>
      </c>
    </row>
    <row r="379" customFormat="false" ht="13.8" hidden="false" customHeight="false" outlineLevel="0" collapsed="false">
      <c r="B379" s="2" t="n">
        <v>377</v>
      </c>
      <c r="C379" s="2" t="n">
        <v>0.186284666666667</v>
      </c>
      <c r="D379" s="2" t="n">
        <v>0.267285666666667</v>
      </c>
      <c r="E379" s="2" t="n">
        <v>0.441879933333333</v>
      </c>
    </row>
    <row r="380" customFormat="false" ht="13.8" hidden="false" customHeight="false" outlineLevel="0" collapsed="false">
      <c r="B380" s="2" t="n">
        <v>378</v>
      </c>
      <c r="C380" s="2" t="n">
        <v>0.175416333333333</v>
      </c>
      <c r="D380" s="2" t="n">
        <v>0.2097506</v>
      </c>
      <c r="E380" s="2" t="n">
        <v>0.439548066666667</v>
      </c>
    </row>
    <row r="381" customFormat="false" ht="13.8" hidden="false" customHeight="false" outlineLevel="0" collapsed="false">
      <c r="B381" s="2" t="n">
        <v>379</v>
      </c>
      <c r="C381" s="2" t="n">
        <v>0.318348133333333</v>
      </c>
      <c r="D381" s="2" t="n">
        <v>0.341016533333333</v>
      </c>
      <c r="E381" s="2" t="n">
        <v>0.391080266666667</v>
      </c>
    </row>
    <row r="382" customFormat="false" ht="13.8" hidden="false" customHeight="false" outlineLevel="0" collapsed="false">
      <c r="B382" s="2" t="n">
        <v>380</v>
      </c>
      <c r="C382" s="2" t="n">
        <v>0.2867452</v>
      </c>
      <c r="D382" s="2" t="n">
        <v>0.187749466666667</v>
      </c>
      <c r="E382" s="2" t="n">
        <v>0.319081466666667</v>
      </c>
    </row>
    <row r="383" customFormat="false" ht="13.8" hidden="false" customHeight="false" outlineLevel="0" collapsed="false">
      <c r="B383" s="2" t="n">
        <v>381</v>
      </c>
      <c r="C383" s="2" t="n">
        <v>0.311012866666667</v>
      </c>
      <c r="D383" s="2" t="n">
        <v>0.216546866666667</v>
      </c>
      <c r="E383" s="2" t="n">
        <v>0.2128802</v>
      </c>
    </row>
    <row r="384" customFormat="false" ht="13.8" hidden="false" customHeight="false" outlineLevel="0" collapsed="false">
      <c r="B384" s="2" t="n">
        <v>382</v>
      </c>
      <c r="C384" s="2" t="n">
        <v>0.238349</v>
      </c>
      <c r="D384" s="2" t="n">
        <v>0.1924132</v>
      </c>
      <c r="E384" s="2" t="n">
        <v>0.403345266666667</v>
      </c>
    </row>
    <row r="385" customFormat="false" ht="13.8" hidden="false" customHeight="false" outlineLevel="0" collapsed="false">
      <c r="B385" s="2" t="n">
        <v>383</v>
      </c>
      <c r="C385" s="2" t="n">
        <v>0.114677066666667</v>
      </c>
      <c r="D385" s="2" t="n">
        <v>0.1959442</v>
      </c>
      <c r="E385" s="2" t="n">
        <v>0.1590094</v>
      </c>
    </row>
    <row r="386" customFormat="false" ht="13.8" hidden="false" customHeight="false" outlineLevel="0" collapsed="false">
      <c r="B386" s="2" t="n">
        <v>384</v>
      </c>
      <c r="C386" s="2" t="n">
        <v>0.305544866666667</v>
      </c>
      <c r="D386" s="2" t="n">
        <v>0.0899443333333333</v>
      </c>
      <c r="E386" s="2" t="n">
        <v>0.119678266666667</v>
      </c>
    </row>
    <row r="387" customFormat="false" ht="13.8" hidden="false" customHeight="false" outlineLevel="0" collapsed="false">
      <c r="B387" s="2" t="n">
        <v>385</v>
      </c>
      <c r="C387" s="2" t="n">
        <v>0.300745466666667</v>
      </c>
      <c r="D387" s="2" t="n">
        <v>0.0795448</v>
      </c>
      <c r="E387" s="2" t="n">
        <v>0.2373418</v>
      </c>
    </row>
    <row r="388" customFormat="false" ht="13.8" hidden="false" customHeight="false" outlineLevel="0" collapsed="false">
      <c r="B388" s="2" t="n">
        <v>386</v>
      </c>
      <c r="C388" s="2" t="n">
        <v>0.0537436666666667</v>
      </c>
      <c r="D388" s="2" t="n">
        <v>0.215473266666667</v>
      </c>
      <c r="E388" s="2" t="n">
        <v>0.0809438666666667</v>
      </c>
    </row>
    <row r="389" customFormat="false" ht="13.8" hidden="false" customHeight="false" outlineLevel="0" collapsed="false">
      <c r="B389" s="2" t="n">
        <v>387</v>
      </c>
      <c r="C389" s="2" t="n">
        <v>0.3622722</v>
      </c>
      <c r="D389" s="2" t="n">
        <v>0.233805066666667</v>
      </c>
      <c r="E389" s="2" t="n">
        <v>0.308541533333333</v>
      </c>
    </row>
    <row r="390" customFormat="false" ht="13.8" hidden="false" customHeight="false" outlineLevel="0" collapsed="false">
      <c r="B390" s="2" t="n">
        <v>388</v>
      </c>
      <c r="C390" s="2" t="n">
        <v>0.0966038</v>
      </c>
      <c r="D390" s="2" t="n">
        <v>0.144336933333333</v>
      </c>
      <c r="E390" s="2" t="n">
        <v>0.0298714666666667</v>
      </c>
    </row>
    <row r="391" customFormat="false" ht="13.8" hidden="false" customHeight="false" outlineLevel="0" collapsed="false">
      <c r="B391" s="2" t="n">
        <v>389</v>
      </c>
      <c r="C391" s="2" t="n">
        <v>0.282867933333333</v>
      </c>
      <c r="D391" s="2" t="n">
        <v>0.2111358</v>
      </c>
      <c r="E391" s="2" t="n">
        <v>0.304935466666667</v>
      </c>
    </row>
    <row r="392" customFormat="false" ht="13.8" hidden="false" customHeight="false" outlineLevel="0" collapsed="false">
      <c r="B392" s="2" t="n">
        <v>390</v>
      </c>
      <c r="C392" s="2" t="n">
        <v>0.0920005333333333</v>
      </c>
      <c r="D392" s="2" t="n">
        <v>0.123534666666667</v>
      </c>
      <c r="E392" s="2" t="n">
        <v>0.0952004</v>
      </c>
    </row>
    <row r="393" customFormat="false" ht="13.8" hidden="false" customHeight="false" outlineLevel="0" collapsed="false">
      <c r="B393" s="2" t="n">
        <v>391</v>
      </c>
      <c r="C393" s="2" t="n">
        <v>0.1740008</v>
      </c>
      <c r="D393" s="2" t="n">
        <v>0.1775348</v>
      </c>
      <c r="E393" s="2" t="n">
        <v>0.104734666666667</v>
      </c>
    </row>
    <row r="394" customFormat="false" ht="13.8" hidden="false" customHeight="false" outlineLevel="0" collapsed="false">
      <c r="B394" s="2" t="n">
        <v>392</v>
      </c>
      <c r="C394" s="2" t="n">
        <v>0.218067866666667</v>
      </c>
      <c r="D394" s="2" t="n">
        <v>0.184734266666667</v>
      </c>
      <c r="E394" s="2" t="n">
        <v>0.1739354</v>
      </c>
    </row>
    <row r="395" customFormat="false" ht="13.8" hidden="false" customHeight="false" outlineLevel="0" collapsed="false">
      <c r="B395" s="2" t="n">
        <v>393</v>
      </c>
      <c r="C395" s="2" t="n">
        <v>0.1353338</v>
      </c>
      <c r="D395" s="2" t="n">
        <v>0.0610677333333333</v>
      </c>
      <c r="E395" s="2" t="n">
        <v>0.1608682</v>
      </c>
    </row>
    <row r="396" customFormat="false" ht="13.8" hidden="false" customHeight="false" outlineLevel="0" collapsed="false">
      <c r="B396" s="2" t="n">
        <v>394</v>
      </c>
      <c r="C396" s="2" t="n">
        <v>0.207601</v>
      </c>
      <c r="D396" s="2" t="n">
        <v>0.268333866666667</v>
      </c>
      <c r="E396" s="2" t="n">
        <v>0.113933933333333</v>
      </c>
    </row>
    <row r="397" customFormat="false" ht="13.8" hidden="false" customHeight="false" outlineLevel="0" collapsed="false">
      <c r="B397" s="2" t="n">
        <v>395</v>
      </c>
      <c r="C397" s="2" t="n">
        <v>0.133734066666667</v>
      </c>
      <c r="D397" s="2" t="n">
        <v>0.248934133333333</v>
      </c>
      <c r="E397" s="2" t="n">
        <v>0.1524674</v>
      </c>
    </row>
    <row r="398" customFormat="false" ht="13.8" hidden="false" customHeight="false" outlineLevel="0" collapsed="false">
      <c r="B398" s="2" t="n">
        <v>396</v>
      </c>
      <c r="C398" s="2" t="n">
        <v>0.0904036</v>
      </c>
      <c r="D398" s="2" t="n">
        <v>0.0631336</v>
      </c>
      <c r="E398" s="2" t="n">
        <v>0.207800266666667</v>
      </c>
    </row>
    <row r="399" customFormat="false" ht="13.8" hidden="false" customHeight="false" outlineLevel="0" collapsed="false">
      <c r="B399" s="2" t="n">
        <v>397</v>
      </c>
      <c r="C399" s="2" t="n">
        <v>0.2734682</v>
      </c>
      <c r="D399" s="2" t="n">
        <v>0.306600933333333</v>
      </c>
      <c r="E399" s="2" t="n">
        <v>0.149000733333333</v>
      </c>
    </row>
    <row r="400" customFormat="false" ht="13.8" hidden="false" customHeight="false" outlineLevel="0" collapsed="false">
      <c r="B400" s="2" t="n">
        <v>398</v>
      </c>
      <c r="C400" s="2" t="n">
        <v>0.0682672</v>
      </c>
      <c r="D400" s="2" t="n">
        <v>0.0504002</v>
      </c>
      <c r="E400" s="2" t="n">
        <v>0.159666733333333</v>
      </c>
    </row>
    <row r="401" customFormat="false" ht="13.8" hidden="false" customHeight="false" outlineLevel="0" collapsed="false">
      <c r="B401" s="2" t="n">
        <v>399</v>
      </c>
      <c r="C401" s="2" t="n">
        <v>0.264467733333333</v>
      </c>
      <c r="D401" s="2" t="n">
        <v>0.302467533333333</v>
      </c>
      <c r="E401" s="2" t="n">
        <v>0.150600866666667</v>
      </c>
    </row>
    <row r="402" customFormat="false" ht="13.8" hidden="false" customHeight="false" outlineLevel="0" collapsed="false">
      <c r="B402" s="2" t="n">
        <v>400</v>
      </c>
      <c r="C402" s="2" t="n">
        <v>0.020669</v>
      </c>
      <c r="D402" s="2" t="n">
        <v>0.164268066666667</v>
      </c>
      <c r="E402" s="2" t="n">
        <v>0.202334133333333</v>
      </c>
    </row>
    <row r="403" customFormat="false" ht="13.8" hidden="false" customHeight="false" outlineLevel="0" collapsed="false">
      <c r="B403" s="2" t="n">
        <v>401</v>
      </c>
      <c r="C403" s="2" t="n">
        <v>0.247867733333333</v>
      </c>
      <c r="D403" s="2" t="n">
        <v>0.0692672666666667</v>
      </c>
      <c r="E403" s="2" t="n">
        <v>0.0604008666666667</v>
      </c>
    </row>
    <row r="404" customFormat="false" ht="13.8" hidden="false" customHeight="false" outlineLevel="0" collapsed="false">
      <c r="B404" s="2" t="n">
        <v>402</v>
      </c>
      <c r="C404" s="2" t="n">
        <v>0.0879336666666667</v>
      </c>
      <c r="D404" s="2" t="n">
        <v>0.2512002</v>
      </c>
      <c r="E404" s="2" t="n">
        <v>0.193667</v>
      </c>
    </row>
    <row r="405" customFormat="false" ht="13.8" hidden="false" customHeight="false" outlineLevel="0" collapsed="false">
      <c r="B405" s="2" t="n">
        <v>403</v>
      </c>
      <c r="C405" s="2" t="n">
        <v>0.2364016</v>
      </c>
      <c r="D405" s="2" t="n">
        <v>0.209134</v>
      </c>
      <c r="E405" s="2" t="n">
        <v>0.271934133333333</v>
      </c>
    </row>
    <row r="406" customFormat="false" ht="13.8" hidden="false" customHeight="false" outlineLevel="0" collapsed="false">
      <c r="B406" s="2" t="n">
        <v>404</v>
      </c>
      <c r="C406" s="2" t="n">
        <v>0.0844677333333333</v>
      </c>
      <c r="D406" s="2" t="n">
        <v>0.0352672666666667</v>
      </c>
      <c r="E406" s="2" t="n">
        <v>0.147334</v>
      </c>
    </row>
    <row r="407" customFormat="false" ht="13.8" hidden="false" customHeight="false" outlineLevel="0" collapsed="false">
      <c r="B407" s="2" t="n">
        <v>405</v>
      </c>
      <c r="C407" s="2" t="n">
        <v>0.193667266666667</v>
      </c>
      <c r="D407" s="2" t="n">
        <v>0.053734</v>
      </c>
      <c r="E407" s="2" t="n">
        <v>0.202134666666667</v>
      </c>
    </row>
    <row r="408" customFormat="false" ht="13.8" hidden="false" customHeight="false" outlineLevel="0" collapsed="false">
      <c r="B408" s="2" t="n">
        <v>406</v>
      </c>
      <c r="C408" s="2" t="n">
        <v>0.183468733333333</v>
      </c>
      <c r="D408" s="2" t="n">
        <v>0.2748008</v>
      </c>
      <c r="E408" s="2" t="n">
        <v>0.0634001333333333</v>
      </c>
    </row>
    <row r="409" customFormat="false" ht="13.8" hidden="false" customHeight="false" outlineLevel="0" collapsed="false">
      <c r="B409" s="2" t="n">
        <v>407</v>
      </c>
      <c r="C409" s="2" t="n">
        <v>0.280266933333333</v>
      </c>
      <c r="D409" s="2" t="n">
        <v>0.148734466666667</v>
      </c>
      <c r="E409" s="2" t="n">
        <v>0.3964002</v>
      </c>
    </row>
    <row r="410" customFormat="false" ht="13.8" hidden="false" customHeight="false" outlineLevel="0" collapsed="false">
      <c r="B410" s="2" t="n">
        <v>408</v>
      </c>
      <c r="C410" s="2" t="n">
        <v>0.2021338</v>
      </c>
      <c r="D410" s="2" t="n">
        <v>0.218334</v>
      </c>
      <c r="E410" s="2" t="n">
        <v>0.0469336</v>
      </c>
    </row>
    <row r="411" customFormat="false" ht="13.8" hidden="false" customHeight="false" outlineLevel="0" collapsed="false">
      <c r="B411" s="2" t="n">
        <v>409</v>
      </c>
      <c r="C411" s="2" t="n">
        <v>0.233268466666667</v>
      </c>
      <c r="D411" s="2" t="n">
        <v>0.210867266666667</v>
      </c>
      <c r="E411" s="2" t="n">
        <v>0.382</v>
      </c>
    </row>
    <row r="412" customFormat="false" ht="13.8" hidden="false" customHeight="false" outlineLevel="0" collapsed="false">
      <c r="B412" s="2" t="n">
        <v>410</v>
      </c>
      <c r="C412" s="2" t="n">
        <v>0.178271066666667</v>
      </c>
      <c r="D412" s="2" t="n">
        <v>0.162068933333333</v>
      </c>
      <c r="E412" s="2" t="n">
        <v>0.0413341333333333</v>
      </c>
    </row>
    <row r="413" customFormat="false" ht="13.8" hidden="false" customHeight="false" outlineLevel="0" collapsed="false">
      <c r="B413" s="2" t="n">
        <v>411</v>
      </c>
      <c r="C413" s="2" t="n">
        <v>0.2714038</v>
      </c>
      <c r="D413" s="2" t="n">
        <v>0.1586692</v>
      </c>
      <c r="E413" s="2" t="n">
        <v>0.204802</v>
      </c>
    </row>
    <row r="414" customFormat="false" ht="13.8" hidden="false" customHeight="false" outlineLevel="0" collapsed="false">
      <c r="B414" s="2" t="n">
        <v>412</v>
      </c>
      <c r="C414" s="2" t="n">
        <v>0.163939066666667</v>
      </c>
      <c r="D414" s="2" t="n">
        <v>0.113870333333333</v>
      </c>
      <c r="E414" s="2" t="n">
        <v>0.131069666666667</v>
      </c>
    </row>
    <row r="415" customFormat="false" ht="13.8" hidden="false" customHeight="false" outlineLevel="0" collapsed="false">
      <c r="B415" s="2" t="n">
        <v>413</v>
      </c>
      <c r="C415" s="2" t="n">
        <v>0.3156074</v>
      </c>
      <c r="D415" s="2" t="n">
        <v>0.150805333333333</v>
      </c>
      <c r="E415" s="2" t="n">
        <v>0.326804066666667</v>
      </c>
    </row>
    <row r="416" customFormat="false" ht="13.8" hidden="false" customHeight="false" outlineLevel="0" collapsed="false">
      <c r="B416" s="2" t="n">
        <v>414</v>
      </c>
      <c r="C416" s="2" t="n">
        <v>0.1314082</v>
      </c>
      <c r="D416" s="2" t="n">
        <v>0.139004933333333</v>
      </c>
      <c r="E416" s="2" t="n">
        <v>0.1210034</v>
      </c>
    </row>
    <row r="417" customFormat="false" ht="13.8" hidden="false" customHeight="false" outlineLevel="0" collapsed="false">
      <c r="B417" s="2" t="n">
        <v>415</v>
      </c>
      <c r="C417" s="2" t="n">
        <v>0.3553376</v>
      </c>
      <c r="D417" s="2" t="n">
        <v>0.387004866666667</v>
      </c>
      <c r="E417" s="2" t="n">
        <v>0.312069</v>
      </c>
    </row>
    <row r="418" customFormat="false" ht="13.8" hidden="false" customHeight="false" outlineLevel="0" collapsed="false">
      <c r="B418" s="2" t="n">
        <v>416</v>
      </c>
      <c r="C418" s="2" t="n">
        <v>0.113672133333333</v>
      </c>
      <c r="D418" s="2" t="n">
        <v>0.153004066666667</v>
      </c>
      <c r="E418" s="2" t="n">
        <v>0.0583385333333333</v>
      </c>
    </row>
    <row r="419" customFormat="false" ht="13.8" hidden="false" customHeight="false" outlineLevel="0" collapsed="false">
      <c r="B419" s="2" t="n">
        <v>417</v>
      </c>
      <c r="C419" s="2" t="n">
        <v>0.325340466666667</v>
      </c>
      <c r="D419" s="2" t="n">
        <v>0.387005733333333</v>
      </c>
      <c r="E419" s="2" t="n">
        <v>0.382006</v>
      </c>
    </row>
    <row r="420" customFormat="false" ht="13.8" hidden="false" customHeight="false" outlineLevel="0" collapsed="false">
      <c r="B420" s="2" t="n">
        <v>418</v>
      </c>
      <c r="C420" s="2" t="n">
        <v>0.1970078</v>
      </c>
      <c r="D420" s="2" t="n">
        <v>0.153006933333333</v>
      </c>
      <c r="E420" s="2" t="n">
        <v>0.110073333333333</v>
      </c>
    </row>
    <row r="421" customFormat="false" ht="13.8" hidden="false" customHeight="false" outlineLevel="0" collapsed="false">
      <c r="B421" s="2" t="n">
        <v>419</v>
      </c>
      <c r="C421" s="2" t="n">
        <v>0.205475733333333</v>
      </c>
      <c r="D421" s="2" t="n">
        <v>0.4014068</v>
      </c>
      <c r="E421" s="2" t="n">
        <v>0.235341333333333</v>
      </c>
    </row>
    <row r="422" customFormat="false" ht="13.8" hidden="false" customHeight="false" outlineLevel="0" collapsed="false">
      <c r="B422" s="2" t="n">
        <v>420</v>
      </c>
      <c r="C422" s="2" t="n">
        <v>0.381474733333333</v>
      </c>
      <c r="D422" s="2" t="n">
        <v>0.1730072</v>
      </c>
      <c r="E422" s="2" t="n">
        <v>0.200074733333333</v>
      </c>
    </row>
    <row r="423" customFormat="false" ht="13.8" hidden="false" customHeight="false" outlineLevel="0" collapsed="false">
      <c r="B423" s="2" t="n">
        <v>421</v>
      </c>
      <c r="C423" s="2" t="n">
        <v>0.0803418666666667</v>
      </c>
      <c r="D423" s="2" t="n">
        <v>0.410007</v>
      </c>
      <c r="E423" s="2" t="n">
        <v>0.262273133333333</v>
      </c>
    </row>
    <row r="424" customFormat="false" ht="13.8" hidden="false" customHeight="false" outlineLevel="0" collapsed="false">
      <c r="B424" s="2" t="n">
        <v>422</v>
      </c>
      <c r="C424" s="2" t="n">
        <v>0.317541266666667</v>
      </c>
      <c r="D424" s="2" t="n">
        <v>0.171140533333333</v>
      </c>
      <c r="E424" s="2" t="n">
        <v>0.158608266666667</v>
      </c>
    </row>
    <row r="425" customFormat="false" ht="13.8" hidden="false" customHeight="false" outlineLevel="0" collapsed="false">
      <c r="B425" s="2" t="n">
        <v>423</v>
      </c>
      <c r="C425" s="2" t="n">
        <v>0.252206933333333</v>
      </c>
      <c r="D425" s="2" t="n">
        <v>0.409673733333333</v>
      </c>
      <c r="E425" s="2" t="n">
        <v>0.142341933333333</v>
      </c>
    </row>
    <row r="426" customFormat="false" ht="13.8" hidden="false" customHeight="false" outlineLevel="0" collapsed="false">
      <c r="B426" s="2" t="n">
        <v>424</v>
      </c>
      <c r="C426" s="2" t="n">
        <v>0.329007666666667</v>
      </c>
      <c r="D426" s="2" t="n">
        <v>0.2914068</v>
      </c>
      <c r="E426" s="2" t="n">
        <v>0.342073333333333</v>
      </c>
    </row>
    <row r="427" customFormat="false" ht="13.8" hidden="false" customHeight="false" outlineLevel="0" collapsed="false">
      <c r="B427" s="2" t="n">
        <v>425</v>
      </c>
      <c r="C427" s="2" t="n">
        <v>0.235008266666667</v>
      </c>
      <c r="D427" s="2" t="n">
        <v>0.270007133333333</v>
      </c>
      <c r="E427" s="2" t="n">
        <v>0.267671866666667</v>
      </c>
    </row>
    <row r="428" customFormat="false" ht="13.8" hidden="false" customHeight="false" outlineLevel="0" collapsed="false">
      <c r="B428" s="2" t="n">
        <v>426</v>
      </c>
      <c r="C428" s="2" t="n">
        <v>0.109009</v>
      </c>
      <c r="D428" s="2" t="n">
        <v>0.150005933333333</v>
      </c>
      <c r="E428" s="2" t="n">
        <v>0.195204866666667</v>
      </c>
    </row>
    <row r="429" customFormat="false" ht="13.8" hidden="false" customHeight="false" outlineLevel="0" collapsed="false">
      <c r="B429" s="2" t="n">
        <v>427</v>
      </c>
      <c r="C429" s="2" t="n">
        <v>0.347674333333333</v>
      </c>
      <c r="D429" s="2" t="n">
        <v>0.2000052</v>
      </c>
      <c r="E429" s="2" t="n">
        <v>0.322006133333333</v>
      </c>
    </row>
    <row r="430" customFormat="false" ht="13.8" hidden="false" customHeight="false" outlineLevel="0" collapsed="false">
      <c r="B430" s="2" t="n">
        <v>428</v>
      </c>
      <c r="C430" s="2" t="n">
        <v>0.192005666666667</v>
      </c>
      <c r="D430" s="2" t="n">
        <v>0.203339466666667</v>
      </c>
      <c r="E430" s="2" t="n">
        <v>0.1923406</v>
      </c>
    </row>
    <row r="431" customFormat="false" ht="13.8" hidden="false" customHeight="false" outlineLevel="0" collapsed="false">
      <c r="B431" s="2" t="n">
        <v>429</v>
      </c>
      <c r="C431" s="2" t="n">
        <v>0.353870933333333</v>
      </c>
      <c r="D431" s="2" t="n">
        <v>0.338340266666667</v>
      </c>
      <c r="E431" s="2" t="n">
        <v>0.252870533333333</v>
      </c>
    </row>
    <row r="432" customFormat="false" ht="13.8" hidden="false" customHeight="false" outlineLevel="0" collapsed="false">
      <c r="B432" s="2" t="n">
        <v>430</v>
      </c>
      <c r="C432" s="2" t="n">
        <v>0.199471133333333</v>
      </c>
      <c r="D432" s="2" t="n">
        <v>0.241673733333333</v>
      </c>
      <c r="E432" s="2" t="n">
        <v>0.404738466666667</v>
      </c>
    </row>
    <row r="433" customFormat="false" ht="13.8" hidden="false" customHeight="false" outlineLevel="0" collapsed="false">
      <c r="B433" s="2" t="n">
        <v>431</v>
      </c>
      <c r="C433" s="2" t="n">
        <v>0.3480038</v>
      </c>
      <c r="D433" s="2" t="n">
        <v>0.371673733333333</v>
      </c>
      <c r="E433" s="2" t="n">
        <v>0.263873133333333</v>
      </c>
    </row>
    <row r="434" customFormat="false" ht="13.8" hidden="false" customHeight="false" outlineLevel="0" collapsed="false">
      <c r="B434" s="2" t="n">
        <v>432</v>
      </c>
      <c r="C434" s="2" t="n">
        <v>0.193004</v>
      </c>
      <c r="D434" s="2" t="n">
        <v>0.235007666666667</v>
      </c>
      <c r="E434" s="2" t="n">
        <v>0.338673</v>
      </c>
    </row>
    <row r="435" customFormat="false" ht="13.8" hidden="false" customHeight="false" outlineLevel="0" collapsed="false">
      <c r="B435" s="2" t="n">
        <v>433</v>
      </c>
      <c r="C435" s="2" t="n">
        <v>0.250472466666667</v>
      </c>
      <c r="D435" s="2" t="n">
        <v>0.338341333333333</v>
      </c>
      <c r="E435" s="2" t="n">
        <v>0.301006466666667</v>
      </c>
    </row>
    <row r="436" customFormat="false" ht="13.8" hidden="false" customHeight="false" outlineLevel="0" collapsed="false">
      <c r="B436" s="2" t="n">
        <v>434</v>
      </c>
      <c r="C436" s="2" t="n">
        <v>0.281006666666667</v>
      </c>
      <c r="D436" s="2" t="n">
        <v>0.206075</v>
      </c>
      <c r="E436" s="2" t="n">
        <v>0.3253418</v>
      </c>
    </row>
    <row r="437" customFormat="false" ht="13.8" hidden="false" customHeight="false" outlineLevel="0" collapsed="false">
      <c r="B437" s="2" t="n">
        <v>435</v>
      </c>
      <c r="C437" s="2" t="n">
        <v>0.300808333333333</v>
      </c>
      <c r="D437" s="2" t="n">
        <v>0.343007733333333</v>
      </c>
      <c r="E437" s="2" t="n">
        <v>0.261474266666667</v>
      </c>
    </row>
    <row r="438" customFormat="false" ht="13.8" hidden="false" customHeight="false" outlineLevel="0" collapsed="false">
      <c r="B438" s="2" t="n">
        <v>436</v>
      </c>
      <c r="C438" s="2" t="n">
        <v>0.244009</v>
      </c>
      <c r="D438" s="2" t="n">
        <v>0.216940733333333</v>
      </c>
      <c r="E438" s="2" t="n">
        <v>0.244540733333333</v>
      </c>
    </row>
    <row r="439" customFormat="false" ht="13.8" hidden="false" customHeight="false" outlineLevel="0" collapsed="false">
      <c r="B439" s="2" t="n">
        <v>437</v>
      </c>
      <c r="C439" s="2" t="n">
        <v>0.296009</v>
      </c>
      <c r="D439" s="2" t="n">
        <v>0.3510066</v>
      </c>
      <c r="E439" s="2" t="n">
        <v>0.3210064</v>
      </c>
    </row>
    <row r="440" customFormat="false" ht="13.8" hidden="false" customHeight="false" outlineLevel="0" collapsed="false">
      <c r="B440" s="2" t="n">
        <v>438</v>
      </c>
      <c r="C440" s="2" t="n">
        <v>0.2466752</v>
      </c>
      <c r="D440" s="2" t="n">
        <v>0.207674333333333</v>
      </c>
      <c r="E440" s="2" t="n">
        <v>0.2530072</v>
      </c>
    </row>
    <row r="441" customFormat="false" ht="13.8" hidden="false" customHeight="false" outlineLevel="0" collapsed="false">
      <c r="B441" s="2" t="n">
        <v>439</v>
      </c>
      <c r="C441" s="2" t="n">
        <v>0.302404466666667</v>
      </c>
      <c r="D441" s="2" t="n">
        <v>0.2030082</v>
      </c>
      <c r="E441" s="2" t="n">
        <v>0.296006733333333</v>
      </c>
    </row>
    <row r="442" customFormat="false" ht="13.8" hidden="false" customHeight="false" outlineLevel="0" collapsed="false">
      <c r="B442" s="2" t="n">
        <v>440</v>
      </c>
      <c r="C442" s="2" t="n">
        <v>0.2440048</v>
      </c>
      <c r="D442" s="2" t="n">
        <v>0.257007</v>
      </c>
      <c r="E442" s="2" t="n">
        <v>0.1353388</v>
      </c>
    </row>
    <row r="443" customFormat="false" ht="13.8" hidden="false" customHeight="false" outlineLevel="0" collapsed="false">
      <c r="B443" s="2" t="n">
        <v>441</v>
      </c>
      <c r="C443" s="2" t="n">
        <v>0.303003533333333</v>
      </c>
      <c r="D443" s="2" t="n">
        <v>0.283006333333333</v>
      </c>
      <c r="E443" s="2" t="n">
        <v>0.294670933333333</v>
      </c>
    </row>
    <row r="444" customFormat="false" ht="13.8" hidden="false" customHeight="false" outlineLevel="0" collapsed="false">
      <c r="B444" s="2" t="n">
        <v>442</v>
      </c>
      <c r="C444" s="2" t="n">
        <v>0.251070133333333</v>
      </c>
      <c r="D444" s="2" t="n">
        <v>0.139938133333333</v>
      </c>
      <c r="E444" s="2" t="n">
        <v>0.231002266666667</v>
      </c>
    </row>
    <row r="445" customFormat="false" ht="13.8" hidden="false" customHeight="false" outlineLevel="0" collapsed="false">
      <c r="B445" s="2" t="n">
        <v>443</v>
      </c>
      <c r="C445" s="2" t="n">
        <v>0.269269866666667</v>
      </c>
      <c r="D445" s="2" t="n">
        <v>0.2196008</v>
      </c>
      <c r="E445" s="2" t="n">
        <v>0.309000333333333</v>
      </c>
    </row>
    <row r="446" customFormat="false" ht="13.8" hidden="false" customHeight="false" outlineLevel="0" collapsed="false">
      <c r="B446" s="2" t="n">
        <v>444</v>
      </c>
      <c r="C446" s="2" t="n">
        <v>0.162335866666667</v>
      </c>
      <c r="D446" s="2" t="n">
        <v>0.321667266666667</v>
      </c>
      <c r="E446" s="2" t="n">
        <v>0.306667133333333</v>
      </c>
    </row>
    <row r="447" customFormat="false" ht="13.8" hidden="false" customHeight="false" outlineLevel="0" collapsed="false">
      <c r="B447" s="2" t="n">
        <v>445</v>
      </c>
      <c r="C447" s="2" t="n">
        <v>0.362667333333333</v>
      </c>
      <c r="D447" s="2" t="n">
        <v>0.210000666666667</v>
      </c>
      <c r="E447" s="2" t="n">
        <v>0.0713340666666667</v>
      </c>
    </row>
    <row r="448" customFormat="false" ht="13.8" hidden="false" customHeight="false" outlineLevel="0" collapsed="false">
      <c r="B448" s="2" t="n">
        <v>446</v>
      </c>
      <c r="C448" s="2" t="n">
        <v>0.179001</v>
      </c>
      <c r="D448" s="2" t="n">
        <v>0.345000333333333</v>
      </c>
      <c r="E448" s="2" t="n">
        <v>0.228667133333333</v>
      </c>
    </row>
    <row r="449" customFormat="false" ht="13.8" hidden="false" customHeight="false" outlineLevel="0" collapsed="false">
      <c r="B449" s="2" t="n">
        <v>447</v>
      </c>
      <c r="C449" s="2" t="n">
        <v>0.364333666666667</v>
      </c>
      <c r="D449" s="2" t="n">
        <v>0.219000066666667</v>
      </c>
      <c r="E449" s="2" t="n">
        <v>0.334666733333333</v>
      </c>
    </row>
    <row r="450" customFormat="false" ht="13.8" hidden="false" customHeight="false" outlineLevel="0" collapsed="false">
      <c r="B450" s="2" t="n">
        <v>448</v>
      </c>
      <c r="C450" s="2" t="n">
        <v>0.128334066666667</v>
      </c>
      <c r="D450" s="2" t="n">
        <v>0.35</v>
      </c>
      <c r="E450" s="2" t="n">
        <v>0.0856671333333333</v>
      </c>
    </row>
    <row r="451" customFormat="false" ht="13.8" hidden="false" customHeight="false" outlineLevel="0" collapsed="false">
      <c r="B451" s="2" t="n">
        <v>449</v>
      </c>
      <c r="C451" s="2" t="n">
        <v>0.3650002</v>
      </c>
      <c r="D451" s="2" t="n">
        <v>0.220000133333333</v>
      </c>
      <c r="E451" s="2" t="n">
        <v>0.335</v>
      </c>
    </row>
    <row r="452" customFormat="false" ht="13.8" hidden="false" customHeight="false" outlineLevel="0" collapsed="false">
      <c r="B452" s="2" t="n">
        <v>450</v>
      </c>
      <c r="C452" s="2" t="n">
        <v>0.209001266666667</v>
      </c>
      <c r="D452" s="2" t="n">
        <v>0.350001</v>
      </c>
      <c r="E452" s="2" t="n">
        <v>0.205</v>
      </c>
    </row>
    <row r="453" customFormat="false" ht="13.8" hidden="false" customHeight="false" outlineLevel="0" collapsed="false">
      <c r="B453" s="2" t="n">
        <v>451</v>
      </c>
      <c r="C453" s="2" t="n">
        <v>0.4010012</v>
      </c>
      <c r="D453" s="2" t="n">
        <v>0.2360002</v>
      </c>
      <c r="E453" s="2" t="n">
        <v>0.337000866666667</v>
      </c>
    </row>
    <row r="454" customFormat="false" ht="13.8" hidden="false" customHeight="false" outlineLevel="0" collapsed="false">
      <c r="B454" s="2" t="n">
        <v>452</v>
      </c>
      <c r="C454" s="2" t="n">
        <v>0.179002</v>
      </c>
      <c r="D454" s="2" t="n">
        <v>0.37</v>
      </c>
      <c r="E454" s="2" t="n">
        <v>0.225667</v>
      </c>
    </row>
    <row r="455" customFormat="false" ht="13.8" hidden="false" customHeight="false" outlineLevel="0" collapsed="false">
      <c r="B455" s="2" t="n">
        <v>453</v>
      </c>
      <c r="C455" s="2" t="n">
        <v>0.361002</v>
      </c>
      <c r="D455" s="2" t="n">
        <v>0.24</v>
      </c>
      <c r="E455" s="2" t="n">
        <v>0.368000466666667</v>
      </c>
    </row>
    <row r="456" customFormat="false" ht="13.8" hidden="false" customHeight="false" outlineLevel="0" collapsed="false">
      <c r="B456" s="2" t="n">
        <v>454</v>
      </c>
      <c r="C456" s="2" t="n">
        <v>0.188334866666667</v>
      </c>
      <c r="D456" s="2" t="n">
        <v>0.196668133333333</v>
      </c>
      <c r="E456" s="2" t="n">
        <v>0.250666666666667</v>
      </c>
    </row>
    <row r="457" customFormat="false" ht="13.8" hidden="false" customHeight="false" outlineLevel="0" collapsed="false">
      <c r="B457" s="2" t="n">
        <v>455</v>
      </c>
      <c r="C457" s="2" t="n">
        <v>0.354335</v>
      </c>
      <c r="D457" s="2" t="n">
        <v>0.160002333333333</v>
      </c>
      <c r="E457" s="2" t="n">
        <v>0.373401333333333</v>
      </c>
    </row>
    <row r="458" customFormat="false" ht="13.8" hidden="false" customHeight="false" outlineLevel="0" collapsed="false">
      <c r="B458" s="2" t="n">
        <v>456</v>
      </c>
      <c r="C458" s="2" t="n">
        <v>0.193803133333333</v>
      </c>
      <c r="D458" s="2" t="n">
        <v>0.2085352</v>
      </c>
      <c r="E458" s="2" t="n">
        <v>0.2688006</v>
      </c>
    </row>
    <row r="459" customFormat="false" ht="13.8" hidden="false" customHeight="false" outlineLevel="0" collapsed="false">
      <c r="B459" s="2" t="n">
        <v>457</v>
      </c>
      <c r="C459" s="2" t="n">
        <v>0.235006066666667</v>
      </c>
      <c r="D459" s="2" t="n">
        <v>0.268405933333333</v>
      </c>
      <c r="E459" s="2" t="n">
        <v>0.418401733333333</v>
      </c>
    </row>
    <row r="460" customFormat="false" ht="13.8" hidden="false" customHeight="false" outlineLevel="0" collapsed="false">
      <c r="B460" s="2" t="n">
        <v>458</v>
      </c>
      <c r="C460" s="2" t="n">
        <v>0.197942</v>
      </c>
      <c r="D460" s="2" t="n">
        <v>0.223341866666667</v>
      </c>
      <c r="E460" s="2" t="n">
        <v>0.1968066</v>
      </c>
    </row>
    <row r="461" customFormat="false" ht="13.8" hidden="false" customHeight="false" outlineLevel="0" collapsed="false">
      <c r="B461" s="2" t="n">
        <v>459</v>
      </c>
      <c r="C461" s="2" t="n">
        <v>0.316074733333333</v>
      </c>
      <c r="D461" s="2" t="n">
        <v>0.2310106</v>
      </c>
      <c r="E461" s="2" t="n">
        <v>0.278205466666667</v>
      </c>
    </row>
    <row r="462" customFormat="false" ht="13.8" hidden="false" customHeight="false" outlineLevel="0" collapsed="false">
      <c r="B462" s="2" t="n">
        <v>460</v>
      </c>
      <c r="C462" s="2" t="n">
        <v>0.2840106</v>
      </c>
      <c r="D462" s="2" t="n">
        <v>0.230343933333333</v>
      </c>
      <c r="E462" s="2" t="n">
        <v>0.505007266666667</v>
      </c>
    </row>
    <row r="463" customFormat="false" ht="13.8" hidden="false" customHeight="false" outlineLevel="0" collapsed="false">
      <c r="B463" s="2" t="n">
        <v>461</v>
      </c>
      <c r="C463" s="2" t="n">
        <v>0.344210133333333</v>
      </c>
      <c r="D463" s="2" t="n">
        <v>0.485348533333333</v>
      </c>
      <c r="E463" s="2" t="n">
        <v>0.399343666666667</v>
      </c>
    </row>
    <row r="464" customFormat="false" ht="13.8" hidden="false" customHeight="false" outlineLevel="0" collapsed="false">
      <c r="B464" s="2" t="n">
        <v>462</v>
      </c>
      <c r="C464" s="2" t="n">
        <v>0.284479533333333</v>
      </c>
      <c r="D464" s="2" t="n">
        <v>0.169217666666667</v>
      </c>
      <c r="E464" s="2" t="n">
        <v>0.5072116</v>
      </c>
    </row>
    <row r="465" customFormat="false" ht="13.8" hidden="false" customHeight="false" outlineLevel="0" collapsed="false">
      <c r="B465" s="2" t="n">
        <v>463</v>
      </c>
      <c r="C465" s="2" t="n">
        <v>0.4180786</v>
      </c>
      <c r="D465" s="2" t="n">
        <v>0.472083866666667</v>
      </c>
      <c r="E465" s="2" t="n">
        <v>0.412212666666667</v>
      </c>
    </row>
    <row r="466" customFormat="false" ht="13.8" hidden="false" customHeight="false" outlineLevel="0" collapsed="false">
      <c r="B466" s="2" t="n">
        <v>464</v>
      </c>
      <c r="C466" s="2" t="n">
        <v>0.410611533333333</v>
      </c>
      <c r="D466" s="2" t="n">
        <v>0.3391492</v>
      </c>
      <c r="E466" s="2" t="n">
        <v>0.492616</v>
      </c>
    </row>
    <row r="467" customFormat="false" ht="13.8" hidden="false" customHeight="false" outlineLevel="0" collapsed="false">
      <c r="B467" s="2" t="n">
        <v>465</v>
      </c>
      <c r="C467" s="2" t="n">
        <v>0.4696804</v>
      </c>
      <c r="D467" s="2" t="n">
        <v>0.527881533333333</v>
      </c>
      <c r="E467" s="2" t="n">
        <v>0.4162828</v>
      </c>
    </row>
    <row r="468" customFormat="false" ht="13.8" hidden="false" customHeight="false" outlineLevel="0" collapsed="false">
      <c r="B468" s="2" t="n">
        <v>466</v>
      </c>
      <c r="C468" s="2" t="n">
        <v>0.309616733333333</v>
      </c>
      <c r="D468" s="2" t="n">
        <v>0.367615333333333</v>
      </c>
      <c r="E468" s="2" t="n">
        <v>0.4138144</v>
      </c>
    </row>
    <row r="469" customFormat="false" ht="13.8" hidden="false" customHeight="false" outlineLevel="0" collapsed="false">
      <c r="B469" s="2" t="n">
        <v>467</v>
      </c>
      <c r="C469" s="2" t="n">
        <v>0.4038838</v>
      </c>
      <c r="D469" s="2" t="n">
        <v>0.454549933333333</v>
      </c>
      <c r="E469" s="2" t="n">
        <v>0.389015866666667</v>
      </c>
    </row>
    <row r="470" customFormat="false" ht="13.8" hidden="false" customHeight="false" outlineLevel="0" collapsed="false">
      <c r="B470" s="2" t="n">
        <v>468</v>
      </c>
      <c r="C470" s="2" t="n">
        <v>0.3110816</v>
      </c>
      <c r="D470" s="2" t="n">
        <v>0.2711526</v>
      </c>
      <c r="E470" s="2" t="n">
        <v>0.399349333333333</v>
      </c>
    </row>
    <row r="471" customFormat="false" ht="13.8" hidden="false" customHeight="false" outlineLevel="0" collapsed="false">
      <c r="B471" s="2" t="n">
        <v>469</v>
      </c>
      <c r="C471" s="2" t="n">
        <v>0.3575508</v>
      </c>
      <c r="D471" s="2" t="n">
        <v>0.371285866666667</v>
      </c>
      <c r="E471" s="2" t="n">
        <v>0.358349666666667</v>
      </c>
    </row>
    <row r="472" customFormat="false" ht="13.8" hidden="false" customHeight="false" outlineLevel="0" collapsed="false">
      <c r="B472" s="2" t="n">
        <v>470</v>
      </c>
      <c r="C472" s="2" t="n">
        <v>0.3988148</v>
      </c>
      <c r="D472" s="2" t="n">
        <v>0.260485</v>
      </c>
      <c r="E472" s="2" t="n">
        <v>0.367617666666667</v>
      </c>
    </row>
    <row r="473" customFormat="false" ht="13.8" hidden="false" customHeight="false" outlineLevel="0" collapsed="false">
      <c r="B473" s="2" t="n">
        <v>471</v>
      </c>
      <c r="C473" s="2" t="n">
        <v>0.251016533333333</v>
      </c>
      <c r="D473" s="2" t="n">
        <v>0.424015133333333</v>
      </c>
      <c r="E473" s="2" t="n">
        <v>0.444615333333333</v>
      </c>
    </row>
    <row r="474" customFormat="false" ht="13.8" hidden="false" customHeight="false" outlineLevel="0" collapsed="false">
      <c r="B474" s="2" t="n">
        <v>472</v>
      </c>
      <c r="C474" s="2" t="n">
        <v>0.3660162</v>
      </c>
      <c r="D474" s="2" t="n">
        <v>0.2918814</v>
      </c>
      <c r="E474" s="2" t="n">
        <v>0.349216133333333</v>
      </c>
    </row>
    <row r="475" customFormat="false" ht="13.8" hidden="false" customHeight="false" outlineLevel="0" collapsed="false">
      <c r="B475" s="2" t="n">
        <v>473</v>
      </c>
      <c r="C475" s="2" t="n">
        <v>0.264415266666667</v>
      </c>
      <c r="D475" s="2" t="n">
        <v>0.378347066666667</v>
      </c>
      <c r="E475" s="2" t="n">
        <v>0.4336172</v>
      </c>
    </row>
    <row r="476" customFormat="false" ht="13.8" hidden="false" customHeight="false" outlineLevel="0" collapsed="false">
      <c r="B476" s="2" t="n">
        <v>474</v>
      </c>
      <c r="C476" s="2" t="n">
        <v>0.368682066666667</v>
      </c>
      <c r="D476" s="2" t="n">
        <v>0.225550066666667</v>
      </c>
      <c r="E476" s="2" t="n">
        <v>0.4348146</v>
      </c>
    </row>
    <row r="477" customFormat="false" ht="13.8" hidden="false" customHeight="false" outlineLevel="0" collapsed="false">
      <c r="B477" s="2" t="n">
        <v>475</v>
      </c>
      <c r="C477" s="2" t="n">
        <v>0.217681466666667</v>
      </c>
      <c r="D477" s="2" t="n">
        <v>0.362682</v>
      </c>
      <c r="E477" s="2" t="n">
        <v>0.3452816</v>
      </c>
    </row>
    <row r="478" customFormat="false" ht="13.8" hidden="false" customHeight="false" outlineLevel="0" collapsed="false">
      <c r="B478" s="2" t="n">
        <v>476</v>
      </c>
      <c r="C478" s="2" t="n">
        <v>0.222816733333333</v>
      </c>
      <c r="D478" s="2" t="n">
        <v>0.3014134</v>
      </c>
      <c r="E478" s="2" t="n">
        <v>0.455746266666667</v>
      </c>
    </row>
    <row r="479" customFormat="false" ht="13.8" hidden="false" customHeight="false" outlineLevel="0" collapsed="false">
      <c r="B479" s="2" t="n">
        <v>477</v>
      </c>
      <c r="C479" s="2" t="n">
        <v>0.1213446</v>
      </c>
      <c r="D479" s="2" t="n">
        <v>0.2636154</v>
      </c>
      <c r="E479" s="2" t="n">
        <v>0.2424808</v>
      </c>
    </row>
    <row r="480" customFormat="false" ht="13.8" hidden="false" customHeight="false" outlineLevel="0" collapsed="false">
      <c r="B480" s="2" t="n">
        <v>478</v>
      </c>
      <c r="C480" s="2" t="n">
        <v>0.212876466666667</v>
      </c>
      <c r="D480" s="2" t="n">
        <v>0.182216466666667</v>
      </c>
      <c r="E480" s="2" t="n">
        <v>0.394679466666667</v>
      </c>
    </row>
    <row r="481" customFormat="false" ht="13.8" hidden="false" customHeight="false" outlineLevel="0" collapsed="false">
      <c r="B481" s="2" t="n">
        <v>479</v>
      </c>
      <c r="C481" s="2" t="n">
        <v>0.181276066666667</v>
      </c>
      <c r="D481" s="2" t="n">
        <v>0.2184798</v>
      </c>
      <c r="E481" s="2" t="n">
        <v>0.123481133333333</v>
      </c>
    </row>
    <row r="482" customFormat="false" ht="13.8" hidden="false" customHeight="false" outlineLevel="0" collapsed="false">
      <c r="B482" s="2" t="n">
        <v>480</v>
      </c>
      <c r="C482" s="2" t="n">
        <v>0.06048</v>
      </c>
      <c r="D482" s="2" t="n">
        <v>0.0387474666666667</v>
      </c>
      <c r="E482" s="2" t="n">
        <v>0.155214</v>
      </c>
    </row>
    <row r="483" customFormat="false" ht="13.8" hidden="false" customHeight="false" outlineLevel="0" collapsed="false">
      <c r="B483" s="2" t="n">
        <v>481</v>
      </c>
      <c r="C483" s="2" t="n">
        <v>0.0340778</v>
      </c>
      <c r="D483" s="2" t="n">
        <v>0.0295434666666667</v>
      </c>
      <c r="E483" s="2" t="n">
        <v>0.161075666666667</v>
      </c>
    </row>
    <row r="484" customFormat="false" ht="13.8" hidden="false" customHeight="false" outlineLevel="0" collapsed="false">
      <c r="B484" s="2" t="n">
        <v>482</v>
      </c>
      <c r="C484" s="2" t="n">
        <v>0.153077266666667</v>
      </c>
      <c r="D484" s="2" t="n">
        <v>0.0898098</v>
      </c>
      <c r="E484" s="2" t="n">
        <v>0.106543333333333</v>
      </c>
    </row>
    <row r="485" customFormat="false" ht="13.8" hidden="false" customHeight="false" outlineLevel="0" collapsed="false">
      <c r="B485" s="2" t="n">
        <v>483</v>
      </c>
      <c r="C485" s="2" t="n">
        <v>0.2802726</v>
      </c>
      <c r="D485" s="2" t="n">
        <v>0.2043402</v>
      </c>
      <c r="E485" s="2" t="n">
        <v>0.274672933333333</v>
      </c>
    </row>
    <row r="486" customFormat="false" ht="13.8" hidden="false" customHeight="false" outlineLevel="0" collapsed="false">
      <c r="B486" s="2" t="n">
        <v>484</v>
      </c>
      <c r="C486" s="2" t="n">
        <v>0.1638712</v>
      </c>
      <c r="D486" s="2" t="n">
        <v>0.216001466666667</v>
      </c>
      <c r="E486" s="2" t="n">
        <v>0.0732036</v>
      </c>
    </row>
    <row r="487" customFormat="false" ht="13.8" hidden="false" customHeight="false" outlineLevel="0" collapsed="false">
      <c r="B487" s="2" t="n">
        <v>485</v>
      </c>
      <c r="C487" s="2" t="n">
        <v>0.2079348</v>
      </c>
      <c r="D487" s="2" t="n">
        <v>0.225534</v>
      </c>
      <c r="E487" s="2" t="n">
        <v>0.279135466666667</v>
      </c>
    </row>
    <row r="488" customFormat="false" ht="13.8" hidden="false" customHeight="false" outlineLevel="0" collapsed="false">
      <c r="B488" s="2" t="n">
        <v>486</v>
      </c>
      <c r="C488" s="2" t="n">
        <v>0.0634012</v>
      </c>
      <c r="D488" s="2" t="n">
        <v>0.146667466666667</v>
      </c>
      <c r="E488" s="2" t="n">
        <v>0.214933866666667</v>
      </c>
    </row>
    <row r="489" customFormat="false" ht="13.8" hidden="false" customHeight="false" outlineLevel="0" collapsed="false">
      <c r="B489" s="2" t="n">
        <v>487</v>
      </c>
      <c r="C489" s="2" t="n">
        <v>0.0840020666666667</v>
      </c>
      <c r="D489" s="2" t="n">
        <v>0.175068333333333</v>
      </c>
      <c r="E489" s="2" t="n">
        <v>0.203134133333333</v>
      </c>
    </row>
    <row r="490" customFormat="false" ht="13.8" hidden="false" customHeight="false" outlineLevel="0" collapsed="false">
      <c r="B490" s="2" t="n">
        <v>488</v>
      </c>
      <c r="C490" s="2" t="n">
        <v>0.0494002</v>
      </c>
      <c r="D490" s="2" t="n">
        <v>0.0460024</v>
      </c>
      <c r="E490" s="2" t="n">
        <v>0.225467466666667</v>
      </c>
    </row>
    <row r="491" customFormat="false" ht="13.8" hidden="false" customHeight="false" outlineLevel="0" collapsed="false">
      <c r="B491" s="2" t="n">
        <v>489</v>
      </c>
      <c r="C491" s="2" t="n">
        <v>0.3761334</v>
      </c>
      <c r="D491" s="2" t="n">
        <v>0.0496008</v>
      </c>
      <c r="E491" s="2" t="n">
        <v>0.2049338</v>
      </c>
    </row>
    <row r="492" customFormat="false" ht="13.8" hidden="false" customHeight="false" outlineLevel="0" collapsed="false">
      <c r="B492" s="2" t="n">
        <v>490</v>
      </c>
      <c r="C492" s="2" t="n">
        <v>0.0479334666666667</v>
      </c>
      <c r="D492" s="2" t="n">
        <v>0.320266933333333</v>
      </c>
      <c r="E492" s="2" t="n">
        <v>0.161067933333333</v>
      </c>
    </row>
    <row r="493" customFormat="false" ht="13.8" hidden="false" customHeight="false" outlineLevel="0" collapsed="false">
      <c r="B493" s="2" t="n">
        <v>491</v>
      </c>
      <c r="C493" s="2" t="n">
        <v>0.3594668</v>
      </c>
      <c r="D493" s="2" t="n">
        <v>0.0476679333333333</v>
      </c>
      <c r="E493" s="2" t="n">
        <v>0.2086014</v>
      </c>
    </row>
    <row r="494" customFormat="false" ht="13.8" hidden="false" customHeight="false" outlineLevel="0" collapsed="false">
      <c r="B494" s="2" t="n">
        <v>492</v>
      </c>
      <c r="C494" s="2" t="n">
        <v>0.0564006666666667</v>
      </c>
      <c r="D494" s="2" t="n">
        <v>0.273533466666667</v>
      </c>
      <c r="E494" s="2" t="n">
        <v>0.1932668</v>
      </c>
    </row>
    <row r="495" customFormat="false" ht="13.8" hidden="false" customHeight="false" outlineLevel="0" collapsed="false">
      <c r="B495" s="2" t="n">
        <v>493</v>
      </c>
      <c r="C495" s="2" t="n">
        <v>0.403467333333333</v>
      </c>
      <c r="D495" s="2" t="n">
        <v>0.080734</v>
      </c>
      <c r="E495" s="2" t="n">
        <v>0.291200933333333</v>
      </c>
    </row>
    <row r="496" customFormat="false" ht="13.8" hidden="false" customHeight="false" outlineLevel="0" collapsed="false">
      <c r="B496" s="2" t="n">
        <v>494</v>
      </c>
      <c r="C496" s="2" t="n">
        <v>0.172733933333333</v>
      </c>
      <c r="D496" s="2" t="n">
        <v>0.2586008</v>
      </c>
      <c r="E496" s="2" t="n">
        <v>0.1965342</v>
      </c>
    </row>
    <row r="497" customFormat="false" ht="13.8" hidden="false" customHeight="false" outlineLevel="0" collapsed="false">
      <c r="B497" s="2" t="n">
        <v>495</v>
      </c>
      <c r="C497" s="2" t="n">
        <v>0.414000333333333</v>
      </c>
      <c r="D497" s="2" t="n">
        <v>0.087</v>
      </c>
      <c r="E497" s="2" t="n">
        <v>0.2915338</v>
      </c>
    </row>
    <row r="498" customFormat="false" ht="13.8" hidden="false" customHeight="false" outlineLevel="0" collapsed="false">
      <c r="B498" s="2" t="n">
        <v>496</v>
      </c>
      <c r="C498" s="2" t="n">
        <v>0.152000933333333</v>
      </c>
      <c r="D498" s="2" t="n">
        <v>0.1772006</v>
      </c>
      <c r="E498" s="2" t="n">
        <v>0.1867344</v>
      </c>
    </row>
    <row r="499" customFormat="false" ht="13.8" hidden="false" customHeight="false" outlineLevel="0" collapsed="false">
      <c r="B499" s="2" t="n">
        <v>497</v>
      </c>
      <c r="C499" s="2" t="n">
        <v>0.395267133333333</v>
      </c>
      <c r="D499" s="2" t="n">
        <v>0.0780676666666667</v>
      </c>
      <c r="E499" s="2" t="n">
        <v>0.289200333333333</v>
      </c>
    </row>
    <row r="500" customFormat="false" ht="13.8" hidden="false" customHeight="false" outlineLevel="0" collapsed="false">
      <c r="B500" s="2" t="n">
        <v>498</v>
      </c>
      <c r="C500" s="2" t="n">
        <v>0.127334066666667</v>
      </c>
      <c r="D500" s="2" t="n">
        <v>0.2588014</v>
      </c>
      <c r="E500" s="2" t="n">
        <v>0.184000333333333</v>
      </c>
    </row>
    <row r="501" customFormat="false" ht="13.8" hidden="false" customHeight="false" outlineLevel="0" collapsed="false">
      <c r="B501" s="2" t="n">
        <v>499</v>
      </c>
      <c r="C501" s="2" t="n">
        <v>0.3684668</v>
      </c>
      <c r="D501" s="2" t="n">
        <v>0.0445347333333333</v>
      </c>
      <c r="E501" s="2" t="n">
        <v>0.2816006</v>
      </c>
    </row>
    <row r="502" customFormat="false" ht="13.8" hidden="false" customHeight="false" outlineLevel="0" collapsed="false">
      <c r="B502" s="2" t="n">
        <v>500</v>
      </c>
      <c r="C502" s="2" t="n">
        <v>0.122</v>
      </c>
      <c r="D502" s="2" t="n">
        <v>0.177200666666667</v>
      </c>
      <c r="E502" s="2" t="n">
        <v>0.164267</v>
      </c>
    </row>
    <row r="503" customFormat="false" ht="13.8" hidden="false" customHeight="false" outlineLevel="0" collapsed="false">
      <c r="B503" s="2" t="n">
        <v>501</v>
      </c>
      <c r="C503" s="2" t="n">
        <v>0.368200533333333</v>
      </c>
      <c r="D503" s="2" t="n">
        <v>0.227067266666667</v>
      </c>
      <c r="E503" s="2" t="n">
        <v>0.2604668</v>
      </c>
    </row>
    <row r="504" customFormat="false" ht="13.8" hidden="false" customHeight="false" outlineLevel="0" collapsed="false">
      <c r="B504" s="2" t="n">
        <v>502</v>
      </c>
      <c r="C504" s="2" t="n">
        <v>0.1252002</v>
      </c>
      <c r="D504" s="2" t="n">
        <v>0.142334533333333</v>
      </c>
      <c r="E504" s="2" t="n">
        <v>0.153</v>
      </c>
    </row>
    <row r="505" customFormat="false" ht="13.8" hidden="false" customHeight="false" outlineLevel="0" collapsed="false">
      <c r="B505" s="2" t="n">
        <v>503</v>
      </c>
      <c r="C505" s="2" t="n">
        <v>0.3684674</v>
      </c>
      <c r="D505" s="2" t="n">
        <v>0.259400333333333</v>
      </c>
      <c r="E505" s="2" t="n">
        <v>0.257</v>
      </c>
    </row>
    <row r="506" customFormat="false" ht="13.8" hidden="false" customHeight="false" outlineLevel="0" collapsed="false">
      <c r="B506" s="2" t="n">
        <v>504</v>
      </c>
      <c r="C506" s="2" t="n">
        <v>0.120400066666667</v>
      </c>
      <c r="D506" s="2" t="n">
        <v>0.235</v>
      </c>
      <c r="E506" s="2" t="n">
        <v>0.153</v>
      </c>
    </row>
    <row r="507" customFormat="false" ht="13.8" hidden="false" customHeight="false" outlineLevel="0" collapsed="false">
      <c r="B507" s="2" t="n">
        <v>505</v>
      </c>
      <c r="C507" s="2" t="n">
        <v>0.365</v>
      </c>
      <c r="D507" s="2" t="n">
        <v>0.207734933333333</v>
      </c>
      <c r="E507" s="2" t="n">
        <v>0.2570004</v>
      </c>
    </row>
    <row r="508" customFormat="false" ht="13.8" hidden="false" customHeight="false" outlineLevel="0" collapsed="false">
      <c r="B508" s="2" t="n">
        <v>506</v>
      </c>
      <c r="C508" s="2" t="n">
        <v>0.116134</v>
      </c>
      <c r="D508" s="2" t="n">
        <v>0.212002733333333</v>
      </c>
      <c r="E508" s="2" t="n">
        <v>0.153001533333333</v>
      </c>
    </row>
    <row r="509" customFormat="false" ht="13.8" hidden="false" customHeight="false" outlineLevel="0" collapsed="false">
      <c r="B509" s="2" t="n">
        <v>507</v>
      </c>
      <c r="C509" s="2" t="n">
        <v>0.367935133333333</v>
      </c>
      <c r="D509" s="2" t="n">
        <v>0.2853364</v>
      </c>
      <c r="E509" s="2" t="n">
        <v>0.264203</v>
      </c>
    </row>
    <row r="510" customFormat="false" ht="13.8" hidden="false" customHeight="false" outlineLevel="0" collapsed="false">
      <c r="B510" s="2" t="n">
        <v>508</v>
      </c>
      <c r="C510" s="2" t="n">
        <v>0.1220024</v>
      </c>
      <c r="D510" s="2" t="n">
        <v>0.1533388</v>
      </c>
      <c r="E510" s="2" t="n">
        <v>0.189004333333333</v>
      </c>
    </row>
    <row r="511" customFormat="false" ht="13.8" hidden="false" customHeight="false" outlineLevel="0" collapsed="false">
      <c r="B511" s="2" t="n">
        <v>509</v>
      </c>
      <c r="C511" s="2" t="n">
        <v>0.395403133333333</v>
      </c>
      <c r="D511" s="2" t="n">
        <v>0.110338333333333</v>
      </c>
      <c r="E511" s="2" t="n">
        <v>0.303940666666667</v>
      </c>
    </row>
    <row r="512" customFormat="false" ht="13.8" hidden="false" customHeight="false" outlineLevel="0" collapsed="false">
      <c r="B512" s="2" t="n">
        <v>510</v>
      </c>
      <c r="C512" s="2" t="n">
        <v>0.1678706</v>
      </c>
      <c r="D512" s="2" t="n">
        <v>0.275003333333333</v>
      </c>
      <c r="E512" s="2" t="n">
        <v>0.167341466666667</v>
      </c>
    </row>
    <row r="513" customFormat="false" ht="13.8" hidden="false" customHeight="false" outlineLevel="0" collapsed="false">
      <c r="B513" s="2" t="n">
        <v>511</v>
      </c>
      <c r="C513" s="2" t="n">
        <v>0.4014026</v>
      </c>
      <c r="D513" s="2" t="n">
        <v>0.153004</v>
      </c>
      <c r="E513" s="2" t="n">
        <v>0.267274533333333</v>
      </c>
    </row>
    <row r="514" customFormat="false" ht="13.8" hidden="false" customHeight="false" outlineLevel="0" collapsed="false">
      <c r="B514" s="2" t="n">
        <v>512</v>
      </c>
      <c r="C514" s="2" t="n">
        <v>0.137534466666667</v>
      </c>
      <c r="D514" s="2" t="n">
        <v>0.1903382</v>
      </c>
      <c r="E514" s="2" t="n">
        <v>0.121473733333333</v>
      </c>
    </row>
    <row r="515" customFormat="false" ht="13.8" hidden="false" customHeight="false" outlineLevel="0" collapsed="false">
      <c r="B515" s="2" t="n">
        <v>513</v>
      </c>
      <c r="C515" s="2" t="n">
        <v>0.378669333333333</v>
      </c>
      <c r="D515" s="2" t="n">
        <v>0.0912057333333333</v>
      </c>
      <c r="E515" s="2" t="n">
        <v>0.382338666666667</v>
      </c>
    </row>
    <row r="516" customFormat="false" ht="13.8" hidden="false" customHeight="false" outlineLevel="0" collapsed="false">
      <c r="B516" s="2" t="n">
        <v>514</v>
      </c>
      <c r="C516" s="2" t="n">
        <v>0.129003733333333</v>
      </c>
      <c r="D516" s="2" t="n">
        <v>0.1155388</v>
      </c>
      <c r="E516" s="2" t="n">
        <v>0.135939</v>
      </c>
    </row>
    <row r="517" customFormat="false" ht="13.8" hidden="false" customHeight="false" outlineLevel="0" collapsed="false">
      <c r="B517" s="2" t="n">
        <v>515</v>
      </c>
      <c r="C517" s="2" t="n">
        <v>0.369006333333333</v>
      </c>
      <c r="D517" s="2" t="n">
        <v>0.2757404</v>
      </c>
      <c r="E517" s="2" t="n">
        <v>0.3804064</v>
      </c>
    </row>
    <row r="518" customFormat="false" ht="13.8" hidden="false" customHeight="false" outlineLevel="0" collapsed="false">
      <c r="B518" s="2" t="n">
        <v>516</v>
      </c>
      <c r="C518" s="2" t="n">
        <v>0.114008466666667</v>
      </c>
      <c r="D518" s="2" t="n">
        <v>0.285675333333333</v>
      </c>
      <c r="E518" s="2" t="n">
        <v>0.0570749333333333</v>
      </c>
    </row>
    <row r="519" customFormat="false" ht="13.8" hidden="false" customHeight="false" outlineLevel="0" collapsed="false">
      <c r="B519" s="2" t="n">
        <v>517</v>
      </c>
      <c r="C519" s="2" t="n">
        <v>0.179274133333333</v>
      </c>
      <c r="D519" s="2" t="n">
        <v>0.257009</v>
      </c>
      <c r="E519" s="2" t="n">
        <v>0.196541</v>
      </c>
    </row>
    <row r="520" customFormat="false" ht="13.8" hidden="false" customHeight="false" outlineLevel="0" collapsed="false">
      <c r="B520" s="2" t="n">
        <v>518</v>
      </c>
      <c r="C520" s="2" t="n">
        <v>0.3186078</v>
      </c>
      <c r="D520" s="2" t="n">
        <v>0.291008</v>
      </c>
      <c r="E520" s="2" t="n">
        <v>0.2590074</v>
      </c>
    </row>
    <row r="521" customFormat="false" ht="13.8" hidden="false" customHeight="false" outlineLevel="0" collapsed="false">
      <c r="B521" s="2" t="n">
        <v>519</v>
      </c>
      <c r="C521" s="2" t="n">
        <v>0.235141866666667</v>
      </c>
      <c r="D521" s="2" t="n">
        <v>0.265007066666667</v>
      </c>
      <c r="E521" s="2" t="n">
        <v>0.201673333333333</v>
      </c>
    </row>
    <row r="522" customFormat="false" ht="13.8" hidden="false" customHeight="false" outlineLevel="0" collapsed="false">
      <c r="B522" s="2" t="n">
        <v>520</v>
      </c>
      <c r="C522" s="2" t="n">
        <v>0.283009</v>
      </c>
      <c r="D522" s="2" t="n">
        <v>0.292006933333333</v>
      </c>
      <c r="E522" s="2" t="n">
        <v>0.231007</v>
      </c>
    </row>
    <row r="523" customFormat="false" ht="13.8" hidden="false" customHeight="false" outlineLevel="0" collapsed="false">
      <c r="B523" s="2" t="n">
        <v>521</v>
      </c>
      <c r="C523" s="2" t="n">
        <v>0.257008133333333</v>
      </c>
      <c r="D523" s="2" t="n">
        <v>0.267872733333333</v>
      </c>
      <c r="E523" s="2" t="n">
        <v>0.3066738</v>
      </c>
    </row>
    <row r="524" customFormat="false" ht="13.8" hidden="false" customHeight="false" outlineLevel="0" collapsed="false">
      <c r="B524" s="2" t="n">
        <v>522</v>
      </c>
      <c r="C524" s="2" t="n">
        <v>0.283008</v>
      </c>
      <c r="D524" s="2" t="n">
        <v>0.289006133333333</v>
      </c>
      <c r="E524" s="2" t="n">
        <v>0.1286726</v>
      </c>
    </row>
    <row r="525" customFormat="false" ht="13.8" hidden="false" customHeight="false" outlineLevel="0" collapsed="false">
      <c r="B525" s="2" t="n">
        <v>523</v>
      </c>
      <c r="C525" s="2" t="n">
        <v>0.2570072</v>
      </c>
      <c r="D525" s="2" t="n">
        <v>0.257006466666667</v>
      </c>
      <c r="E525" s="2" t="n">
        <v>0.329005</v>
      </c>
    </row>
    <row r="526" customFormat="false" ht="13.8" hidden="false" customHeight="false" outlineLevel="0" collapsed="false">
      <c r="B526" s="2" t="n">
        <v>524</v>
      </c>
      <c r="C526" s="2" t="n">
        <v>0.2920062</v>
      </c>
      <c r="D526" s="2" t="n">
        <v>0.223339266666667</v>
      </c>
      <c r="E526" s="2" t="n">
        <v>0.140006</v>
      </c>
    </row>
    <row r="527" customFormat="false" ht="13.8" hidden="false" customHeight="false" outlineLevel="0" collapsed="false">
      <c r="B527" s="2" t="n">
        <v>525</v>
      </c>
      <c r="C527" s="2" t="n">
        <v>0.2720044</v>
      </c>
      <c r="D527" s="2" t="n">
        <v>0.1450046</v>
      </c>
      <c r="E527" s="2" t="n">
        <v>0.4033408</v>
      </c>
    </row>
    <row r="528" customFormat="false" ht="13.8" hidden="false" customHeight="false" outlineLevel="0" collapsed="false">
      <c r="B528" s="2" t="n">
        <v>526</v>
      </c>
      <c r="C528" s="2" t="n">
        <v>0.296004933333333</v>
      </c>
      <c r="D528" s="2" t="n">
        <v>0.139004666666667</v>
      </c>
      <c r="E528" s="2" t="n">
        <v>0.163673666666667</v>
      </c>
    </row>
    <row r="529" customFormat="false" ht="13.8" hidden="false" customHeight="false" outlineLevel="0" collapsed="false">
      <c r="B529" s="2" t="n">
        <v>527</v>
      </c>
      <c r="C529" s="2" t="n">
        <v>0.272005866666667</v>
      </c>
      <c r="D529" s="2" t="n">
        <v>0.158871333333333</v>
      </c>
      <c r="E529" s="2" t="n">
        <v>0.483340466666667</v>
      </c>
    </row>
    <row r="530" customFormat="false" ht="13.8" hidden="false" customHeight="false" outlineLevel="0" collapsed="false">
      <c r="B530" s="2" t="n">
        <v>528</v>
      </c>
      <c r="C530" s="2" t="n">
        <v>0.3180076</v>
      </c>
      <c r="D530" s="2" t="n">
        <v>0.395005133333333</v>
      </c>
      <c r="E530" s="2" t="n">
        <v>0.106075933333333</v>
      </c>
    </row>
    <row r="531" customFormat="false" ht="13.8" hidden="false" customHeight="false" outlineLevel="0" collapsed="false">
      <c r="B531" s="2" t="n">
        <v>529</v>
      </c>
      <c r="C531" s="2" t="n">
        <v>0.271342666666667</v>
      </c>
      <c r="D531" s="2" t="n">
        <v>0.0726071333333333</v>
      </c>
      <c r="E531" s="2" t="n">
        <v>0.260409533333333</v>
      </c>
    </row>
    <row r="532" customFormat="false" ht="13.8" hidden="false" customHeight="false" outlineLevel="0" collapsed="false">
      <c r="B532" s="2" t="n">
        <v>530</v>
      </c>
      <c r="C532" s="2" t="n">
        <v>0.141276133333333</v>
      </c>
      <c r="D532" s="2" t="n">
        <v>0.203676066666667</v>
      </c>
      <c r="E532" s="2" t="n">
        <v>0.297475933333333</v>
      </c>
    </row>
    <row r="533" customFormat="false" ht="13.8" hidden="false" customHeight="false" outlineLevel="0" collapsed="false">
      <c r="B533" s="2" t="n">
        <v>531</v>
      </c>
      <c r="C533" s="2" t="n">
        <v>0.3786082</v>
      </c>
      <c r="D533" s="2" t="n">
        <v>0.114941866666667</v>
      </c>
      <c r="E533" s="2" t="n">
        <v>0.2806762</v>
      </c>
    </row>
    <row r="534" customFormat="false" ht="13.8" hidden="false" customHeight="false" outlineLevel="0" collapsed="false">
      <c r="B534" s="2" t="n">
        <v>532</v>
      </c>
      <c r="C534" s="2" t="n">
        <v>0.1780088</v>
      </c>
      <c r="D534" s="2" t="n">
        <v>0.193674533333333</v>
      </c>
      <c r="E534" s="2" t="n">
        <v>0.1100098</v>
      </c>
    </row>
    <row r="535" customFormat="false" ht="13.8" hidden="false" customHeight="false" outlineLevel="0" collapsed="false">
      <c r="B535" s="2" t="n">
        <v>533</v>
      </c>
      <c r="C535" s="2" t="n">
        <v>0.2820092</v>
      </c>
      <c r="D535" s="2" t="n">
        <v>0.2170086</v>
      </c>
      <c r="E535" s="2" t="n">
        <v>0.231674933333333</v>
      </c>
    </row>
    <row r="536" customFormat="false" ht="13.8" hidden="false" customHeight="false" outlineLevel="0" collapsed="false">
      <c r="B536" s="2" t="n">
        <v>534</v>
      </c>
      <c r="C536" s="2" t="n">
        <v>0.311008</v>
      </c>
      <c r="D536" s="2" t="n">
        <v>0.2050074</v>
      </c>
      <c r="E536" s="2" t="n">
        <v>0.281941133333333</v>
      </c>
    </row>
    <row r="537" customFormat="false" ht="13.8" hidden="false" customHeight="false" outlineLevel="0" collapsed="false">
      <c r="B537" s="2" t="n">
        <v>535</v>
      </c>
      <c r="C537" s="2" t="n">
        <v>0.0780078666666667</v>
      </c>
      <c r="D537" s="2" t="n">
        <v>0.363006133333333</v>
      </c>
      <c r="E537" s="2" t="n">
        <v>0.288738266666667</v>
      </c>
    </row>
    <row r="538" customFormat="false" ht="13.8" hidden="false" customHeight="false" outlineLevel="0" collapsed="false">
      <c r="B538" s="2" t="n">
        <v>536</v>
      </c>
      <c r="C538" s="2" t="n">
        <v>0.283005266666667</v>
      </c>
      <c r="D538" s="2" t="n">
        <v>0.203004466666667</v>
      </c>
      <c r="E538" s="2" t="n">
        <v>0.114003733333333</v>
      </c>
    </row>
    <row r="539" customFormat="false" ht="13.8" hidden="false" customHeight="false" outlineLevel="0" collapsed="false">
      <c r="B539" s="2" t="n">
        <v>537</v>
      </c>
      <c r="C539" s="2" t="n">
        <v>0.257538266666667</v>
      </c>
      <c r="D539" s="2" t="n">
        <v>0.2850036</v>
      </c>
      <c r="E539" s="2" t="n">
        <v>0.371003333333333</v>
      </c>
    </row>
    <row r="540" customFormat="false" ht="13.8" hidden="false" customHeight="false" outlineLevel="0" collapsed="false">
      <c r="B540" s="2" t="n">
        <v>538</v>
      </c>
      <c r="C540" s="2" t="n">
        <v>0.286737133333333</v>
      </c>
      <c r="D540" s="2" t="n">
        <v>0.140002</v>
      </c>
      <c r="E540" s="2" t="n">
        <v>0.1250034</v>
      </c>
    </row>
    <row r="541" customFormat="false" ht="13.8" hidden="false" customHeight="false" outlineLevel="0" collapsed="false">
      <c r="B541" s="2" t="n">
        <v>539</v>
      </c>
      <c r="C541" s="2" t="n">
        <v>0.2570024</v>
      </c>
      <c r="D541" s="2" t="n">
        <v>0.4000006</v>
      </c>
      <c r="E541" s="2" t="n">
        <v>0.270001466666667</v>
      </c>
    </row>
    <row r="542" customFormat="false" ht="13.8" hidden="false" customHeight="false" outlineLevel="0" collapsed="false">
      <c r="B542" s="2" t="n">
        <v>540</v>
      </c>
      <c r="C542" s="2" t="n">
        <v>0.176334133333333</v>
      </c>
      <c r="D542" s="2" t="n">
        <v>0.140000866666667</v>
      </c>
      <c r="E542" s="2" t="n">
        <v>0.174001</v>
      </c>
    </row>
    <row r="543" customFormat="false" ht="13.8" hidden="false" customHeight="false" outlineLevel="0" collapsed="false">
      <c r="B543" s="2" t="n">
        <v>541</v>
      </c>
      <c r="C543" s="2" t="n">
        <v>0.1230008</v>
      </c>
      <c r="D543" s="2" t="n">
        <v>0.4090014</v>
      </c>
      <c r="E543" s="2" t="n">
        <v>0.0593338666666667</v>
      </c>
    </row>
    <row r="544" customFormat="false" ht="13.8" hidden="false" customHeight="false" outlineLevel="0" collapsed="false">
      <c r="B544" s="2" t="n">
        <v>542</v>
      </c>
      <c r="C544" s="2" t="n">
        <v>0.2570004</v>
      </c>
      <c r="D544" s="2" t="n">
        <v>0.143335</v>
      </c>
      <c r="E544" s="2" t="n">
        <v>0.374</v>
      </c>
    </row>
    <row r="545" customFormat="false" ht="13.8" hidden="false" customHeight="false" outlineLevel="0" collapsed="false">
      <c r="B545" s="2" t="n">
        <v>543</v>
      </c>
      <c r="C545" s="2" t="n">
        <v>0.282334466666667</v>
      </c>
      <c r="D545" s="2" t="n">
        <v>0.401668333333333</v>
      </c>
      <c r="E545" s="2" t="n">
        <v>0.126666733333333</v>
      </c>
    </row>
    <row r="546" customFormat="false" ht="13.8" hidden="false" customHeight="false" outlineLevel="0" collapsed="false">
      <c r="B546" s="2" t="n">
        <v>544</v>
      </c>
      <c r="C546" s="2" t="n">
        <v>0.149668333333333</v>
      </c>
      <c r="D546" s="2" t="n">
        <v>0.145001466666667</v>
      </c>
      <c r="E546" s="2" t="n">
        <v>0.320666933333333</v>
      </c>
    </row>
    <row r="547" customFormat="false" ht="13.8" hidden="false" customHeight="false" outlineLevel="0" collapsed="false">
      <c r="B547" s="2" t="n">
        <v>545</v>
      </c>
      <c r="C547" s="2" t="n">
        <v>0.259667133333333</v>
      </c>
      <c r="D547" s="2" t="n">
        <v>0.418000133333333</v>
      </c>
      <c r="E547" s="2" t="n">
        <v>0.0710008</v>
      </c>
    </row>
    <row r="548" customFormat="false" ht="13.8" hidden="false" customHeight="false" outlineLevel="0" collapsed="false">
      <c r="B548" s="2" t="n">
        <v>546</v>
      </c>
      <c r="C548" s="2" t="n">
        <v>0.288</v>
      </c>
      <c r="D548" s="2" t="n">
        <v>0.159000066666667</v>
      </c>
      <c r="E548" s="2" t="n">
        <v>0.309</v>
      </c>
    </row>
    <row r="549" customFormat="false" ht="13.8" hidden="false" customHeight="false" outlineLevel="0" collapsed="false">
      <c r="B549" s="2" t="n">
        <v>547</v>
      </c>
      <c r="C549" s="2" t="n">
        <v>0.257334266666667</v>
      </c>
      <c r="D549" s="2" t="n">
        <v>0.4170002</v>
      </c>
      <c r="E549" s="2" t="n">
        <v>0.231001266666667</v>
      </c>
    </row>
    <row r="550" customFormat="false" ht="13.8" hidden="false" customHeight="false" outlineLevel="0" collapsed="false">
      <c r="B550" s="2" t="n">
        <v>548</v>
      </c>
      <c r="C550" s="2" t="n">
        <v>0.287666733333333</v>
      </c>
      <c r="D550" s="2" t="n">
        <v>0.154333533333333</v>
      </c>
      <c r="E550" s="2" t="n">
        <v>0.319269066666667</v>
      </c>
    </row>
    <row r="551" customFormat="false" ht="13.8" hidden="false" customHeight="false" outlineLevel="0" collapsed="false">
      <c r="B551" s="2" t="n">
        <v>549</v>
      </c>
      <c r="C551" s="2" t="n">
        <v>0.2620002</v>
      </c>
      <c r="D551" s="2" t="n">
        <v>0.428334466666667</v>
      </c>
      <c r="E551" s="2" t="n">
        <v>0.202668133333333</v>
      </c>
    </row>
    <row r="552" customFormat="false" ht="13.8" hidden="false" customHeight="false" outlineLevel="0" collapsed="false">
      <c r="B552" s="2" t="n">
        <v>550</v>
      </c>
      <c r="C552" s="2" t="n">
        <v>0.2992002</v>
      </c>
      <c r="D552" s="2" t="n">
        <v>0.1520688</v>
      </c>
      <c r="E552" s="2" t="n">
        <v>0.3833344</v>
      </c>
    </row>
    <row r="553" customFormat="false" ht="13.8" hidden="false" customHeight="false" outlineLevel="0" collapsed="false">
      <c r="B553" s="2" t="n">
        <v>551</v>
      </c>
      <c r="C553" s="2" t="n">
        <v>0.269401066666667</v>
      </c>
      <c r="D553" s="2" t="n">
        <v>0.404335866666667</v>
      </c>
      <c r="E553" s="2" t="n">
        <v>0.245667666666667</v>
      </c>
    </row>
    <row r="554" customFormat="false" ht="13.8" hidden="false" customHeight="false" outlineLevel="0" collapsed="false">
      <c r="B554" s="2" t="n">
        <v>552</v>
      </c>
      <c r="C554" s="2" t="n">
        <v>0.301334466666667</v>
      </c>
      <c r="D554" s="2" t="n">
        <v>0.1790022</v>
      </c>
      <c r="E554" s="2" t="n">
        <v>0.212136533333333</v>
      </c>
    </row>
    <row r="555" customFormat="false" ht="13.8" hidden="false" customHeight="false" outlineLevel="0" collapsed="false">
      <c r="B555" s="2" t="n">
        <v>553</v>
      </c>
      <c r="C555" s="2" t="n">
        <v>0.2738034</v>
      </c>
      <c r="D555" s="2" t="n">
        <v>0.318068666666667</v>
      </c>
      <c r="E555" s="2" t="n">
        <v>0.2026704</v>
      </c>
    </row>
    <row r="556" customFormat="false" ht="13.8" hidden="false" customHeight="false" outlineLevel="0" collapsed="false">
      <c r="B556" s="2" t="n">
        <v>554</v>
      </c>
      <c r="C556" s="2" t="n">
        <v>0.389602866666667</v>
      </c>
      <c r="D556" s="2" t="n">
        <v>0.2990032</v>
      </c>
      <c r="E556" s="2" t="n">
        <v>0.238874866666667</v>
      </c>
    </row>
    <row r="557" customFormat="false" ht="13.8" hidden="false" customHeight="false" outlineLevel="0" collapsed="false">
      <c r="B557" s="2" t="n">
        <v>555</v>
      </c>
      <c r="C557" s="2" t="n">
        <v>0.381805266666667</v>
      </c>
      <c r="D557" s="2" t="n">
        <v>0.396737066666667</v>
      </c>
      <c r="E557" s="2" t="n">
        <v>0.230406933333333</v>
      </c>
    </row>
    <row r="558" customFormat="false" ht="13.8" hidden="false" customHeight="false" outlineLevel="0" collapsed="false">
      <c r="B558" s="2" t="n">
        <v>556</v>
      </c>
      <c r="C558" s="2" t="n">
        <v>0.440475533333333</v>
      </c>
      <c r="D558" s="2" t="n">
        <v>0.324805466666667</v>
      </c>
      <c r="E558" s="2" t="n">
        <v>0.475874133333333</v>
      </c>
    </row>
    <row r="559" customFormat="false" ht="13.8" hidden="false" customHeight="false" outlineLevel="0" collapsed="false">
      <c r="B559" s="2" t="n">
        <v>557</v>
      </c>
      <c r="C559" s="2" t="n">
        <v>0.459276733333333</v>
      </c>
      <c r="D559" s="2" t="n">
        <v>0.437273733333333</v>
      </c>
      <c r="E559" s="2" t="n">
        <v>0.360410866666667</v>
      </c>
    </row>
    <row r="560" customFormat="false" ht="13.8" hidden="false" customHeight="false" outlineLevel="0" collapsed="false">
      <c r="B560" s="2" t="n">
        <v>558</v>
      </c>
      <c r="C560" s="2" t="n">
        <v>0.435545866666667</v>
      </c>
      <c r="D560" s="2" t="n">
        <v>0.175742466666667</v>
      </c>
      <c r="E560" s="2" t="n">
        <v>0.398013933333333</v>
      </c>
    </row>
    <row r="561" customFormat="false" ht="13.8" hidden="false" customHeight="false" outlineLevel="0" collapsed="false">
      <c r="B561" s="2" t="n">
        <v>559</v>
      </c>
      <c r="C561" s="2" t="n">
        <v>0.224882533333333</v>
      </c>
      <c r="D561" s="2" t="n">
        <v>0.3890098</v>
      </c>
      <c r="E561" s="2" t="n">
        <v>0.353410933333333</v>
      </c>
    </row>
    <row r="562" customFormat="false" ht="13.8" hidden="false" customHeight="false" outlineLevel="0" collapsed="false">
      <c r="B562" s="2" t="n">
        <v>560</v>
      </c>
      <c r="C562" s="2" t="n">
        <v>0.3197488</v>
      </c>
      <c r="D562" s="2" t="n">
        <v>0.489678</v>
      </c>
      <c r="E562" s="2" t="n">
        <v>0.4697444</v>
      </c>
    </row>
    <row r="563" customFormat="false" ht="13.8" hidden="false" customHeight="false" outlineLevel="0" collapsed="false">
      <c r="B563" s="2" t="n">
        <v>561</v>
      </c>
      <c r="C563" s="2" t="n">
        <v>0.403482666666667</v>
      </c>
      <c r="D563" s="2" t="n">
        <v>0.499880066666667</v>
      </c>
      <c r="E563" s="2" t="n">
        <v>0.228214933333333</v>
      </c>
    </row>
    <row r="564" customFormat="false" ht="13.8" hidden="false" customHeight="false" outlineLevel="0" collapsed="false">
      <c r="B564" s="2" t="n">
        <v>562</v>
      </c>
      <c r="C564" s="2" t="n">
        <v>0.279552866666667</v>
      </c>
      <c r="D564" s="2" t="n">
        <v>0.443880533333333</v>
      </c>
      <c r="E564" s="2" t="n">
        <v>0.312081466666667</v>
      </c>
    </row>
    <row r="565" customFormat="false" ht="13.8" hidden="false" customHeight="false" outlineLevel="0" collapsed="false">
      <c r="B565" s="2" t="n">
        <v>563</v>
      </c>
      <c r="C565" s="2" t="n">
        <v>0.298816533333333</v>
      </c>
      <c r="D565" s="2" t="n">
        <v>0.433811333333333</v>
      </c>
      <c r="E565" s="2" t="n">
        <v>0.403278733333333</v>
      </c>
    </row>
    <row r="566" customFormat="false" ht="13.8" hidden="false" customHeight="false" outlineLevel="0" collapsed="false">
      <c r="B566" s="2" t="n">
        <v>564</v>
      </c>
      <c r="C566" s="2" t="n">
        <v>0.439747133333333</v>
      </c>
      <c r="D566" s="2" t="n">
        <v>0.358616</v>
      </c>
      <c r="E566" s="2" t="n">
        <v>0.399080733333333</v>
      </c>
    </row>
    <row r="567" customFormat="false" ht="13.8" hidden="false" customHeight="false" outlineLevel="0" collapsed="false">
      <c r="B567" s="2" t="n">
        <v>565</v>
      </c>
      <c r="C567" s="2" t="n">
        <v>0.479147733333333</v>
      </c>
      <c r="D567" s="2" t="n">
        <v>0.273818533333333</v>
      </c>
      <c r="E567" s="2" t="n">
        <v>0.406881533333333</v>
      </c>
    </row>
    <row r="568" customFormat="false" ht="13.8" hidden="false" customHeight="false" outlineLevel="0" collapsed="false">
      <c r="B568" s="2" t="n">
        <v>566</v>
      </c>
      <c r="C568" s="2" t="n">
        <v>0.372281866666667</v>
      </c>
      <c r="D568" s="2" t="n">
        <v>0.4093472</v>
      </c>
      <c r="E568" s="2" t="n">
        <v>0.3821482</v>
      </c>
    </row>
    <row r="569" customFormat="false" ht="13.8" hidden="false" customHeight="false" outlineLevel="0" collapsed="false">
      <c r="B569" s="2" t="n">
        <v>567</v>
      </c>
      <c r="C569" s="2" t="n">
        <v>0.3308806</v>
      </c>
      <c r="D569" s="2" t="n">
        <v>0.323546466666667</v>
      </c>
      <c r="E569" s="2" t="n">
        <v>0.282748666666667</v>
      </c>
    </row>
    <row r="570" customFormat="false" ht="13.8" hidden="false" customHeight="false" outlineLevel="0" collapsed="false">
      <c r="B570" s="2" t="n">
        <v>568</v>
      </c>
      <c r="C570" s="2" t="n">
        <v>0.364351066666667</v>
      </c>
      <c r="D570" s="2" t="n">
        <v>0.334947466666667</v>
      </c>
      <c r="E570" s="2" t="n">
        <v>0.4172184</v>
      </c>
    </row>
    <row r="571" customFormat="false" ht="13.8" hidden="false" customHeight="false" outlineLevel="0" collapsed="false">
      <c r="B571" s="2" t="n">
        <v>569</v>
      </c>
      <c r="C571" s="2" t="n">
        <v>0.251151533333333</v>
      </c>
      <c r="D571" s="2" t="n">
        <v>0.4039476</v>
      </c>
      <c r="E571" s="2" t="n">
        <v>0.2717534</v>
      </c>
    </row>
    <row r="572" customFormat="false" ht="13.8" hidden="false" customHeight="false" outlineLevel="0" collapsed="false">
      <c r="B572" s="2" t="n">
        <v>570</v>
      </c>
      <c r="C572" s="2" t="n">
        <v>0.344151466666667</v>
      </c>
      <c r="D572" s="2" t="n">
        <v>0.320747</v>
      </c>
      <c r="E572" s="2" t="n">
        <v>0.2876846</v>
      </c>
    </row>
    <row r="573" customFormat="false" ht="13.8" hidden="false" customHeight="false" outlineLevel="0" collapsed="false">
      <c r="B573" s="2" t="n">
        <v>571</v>
      </c>
      <c r="C573" s="2" t="n">
        <v>0.382083933333333</v>
      </c>
      <c r="D573" s="2" t="n">
        <v>0.346949066666667</v>
      </c>
      <c r="E573" s="2" t="n">
        <v>0.295415333333333</v>
      </c>
    </row>
    <row r="574" customFormat="false" ht="13.8" hidden="false" customHeight="false" outlineLevel="0" collapsed="false">
      <c r="B574" s="2" t="n">
        <v>572</v>
      </c>
      <c r="C574" s="2" t="n">
        <v>0.292548333333333</v>
      </c>
      <c r="D574" s="2" t="n">
        <v>0.17135</v>
      </c>
      <c r="E574" s="2" t="n">
        <v>0.277815266666667</v>
      </c>
    </row>
    <row r="575" customFormat="false" ht="13.8" hidden="false" customHeight="false" outlineLevel="0" collapsed="false">
      <c r="B575" s="2" t="n">
        <v>573</v>
      </c>
      <c r="C575" s="2" t="n">
        <v>0.237416666666667</v>
      </c>
      <c r="D575" s="2" t="n">
        <v>0.0763490666666667</v>
      </c>
      <c r="E575" s="2" t="n">
        <v>0.392149533333333</v>
      </c>
    </row>
    <row r="576" customFormat="false" ht="13.8" hidden="false" customHeight="false" outlineLevel="0" collapsed="false">
      <c r="B576" s="2" t="n">
        <v>574</v>
      </c>
      <c r="C576" s="2" t="n">
        <v>0.2004808</v>
      </c>
      <c r="D576" s="2" t="n">
        <v>0.178879133333333</v>
      </c>
      <c r="E576" s="2" t="n">
        <v>0.216416133333333</v>
      </c>
    </row>
    <row r="577" customFormat="false" ht="13.8" hidden="false" customHeight="false" outlineLevel="0" collapsed="false">
      <c r="B577" s="2" t="n">
        <v>575</v>
      </c>
      <c r="C577" s="2" t="n">
        <v>0.1816118</v>
      </c>
      <c r="D577" s="2" t="n">
        <v>0.182478666666667</v>
      </c>
      <c r="E577" s="2" t="n">
        <v>0.226278533333333</v>
      </c>
    </row>
    <row r="578" customFormat="false" ht="13.8" hidden="false" customHeight="false" outlineLevel="0" collapsed="false">
      <c r="B578" s="2" t="n">
        <v>576</v>
      </c>
      <c r="C578" s="2" t="n">
        <v>0.208013733333333</v>
      </c>
      <c r="D578" s="2" t="n">
        <v>0.147211466666667</v>
      </c>
      <c r="E578" s="2" t="n">
        <v>0.188279</v>
      </c>
    </row>
    <row r="579" customFormat="false" ht="13.8" hidden="false" customHeight="false" outlineLevel="0" collapsed="false">
      <c r="B579" s="2" t="n">
        <v>577</v>
      </c>
      <c r="C579" s="2" t="n">
        <v>0.1819426</v>
      </c>
      <c r="D579" s="2" t="n">
        <v>0.290741133333333</v>
      </c>
      <c r="E579" s="2" t="n">
        <v>0.248276333333333</v>
      </c>
    </row>
    <row r="580" customFormat="false" ht="13.8" hidden="false" customHeight="false" outlineLevel="0" collapsed="false">
      <c r="B580" s="2" t="n">
        <v>578</v>
      </c>
      <c r="C580" s="2" t="n">
        <v>0.1132758</v>
      </c>
      <c r="D580" s="2" t="n">
        <v>0.053275</v>
      </c>
      <c r="E580" s="2" t="n">
        <v>0.1022106</v>
      </c>
    </row>
    <row r="581" customFormat="false" ht="13.8" hidden="false" customHeight="false" outlineLevel="0" collapsed="false">
      <c r="B581" s="2" t="n">
        <v>579</v>
      </c>
      <c r="C581" s="2" t="n">
        <v>0.337672266666667</v>
      </c>
      <c r="D581" s="2" t="n">
        <v>0.2684064</v>
      </c>
      <c r="E581" s="2" t="n">
        <v>0.3191398</v>
      </c>
    </row>
    <row r="582" customFormat="false" ht="13.8" hidden="false" customHeight="false" outlineLevel="0" collapsed="false">
      <c r="B582" s="2" t="n">
        <v>580</v>
      </c>
      <c r="C582" s="2" t="n">
        <v>0.0563373333333333</v>
      </c>
      <c r="D582" s="2" t="n">
        <v>0.1430734</v>
      </c>
      <c r="E582" s="2" t="n">
        <v>0.137206266666667</v>
      </c>
    </row>
    <row r="583" customFormat="false" ht="13.8" hidden="false" customHeight="false" outlineLevel="0" collapsed="false">
      <c r="B583" s="2" t="n">
        <v>581</v>
      </c>
      <c r="C583" s="2" t="n">
        <v>0.307868266666667</v>
      </c>
      <c r="D583" s="2" t="n">
        <v>0.284335533333333</v>
      </c>
      <c r="E583" s="2" t="n">
        <v>0.205070733333333</v>
      </c>
    </row>
    <row r="584" customFormat="false" ht="13.8" hidden="false" customHeight="false" outlineLevel="0" collapsed="false">
      <c r="B584" s="2" t="n">
        <v>582</v>
      </c>
      <c r="C584" s="2" t="n">
        <v>0.107667266666667</v>
      </c>
      <c r="D584" s="2" t="n">
        <v>0.1645338</v>
      </c>
      <c r="E584" s="2" t="n">
        <v>0.165667333333333</v>
      </c>
    </row>
    <row r="585" customFormat="false" ht="13.8" hidden="false" customHeight="false" outlineLevel="0" collapsed="false">
      <c r="B585" s="2" t="n">
        <v>583</v>
      </c>
      <c r="C585" s="2" t="n">
        <v>0.166800533333333</v>
      </c>
      <c r="D585" s="2" t="n">
        <v>0.235868066666667</v>
      </c>
      <c r="E585" s="2" t="n">
        <v>0.209267066666667</v>
      </c>
    </row>
    <row r="586" customFormat="false" ht="13.8" hidden="false" customHeight="false" outlineLevel="0" collapsed="false">
      <c r="B586" s="2" t="n">
        <v>584</v>
      </c>
      <c r="C586" s="2" t="n">
        <v>0.2666012</v>
      </c>
      <c r="D586" s="2" t="n">
        <v>0.208</v>
      </c>
      <c r="E586" s="2" t="n">
        <v>0.153400733333333</v>
      </c>
    </row>
    <row r="587" customFormat="false" ht="13.8" hidden="false" customHeight="false" outlineLevel="0" collapsed="false">
      <c r="B587" s="2" t="n">
        <v>585</v>
      </c>
      <c r="C587" s="2" t="n">
        <v>0.1110676</v>
      </c>
      <c r="D587" s="2" t="n">
        <v>0.2487334</v>
      </c>
      <c r="E587" s="2" t="n">
        <v>0.254534466666667</v>
      </c>
    </row>
    <row r="588" customFormat="false" ht="13.8" hidden="false" customHeight="false" outlineLevel="0" collapsed="false">
      <c r="B588" s="2" t="n">
        <v>586</v>
      </c>
      <c r="C588" s="2" t="n">
        <v>0.125934</v>
      </c>
      <c r="D588" s="2" t="n">
        <v>0.212067</v>
      </c>
      <c r="E588" s="2" t="n">
        <v>0.13</v>
      </c>
    </row>
    <row r="589" customFormat="false" ht="13.8" hidden="false" customHeight="false" outlineLevel="0" collapsed="false">
      <c r="B589" s="2" t="n">
        <v>587</v>
      </c>
      <c r="C589" s="2" t="n">
        <v>0.284800266666667</v>
      </c>
      <c r="D589" s="2" t="n">
        <v>0.255734066666667</v>
      </c>
      <c r="E589" s="2" t="n">
        <v>0.129000733333333</v>
      </c>
    </row>
    <row r="590" customFormat="false" ht="13.8" hidden="false" customHeight="false" outlineLevel="0" collapsed="false">
      <c r="B590" s="2" t="n">
        <v>588</v>
      </c>
      <c r="C590" s="2" t="n">
        <v>0.0774001333333333</v>
      </c>
      <c r="D590" s="2" t="n">
        <v>0.215667</v>
      </c>
      <c r="E590" s="2" t="n">
        <v>0.347534066666667</v>
      </c>
    </row>
    <row r="591" customFormat="false" ht="13.8" hidden="false" customHeight="false" outlineLevel="0" collapsed="false">
      <c r="B591" s="2" t="n">
        <v>589</v>
      </c>
      <c r="C591" s="2" t="n">
        <v>0.205333866666667</v>
      </c>
      <c r="D591" s="2" t="n">
        <v>0.241267066666667</v>
      </c>
      <c r="E591" s="2" t="n">
        <v>0.0978006666666667</v>
      </c>
    </row>
    <row r="592" customFormat="false" ht="13.8" hidden="false" customHeight="false" outlineLevel="0" collapsed="false">
      <c r="B592" s="2" t="n">
        <v>590</v>
      </c>
      <c r="C592" s="2" t="n">
        <v>0.169</v>
      </c>
      <c r="D592" s="2" t="n">
        <v>0.2018004</v>
      </c>
      <c r="E592" s="2" t="n">
        <v>0.281934066666667</v>
      </c>
    </row>
    <row r="593" customFormat="false" ht="13.8" hidden="false" customHeight="false" outlineLevel="0" collapsed="false">
      <c r="B593" s="2" t="n">
        <v>591</v>
      </c>
      <c r="C593" s="2" t="n">
        <v>0.1939336</v>
      </c>
      <c r="D593" s="2" t="n">
        <v>0.237133933333333</v>
      </c>
      <c r="E593" s="2" t="n">
        <v>0.164735</v>
      </c>
    </row>
    <row r="594" customFormat="false" ht="13.8" hidden="false" customHeight="false" outlineLevel="0" collapsed="false">
      <c r="B594" s="2" t="n">
        <v>592</v>
      </c>
      <c r="C594" s="2" t="n">
        <v>0.1672668</v>
      </c>
      <c r="D594" s="2" t="n">
        <v>0.201333666666667</v>
      </c>
      <c r="E594" s="2" t="n">
        <v>0.250800533333333</v>
      </c>
    </row>
    <row r="595" customFormat="false" ht="13.8" hidden="false" customHeight="false" outlineLevel="0" collapsed="false">
      <c r="B595" s="2" t="n">
        <v>593</v>
      </c>
      <c r="C595" s="2" t="n">
        <v>0.0994009333333333</v>
      </c>
      <c r="D595" s="2" t="n">
        <v>0.2371342</v>
      </c>
      <c r="E595" s="2" t="n">
        <v>0.0861348</v>
      </c>
    </row>
    <row r="596" customFormat="false" ht="13.8" hidden="false" customHeight="false" outlineLevel="0" collapsed="false">
      <c r="B596" s="2" t="n">
        <v>594</v>
      </c>
      <c r="C596" s="2" t="n">
        <v>0.186733733333333</v>
      </c>
      <c r="D596" s="2" t="n">
        <v>0.204</v>
      </c>
      <c r="E596" s="2" t="n">
        <v>0.2338014</v>
      </c>
    </row>
    <row r="597" customFormat="false" ht="13.8" hidden="false" customHeight="false" outlineLevel="0" collapsed="false">
      <c r="B597" s="2" t="n">
        <v>595</v>
      </c>
      <c r="C597" s="2" t="n">
        <v>0.154867333333333</v>
      </c>
      <c r="D597" s="2" t="n">
        <v>0.2328012</v>
      </c>
      <c r="E597" s="2" t="n">
        <v>0.176133866666667</v>
      </c>
    </row>
    <row r="598" customFormat="false" ht="13.8" hidden="false" customHeight="false" outlineLevel="0" collapsed="false">
      <c r="B598" s="2" t="n">
        <v>596</v>
      </c>
      <c r="C598" s="2" t="n">
        <v>0.0986678666666667</v>
      </c>
      <c r="D598" s="2" t="n">
        <v>0.204</v>
      </c>
      <c r="E598" s="2" t="n">
        <v>0.240066933333333</v>
      </c>
    </row>
    <row r="599" customFormat="false" ht="13.8" hidden="false" customHeight="false" outlineLevel="0" collapsed="false">
      <c r="B599" s="2" t="n">
        <v>597</v>
      </c>
      <c r="C599" s="2" t="n">
        <v>0.204067333333333</v>
      </c>
      <c r="D599" s="2" t="n">
        <v>0.233466666666667</v>
      </c>
      <c r="E599" s="2" t="n">
        <v>0.1667336</v>
      </c>
    </row>
    <row r="600" customFormat="false" ht="13.8" hidden="false" customHeight="false" outlineLevel="0" collapsed="false">
      <c r="B600" s="2" t="n">
        <v>598</v>
      </c>
      <c r="C600" s="2" t="n">
        <v>0.102135333333333</v>
      </c>
      <c r="D600" s="2" t="n">
        <v>0.1884002</v>
      </c>
      <c r="E600" s="2" t="n">
        <v>0.4204672</v>
      </c>
    </row>
    <row r="601" customFormat="false" ht="13.8" hidden="false" customHeight="false" outlineLevel="0" collapsed="false">
      <c r="B601" s="2" t="n">
        <v>599</v>
      </c>
      <c r="C601" s="2" t="n">
        <v>0.248</v>
      </c>
      <c r="D601" s="2" t="n">
        <v>0.209601333333333</v>
      </c>
      <c r="E601" s="2" t="n">
        <v>0.0914674</v>
      </c>
    </row>
    <row r="602" customFormat="false" ht="13.8" hidden="false" customHeight="false" outlineLevel="0" collapsed="false">
      <c r="B602" s="2" t="n">
        <v>600</v>
      </c>
      <c r="C602" s="2" t="n">
        <v>0.261000133333333</v>
      </c>
      <c r="D602" s="2" t="n">
        <v>0.215534466666667</v>
      </c>
      <c r="E602" s="2" t="n">
        <v>0.400001</v>
      </c>
    </row>
    <row r="603" customFormat="false" ht="13.8" hidden="false" customHeight="false" outlineLevel="0" collapsed="false">
      <c r="B603" s="2" t="n">
        <v>601</v>
      </c>
      <c r="C603" s="2" t="n">
        <v>0.163068733333333</v>
      </c>
      <c r="D603" s="2" t="n">
        <v>0.244134733333333</v>
      </c>
      <c r="E603" s="2" t="n">
        <v>0.0819341333333333</v>
      </c>
    </row>
    <row r="604" customFormat="false" ht="13.8" hidden="false" customHeight="false" outlineLevel="0" collapsed="false">
      <c r="B604" s="2" t="n">
        <v>602</v>
      </c>
      <c r="C604" s="2" t="n">
        <v>0.1920028</v>
      </c>
      <c r="D604" s="2" t="n">
        <v>0.190602</v>
      </c>
      <c r="E604" s="2" t="n">
        <v>0.4544012</v>
      </c>
    </row>
    <row r="605" customFormat="false" ht="13.8" hidden="false" customHeight="false" outlineLevel="0" collapsed="false">
      <c r="B605" s="2" t="n">
        <v>603</v>
      </c>
      <c r="C605" s="2" t="n">
        <v>0.2851368</v>
      </c>
      <c r="D605" s="2" t="n">
        <v>0.278403866666667</v>
      </c>
      <c r="E605" s="2" t="n">
        <v>0.100869</v>
      </c>
    </row>
    <row r="606" customFormat="false" ht="13.8" hidden="false" customHeight="false" outlineLevel="0" collapsed="false">
      <c r="B606" s="2" t="n">
        <v>604</v>
      </c>
      <c r="C606" s="2" t="n">
        <v>0.234137466666667</v>
      </c>
      <c r="D606" s="2" t="n">
        <v>0.214137533333333</v>
      </c>
      <c r="E606" s="2" t="n">
        <v>0.448136133333333</v>
      </c>
    </row>
    <row r="607" customFormat="false" ht="13.8" hidden="false" customHeight="false" outlineLevel="0" collapsed="false">
      <c r="B607" s="2" t="n">
        <v>605</v>
      </c>
      <c r="C607" s="2" t="n">
        <v>0.292207866666667</v>
      </c>
      <c r="D607" s="2" t="n">
        <v>0.3210714</v>
      </c>
      <c r="E607" s="2" t="n">
        <v>0.0894041333333333</v>
      </c>
    </row>
    <row r="608" customFormat="false" ht="13.8" hidden="false" customHeight="false" outlineLevel="0" collapsed="false">
      <c r="B608" s="2" t="n">
        <v>606</v>
      </c>
      <c r="C608" s="2" t="n">
        <v>0.269341533333333</v>
      </c>
      <c r="D608" s="2" t="n">
        <v>0.114004666666667</v>
      </c>
      <c r="E608" s="2" t="n">
        <v>0.400002733333333</v>
      </c>
    </row>
    <row r="609" customFormat="false" ht="13.8" hidden="false" customHeight="false" outlineLevel="0" collapsed="false">
      <c r="B609" s="2" t="n">
        <v>607</v>
      </c>
      <c r="C609" s="2" t="n">
        <v>0.2180078</v>
      </c>
      <c r="D609" s="2" t="n">
        <v>0.296004</v>
      </c>
      <c r="E609" s="2" t="n">
        <v>0.0830022</v>
      </c>
    </row>
    <row r="610" customFormat="false" ht="13.8" hidden="false" customHeight="false" outlineLevel="0" collapsed="false">
      <c r="B610" s="2" t="n">
        <v>608</v>
      </c>
      <c r="C610" s="2" t="n">
        <v>0.2090072</v>
      </c>
      <c r="D610" s="2" t="n">
        <v>0.120404666666667</v>
      </c>
      <c r="E610" s="2" t="n">
        <v>0.415002533333333</v>
      </c>
    </row>
    <row r="611" customFormat="false" ht="13.8" hidden="false" customHeight="false" outlineLevel="0" collapsed="false">
      <c r="B611" s="2" t="n">
        <v>609</v>
      </c>
      <c r="C611" s="2" t="n">
        <v>0.2120062</v>
      </c>
      <c r="D611" s="2" t="n">
        <v>0.295608533333333</v>
      </c>
      <c r="E611" s="2" t="n">
        <v>0.0900039333333333</v>
      </c>
    </row>
    <row r="612" customFormat="false" ht="13.8" hidden="false" customHeight="false" outlineLevel="0" collapsed="false">
      <c r="B612" s="2" t="n">
        <v>610</v>
      </c>
      <c r="C612" s="2" t="n">
        <v>0.371006</v>
      </c>
      <c r="D612" s="2" t="n">
        <v>0.0202763333333333</v>
      </c>
      <c r="E612" s="2" t="n">
        <v>0.4030054</v>
      </c>
    </row>
    <row r="613" customFormat="false" ht="13.8" hidden="false" customHeight="false" outlineLevel="0" collapsed="false">
      <c r="B613" s="2" t="n">
        <v>611</v>
      </c>
      <c r="C613" s="2" t="n">
        <v>0.211273333333333</v>
      </c>
      <c r="D613" s="2" t="n">
        <v>0.291541266666667</v>
      </c>
      <c r="E613" s="2" t="n">
        <v>0.0776732666666667</v>
      </c>
    </row>
    <row r="614" customFormat="false" ht="13.8" hidden="false" customHeight="false" outlineLevel="0" collapsed="false">
      <c r="B614" s="2" t="n">
        <v>612</v>
      </c>
      <c r="C614" s="2" t="n">
        <v>0.173007866666667</v>
      </c>
      <c r="D614" s="2" t="n">
        <v>0.201074533333333</v>
      </c>
      <c r="E614" s="2" t="n">
        <v>0.409072866666667</v>
      </c>
    </row>
    <row r="615" customFormat="false" ht="13.8" hidden="false" customHeight="false" outlineLevel="0" collapsed="false">
      <c r="B615" s="2" t="n">
        <v>613</v>
      </c>
      <c r="C615" s="2" t="n">
        <v>0.174273</v>
      </c>
      <c r="D615" s="2" t="n">
        <v>0.298074133333333</v>
      </c>
      <c r="E615" s="2" t="n">
        <v>0.0856738666666667</v>
      </c>
    </row>
    <row r="616" customFormat="false" ht="13.8" hidden="false" customHeight="false" outlineLevel="0" collapsed="false">
      <c r="B616" s="2" t="n">
        <v>614</v>
      </c>
      <c r="C616" s="2" t="n">
        <v>0.374007266666667</v>
      </c>
      <c r="D616" s="2" t="n">
        <v>0.2102076</v>
      </c>
      <c r="E616" s="2" t="n">
        <v>0.408008</v>
      </c>
    </row>
    <row r="617" customFormat="false" ht="13.8" hidden="false" customHeight="false" outlineLevel="0" collapsed="false">
      <c r="B617" s="2" t="n">
        <v>615</v>
      </c>
      <c r="C617" s="2" t="n">
        <v>0.226006266666667</v>
      </c>
      <c r="D617" s="2" t="n">
        <v>0.287208533333333</v>
      </c>
      <c r="E617" s="2" t="n">
        <v>0.0825418</v>
      </c>
    </row>
    <row r="618" customFormat="false" ht="13.8" hidden="false" customHeight="false" outlineLevel="0" collapsed="false">
      <c r="B618" s="2" t="n">
        <v>616</v>
      </c>
      <c r="C618" s="2" t="n">
        <v>0.382271933333333</v>
      </c>
      <c r="D618" s="2" t="n">
        <v>0.205007466666667</v>
      </c>
      <c r="E618" s="2" t="n">
        <v>0.406008</v>
      </c>
    </row>
    <row r="619" customFormat="false" ht="13.8" hidden="false" customHeight="false" outlineLevel="0" collapsed="false">
      <c r="B619" s="2" t="n">
        <v>617</v>
      </c>
      <c r="C619" s="2" t="n">
        <v>0.2069386</v>
      </c>
      <c r="D619" s="2" t="n">
        <v>0.283006</v>
      </c>
      <c r="E619" s="2" t="n">
        <v>0.0900066666666667</v>
      </c>
    </row>
    <row r="620" customFormat="false" ht="13.8" hidden="false" customHeight="false" outlineLevel="0" collapsed="false">
      <c r="B620" s="2" t="n">
        <v>618</v>
      </c>
      <c r="C620" s="2" t="n">
        <v>0.348540266666667</v>
      </c>
      <c r="D620" s="2" t="n">
        <v>0.192006</v>
      </c>
      <c r="E620" s="2" t="n">
        <v>0.415006</v>
      </c>
    </row>
    <row r="621" customFormat="false" ht="13.8" hidden="false" customHeight="false" outlineLevel="0" collapsed="false">
      <c r="B621" s="2" t="n">
        <v>619</v>
      </c>
      <c r="C621" s="2" t="n">
        <v>0.192007</v>
      </c>
      <c r="D621" s="2" t="n">
        <v>0.288338666666667</v>
      </c>
      <c r="E621" s="2" t="n">
        <v>0.0926724</v>
      </c>
    </row>
    <row r="622" customFormat="false" ht="13.8" hidden="false" customHeight="false" outlineLevel="0" collapsed="false">
      <c r="B622" s="2" t="n">
        <v>620</v>
      </c>
      <c r="C622" s="2" t="n">
        <v>0.3333408</v>
      </c>
      <c r="D622" s="2" t="n">
        <v>0.205469733333333</v>
      </c>
      <c r="E622" s="2" t="n">
        <v>0.417673866666667</v>
      </c>
    </row>
    <row r="623" customFormat="false" ht="13.8" hidden="false" customHeight="false" outlineLevel="0" collapsed="false">
      <c r="B623" s="2" t="n">
        <v>621</v>
      </c>
      <c r="C623" s="2" t="n">
        <v>0.1206744</v>
      </c>
      <c r="D623" s="2" t="n">
        <v>0.1425374</v>
      </c>
      <c r="E623" s="2" t="n">
        <v>0.157337666666667</v>
      </c>
    </row>
    <row r="624" customFormat="false" ht="13.8" hidden="false" customHeight="false" outlineLevel="0" collapsed="false">
      <c r="B624" s="2" t="n">
        <v>622</v>
      </c>
      <c r="C624" s="2" t="n">
        <v>0.492672866666667</v>
      </c>
      <c r="D624" s="2" t="n">
        <v>0.395672533333333</v>
      </c>
      <c r="E624" s="2" t="n">
        <v>0.4200056</v>
      </c>
    </row>
    <row r="625" customFormat="false" ht="13.8" hidden="false" customHeight="false" outlineLevel="0" collapsed="false">
      <c r="B625" s="2" t="n">
        <v>623</v>
      </c>
      <c r="C625" s="2" t="n">
        <v>0.146540866666667</v>
      </c>
      <c r="D625" s="2" t="n">
        <v>0.221338666666667</v>
      </c>
      <c r="E625" s="2" t="n">
        <v>0.0850034</v>
      </c>
    </row>
    <row r="626" customFormat="false" ht="13.8" hidden="false" customHeight="false" outlineLevel="0" collapsed="false">
      <c r="B626" s="2" t="n">
        <v>624</v>
      </c>
      <c r="C626" s="2" t="n">
        <v>0.444673266666667</v>
      </c>
      <c r="D626" s="2" t="n">
        <v>0.3056724</v>
      </c>
      <c r="E626" s="2" t="n">
        <v>0.404003933333333</v>
      </c>
    </row>
    <row r="627" customFormat="false" ht="13.8" hidden="false" customHeight="false" outlineLevel="0" collapsed="false">
      <c r="B627" s="2" t="n">
        <v>625</v>
      </c>
      <c r="C627" s="2" t="n">
        <v>0.1437406</v>
      </c>
      <c r="D627" s="2" t="n">
        <v>0.217673666666667</v>
      </c>
      <c r="E627" s="2" t="n">
        <v>0.0770062</v>
      </c>
    </row>
    <row r="628" customFormat="false" ht="13.8" hidden="false" customHeight="false" outlineLevel="0" collapsed="false">
      <c r="B628" s="2" t="n">
        <v>626</v>
      </c>
      <c r="C628" s="2" t="n">
        <v>0.400540466666667</v>
      </c>
      <c r="D628" s="2" t="n">
        <v>0.352608333333333</v>
      </c>
      <c r="E628" s="2" t="n">
        <v>0.426273666666667</v>
      </c>
    </row>
    <row r="629" customFormat="false" ht="13.8" hidden="false" customHeight="false" outlineLevel="0" collapsed="false">
      <c r="B629" s="2" t="n">
        <v>627</v>
      </c>
      <c r="C629" s="2" t="n">
        <v>0.151008666666667</v>
      </c>
      <c r="D629" s="2" t="n">
        <v>0.170341866666667</v>
      </c>
      <c r="E629" s="2" t="n">
        <v>0.101809</v>
      </c>
    </row>
    <row r="630" customFormat="false" ht="13.8" hidden="false" customHeight="false" outlineLevel="0" collapsed="false">
      <c r="B630" s="2" t="n">
        <v>628</v>
      </c>
      <c r="C630" s="2" t="n">
        <v>0.4076084</v>
      </c>
      <c r="D630" s="2" t="n">
        <v>0.3890074</v>
      </c>
      <c r="E630" s="2" t="n">
        <v>0.405341666666667</v>
      </c>
    </row>
    <row r="631" customFormat="false" ht="13.8" hidden="false" customHeight="false" outlineLevel="0" collapsed="false">
      <c r="B631" s="2" t="n">
        <v>629</v>
      </c>
      <c r="C631" s="2" t="n">
        <v>0.1400084</v>
      </c>
      <c r="D631" s="2" t="n">
        <v>0.1720086</v>
      </c>
      <c r="E631" s="2" t="n">
        <v>0.14334</v>
      </c>
    </row>
    <row r="632" customFormat="false" ht="13.8" hidden="false" customHeight="false" outlineLevel="0" collapsed="false">
      <c r="B632" s="2" t="n">
        <v>630</v>
      </c>
      <c r="C632" s="2" t="n">
        <v>0.4032076</v>
      </c>
      <c r="D632" s="2" t="n">
        <v>0.3511412</v>
      </c>
      <c r="E632" s="2" t="n">
        <v>0.4256716</v>
      </c>
    </row>
    <row r="633" customFormat="false" ht="13.8" hidden="false" customHeight="false" outlineLevel="0" collapsed="false">
      <c r="B633" s="2" t="n">
        <v>631</v>
      </c>
      <c r="C633" s="2" t="n">
        <v>0.101074</v>
      </c>
      <c r="D633" s="2" t="n">
        <v>0.116872</v>
      </c>
      <c r="E633" s="2" t="n">
        <v>0.1570702</v>
      </c>
    </row>
    <row r="634" customFormat="false" ht="13.8" hidden="false" customHeight="false" outlineLevel="0" collapsed="false">
      <c r="B634" s="2" t="n">
        <v>632</v>
      </c>
      <c r="C634" s="2" t="n">
        <v>0.204271133333333</v>
      </c>
      <c r="D634" s="2" t="n">
        <v>0.362335333333333</v>
      </c>
      <c r="E634" s="2" t="n">
        <v>0.4053358</v>
      </c>
    </row>
    <row r="635" customFormat="false" ht="13.8" hidden="false" customHeight="false" outlineLevel="0" collapsed="false">
      <c r="B635" s="2" t="n">
        <v>633</v>
      </c>
      <c r="C635" s="2" t="n">
        <v>0.126670466666667</v>
      </c>
      <c r="D635" s="2" t="n">
        <v>0.0710022</v>
      </c>
      <c r="E635" s="2" t="n">
        <v>0.1520032</v>
      </c>
    </row>
    <row r="636" customFormat="false" ht="13.8" hidden="false" customHeight="false" outlineLevel="0" collapsed="false">
      <c r="B636" s="2" t="n">
        <v>634</v>
      </c>
      <c r="C636" s="2" t="n">
        <v>0.400002133333333</v>
      </c>
      <c r="D636" s="2" t="n">
        <v>0.248333533333333</v>
      </c>
      <c r="E636" s="2" t="n">
        <v>0.400002933333333</v>
      </c>
    </row>
    <row r="637" customFormat="false" ht="13.8" hidden="false" customHeight="false" outlineLevel="0" collapsed="false">
      <c r="B637" s="2" t="n">
        <v>635</v>
      </c>
      <c r="C637" s="2" t="n">
        <v>0.1400016</v>
      </c>
      <c r="D637" s="2" t="n">
        <v>0.322</v>
      </c>
      <c r="E637" s="2" t="n">
        <v>0.140001</v>
      </c>
    </row>
    <row r="638" customFormat="false" ht="13.8" hidden="false" customHeight="false" outlineLevel="0" collapsed="false">
      <c r="B638" s="2" t="n">
        <v>636</v>
      </c>
      <c r="C638" s="2" t="n">
        <v>0.400000066666667</v>
      </c>
      <c r="D638" s="2" t="n">
        <v>0.178333466666667</v>
      </c>
      <c r="E638" s="2" t="n">
        <v>0.346666933333333</v>
      </c>
    </row>
    <row r="639" customFormat="false" ht="13.8" hidden="false" customHeight="false" outlineLevel="0" collapsed="false">
      <c r="B639" s="2" t="n">
        <v>637</v>
      </c>
      <c r="C639" s="2" t="n">
        <v>0.14</v>
      </c>
      <c r="D639" s="2" t="n">
        <v>0.205</v>
      </c>
      <c r="E639" s="2" t="n">
        <v>0.192</v>
      </c>
    </row>
    <row r="640" customFormat="false" ht="13.8" hidden="false" customHeight="false" outlineLevel="0" collapsed="false">
      <c r="B640" s="2" t="n">
        <v>638</v>
      </c>
      <c r="C640" s="2" t="n">
        <v>0.318000066666667</v>
      </c>
      <c r="D640" s="2" t="n">
        <v>0.335</v>
      </c>
      <c r="E640" s="2" t="n">
        <v>0.348</v>
      </c>
    </row>
    <row r="641" customFormat="false" ht="13.8" hidden="false" customHeight="false" outlineLevel="0" collapsed="false">
      <c r="B641" s="2" t="n">
        <v>639</v>
      </c>
      <c r="C641" s="2" t="n">
        <v>0.238</v>
      </c>
      <c r="D641" s="2" t="n">
        <v>0.283</v>
      </c>
      <c r="E641" s="2" t="n">
        <v>0.3233334</v>
      </c>
    </row>
    <row r="642" customFormat="false" ht="13.8" hidden="false" customHeight="false" outlineLevel="0" collapsed="false">
      <c r="B642" s="2" t="n">
        <v>640</v>
      </c>
      <c r="C642" s="2" t="n">
        <v>0.342</v>
      </c>
      <c r="D642" s="2" t="n">
        <v>0.361</v>
      </c>
      <c r="E642" s="2" t="n">
        <v>0.277</v>
      </c>
    </row>
    <row r="643" customFormat="false" ht="13.8" hidden="false" customHeight="false" outlineLevel="0" collapsed="false">
      <c r="B643" s="2" t="n">
        <v>641</v>
      </c>
      <c r="C643" s="2" t="n">
        <v>0.238</v>
      </c>
      <c r="D643" s="2" t="n">
        <v>0.179</v>
      </c>
      <c r="E643" s="2" t="n">
        <v>0.209667933333333</v>
      </c>
    </row>
    <row r="644" customFormat="false" ht="13.8" hidden="false" customHeight="false" outlineLevel="0" collapsed="false">
      <c r="B644" s="2" t="n">
        <v>642</v>
      </c>
      <c r="C644" s="2" t="n">
        <v>0.144667133333333</v>
      </c>
      <c r="D644" s="2" t="n">
        <v>0.3470006</v>
      </c>
      <c r="E644" s="2" t="n">
        <v>0.354667933333333</v>
      </c>
    </row>
    <row r="645" customFormat="false" ht="13.8" hidden="false" customHeight="false" outlineLevel="0" collapsed="false">
      <c r="B645" s="2" t="n">
        <v>643</v>
      </c>
      <c r="C645" s="2" t="n">
        <v>0.342</v>
      </c>
      <c r="D645" s="2" t="n">
        <v>0.2280008</v>
      </c>
      <c r="E645" s="2" t="n">
        <v>0.309000866666667</v>
      </c>
    </row>
    <row r="646" customFormat="false" ht="13.8" hidden="false" customHeight="false" outlineLevel="0" collapsed="false">
      <c r="B646" s="2" t="n">
        <v>644</v>
      </c>
      <c r="C646" s="2" t="n">
        <v>0.2380006</v>
      </c>
      <c r="D646" s="2" t="n">
        <v>0.322001</v>
      </c>
      <c r="E646" s="2" t="n">
        <v>0.2513336</v>
      </c>
    </row>
    <row r="647" customFormat="false" ht="13.8" hidden="false" customHeight="false" outlineLevel="0" collapsed="false">
      <c r="B647" s="2" t="n">
        <v>645</v>
      </c>
      <c r="C647" s="2" t="n">
        <v>0.360666733333333</v>
      </c>
      <c r="D647" s="2" t="n">
        <v>0.229667933333333</v>
      </c>
      <c r="E647" s="2" t="n">
        <v>0.341000733333333</v>
      </c>
    </row>
    <row r="648" customFormat="false" ht="13.8" hidden="false" customHeight="false" outlineLevel="0" collapsed="false">
      <c r="B648" s="2" t="n">
        <v>646</v>
      </c>
      <c r="C648" s="2" t="n">
        <v>0.258</v>
      </c>
      <c r="D648" s="2" t="n">
        <v>0.365001133333333</v>
      </c>
      <c r="E648" s="2" t="n">
        <v>0.253402666666667</v>
      </c>
    </row>
    <row r="649" customFormat="false" ht="13.8" hidden="false" customHeight="false" outlineLevel="0" collapsed="false">
      <c r="B649" s="2" t="n">
        <v>647</v>
      </c>
      <c r="C649" s="2" t="n">
        <v>0.3513354</v>
      </c>
      <c r="D649" s="2" t="n">
        <v>0.088002</v>
      </c>
      <c r="E649" s="2" t="n">
        <v>0.217671</v>
      </c>
    </row>
    <row r="650" customFormat="false" ht="13.8" hidden="false" customHeight="false" outlineLevel="0" collapsed="false">
      <c r="B650" s="2" t="n">
        <v>648</v>
      </c>
      <c r="C650" s="2" t="n">
        <v>0.280335133333333</v>
      </c>
      <c r="D650" s="2" t="n">
        <v>0.273334066666667</v>
      </c>
      <c r="E650" s="2" t="n">
        <v>0.314004733333333</v>
      </c>
    </row>
    <row r="651" customFormat="false" ht="13.8" hidden="false" customHeight="false" outlineLevel="0" collapsed="false">
      <c r="B651" s="2" t="n">
        <v>649</v>
      </c>
      <c r="C651" s="2" t="n">
        <v>0.3798706</v>
      </c>
      <c r="D651" s="2" t="n">
        <v>0.317667333333333</v>
      </c>
      <c r="E651" s="2" t="n">
        <v>0.2734722</v>
      </c>
    </row>
    <row r="652" customFormat="false" ht="13.8" hidden="false" customHeight="false" outlineLevel="0" collapsed="false">
      <c r="B652" s="2" t="n">
        <v>650</v>
      </c>
      <c r="C652" s="2" t="n">
        <v>0.297871866666667</v>
      </c>
      <c r="D652" s="2" t="n">
        <v>0.238268866666667</v>
      </c>
      <c r="E652" s="2" t="n">
        <v>0.329742133333333</v>
      </c>
    </row>
    <row r="653" customFormat="false" ht="13.8" hidden="false" customHeight="false" outlineLevel="0" collapsed="false">
      <c r="B653" s="2" t="n">
        <v>651</v>
      </c>
      <c r="C653" s="2" t="n">
        <v>0.430605266666667</v>
      </c>
      <c r="D653" s="2" t="n">
        <v>0.243136133333333</v>
      </c>
      <c r="E653" s="2" t="n">
        <v>0.1090134</v>
      </c>
    </row>
    <row r="654" customFormat="false" ht="13.8" hidden="false" customHeight="false" outlineLevel="0" collapsed="false">
      <c r="B654" s="2" t="n">
        <v>652</v>
      </c>
      <c r="C654" s="2" t="n">
        <v>0.311676266666667</v>
      </c>
      <c r="D654" s="2" t="n">
        <v>0.304139066666667</v>
      </c>
      <c r="E654" s="2" t="n">
        <v>0.459345733333333</v>
      </c>
    </row>
    <row r="655" customFormat="false" ht="13.8" hidden="false" customHeight="false" outlineLevel="0" collapsed="false">
      <c r="B655" s="2" t="n">
        <v>653</v>
      </c>
      <c r="C655" s="2" t="n">
        <v>0.330612733333333</v>
      </c>
      <c r="D655" s="2" t="n">
        <v>0.3622064</v>
      </c>
      <c r="E655" s="2" t="n">
        <v>0.306749333333333</v>
      </c>
    </row>
    <row r="656" customFormat="false" ht="13.8" hidden="false" customHeight="false" outlineLevel="0" collapsed="false">
      <c r="B656" s="2" t="n">
        <v>654</v>
      </c>
      <c r="C656" s="2" t="n">
        <v>0.447745066666667</v>
      </c>
      <c r="D656" s="2" t="n">
        <v>0.4581406</v>
      </c>
      <c r="E656" s="2" t="n">
        <v>0.402881733333333</v>
      </c>
    </row>
    <row r="657" customFormat="false" ht="13.8" hidden="false" customHeight="false" outlineLevel="0" collapsed="false">
      <c r="B657" s="2" t="n">
        <v>655</v>
      </c>
      <c r="C657" s="2" t="n">
        <v>0.470410066666667</v>
      </c>
      <c r="D657" s="2" t="n">
        <v>0.329143533333333</v>
      </c>
      <c r="E657" s="2" t="n">
        <v>0.454815266666667</v>
      </c>
    </row>
    <row r="658" customFormat="false" ht="13.8" hidden="false" customHeight="false" outlineLevel="0" collapsed="false">
      <c r="B658" s="2" t="n">
        <v>656</v>
      </c>
      <c r="C658" s="2" t="n">
        <v>0.493013</v>
      </c>
      <c r="D658" s="2" t="n">
        <v>0.426476466666667</v>
      </c>
      <c r="E658" s="2" t="n">
        <v>0.363547</v>
      </c>
    </row>
    <row r="659" customFormat="false" ht="13.8" hidden="false" customHeight="false" outlineLevel="0" collapsed="false">
      <c r="B659" s="2" t="n">
        <v>657</v>
      </c>
      <c r="C659" s="2" t="n">
        <v>0.377214533333333</v>
      </c>
      <c r="D659" s="2" t="n">
        <v>0.328675666666667</v>
      </c>
      <c r="E659" s="2" t="n">
        <v>0.332549</v>
      </c>
    </row>
    <row r="660" customFormat="false" ht="13.8" hidden="false" customHeight="false" outlineLevel="0" collapsed="false">
      <c r="B660" s="2" t="n">
        <v>658</v>
      </c>
      <c r="C660" s="2" t="n">
        <v>0.469613933333333</v>
      </c>
      <c r="D660" s="2" t="n">
        <v>0.191544933333333</v>
      </c>
      <c r="E660" s="2" t="n">
        <v>0.302414266666667</v>
      </c>
    </row>
    <row r="661" customFormat="false" ht="13.8" hidden="false" customHeight="false" outlineLevel="0" collapsed="false">
      <c r="B661" s="2" t="n">
        <v>659</v>
      </c>
      <c r="C661" s="2" t="n">
        <v>0.357280933333333</v>
      </c>
      <c r="D661" s="2" t="n">
        <v>0.405679133333333</v>
      </c>
      <c r="E661" s="2" t="n">
        <v>0.272616</v>
      </c>
    </row>
    <row r="662" customFormat="false" ht="13.8" hidden="false" customHeight="false" outlineLevel="0" collapsed="false">
      <c r="B662" s="2" t="n">
        <v>660</v>
      </c>
      <c r="C662" s="2" t="n">
        <v>0.4450808</v>
      </c>
      <c r="D662" s="2" t="n">
        <v>0.213347</v>
      </c>
      <c r="E662" s="2" t="n">
        <v>0.2391498</v>
      </c>
    </row>
    <row r="663" customFormat="false" ht="13.8" hidden="false" customHeight="false" outlineLevel="0" collapsed="false">
      <c r="B663" s="2" t="n">
        <v>661</v>
      </c>
      <c r="C663" s="2" t="n">
        <v>0.4316812</v>
      </c>
      <c r="D663" s="2" t="n">
        <v>0.436215733333333</v>
      </c>
      <c r="E663" s="2" t="n">
        <v>0.442816466666667</v>
      </c>
    </row>
    <row r="664" customFormat="false" ht="13.8" hidden="false" customHeight="false" outlineLevel="0" collapsed="false">
      <c r="B664" s="2" t="n">
        <v>662</v>
      </c>
      <c r="C664" s="2" t="n">
        <v>0.506548533333333</v>
      </c>
      <c r="D664" s="2" t="n">
        <v>0.3007462</v>
      </c>
      <c r="E664" s="2" t="n">
        <v>0.159018666666667</v>
      </c>
    </row>
    <row r="665" customFormat="false" ht="13.8" hidden="false" customHeight="false" outlineLevel="0" collapsed="false">
      <c r="B665" s="2" t="n">
        <v>663</v>
      </c>
      <c r="C665" s="2" t="n">
        <v>0.305884933333333</v>
      </c>
      <c r="D665" s="2" t="n">
        <v>0.4841472</v>
      </c>
      <c r="E665" s="2" t="n">
        <v>0.453151933333333</v>
      </c>
    </row>
    <row r="666" customFormat="false" ht="13.8" hidden="false" customHeight="false" outlineLevel="0" collapsed="false">
      <c r="B666" s="2" t="n">
        <v>664</v>
      </c>
      <c r="C666" s="2" t="n">
        <v>0.410817533333333</v>
      </c>
      <c r="D666" s="2" t="n">
        <v>0.220947333333333</v>
      </c>
      <c r="E666" s="2" t="n">
        <v>0.268885666666667</v>
      </c>
    </row>
    <row r="667" customFormat="false" ht="13.8" hidden="false" customHeight="false" outlineLevel="0" collapsed="false">
      <c r="B667" s="2" t="n">
        <v>665</v>
      </c>
      <c r="C667" s="2" t="n">
        <v>0.268885</v>
      </c>
      <c r="D667" s="2" t="n">
        <v>0.484413466666667</v>
      </c>
      <c r="E667" s="2" t="n">
        <v>0.381351066666667</v>
      </c>
    </row>
    <row r="668" customFormat="false" ht="13.8" hidden="false" customHeight="false" outlineLevel="0" collapsed="false">
      <c r="B668" s="2" t="n">
        <v>666</v>
      </c>
      <c r="C668" s="2" t="n">
        <v>0.381418466666667</v>
      </c>
      <c r="D668" s="2" t="n">
        <v>0.198613666666667</v>
      </c>
      <c r="E668" s="2" t="n">
        <v>0.308151533333333</v>
      </c>
    </row>
    <row r="669" customFormat="false" ht="13.8" hidden="false" customHeight="false" outlineLevel="0" collapsed="false">
      <c r="B669" s="2" t="n">
        <v>667</v>
      </c>
      <c r="C669" s="2" t="n">
        <v>0.313282533333333</v>
      </c>
      <c r="D669" s="2" t="n">
        <v>0.4108152</v>
      </c>
      <c r="E669" s="2" t="n">
        <v>0.332218133333333</v>
      </c>
    </row>
    <row r="670" customFormat="false" ht="13.8" hidden="false" customHeight="false" outlineLevel="0" collapsed="false">
      <c r="B670" s="2" t="n">
        <v>668</v>
      </c>
      <c r="C670" s="2" t="n">
        <v>0.422281466666667</v>
      </c>
      <c r="D670" s="2" t="n">
        <v>0.182081</v>
      </c>
      <c r="E670" s="2" t="n">
        <v>0.314414866666667</v>
      </c>
    </row>
    <row r="671" customFormat="false" ht="13.8" hidden="false" customHeight="false" outlineLevel="0" collapsed="false">
      <c r="B671" s="2" t="n">
        <v>669</v>
      </c>
      <c r="C671" s="2" t="n">
        <v>0.260016533333333</v>
      </c>
      <c r="D671" s="2" t="n">
        <v>0.326010533333333</v>
      </c>
      <c r="E671" s="2" t="n">
        <v>0.304148333333333</v>
      </c>
    </row>
    <row r="672" customFormat="false" ht="13.8" hidden="false" customHeight="false" outlineLevel="0" collapsed="false">
      <c r="B672" s="2" t="n">
        <v>670</v>
      </c>
      <c r="C672" s="2" t="n">
        <v>0.344015533333333</v>
      </c>
      <c r="D672" s="2" t="n">
        <v>0.222812666666667</v>
      </c>
      <c r="E672" s="2" t="n">
        <v>0.281014533333333</v>
      </c>
    </row>
    <row r="673" customFormat="false" ht="13.8" hidden="false" customHeight="false" outlineLevel="0" collapsed="false">
      <c r="B673" s="2" t="n">
        <v>671</v>
      </c>
      <c r="C673" s="2" t="n">
        <v>0.302281666666667</v>
      </c>
      <c r="D673" s="2" t="n">
        <v>0.147678866666667</v>
      </c>
      <c r="E673" s="2" t="n">
        <v>0.147283266666667</v>
      </c>
    </row>
    <row r="674" customFormat="false" ht="13.8" hidden="false" customHeight="false" outlineLevel="0" collapsed="false">
      <c r="B674" s="2" t="n">
        <v>672</v>
      </c>
      <c r="C674" s="2" t="n">
        <v>0.215016666666667</v>
      </c>
      <c r="D674" s="2" t="n">
        <v>0.075277</v>
      </c>
      <c r="E674" s="2" t="n">
        <v>0.194217133333333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B13:E16"/>
    </sheetView>
  </sheetViews>
  <sheetFormatPr defaultColWidth="8.54296875" defaultRowHeight="13.8" zeroHeight="false" outlineLevelRow="0" outlineLevelCol="0"/>
  <cols>
    <col collapsed="false" customWidth="true" hidden="false" outlineLevel="0" max="2" min="2" style="2" width="11.8"/>
  </cols>
  <sheetData>
    <row r="2" customFormat="false" ht="13.8" hidden="false" customHeight="false" outlineLevel="0" collapsed="false">
      <c r="B2" s="3" t="s">
        <v>0</v>
      </c>
      <c r="C2" s="2" t="n">
        <v>2.44505424410458</v>
      </c>
      <c r="E2" s="2" t="n">
        <v>4.1436868607163</v>
      </c>
    </row>
    <row r="3" customFormat="false" ht="13.8" hidden="false" customHeight="false" outlineLevel="0" collapsed="false">
      <c r="B3" s="3" t="s">
        <v>1</v>
      </c>
      <c r="C3" s="2" t="n">
        <v>2.17748237284796</v>
      </c>
      <c r="E3" s="2" t="n">
        <v>4.53643163173437</v>
      </c>
    </row>
    <row r="4" customFormat="false" ht="13.8" hidden="false" customHeight="false" outlineLevel="0" collapsed="false">
      <c r="B4" s="3" t="s">
        <v>2</v>
      </c>
      <c r="C4" s="2" t="n">
        <v>2.56602028342027</v>
      </c>
      <c r="E4" s="2" t="n">
        <v>4.36891366779163</v>
      </c>
    </row>
    <row r="6" customFormat="false" ht="13.8" hidden="false" customHeight="false" outlineLevel="0" collapsed="false">
      <c r="C6" s="2" t="n">
        <f aca="false">SUM(C2:C4)</f>
        <v>7.18855690037282</v>
      </c>
      <c r="E6" s="2" t="n">
        <f aca="false">SUM(E2:E4)</f>
        <v>13.0490321602423</v>
      </c>
    </row>
    <row r="7" customFormat="false" ht="13.8" hidden="false" customHeight="false" outlineLevel="0" collapsed="false">
      <c r="B7" s="2" t="s">
        <v>3</v>
      </c>
      <c r="C7" s="4" t="n">
        <f aca="false">(7.215-C6)/C6</f>
        <v>0.00367849903585127</v>
      </c>
      <c r="E7" s="4" t="n">
        <f aca="false">(12.921-E6)/E6</f>
        <v>-0.00981162117389719</v>
      </c>
    </row>
    <row r="9" customFormat="false" ht="13.8" hidden="false" customHeight="false" outlineLevel="0" collapsed="false">
      <c r="B9" s="2" t="s">
        <v>4</v>
      </c>
      <c r="C9" s="4" t="n">
        <f aca="false">((C6-7.215)*0.518+(E6-12.921)*0.384)/(0.518*C6+0.384*E6)</f>
        <v>0.00406054388695127</v>
      </c>
    </row>
    <row r="13" customFormat="false" ht="13.8" hidden="false" customHeight="false" outlineLevel="0" collapsed="false">
      <c r="B13" s="3"/>
    </row>
    <row r="14" customFormat="false" ht="13.8" hidden="false" customHeight="false" outlineLevel="0" collapsed="false">
      <c r="B1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1" sqref="B13:E16 F6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2" t="n">
        <v>9.9113458083879E-006</v>
      </c>
      <c r="D2" s="3" t="s">
        <v>0</v>
      </c>
      <c r="E2" s="2" t="n">
        <v>6.99805347621395E-006</v>
      </c>
      <c r="F2" s="2" t="n">
        <v>8.81216293266544</v>
      </c>
      <c r="H2" s="3" t="s">
        <v>0</v>
      </c>
      <c r="I2" s="2" t="n">
        <v>2.88370915070696</v>
      </c>
    </row>
    <row r="3" customFormat="false" ht="13.8" hidden="false" customHeight="false" outlineLevel="0" collapsed="false">
      <c r="D3" s="3" t="s">
        <v>1</v>
      </c>
      <c r="E3" s="2" t="n">
        <v>1.82916701375988E-006</v>
      </c>
      <c r="H3" s="3" t="s">
        <v>1</v>
      </c>
      <c r="I3" s="2" t="n">
        <v>2.89570666876496</v>
      </c>
    </row>
    <row r="4" customFormat="false" ht="13.8" hidden="false" customHeight="false" outlineLevel="0" collapsed="false">
      <c r="D4" s="3" t="s">
        <v>2</v>
      </c>
      <c r="E4" s="2" t="n">
        <v>1.08412531871679E-006</v>
      </c>
      <c r="H4" s="3" t="s">
        <v>2</v>
      </c>
      <c r="I4" s="2" t="n">
        <v>3.03274711319349</v>
      </c>
    </row>
    <row r="6" customFormat="false" ht="13.8" hidden="false" customHeight="false" outlineLevel="0" collapsed="false">
      <c r="F6" s="2" t="n">
        <f aca="false">F2-(0.518*investment!C6+0.384*investment!E6)</f>
        <v>0.0776621087392755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1" sqref="B13:E16 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0.000175738308425544</v>
      </c>
      <c r="D24" s="2" t="n">
        <v>0.000156506559747918</v>
      </c>
      <c r="E24" s="2" t="n">
        <v>0.000184432715981322</v>
      </c>
    </row>
    <row r="25" customFormat="false" ht="13.8" hidden="false" customHeight="false" outlineLevel="0" collapsed="false">
      <c r="B25" s="2" t="n">
        <v>23</v>
      </c>
      <c r="C25" s="2" t="n">
        <v>0.000351476581076802</v>
      </c>
      <c r="D25" s="2" t="n">
        <v>0.000313013104730567</v>
      </c>
      <c r="E25" s="2" t="n">
        <v>0.000368865423606695</v>
      </c>
    </row>
    <row r="26" customFormat="false" ht="13.8" hidden="false" customHeight="false" outlineLevel="0" collapsed="false">
      <c r="B26" s="2" t="n">
        <v>24</v>
      </c>
      <c r="C26" s="2" t="n">
        <v>0.000527214853728279</v>
      </c>
      <c r="D26" s="2" t="n">
        <v>0.000469519649713422</v>
      </c>
      <c r="E26" s="2" t="n">
        <v>0.000553298131232269</v>
      </c>
    </row>
    <row r="27" customFormat="false" ht="13.8" hidden="false" customHeight="false" outlineLevel="0" collapsed="false">
      <c r="B27" s="2" t="n">
        <v>25</v>
      </c>
      <c r="C27" s="2" t="n">
        <v>0.000702953126379753</v>
      </c>
      <c r="D27" s="2" t="n">
        <v>0.000626026194696279</v>
      </c>
      <c r="E27" s="2" t="n">
        <v>0.00073773083885786</v>
      </c>
    </row>
    <row r="28" customFormat="false" ht="13.8" hidden="false" customHeight="false" outlineLevel="0" collapsed="false">
      <c r="B28" s="2" t="n">
        <v>26</v>
      </c>
      <c r="C28" s="2" t="n">
        <v>0.00637242265375371</v>
      </c>
      <c r="D28" s="2" t="n">
        <v>0.00567506344617189</v>
      </c>
      <c r="E28" s="2" t="n">
        <v>0.00668769037079335</v>
      </c>
    </row>
    <row r="29" customFormat="false" ht="13.8" hidden="false" customHeight="false" outlineLevel="0" collapsed="false">
      <c r="B29" s="2" t="n">
        <v>27</v>
      </c>
      <c r="C29" s="2" t="n">
        <v>0.0120418921811277</v>
      </c>
      <c r="D29" s="2" t="n">
        <v>0.0107241006976475</v>
      </c>
      <c r="E29" s="2" t="n">
        <v>0.0126376499027289</v>
      </c>
    </row>
    <row r="30" customFormat="false" ht="13.8" hidden="false" customHeight="false" outlineLevel="0" collapsed="false">
      <c r="B30" s="2" t="n">
        <v>28</v>
      </c>
      <c r="C30" s="2" t="n">
        <v>0.0177113617085016</v>
      </c>
      <c r="D30" s="2" t="n">
        <v>0.0157731379491231</v>
      </c>
      <c r="E30" s="2" t="n">
        <v>0.0185876094346643</v>
      </c>
    </row>
    <row r="31" customFormat="false" ht="13.8" hidden="false" customHeight="false" outlineLevel="0" collapsed="false">
      <c r="B31" s="2" t="n">
        <v>29</v>
      </c>
      <c r="C31" s="2" t="n">
        <v>0.0233808312358756</v>
      </c>
      <c r="D31" s="2" t="n">
        <v>0.0208221752005987</v>
      </c>
      <c r="E31" s="2" t="n">
        <v>0.0245375689665998</v>
      </c>
    </row>
    <row r="32" customFormat="false" ht="13.8" hidden="false" customHeight="false" outlineLevel="0" collapsed="false">
      <c r="B32" s="2" t="n">
        <v>30</v>
      </c>
      <c r="C32" s="2" t="n">
        <v>0.0480392032865268</v>
      </c>
      <c r="D32" s="2" t="n">
        <v>0.0427820849302048</v>
      </c>
      <c r="E32" s="2" t="n">
        <v>0.0504158835172778</v>
      </c>
    </row>
    <row r="33" customFormat="false" ht="13.8" hidden="false" customHeight="false" outlineLevel="0" collapsed="false">
      <c r="B33" s="2" t="n">
        <v>31</v>
      </c>
      <c r="C33" s="2" t="n">
        <v>0.0726975753016742</v>
      </c>
      <c r="D33" s="2" t="n">
        <v>0.0647419946598109</v>
      </c>
      <c r="E33" s="2" t="n">
        <v>0.0762941980758529</v>
      </c>
    </row>
    <row r="34" customFormat="false" ht="13.8" hidden="false" customHeight="false" outlineLevel="0" collapsed="false">
      <c r="B34" s="2" t="n">
        <v>32</v>
      </c>
      <c r="C34" s="2" t="n">
        <v>0.0712904758392842</v>
      </c>
      <c r="D34" s="2" t="n">
        <v>0.0867019043717007</v>
      </c>
      <c r="E34" s="2" t="n">
        <v>0.102172512634069</v>
      </c>
    </row>
    <row r="35" customFormat="false" ht="13.8" hidden="false" customHeight="false" outlineLevel="0" collapsed="false">
      <c r="B35" s="2" t="n">
        <v>33</v>
      </c>
      <c r="C35" s="2" t="n">
        <v>0.0738881816180329</v>
      </c>
      <c r="D35" s="2" t="n">
        <v>0.108661814099926</v>
      </c>
      <c r="E35" s="2" t="n">
        <v>0.0692660741599968</v>
      </c>
    </row>
    <row r="36" customFormat="false" ht="13.8" hidden="false" customHeight="false" outlineLevel="0" collapsed="false">
      <c r="B36" s="2" t="n">
        <v>34</v>
      </c>
      <c r="C36" s="2" t="n">
        <v>0.097911100940402</v>
      </c>
      <c r="D36" s="2" t="n">
        <v>0.11540656574922</v>
      </c>
      <c r="E36" s="2" t="n">
        <v>0.0999475781882059</v>
      </c>
    </row>
    <row r="37" customFormat="false" ht="13.8" hidden="false" customHeight="false" outlineLevel="0" collapsed="false">
      <c r="B37" s="2" t="n">
        <v>35</v>
      </c>
      <c r="C37" s="2" t="n">
        <v>0.0850586948982307</v>
      </c>
      <c r="D37" s="2" t="n">
        <v>0.122151317398431</v>
      </c>
      <c r="E37" s="2" t="n">
        <v>0.0622895324591396</v>
      </c>
    </row>
    <row r="38" customFormat="false" ht="13.8" hidden="false" customHeight="false" outlineLevel="0" collapsed="false">
      <c r="B38" s="2" t="n">
        <v>36</v>
      </c>
      <c r="C38" s="2" t="n">
        <v>0.0979468668196697</v>
      </c>
      <c r="D38" s="2" t="n">
        <v>0.128896069047642</v>
      </c>
      <c r="E38" s="2" t="n">
        <v>0.0699254293227805</v>
      </c>
    </row>
    <row r="39" customFormat="false" ht="13.8" hidden="false" customHeight="false" outlineLevel="0" collapsed="false">
      <c r="B39" s="2" t="n">
        <v>37</v>
      </c>
      <c r="C39" s="2" t="n">
        <v>0.102351858616296</v>
      </c>
      <c r="D39" s="2" t="n">
        <v>0.135640820696854</v>
      </c>
      <c r="E39" s="2" t="n">
        <v>0.0806678037283867</v>
      </c>
    </row>
    <row r="40" customFormat="false" ht="13.8" hidden="false" customHeight="false" outlineLevel="0" collapsed="false">
      <c r="B40" s="2" t="n">
        <v>38</v>
      </c>
      <c r="C40" s="2" t="n">
        <v>0.123286652787467</v>
      </c>
      <c r="D40" s="2" t="n">
        <v>0.0387623388804791</v>
      </c>
      <c r="E40" s="2" t="n">
        <v>0.103502279973628</v>
      </c>
    </row>
    <row r="41" customFormat="false" ht="13.8" hidden="false" customHeight="false" outlineLevel="0" collapsed="false">
      <c r="B41" s="2" t="n">
        <v>39</v>
      </c>
      <c r="C41" s="2" t="n">
        <v>0.149083807156468</v>
      </c>
      <c r="D41" s="2" t="n">
        <v>0.228426066447447</v>
      </c>
      <c r="E41" s="2" t="n">
        <v>0.119823135771576</v>
      </c>
    </row>
    <row r="42" customFormat="false" ht="13.8" hidden="false" customHeight="false" outlineLevel="0" collapsed="false">
      <c r="B42" s="2" t="n">
        <v>40</v>
      </c>
      <c r="C42" s="2" t="n">
        <v>0.168177646769554</v>
      </c>
      <c r="D42" s="2" t="n">
        <v>0.0517012245664699</v>
      </c>
      <c r="E42" s="2" t="n">
        <v>0.141242191008357</v>
      </c>
    </row>
    <row r="43" customFormat="false" ht="13.8" hidden="false" customHeight="false" outlineLevel="0" collapsed="false">
      <c r="B43" s="2" t="n">
        <v>41</v>
      </c>
      <c r="C43" s="2" t="n">
        <v>0.182443849442935</v>
      </c>
      <c r="D43" s="2" t="n">
        <v>0.102008556454607</v>
      </c>
      <c r="E43" s="2" t="n">
        <v>0.152907775948503</v>
      </c>
    </row>
    <row r="44" customFormat="false" ht="13.8" hidden="false" customHeight="false" outlineLevel="0" collapsed="false">
      <c r="B44" s="2" t="n">
        <v>42</v>
      </c>
      <c r="C44" s="2" t="n">
        <v>0.185679949526048</v>
      </c>
      <c r="D44" s="2" t="n">
        <v>0.0907619896089398</v>
      </c>
      <c r="E44" s="2" t="n">
        <v>0.157623059670188</v>
      </c>
    </row>
    <row r="45" customFormat="false" ht="13.8" hidden="false" customHeight="false" outlineLevel="0" collapsed="false">
      <c r="B45" s="2" t="n">
        <v>43</v>
      </c>
      <c r="C45" s="2" t="n">
        <v>0.201481399987022</v>
      </c>
      <c r="D45" s="2" t="n">
        <v>0.134316301223647</v>
      </c>
      <c r="E45" s="2" t="n">
        <v>0.157390542626578</v>
      </c>
    </row>
    <row r="46" customFormat="false" ht="13.8" hidden="false" customHeight="false" outlineLevel="0" collapsed="false">
      <c r="B46" s="2" t="n">
        <v>44</v>
      </c>
      <c r="C46" s="2" t="n">
        <v>0.200925552389386</v>
      </c>
      <c r="D46" s="2" t="n">
        <v>0.15425206887456</v>
      </c>
      <c r="E46" s="2" t="n">
        <v>0.163388739122944</v>
      </c>
    </row>
    <row r="47" customFormat="false" ht="13.8" hidden="false" customHeight="false" outlineLevel="0" collapsed="false">
      <c r="B47" s="2" t="n">
        <v>45</v>
      </c>
      <c r="C47" s="2" t="n">
        <v>0.214764109446296</v>
      </c>
      <c r="D47" s="2" t="n">
        <v>0.303599701065737</v>
      </c>
      <c r="E47" s="2" t="n">
        <v>0.171605666967298</v>
      </c>
    </row>
    <row r="48" customFormat="false" ht="13.8" hidden="false" customHeight="false" outlineLevel="0" collapsed="false">
      <c r="B48" s="2" t="n">
        <v>46</v>
      </c>
      <c r="C48" s="2" t="n">
        <v>0.205310057982927</v>
      </c>
      <c r="D48" s="2" t="n">
        <v>0.349166103083119</v>
      </c>
      <c r="E48" s="2" t="n">
        <v>0.160906687835036</v>
      </c>
    </row>
    <row r="49" customFormat="false" ht="13.8" hidden="false" customHeight="false" outlineLevel="0" collapsed="false">
      <c r="B49" s="2" t="n">
        <v>47</v>
      </c>
      <c r="C49" s="2" t="n">
        <v>0.198729058140224</v>
      </c>
      <c r="D49" s="2" t="n">
        <v>0.35044673490352</v>
      </c>
      <c r="E49" s="2" t="n">
        <v>0.175233647793672</v>
      </c>
    </row>
    <row r="50" customFormat="false" ht="13.8" hidden="false" customHeight="false" outlineLevel="0" collapsed="false">
      <c r="B50" s="2" t="n">
        <v>48</v>
      </c>
      <c r="C50" s="2" t="n">
        <v>0.197609872394614</v>
      </c>
      <c r="D50" s="2" t="n">
        <v>0.351727366723921</v>
      </c>
      <c r="E50" s="2" t="n">
        <v>0.162396572659687</v>
      </c>
    </row>
    <row r="51" customFormat="false" ht="13.8" hidden="false" customHeight="false" outlineLevel="0" collapsed="false">
      <c r="B51" s="2" t="n">
        <v>49</v>
      </c>
      <c r="C51" s="2" t="n">
        <v>0.208228684225723</v>
      </c>
      <c r="D51" s="2" t="n">
        <v>0.353007998544323</v>
      </c>
      <c r="E51" s="2" t="n">
        <v>0.184872790570656</v>
      </c>
    </row>
    <row r="52" customFormat="false" ht="13.8" hidden="false" customHeight="false" outlineLevel="0" collapsed="false">
      <c r="B52" s="2" t="n">
        <v>50</v>
      </c>
      <c r="C52" s="2" t="n">
        <v>0.277288814901051</v>
      </c>
      <c r="D52" s="2" t="n">
        <v>0.353793852075904</v>
      </c>
      <c r="E52" s="2" t="n">
        <v>0.245239677675461</v>
      </c>
    </row>
    <row r="53" customFormat="false" ht="13.8" hidden="false" customHeight="false" outlineLevel="0" collapsed="false">
      <c r="B53" s="2" t="n">
        <v>51</v>
      </c>
      <c r="C53" s="2" t="n">
        <v>0.338707105103945</v>
      </c>
      <c r="D53" s="2" t="n">
        <v>0.313011965158454</v>
      </c>
      <c r="E53" s="2" t="n">
        <v>0.408605860071985</v>
      </c>
    </row>
    <row r="54" customFormat="false" ht="13.8" hidden="false" customHeight="false" outlineLevel="0" collapsed="false">
      <c r="B54" s="2" t="n">
        <v>52</v>
      </c>
      <c r="C54" s="2" t="n">
        <v>0.405151600821514</v>
      </c>
      <c r="D54" s="2" t="n">
        <v>0.347022994484952</v>
      </c>
      <c r="E54" s="2" t="n">
        <v>0.425195976013447</v>
      </c>
    </row>
    <row r="55" customFormat="false" ht="13.8" hidden="false" customHeight="false" outlineLevel="0" collapsed="false">
      <c r="B55" s="2" t="n">
        <v>53</v>
      </c>
      <c r="C55" s="2" t="n">
        <v>0.408073440642771</v>
      </c>
      <c r="D55" s="2" t="n">
        <v>0.363416364322392</v>
      </c>
      <c r="E55" s="2" t="n">
        <v>0.42826237024883</v>
      </c>
    </row>
    <row r="56" customFormat="false" ht="13.8" hidden="false" customHeight="false" outlineLevel="0" collapsed="false">
      <c r="B56" s="2" t="n">
        <v>54</v>
      </c>
      <c r="C56" s="2" t="n">
        <v>0.390572298617659</v>
      </c>
      <c r="D56" s="2" t="n">
        <v>0.351366721241645</v>
      </c>
      <c r="E56" s="2" t="n">
        <v>0.414062655508758</v>
      </c>
    </row>
    <row r="57" customFormat="false" ht="13.8" hidden="false" customHeight="false" outlineLevel="0" collapsed="false">
      <c r="B57" s="2" t="n">
        <v>55</v>
      </c>
      <c r="C57" s="2" t="n">
        <v>0.375732849852233</v>
      </c>
      <c r="D57" s="2" t="n">
        <v>0.339317078160896</v>
      </c>
      <c r="E57" s="2" t="n">
        <v>0.399862940765381</v>
      </c>
    </row>
    <row r="58" customFormat="false" ht="13.8" hidden="false" customHeight="false" outlineLevel="0" collapsed="false">
      <c r="B58" s="2" t="n">
        <v>56</v>
      </c>
      <c r="C58" s="2" t="n">
        <v>0.367482483935504</v>
      </c>
      <c r="D58" s="2" t="n">
        <v>0.32726743508015</v>
      </c>
      <c r="E58" s="2" t="n">
        <v>0.366594171605069</v>
      </c>
    </row>
    <row r="59" customFormat="false" ht="13.8" hidden="false" customHeight="false" outlineLevel="0" collapsed="false">
      <c r="B59" s="2" t="n">
        <v>57</v>
      </c>
      <c r="C59" s="2" t="n">
        <v>0.353952165012191</v>
      </c>
      <c r="D59" s="2" t="n">
        <v>0.315217791999403</v>
      </c>
      <c r="E59" s="2" t="n">
        <v>0.371463511278622</v>
      </c>
    </row>
    <row r="60" customFormat="false" ht="13.8" hidden="false" customHeight="false" outlineLevel="0" collapsed="false">
      <c r="B60" s="2" t="n">
        <v>58</v>
      </c>
      <c r="C60" s="2" t="n">
        <v>0.316632996452642</v>
      </c>
      <c r="D60" s="2" t="n">
        <v>0.281982606357328</v>
      </c>
      <c r="E60" s="2" t="n">
        <v>0.332298022940244</v>
      </c>
    </row>
    <row r="61" customFormat="false" ht="13.8" hidden="false" customHeight="false" outlineLevel="0" collapsed="false">
      <c r="B61" s="2" t="n">
        <v>59</v>
      </c>
      <c r="C61" s="2" t="n">
        <v>0.279313827893094</v>
      </c>
      <c r="D61" s="2" t="n">
        <v>0.248747420715254</v>
      </c>
      <c r="E61" s="2" t="n">
        <v>0.293132534601867</v>
      </c>
    </row>
    <row r="62" customFormat="false" ht="13.8" hidden="false" customHeight="false" outlineLevel="0" collapsed="false">
      <c r="B62" s="2" t="n">
        <v>60</v>
      </c>
      <c r="C62" s="2" t="n">
        <v>0.241994659333545</v>
      </c>
      <c r="D62" s="2" t="n">
        <v>0.215512235073179</v>
      </c>
      <c r="E62" s="2" t="n">
        <v>0.253967046263489</v>
      </c>
    </row>
    <row r="63" customFormat="false" ht="13.8" hidden="false" customHeight="false" outlineLevel="0" collapsed="false">
      <c r="B63" s="2" t="n">
        <v>61</v>
      </c>
      <c r="C63" s="2" t="n">
        <v>0.204675490773997</v>
      </c>
      <c r="D63" s="2" t="n">
        <v>0.182277049431105</v>
      </c>
      <c r="E63" s="2" t="n">
        <v>0.214801557925111</v>
      </c>
    </row>
    <row r="64" customFormat="false" ht="13.8" hidden="false" customHeight="false" outlineLevel="0" collapsed="false">
      <c r="B64" s="2" t="n">
        <v>62</v>
      </c>
      <c r="C64" s="2" t="n">
        <v>0.185625461894617</v>
      </c>
      <c r="D64" s="2" t="n">
        <v>0.165311739893653</v>
      </c>
      <c r="E64" s="2" t="n">
        <v>0.194809052391915</v>
      </c>
    </row>
    <row r="65" customFormat="false" ht="13.8" hidden="false" customHeight="false" outlineLevel="0" collapsed="false">
      <c r="B65" s="2" t="n">
        <v>63</v>
      </c>
      <c r="C65" s="2" t="n">
        <v>0.166575433015237</v>
      </c>
      <c r="D65" s="2" t="n">
        <v>0.148346430356202</v>
      </c>
      <c r="E65" s="2" t="n">
        <v>0.174816546858717</v>
      </c>
    </row>
    <row r="66" customFormat="false" ht="13.8" hidden="false" customHeight="false" outlineLevel="0" collapsed="false">
      <c r="B66" s="2" t="n">
        <v>64</v>
      </c>
      <c r="C66" s="2" t="n">
        <v>0.147525404135858</v>
      </c>
      <c r="D66" s="2" t="n">
        <v>0.131381120818751</v>
      </c>
      <c r="E66" s="2" t="n">
        <v>0.154824041325519</v>
      </c>
    </row>
    <row r="67" customFormat="false" ht="13.8" hidden="false" customHeight="false" outlineLevel="0" collapsed="false">
      <c r="B67" s="2" t="n">
        <v>65</v>
      </c>
      <c r="C67" s="2" t="n">
        <v>0.128475375256478</v>
      </c>
      <c r="D67" s="2" t="n">
        <v>0.1144158112813</v>
      </c>
      <c r="E67" s="2" t="n">
        <v>0.134831535792322</v>
      </c>
    </row>
    <row r="68" customFormat="false" ht="13.8" hidden="false" customHeight="false" outlineLevel="0" collapsed="false">
      <c r="B68" s="2" t="n">
        <v>66</v>
      </c>
      <c r="C68" s="2" t="n">
        <v>0.109072341670606</v>
      </c>
      <c r="D68" s="2" t="n">
        <v>0.0971361277262687</v>
      </c>
      <c r="E68" s="2" t="n">
        <v>0.114468561080706</v>
      </c>
    </row>
    <row r="69" customFormat="false" ht="13.8" hidden="false" customHeight="false" outlineLevel="0" collapsed="false">
      <c r="B69" s="2" t="n">
        <v>67</v>
      </c>
      <c r="C69" s="2" t="n">
        <v>0.0896693080847337</v>
      </c>
      <c r="D69" s="2" t="n">
        <v>0.0798564441712375</v>
      </c>
      <c r="E69" s="2" t="n">
        <v>0.0941055863690889</v>
      </c>
    </row>
    <row r="70" customFormat="false" ht="13.8" hidden="false" customHeight="false" outlineLevel="0" collapsed="false">
      <c r="B70" s="2" t="n">
        <v>68</v>
      </c>
      <c r="C70" s="2" t="n">
        <v>0.0702662744988701</v>
      </c>
      <c r="D70" s="2" t="n">
        <v>0.0625767606161948</v>
      </c>
      <c r="E70" s="2" t="n">
        <v>0.0737426116574727</v>
      </c>
    </row>
    <row r="71" customFormat="false" ht="13.8" hidden="false" customHeight="false" outlineLevel="0" collapsed="false">
      <c r="B71" s="2" t="n">
        <v>69</v>
      </c>
      <c r="C71" s="2" t="n">
        <v>0.0508632409129977</v>
      </c>
      <c r="D71" s="2" t="n">
        <v>0.045297077061164</v>
      </c>
      <c r="E71" s="2" t="n">
        <v>0.0533796369458562</v>
      </c>
    </row>
    <row r="72" customFormat="false" ht="13.8" hidden="false" customHeight="false" outlineLevel="0" collapsed="false">
      <c r="B72" s="2" t="n">
        <v>70</v>
      </c>
      <c r="C72" s="2" t="n">
        <v>0.0381474306847514</v>
      </c>
      <c r="D72" s="2" t="n">
        <v>0.0339728077958723</v>
      </c>
      <c r="E72" s="2" t="n">
        <v>0.0400347277093942</v>
      </c>
    </row>
    <row r="73" customFormat="false" ht="13.8" hidden="false" customHeight="false" outlineLevel="0" collapsed="false">
      <c r="B73" s="2" t="n">
        <v>71</v>
      </c>
      <c r="C73" s="2" t="n">
        <v>0.025431620456505</v>
      </c>
      <c r="D73" s="2" t="n">
        <v>0.0226485385305807</v>
      </c>
      <c r="E73" s="2" t="n">
        <v>0.0266898184729322</v>
      </c>
    </row>
    <row r="74" customFormat="false" ht="13.8" hidden="false" customHeight="false" outlineLevel="0" collapsed="false">
      <c r="B74" s="2" t="n">
        <v>72</v>
      </c>
      <c r="C74" s="2" t="n">
        <v>0.0127158102282587</v>
      </c>
      <c r="D74" s="2" t="n">
        <v>0.0113242692652891</v>
      </c>
      <c r="E74" s="2" t="n">
        <v>0.0133449092364702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0.00444235792977279</v>
      </c>
      <c r="D120" s="2" t="n">
        <v>0.00395621328620033</v>
      </c>
      <c r="E120" s="2" t="n">
        <v>0.00466213810247087</v>
      </c>
    </row>
    <row r="121" customFormat="false" ht="13.8" hidden="false" customHeight="false" outlineLevel="0" collapsed="false">
      <c r="B121" s="2" t="n">
        <v>119</v>
      </c>
      <c r="C121" s="2" t="n">
        <v>0.00888471585953036</v>
      </c>
      <c r="D121" s="2" t="n">
        <v>0.00791242657236924</v>
      </c>
      <c r="E121" s="2" t="n">
        <v>0.0093242762049106</v>
      </c>
    </row>
    <row r="122" customFormat="false" ht="13.8" hidden="false" customHeight="false" outlineLevel="0" collapsed="false">
      <c r="B122" s="2" t="n">
        <v>120</v>
      </c>
      <c r="C122" s="2" t="n">
        <v>0.0133270737892879</v>
      </c>
      <c r="D122" s="2" t="n">
        <v>0.0118686398585381</v>
      </c>
      <c r="E122" s="2" t="n">
        <v>0.0139864143073503</v>
      </c>
    </row>
    <row r="123" customFormat="false" ht="13.8" hidden="false" customHeight="false" outlineLevel="0" collapsed="false">
      <c r="B123" s="2" t="n">
        <v>121</v>
      </c>
      <c r="C123" s="2" t="n">
        <v>0.0177694317190426</v>
      </c>
      <c r="D123" s="2" t="n">
        <v>0.0158248531447071</v>
      </c>
      <c r="E123" s="2" t="n">
        <v>0.0186485524097901</v>
      </c>
    </row>
    <row r="124" customFormat="false" ht="13.8" hidden="false" customHeight="false" outlineLevel="0" collapsed="false">
      <c r="B124" s="2" t="n">
        <v>122</v>
      </c>
      <c r="C124" s="2" t="n">
        <v>0.0352148937507318</v>
      </c>
      <c r="D124" s="2" t="n">
        <v>0.031361189874978</v>
      </c>
      <c r="E124" s="2" t="n">
        <v>0.0369571071319942</v>
      </c>
    </row>
    <row r="125" customFormat="false" ht="13.8" hidden="false" customHeight="false" outlineLevel="0" collapsed="false">
      <c r="B125" s="2" t="n">
        <v>123</v>
      </c>
      <c r="C125" s="2" t="n">
        <v>0.0526603557743146</v>
      </c>
      <c r="D125" s="2" t="n">
        <v>0.046897526605249</v>
      </c>
      <c r="E125" s="2" t="n">
        <v>0.0552656618541984</v>
      </c>
    </row>
    <row r="126" customFormat="false" ht="13.8" hidden="false" customHeight="false" outlineLevel="0" collapsed="false">
      <c r="B126" s="2" t="n">
        <v>124</v>
      </c>
      <c r="C126" s="2" t="n">
        <v>0.0701058178140885</v>
      </c>
      <c r="D126" s="2" t="n">
        <v>0.0624338633355199</v>
      </c>
      <c r="E126" s="2" t="n">
        <v>0.0735742165763677</v>
      </c>
    </row>
    <row r="127" customFormat="false" ht="13.8" hidden="false" customHeight="false" outlineLevel="0" collapsed="false">
      <c r="B127" s="2" t="n">
        <v>125</v>
      </c>
      <c r="C127" s="2" t="n">
        <v>0.0553739653166521</v>
      </c>
      <c r="D127" s="2" t="n">
        <v>0.0779702000578336</v>
      </c>
      <c r="E127" s="2" t="n">
        <v>0.0583154286879514</v>
      </c>
    </row>
    <row r="128" customFormat="false" ht="13.8" hidden="false" customHeight="false" outlineLevel="0" collapsed="false">
      <c r="B128" s="2" t="n">
        <v>126</v>
      </c>
      <c r="C128" s="2" t="n">
        <v>0.0910593097426133</v>
      </c>
      <c r="D128" s="2" t="n">
        <v>0.107632953678942</v>
      </c>
      <c r="E128" s="2" t="n">
        <v>0.0896095676013418</v>
      </c>
    </row>
    <row r="129" customFormat="false" ht="13.8" hidden="false" customHeight="false" outlineLevel="0" collapsed="false">
      <c r="B129" s="2" t="n">
        <v>127</v>
      </c>
      <c r="C129" s="2" t="n">
        <v>0.0853411340519483</v>
      </c>
      <c r="D129" s="2" t="n">
        <v>0.13729570730005</v>
      </c>
      <c r="E129" s="2" t="n">
        <v>0.0773405810434266</v>
      </c>
    </row>
    <row r="130" customFormat="false" ht="13.8" hidden="false" customHeight="false" outlineLevel="0" collapsed="false">
      <c r="B130" s="2" t="n">
        <v>128</v>
      </c>
      <c r="C130" s="2" t="n">
        <v>0.107425073303973</v>
      </c>
      <c r="D130" s="2" t="n">
        <v>0.166958460921159</v>
      </c>
      <c r="E130" s="2" t="n">
        <v>0.0951817921880773</v>
      </c>
    </row>
    <row r="131" customFormat="false" ht="13.8" hidden="false" customHeight="false" outlineLevel="0" collapsed="false">
      <c r="B131" s="2" t="n">
        <v>129</v>
      </c>
      <c r="C131" s="2" t="n">
        <v>0.131172790294293</v>
      </c>
      <c r="D131" s="2" t="n">
        <v>0.0567514166666667</v>
      </c>
      <c r="E131" s="2" t="n">
        <v>0.10245878019592</v>
      </c>
    </row>
    <row r="132" customFormat="false" ht="13.8" hidden="false" customHeight="false" outlineLevel="0" collapsed="false">
      <c r="B132" s="2" t="n">
        <v>130</v>
      </c>
      <c r="C132" s="2" t="n">
        <v>0.138045839867755</v>
      </c>
      <c r="D132" s="2" t="n">
        <v>0.0782515</v>
      </c>
      <c r="E132" s="2" t="n">
        <v>0.115454658681394</v>
      </c>
    </row>
    <row r="133" customFormat="false" ht="13.8" hidden="false" customHeight="false" outlineLevel="0" collapsed="false">
      <c r="B133" s="2" t="n">
        <v>131</v>
      </c>
      <c r="C133" s="2" t="n">
        <v>0.142715198059011</v>
      </c>
      <c r="D133" s="2" t="n">
        <v>0.0462157848248537</v>
      </c>
      <c r="E133" s="2" t="n">
        <v>0.118628510227513</v>
      </c>
    </row>
    <row r="134" customFormat="false" ht="13.8" hidden="false" customHeight="false" outlineLevel="0" collapsed="false">
      <c r="B134" s="2" t="n">
        <v>132</v>
      </c>
      <c r="C134" s="2" t="n">
        <v>0.173222556550903</v>
      </c>
      <c r="D134" s="2" t="n">
        <v>0.0765018666666667</v>
      </c>
      <c r="E134" s="2" t="n">
        <v>0.134047497837264</v>
      </c>
    </row>
    <row r="135" customFormat="false" ht="13.8" hidden="false" customHeight="false" outlineLevel="0" collapsed="false">
      <c r="B135" s="2" t="n">
        <v>133</v>
      </c>
      <c r="C135" s="2" t="n">
        <v>0.165768729499183</v>
      </c>
      <c r="D135" s="2" t="n">
        <v>0.0670020666666667</v>
      </c>
      <c r="E135" s="2" t="n">
        <v>0.136926185638697</v>
      </c>
    </row>
    <row r="136" customFormat="false" ht="13.8" hidden="false" customHeight="false" outlineLevel="0" collapsed="false">
      <c r="B136" s="2" t="n">
        <v>134</v>
      </c>
      <c r="C136" s="2" t="n">
        <v>0.191541721889119</v>
      </c>
      <c r="D136" s="2" t="n">
        <v>0.0471690833333333</v>
      </c>
      <c r="E136" s="2" t="n">
        <v>0.140629345176042</v>
      </c>
    </row>
    <row r="137" customFormat="false" ht="13.8" hidden="false" customHeight="false" outlineLevel="0" collapsed="false">
      <c r="B137" s="2" t="n">
        <v>135</v>
      </c>
      <c r="C137" s="2" t="n">
        <v>0.182052919454881</v>
      </c>
      <c r="D137" s="2" t="n">
        <v>0.027599868445907</v>
      </c>
      <c r="E137" s="2" t="n">
        <v>0.15035648358486</v>
      </c>
    </row>
    <row r="138" customFormat="false" ht="13.8" hidden="false" customHeight="false" outlineLevel="0" collapsed="false">
      <c r="B138" s="2" t="n">
        <v>136</v>
      </c>
      <c r="C138" s="2" t="n">
        <v>0.207819300964159</v>
      </c>
      <c r="D138" s="2" t="n">
        <v>0.0906521166666667</v>
      </c>
      <c r="E138" s="2" t="n">
        <v>0.162352326591455</v>
      </c>
    </row>
    <row r="139" customFormat="false" ht="13.8" hidden="false" customHeight="false" outlineLevel="0" collapsed="false">
      <c r="B139" s="2" t="n">
        <v>137</v>
      </c>
      <c r="C139" s="2" t="n">
        <v>0.19848770920863</v>
      </c>
      <c r="D139" s="2" t="n">
        <v>0.0520256419820676</v>
      </c>
      <c r="E139" s="2" t="n">
        <v>0.168609405100795</v>
      </c>
    </row>
    <row r="140" customFormat="false" ht="13.8" hidden="false" customHeight="false" outlineLevel="0" collapsed="false">
      <c r="B140" s="2" t="n">
        <v>138</v>
      </c>
      <c r="C140" s="2" t="n">
        <v>0.219984599996284</v>
      </c>
      <c r="D140" s="2" t="n">
        <v>0.0943680666666668</v>
      </c>
      <c r="E140" s="2" t="n">
        <v>0.172962053444929</v>
      </c>
    </row>
    <row r="141" customFormat="false" ht="13.8" hidden="false" customHeight="false" outlineLevel="0" collapsed="false">
      <c r="B141" s="2" t="n">
        <v>139</v>
      </c>
      <c r="C141" s="2" t="n">
        <v>0.204575507842282</v>
      </c>
      <c r="D141" s="2" t="n">
        <v>0.0533681833333336</v>
      </c>
      <c r="E141" s="2" t="n">
        <v>0.176025893939718</v>
      </c>
    </row>
    <row r="142" customFormat="false" ht="13.8" hidden="false" customHeight="false" outlineLevel="0" collapsed="false">
      <c r="B142" s="2" t="n">
        <v>140</v>
      </c>
      <c r="C142" s="2" t="n">
        <v>0.230089361166166</v>
      </c>
      <c r="D142" s="2" t="n">
        <v>0.0679747372211143</v>
      </c>
      <c r="E142" s="2" t="n">
        <v>0.176986960586946</v>
      </c>
    </row>
    <row r="143" customFormat="false" ht="13.8" hidden="false" customHeight="false" outlineLevel="0" collapsed="false">
      <c r="B143" s="2" t="n">
        <v>141</v>
      </c>
      <c r="C143" s="2" t="n">
        <v>0.211473312117961</v>
      </c>
      <c r="D143" s="2" t="n">
        <v>0.0337059981800058</v>
      </c>
      <c r="E143" s="2" t="n">
        <v>0.180007372758507</v>
      </c>
    </row>
    <row r="144" customFormat="false" ht="13.8" hidden="false" customHeight="false" outlineLevel="0" collapsed="false">
      <c r="B144" s="2" t="n">
        <v>142</v>
      </c>
      <c r="C144" s="2" t="n">
        <v>0.232122962940467</v>
      </c>
      <c r="D144" s="2" t="n">
        <v>0.115534735227976</v>
      </c>
      <c r="E144" s="2" t="n">
        <v>0.182509009359898</v>
      </c>
    </row>
    <row r="145" customFormat="false" ht="13.8" hidden="false" customHeight="false" outlineLevel="0" collapsed="false">
      <c r="B145" s="2" t="n">
        <v>143</v>
      </c>
      <c r="C145" s="2" t="n">
        <v>0.235822756037837</v>
      </c>
      <c r="D145" s="2" t="n">
        <v>0.0884418236141069</v>
      </c>
      <c r="E145" s="2" t="n">
        <v>0.197936013878479</v>
      </c>
    </row>
    <row r="146" customFormat="false" ht="13.8" hidden="false" customHeight="false" outlineLevel="0" collapsed="false">
      <c r="B146" s="2" t="n">
        <v>144</v>
      </c>
      <c r="C146" s="2" t="n">
        <v>0.223621009936927</v>
      </c>
      <c r="D146" s="2" t="n">
        <v>0.185361926414191</v>
      </c>
      <c r="E146" s="2" t="n">
        <v>0.23027986183287</v>
      </c>
    </row>
    <row r="147" customFormat="false" ht="13.8" hidden="false" customHeight="false" outlineLevel="0" collapsed="false">
      <c r="B147" s="2" t="n">
        <v>145</v>
      </c>
      <c r="C147" s="2" t="n">
        <v>0.222468480100812</v>
      </c>
      <c r="D147" s="2" t="n">
        <v>0.216795123330185</v>
      </c>
      <c r="E147" s="2" t="n">
        <v>0.189718569749113</v>
      </c>
    </row>
    <row r="148" customFormat="false" ht="13.8" hidden="false" customHeight="false" outlineLevel="0" collapsed="false">
      <c r="B148" s="2" t="n">
        <v>146</v>
      </c>
      <c r="C148" s="2" t="n">
        <v>0.216569061555974</v>
      </c>
      <c r="D148" s="2" t="n">
        <v>0.391938661553735</v>
      </c>
      <c r="E148" s="2" t="n">
        <v>0.186309597569217</v>
      </c>
    </row>
    <row r="149" customFormat="false" ht="13.8" hidden="false" customHeight="false" outlineLevel="0" collapsed="false">
      <c r="B149" s="2" t="n">
        <v>147</v>
      </c>
      <c r="C149" s="2" t="n">
        <v>0.244807557492016</v>
      </c>
      <c r="D149" s="2" t="n">
        <v>0.38539260517036</v>
      </c>
      <c r="E149" s="2" t="n">
        <v>0.198196035700685</v>
      </c>
    </row>
    <row r="150" customFormat="false" ht="13.8" hidden="false" customHeight="false" outlineLevel="0" collapsed="false">
      <c r="B150" s="2" t="n">
        <v>148</v>
      </c>
      <c r="C150" s="2" t="n">
        <v>0.425399706342731</v>
      </c>
      <c r="D150" s="2" t="n">
        <v>0.378846548786986</v>
      </c>
      <c r="E150" s="2" t="n">
        <v>0.169761046766836</v>
      </c>
    </row>
    <row r="151" customFormat="false" ht="13.8" hidden="false" customHeight="false" outlineLevel="0" collapsed="false">
      <c r="B151" s="2" t="n">
        <v>149</v>
      </c>
      <c r="C151" s="2" t="n">
        <v>0.418049262021392</v>
      </c>
      <c r="D151" s="2" t="n">
        <v>0.372300492403612</v>
      </c>
      <c r="E151" s="2" t="n">
        <v>0.338574714970605</v>
      </c>
    </row>
    <row r="152" customFormat="false" ht="13.8" hidden="false" customHeight="false" outlineLevel="0" collapsed="false">
      <c r="B152" s="2" t="n">
        <v>150</v>
      </c>
      <c r="C152" s="2" t="n">
        <v>0.402749335088908</v>
      </c>
      <c r="D152" s="2" t="n">
        <v>0.358674896455516</v>
      </c>
      <c r="E152" s="2" t="n">
        <v>0.422674861084988</v>
      </c>
    </row>
    <row r="153" customFormat="false" ht="13.8" hidden="false" customHeight="false" outlineLevel="0" collapsed="false">
      <c r="B153" s="2" t="n">
        <v>151</v>
      </c>
      <c r="C153" s="2" t="n">
        <v>0.387449408156423</v>
      </c>
      <c r="D153" s="2" t="n">
        <v>0.34504930050742</v>
      </c>
      <c r="E153" s="2" t="n">
        <v>0.406617989161486</v>
      </c>
    </row>
    <row r="154" customFormat="false" ht="13.8" hidden="false" customHeight="false" outlineLevel="0" collapsed="false">
      <c r="B154" s="2" t="n">
        <v>152</v>
      </c>
      <c r="C154" s="2" t="n">
        <v>0.372149481223939</v>
      </c>
      <c r="D154" s="2" t="n">
        <v>0.331423704559324</v>
      </c>
      <c r="E154" s="2" t="n">
        <v>0.390561117237984</v>
      </c>
    </row>
    <row r="155" customFormat="false" ht="13.8" hidden="false" customHeight="false" outlineLevel="0" collapsed="false">
      <c r="B155" s="2" t="n">
        <v>153</v>
      </c>
      <c r="C155" s="2" t="n">
        <v>0.356849554291455</v>
      </c>
      <c r="D155" s="2" t="n">
        <v>0.317798108611229</v>
      </c>
      <c r="E155" s="2" t="n">
        <v>0.374504245314482</v>
      </c>
    </row>
    <row r="156" customFormat="false" ht="13.8" hidden="false" customHeight="false" outlineLevel="0" collapsed="false">
      <c r="B156" s="2" t="n">
        <v>154</v>
      </c>
      <c r="C156" s="2" t="n">
        <v>0.328624459361073</v>
      </c>
      <c r="D156" s="2" t="n">
        <v>0.292661796469665</v>
      </c>
      <c r="E156" s="2" t="n">
        <v>0.344882748667749</v>
      </c>
    </row>
    <row r="157" customFormat="false" ht="13.8" hidden="false" customHeight="false" outlineLevel="0" collapsed="false">
      <c r="B157" s="2" t="n">
        <v>155</v>
      </c>
      <c r="C157" s="2" t="n">
        <v>0.300399364430691</v>
      </c>
      <c r="D157" s="2" t="n">
        <v>0.267525484328102</v>
      </c>
      <c r="E157" s="2" t="n">
        <v>0.315261252021017</v>
      </c>
    </row>
    <row r="158" customFormat="false" ht="13.8" hidden="false" customHeight="false" outlineLevel="0" collapsed="false">
      <c r="B158" s="2" t="n">
        <v>156</v>
      </c>
      <c r="C158" s="2" t="n">
        <v>0.27217426950031</v>
      </c>
      <c r="D158" s="2" t="n">
        <v>0.242389172186539</v>
      </c>
      <c r="E158" s="2" t="n">
        <v>0.285639755374285</v>
      </c>
    </row>
    <row r="159" customFormat="false" ht="13.8" hidden="false" customHeight="false" outlineLevel="0" collapsed="false">
      <c r="B159" s="2" t="n">
        <v>157</v>
      </c>
      <c r="C159" s="2" t="n">
        <v>0.243949174569928</v>
      </c>
      <c r="D159" s="2" t="n">
        <v>0.217252860044975</v>
      </c>
      <c r="E159" s="2" t="n">
        <v>0.256018258727552</v>
      </c>
    </row>
    <row r="160" customFormat="false" ht="13.8" hidden="false" customHeight="false" outlineLevel="0" collapsed="false">
      <c r="B160" s="2" t="n">
        <v>158</v>
      </c>
      <c r="C160" s="2" t="n">
        <v>0.224213002343297</v>
      </c>
      <c r="D160" s="2" t="n">
        <v>0.199676494516644</v>
      </c>
      <c r="E160" s="2" t="n">
        <v>0.23530566375232</v>
      </c>
    </row>
    <row r="161" customFormat="false" ht="13.8" hidden="false" customHeight="false" outlineLevel="0" collapsed="false">
      <c r="B161" s="2" t="n">
        <v>159</v>
      </c>
      <c r="C161" s="2" t="n">
        <v>0.204476830116665</v>
      </c>
      <c r="D161" s="2" t="n">
        <v>0.182100128988312</v>
      </c>
      <c r="E161" s="2" t="n">
        <v>0.214593068777087</v>
      </c>
    </row>
    <row r="162" customFormat="false" ht="13.8" hidden="false" customHeight="false" outlineLevel="0" collapsed="false">
      <c r="B162" s="2" t="n">
        <v>160</v>
      </c>
      <c r="C162" s="2" t="n">
        <v>0.184740657890034</v>
      </c>
      <c r="D162" s="2" t="n">
        <v>0.16452376345998</v>
      </c>
      <c r="E162" s="2" t="n">
        <v>0.193880473801855</v>
      </c>
    </row>
    <row r="163" customFormat="false" ht="13.8" hidden="false" customHeight="false" outlineLevel="0" collapsed="false">
      <c r="B163" s="2" t="n">
        <v>161</v>
      </c>
      <c r="C163" s="2" t="n">
        <v>0.165004485663403</v>
      </c>
      <c r="D163" s="2" t="n">
        <v>0.146947397931649</v>
      </c>
      <c r="E163" s="2" t="n">
        <v>0.173167878826622</v>
      </c>
    </row>
    <row r="164" customFormat="false" ht="13.8" hidden="false" customHeight="false" outlineLevel="0" collapsed="false">
      <c r="B164" s="2" t="n">
        <v>162</v>
      </c>
      <c r="C164" s="2" t="n">
        <v>0.140527964521014</v>
      </c>
      <c r="D164" s="2" t="n">
        <v>0.125149438452958</v>
      </c>
      <c r="E164" s="2" t="n">
        <v>0.147480412026908</v>
      </c>
    </row>
    <row r="165" customFormat="false" ht="13.8" hidden="false" customHeight="false" outlineLevel="0" collapsed="false">
      <c r="B165" s="2" t="n">
        <v>163</v>
      </c>
      <c r="C165" s="2" t="n">
        <v>0.116051443378625</v>
      </c>
      <c r="D165" s="2" t="n">
        <v>0.103351478974267</v>
      </c>
      <c r="E165" s="2" t="n">
        <v>0.121792945227195</v>
      </c>
    </row>
    <row r="166" customFormat="false" ht="13.8" hidden="false" customHeight="false" outlineLevel="0" collapsed="false">
      <c r="B166" s="2" t="n">
        <v>164</v>
      </c>
      <c r="C166" s="2" t="n">
        <v>0.0915749222362365</v>
      </c>
      <c r="D166" s="2" t="n">
        <v>0.0815535194955781</v>
      </c>
      <c r="E166" s="2" t="n">
        <v>0.096105478427481</v>
      </c>
    </row>
    <row r="167" customFormat="false" ht="13.8" hidden="false" customHeight="false" outlineLevel="0" collapsed="false">
      <c r="B167" s="2" t="n">
        <v>165</v>
      </c>
      <c r="C167" s="2" t="n">
        <v>0.0670984010938491</v>
      </c>
      <c r="D167" s="2" t="n">
        <v>0.0597555600168861</v>
      </c>
      <c r="E167" s="2" t="n">
        <v>0.0704180116277674</v>
      </c>
    </row>
    <row r="168" customFormat="false" ht="13.8" hidden="false" customHeight="false" outlineLevel="0" collapsed="false">
      <c r="B168" s="2" t="n">
        <v>166</v>
      </c>
      <c r="C168" s="2" t="n">
        <v>0.0503283852970973</v>
      </c>
      <c r="D168" s="2" t="n">
        <v>0.0448207527921173</v>
      </c>
      <c r="E168" s="2" t="n">
        <v>0.0528183200088607</v>
      </c>
    </row>
    <row r="169" customFormat="false" ht="13.8" hidden="false" customHeight="false" outlineLevel="0" collapsed="false">
      <c r="B169" s="2" t="n">
        <v>167</v>
      </c>
      <c r="C169" s="2" t="n">
        <v>0.0335583695003456</v>
      </c>
      <c r="D169" s="2" t="n">
        <v>0.0298859455673452</v>
      </c>
      <c r="E169" s="2" t="n">
        <v>0.0352186283899524</v>
      </c>
    </row>
    <row r="170" customFormat="false" ht="13.8" hidden="false" customHeight="false" outlineLevel="0" collapsed="false">
      <c r="B170" s="2" t="n">
        <v>168</v>
      </c>
      <c r="C170" s="2" t="n">
        <v>0.0167883537035938</v>
      </c>
      <c r="D170" s="2" t="n">
        <v>0.0149511383425766</v>
      </c>
      <c r="E170" s="2" t="n">
        <v>0.0176189367710442</v>
      </c>
    </row>
    <row r="171" customFormat="false" ht="13.8" hidden="false" customHeight="false" outlineLevel="0" collapsed="false">
      <c r="B171" s="2" t="n">
        <v>169</v>
      </c>
      <c r="C171" s="2" t="n">
        <v>1.83379068420597E-005</v>
      </c>
      <c r="D171" s="2" t="n">
        <v>1.63311178062968E-005</v>
      </c>
      <c r="E171" s="2" t="n">
        <v>1.92451521360947E-005</v>
      </c>
    </row>
    <row r="172" customFormat="false" ht="13.8" hidden="false" customHeight="false" outlineLevel="0" collapsed="false">
      <c r="B172" s="2" t="n">
        <v>170</v>
      </c>
      <c r="C172" s="2" t="n">
        <v>1.37534301349079E-005</v>
      </c>
      <c r="D172" s="2" t="n">
        <v>1.22483399276839E-005</v>
      </c>
      <c r="E172" s="2" t="n">
        <v>1.44338655760265E-005</v>
      </c>
    </row>
    <row r="173" customFormat="false" ht="13.8" hidden="false" customHeight="false" outlineLevel="0" collapsed="false">
      <c r="B173" s="2" t="n">
        <v>171</v>
      </c>
      <c r="C173" s="2" t="n">
        <v>9.16895636526897E-006</v>
      </c>
      <c r="D173" s="2" t="n">
        <v>8.16556568412964E-006</v>
      </c>
      <c r="E173" s="2" t="n">
        <v>9.62258399135009E-006</v>
      </c>
    </row>
    <row r="174" customFormat="false" ht="13.8" hidden="false" customHeight="false" outlineLevel="0" collapsed="false">
      <c r="B174" s="2" t="n">
        <v>172</v>
      </c>
      <c r="C174" s="2" t="n">
        <v>4.57763300476427E-006</v>
      </c>
      <c r="D174" s="2" t="n">
        <v>4.09082640770657E-006</v>
      </c>
      <c r="E174" s="2" t="n">
        <v>4.80385654857527E-006</v>
      </c>
    </row>
    <row r="175" customFormat="false" ht="13.8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</v>
      </c>
    </row>
    <row r="179" customFormat="false" ht="13.8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0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</v>
      </c>
    </row>
    <row r="191" customFormat="false" ht="13.8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</v>
      </c>
    </row>
    <row r="202" customFormat="false" ht="13.8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0.00366605320728834</v>
      </c>
      <c r="D216" s="2" t="n">
        <v>0.00326486263282407</v>
      </c>
      <c r="E216" s="2" t="n">
        <v>0.00384742666248574</v>
      </c>
    </row>
    <row r="217" customFormat="false" ht="13.8" hidden="false" customHeight="false" outlineLevel="0" collapsed="false">
      <c r="B217" s="2" t="n">
        <v>215</v>
      </c>
      <c r="C217" s="2" t="n">
        <v>0.00733210641454317</v>
      </c>
      <c r="D217" s="2" t="n">
        <v>0.00652972526561354</v>
      </c>
      <c r="E217" s="2" t="n">
        <v>0.00769485332493952</v>
      </c>
    </row>
    <row r="218" customFormat="false" ht="13.8" hidden="false" customHeight="false" outlineLevel="0" collapsed="false">
      <c r="B218" s="2" t="n">
        <v>216</v>
      </c>
      <c r="C218" s="2" t="n">
        <v>0.010998159621798</v>
      </c>
      <c r="D218" s="2" t="n">
        <v>0.00979458789840301</v>
      </c>
      <c r="E218" s="2" t="n">
        <v>0.0115422799873933</v>
      </c>
    </row>
    <row r="219" customFormat="false" ht="13.8" hidden="false" customHeight="false" outlineLevel="0" collapsed="false">
      <c r="B219" s="2" t="n">
        <v>217</v>
      </c>
      <c r="C219" s="2" t="n">
        <v>0.0146642128290528</v>
      </c>
      <c r="D219" s="2" t="n">
        <v>0.0130594505311925</v>
      </c>
      <c r="E219" s="2" t="n">
        <v>0.015389706649847</v>
      </c>
    </row>
    <row r="220" customFormat="false" ht="13.8" hidden="false" customHeight="false" outlineLevel="0" collapsed="false">
      <c r="B220" s="2" t="n">
        <v>218</v>
      </c>
      <c r="C220" s="2" t="n">
        <v>0.0331839705692429</v>
      </c>
      <c r="D220" s="2" t="n">
        <v>0.0295525185790333</v>
      </c>
      <c r="E220" s="2" t="n">
        <v>0.0348257065340789</v>
      </c>
    </row>
    <row r="221" customFormat="false" ht="13.8" hidden="false" customHeight="false" outlineLevel="0" collapsed="false">
      <c r="B221" s="2" t="n">
        <v>219</v>
      </c>
      <c r="C221" s="2" t="n">
        <v>0.0517037283094331</v>
      </c>
      <c r="D221" s="2" t="n">
        <v>0.0460455866268741</v>
      </c>
      <c r="E221" s="2" t="n">
        <v>0.0450429617450121</v>
      </c>
    </row>
    <row r="222" customFormat="false" ht="13.8" hidden="false" customHeight="false" outlineLevel="0" collapsed="false">
      <c r="B222" s="2" t="n">
        <v>220</v>
      </c>
      <c r="C222" s="2" t="n">
        <v>0.0613251378345635</v>
      </c>
      <c r="D222" s="2" t="n">
        <v>0.0625386546683241</v>
      </c>
      <c r="E222" s="2" t="n">
        <v>0.0475346</v>
      </c>
    </row>
    <row r="223" customFormat="false" ht="13.8" hidden="false" customHeight="false" outlineLevel="0" collapsed="false">
      <c r="B223" s="2" t="n">
        <v>221</v>
      </c>
      <c r="C223" s="2" t="n">
        <v>0.0767139473765563</v>
      </c>
      <c r="D223" s="2" t="n">
        <v>0.0790317227144891</v>
      </c>
      <c r="E223" s="2" t="n">
        <v>0.0448759841331267</v>
      </c>
    </row>
    <row r="224" customFormat="false" ht="13.8" hidden="false" customHeight="false" outlineLevel="0" collapsed="false">
      <c r="B224" s="2" t="n">
        <v>222</v>
      </c>
      <c r="C224" s="2" t="n">
        <v>0.0807591421735714</v>
      </c>
      <c r="D224" s="2" t="n">
        <v>0.106154987518522</v>
      </c>
      <c r="E224" s="2" t="n">
        <v>0.0666507307655274</v>
      </c>
    </row>
    <row r="225" customFormat="false" ht="13.8" hidden="false" customHeight="false" outlineLevel="0" collapsed="false">
      <c r="B225" s="2" t="n">
        <v>223</v>
      </c>
      <c r="C225" s="2" t="n">
        <v>0.100546623024795</v>
      </c>
      <c r="D225" s="2" t="n">
        <v>0.133278252322554</v>
      </c>
      <c r="E225" s="2" t="n">
        <v>0.0609606942792027</v>
      </c>
    </row>
    <row r="226" customFormat="false" ht="13.8" hidden="false" customHeight="false" outlineLevel="0" collapsed="false">
      <c r="B226" s="2" t="n">
        <v>224</v>
      </c>
      <c r="C226" s="2" t="n">
        <v>0.105096135369671</v>
      </c>
      <c r="D226" s="2" t="n">
        <v>0.160401517126586</v>
      </c>
      <c r="E226" s="2" t="n">
        <v>0.0861602157743373</v>
      </c>
    </row>
    <row r="227" customFormat="false" ht="13.8" hidden="false" customHeight="false" outlineLevel="0" collapsed="false">
      <c r="B227" s="2" t="n">
        <v>225</v>
      </c>
      <c r="C227" s="2" t="n">
        <v>0.127371698502057</v>
      </c>
      <c r="D227" s="2" t="n">
        <v>0.0582517333333333</v>
      </c>
      <c r="E227" s="2" t="n">
        <v>0.0984877443708582</v>
      </c>
    </row>
    <row r="228" customFormat="false" ht="13.8" hidden="false" customHeight="false" outlineLevel="0" collapsed="false">
      <c r="B228" s="2" t="n">
        <v>226</v>
      </c>
      <c r="C228" s="2" t="n">
        <v>0.131410348430872</v>
      </c>
      <c r="D228" s="2" t="n">
        <v>0.210805565006271</v>
      </c>
      <c r="E228" s="2" t="n">
        <v>0.102963559680327</v>
      </c>
    </row>
    <row r="229" customFormat="false" ht="13.8" hidden="false" customHeight="false" outlineLevel="0" collapsed="false">
      <c r="B229" s="2" t="n">
        <v>227</v>
      </c>
      <c r="C229" s="2" t="n">
        <v>0.149981410759596</v>
      </c>
      <c r="D229" s="2" t="n">
        <v>0.0520850833333333</v>
      </c>
      <c r="E229" s="2" t="n">
        <v>0.115784486456322</v>
      </c>
    </row>
    <row r="230" customFormat="false" ht="13.8" hidden="false" customHeight="false" outlineLevel="0" collapsed="false">
      <c r="B230" s="2" t="n">
        <v>228</v>
      </c>
      <c r="C230" s="2" t="n">
        <v>0.145505935587328</v>
      </c>
      <c r="D230" s="2" t="n">
        <v>0.0925018333333334</v>
      </c>
      <c r="E230" s="2" t="n">
        <v>0.126957343236507</v>
      </c>
    </row>
    <row r="231" customFormat="false" ht="13.8" hidden="false" customHeight="false" outlineLevel="0" collapsed="false">
      <c r="B231" s="2" t="n">
        <v>229</v>
      </c>
      <c r="C231" s="2" t="n">
        <v>0.165846126730231</v>
      </c>
      <c r="D231" s="2" t="n">
        <v>0.0532644794868855</v>
      </c>
      <c r="E231" s="2" t="n">
        <v>0.151035871358815</v>
      </c>
    </row>
    <row r="232" customFormat="false" ht="13.8" hidden="false" customHeight="false" outlineLevel="0" collapsed="false">
      <c r="B232" s="2" t="n">
        <v>230</v>
      </c>
      <c r="C232" s="2" t="n">
        <v>0.181801863595426</v>
      </c>
      <c r="D232" s="2" t="n">
        <v>0.08930205</v>
      </c>
      <c r="E232" s="2" t="n">
        <v>0.149489945350182</v>
      </c>
    </row>
    <row r="233" customFormat="false" ht="13.8" hidden="false" customHeight="false" outlineLevel="0" collapsed="false">
      <c r="B233" s="2" t="n">
        <v>231</v>
      </c>
      <c r="C233" s="2" t="n">
        <v>0.189964625437847</v>
      </c>
      <c r="D233" s="2" t="n">
        <v>0.0515850746514375</v>
      </c>
      <c r="E233" s="2" t="n">
        <v>0.156788250461347</v>
      </c>
    </row>
    <row r="234" customFormat="false" ht="13.8" hidden="false" customHeight="false" outlineLevel="0" collapsed="false">
      <c r="B234" s="2" t="n">
        <v>232</v>
      </c>
      <c r="C234" s="2" t="n">
        <v>0.200632852504578</v>
      </c>
      <c r="D234" s="2" t="n">
        <v>0.0939515333333335</v>
      </c>
      <c r="E234" s="2" t="n">
        <v>0.166535397503496</v>
      </c>
    </row>
    <row r="235" customFormat="false" ht="13.8" hidden="false" customHeight="false" outlineLevel="0" collapsed="false">
      <c r="B235" s="2" t="n">
        <v>233</v>
      </c>
      <c r="C235" s="2" t="n">
        <v>0.205580538681215</v>
      </c>
      <c r="D235" s="2" t="n">
        <v>0.0367981479350377</v>
      </c>
      <c r="E235" s="2" t="n">
        <v>0.165860029691744</v>
      </c>
    </row>
    <row r="236" customFormat="false" ht="13.8" hidden="false" customHeight="false" outlineLevel="0" collapsed="false">
      <c r="B236" s="2" t="n">
        <v>234</v>
      </c>
      <c r="C236" s="2" t="n">
        <v>0.211901533602927</v>
      </c>
      <c r="D236" s="2" t="n">
        <v>0.083834666666667</v>
      </c>
      <c r="E236" s="2" t="n">
        <v>0.176288319118364</v>
      </c>
    </row>
    <row r="237" customFormat="false" ht="13.8" hidden="false" customHeight="false" outlineLevel="0" collapsed="false">
      <c r="B237" s="2" t="n">
        <v>235</v>
      </c>
      <c r="C237" s="2" t="n">
        <v>0.213561774327079</v>
      </c>
      <c r="D237" s="2" t="n">
        <v>0.0545015500000006</v>
      </c>
      <c r="E237" s="2" t="n">
        <v>0.173405025759333</v>
      </c>
    </row>
    <row r="238" customFormat="false" ht="13.8" hidden="false" customHeight="false" outlineLevel="0" collapsed="false">
      <c r="B238" s="2" t="n">
        <v>236</v>
      </c>
      <c r="C238" s="2" t="n">
        <v>0.221089878125285</v>
      </c>
      <c r="D238" s="2" t="n">
        <v>0.0733192765744584</v>
      </c>
      <c r="E238" s="2" t="n">
        <v>0.183561814227687</v>
      </c>
    </row>
    <row r="239" customFormat="false" ht="13.8" hidden="false" customHeight="false" outlineLevel="0" collapsed="false">
      <c r="B239" s="2" t="n">
        <v>237</v>
      </c>
      <c r="C239" s="2" t="n">
        <v>0.224231065345974</v>
      </c>
      <c r="D239" s="2" t="n">
        <v>0.108063963460093</v>
      </c>
      <c r="E239" s="2" t="n">
        <v>0.181254495532604</v>
      </c>
    </row>
    <row r="240" customFormat="false" ht="13.8" hidden="false" customHeight="false" outlineLevel="0" collapsed="false">
      <c r="B240" s="2" t="n">
        <v>238</v>
      </c>
      <c r="C240" s="2" t="n">
        <v>0.227323191721244</v>
      </c>
      <c r="D240" s="2" t="n">
        <v>0.100723108965119</v>
      </c>
      <c r="E240" s="2" t="n">
        <v>0.189433740007164</v>
      </c>
    </row>
    <row r="241" customFormat="false" ht="13.8" hidden="false" customHeight="false" outlineLevel="0" collapsed="false">
      <c r="B241" s="2" t="n">
        <v>239</v>
      </c>
      <c r="C241" s="2" t="n">
        <v>0.225989893508852</v>
      </c>
      <c r="D241" s="2" t="n">
        <v>0.178925908871824</v>
      </c>
      <c r="E241" s="2" t="n">
        <v>0.188213440325866</v>
      </c>
    </row>
    <row r="242" customFormat="false" ht="13.8" hidden="false" customHeight="false" outlineLevel="0" collapsed="false">
      <c r="B242" s="2" t="n">
        <v>240</v>
      </c>
      <c r="C242" s="2" t="n">
        <v>0.219335445706544</v>
      </c>
      <c r="D242" s="2" t="n">
        <v>0.236376724963513</v>
      </c>
      <c r="E242" s="2" t="n">
        <v>0.180390910211696</v>
      </c>
    </row>
    <row r="243" customFormat="false" ht="13.8" hidden="false" customHeight="false" outlineLevel="0" collapsed="false">
      <c r="B243" s="2" t="n">
        <v>241</v>
      </c>
      <c r="C243" s="2" t="n">
        <v>0.23800575453668</v>
      </c>
      <c r="D243" s="2" t="n">
        <v>0.379140256394666</v>
      </c>
      <c r="E243" s="2" t="n">
        <v>0.230565917917952</v>
      </c>
    </row>
    <row r="244" customFormat="false" ht="13.8" hidden="false" customHeight="false" outlineLevel="0" collapsed="false">
      <c r="B244" s="2" t="n">
        <v>242</v>
      </c>
      <c r="C244" s="2" t="n">
        <v>0.321879908471717</v>
      </c>
      <c r="D244" s="2" t="n">
        <v>0.389572010399745</v>
      </c>
      <c r="E244" s="2" t="n">
        <v>0.28733352308095</v>
      </c>
    </row>
    <row r="245" customFormat="false" ht="13.8" hidden="false" customHeight="false" outlineLevel="0" collapsed="false">
      <c r="B245" s="2" t="n">
        <v>243</v>
      </c>
      <c r="C245" s="2" t="n">
        <v>0.431903550632048</v>
      </c>
      <c r="D245" s="2" t="n">
        <v>0.384638651898761</v>
      </c>
      <c r="E245" s="2" t="n">
        <v>0.45327144543942</v>
      </c>
    </row>
    <row r="246" customFormat="false" ht="13.8" hidden="false" customHeight="false" outlineLevel="0" collapsed="false">
      <c r="B246" s="2" t="n">
        <v>244</v>
      </c>
      <c r="C246" s="2" t="n">
        <v>0.426363974610249</v>
      </c>
      <c r="D246" s="2" t="n">
        <v>0.379705293397778</v>
      </c>
      <c r="E246" s="2" t="n">
        <v>0.447457805734797</v>
      </c>
    </row>
    <row r="247" customFormat="false" ht="13.8" hidden="false" customHeight="false" outlineLevel="0" collapsed="false">
      <c r="B247" s="2" t="n">
        <v>245</v>
      </c>
      <c r="C247" s="2" t="n">
        <v>0.420824398588449</v>
      </c>
      <c r="D247" s="2" t="n">
        <v>0.374771934896794</v>
      </c>
      <c r="E247" s="2" t="n">
        <v>0.441644166030173</v>
      </c>
    </row>
    <row r="248" customFormat="false" ht="13.8" hidden="false" customHeight="false" outlineLevel="0" collapsed="false">
      <c r="B248" s="2" t="n">
        <v>246</v>
      </c>
      <c r="C248" s="2" t="n">
        <v>0.408319474288757</v>
      </c>
      <c r="D248" s="2" t="n">
        <v>0.36363547348616</v>
      </c>
      <c r="E248" s="2" t="n">
        <v>0.428520576043156</v>
      </c>
    </row>
    <row r="249" customFormat="false" ht="13.8" hidden="false" customHeight="false" outlineLevel="0" collapsed="false">
      <c r="B249" s="2" t="n">
        <v>247</v>
      </c>
      <c r="C249" s="2" t="n">
        <v>0.395814549989064</v>
      </c>
      <c r="D249" s="2" t="n">
        <v>0.352499012075526</v>
      </c>
      <c r="E249" s="2" t="n">
        <v>0.415396986056139</v>
      </c>
    </row>
    <row r="250" customFormat="false" ht="13.8" hidden="false" customHeight="false" outlineLevel="0" collapsed="false">
      <c r="B250" s="2" t="n">
        <v>248</v>
      </c>
      <c r="C250" s="2" t="n">
        <v>0.383309625689372</v>
      </c>
      <c r="D250" s="2" t="n">
        <v>0.341362550664892</v>
      </c>
      <c r="E250" s="2" t="n">
        <v>0.402273396069122</v>
      </c>
    </row>
    <row r="251" customFormat="false" ht="13.8" hidden="false" customHeight="false" outlineLevel="0" collapsed="false">
      <c r="B251" s="2" t="n">
        <v>249</v>
      </c>
      <c r="C251" s="2" t="n">
        <v>0.37080470138968</v>
      </c>
      <c r="D251" s="2" t="n">
        <v>0.330226089254258</v>
      </c>
      <c r="E251" s="2" t="n">
        <v>0.389149806082104</v>
      </c>
    </row>
    <row r="252" customFormat="false" ht="13.8" hidden="false" customHeight="false" outlineLevel="0" collapsed="false">
      <c r="B252" s="2" t="n">
        <v>250</v>
      </c>
      <c r="C252" s="2" t="n">
        <v>0.348698354705169</v>
      </c>
      <c r="D252" s="2" t="n">
        <v>0.310538926750747</v>
      </c>
      <c r="E252" s="2" t="n">
        <v>0.365949775194631</v>
      </c>
    </row>
    <row r="253" customFormat="false" ht="13.8" hidden="false" customHeight="false" outlineLevel="0" collapsed="false">
      <c r="B253" s="2" t="n">
        <v>251</v>
      </c>
      <c r="C253" s="2" t="n">
        <v>0.326592008020659</v>
      </c>
      <c r="D253" s="2" t="n">
        <v>0.290851764247236</v>
      </c>
      <c r="E253" s="2" t="n">
        <v>0.342749744307158</v>
      </c>
    </row>
    <row r="254" customFormat="false" ht="13.8" hidden="false" customHeight="false" outlineLevel="0" collapsed="false">
      <c r="B254" s="2" t="n">
        <v>252</v>
      </c>
      <c r="C254" s="2" t="n">
        <v>0.304485661336148</v>
      </c>
      <c r="D254" s="2" t="n">
        <v>0.271164601743725</v>
      </c>
      <c r="E254" s="2" t="n">
        <v>0.319549713419685</v>
      </c>
    </row>
    <row r="255" customFormat="false" ht="13.8" hidden="false" customHeight="false" outlineLevel="0" collapsed="false">
      <c r="B255" s="2" t="n">
        <v>253</v>
      </c>
      <c r="C255" s="2" t="n">
        <v>0.282379314651638</v>
      </c>
      <c r="D255" s="2" t="n">
        <v>0.251477439240213</v>
      </c>
      <c r="E255" s="2" t="n">
        <v>0.296349682532212</v>
      </c>
    </row>
    <row r="256" customFormat="false" ht="13.8" hidden="false" customHeight="false" outlineLevel="0" collapsed="false">
      <c r="B256" s="2" t="n">
        <v>254</v>
      </c>
      <c r="C256" s="2" t="n">
        <v>0.220918291749362</v>
      </c>
      <c r="D256" s="2" t="n">
        <v>0.196742337019231</v>
      </c>
      <c r="E256" s="2" t="n">
        <v>0.231847951420412</v>
      </c>
    </row>
    <row r="257" customFormat="false" ht="13.8" hidden="false" customHeight="false" outlineLevel="0" collapsed="false">
      <c r="B257" s="2" t="n">
        <v>255</v>
      </c>
      <c r="C257" s="2" t="n">
        <v>0.159457268847086</v>
      </c>
      <c r="D257" s="2" t="n">
        <v>0.142007234798249</v>
      </c>
      <c r="E257" s="2" t="n">
        <v>0.167346220308613</v>
      </c>
    </row>
    <row r="258" customFormat="false" ht="13.8" hidden="false" customHeight="false" outlineLevel="0" collapsed="false">
      <c r="B258" s="2" t="n">
        <v>256</v>
      </c>
      <c r="C258" s="2" t="n">
        <v>0.0979962459448093</v>
      </c>
      <c r="D258" s="2" t="n">
        <v>0.0872721325772671</v>
      </c>
      <c r="E258" s="2" t="n">
        <v>0.102844489196813</v>
      </c>
    </row>
    <row r="259" customFormat="false" ht="13.8" hidden="false" customHeight="false" outlineLevel="0" collapsed="false">
      <c r="B259" s="2" t="n">
        <v>257</v>
      </c>
      <c r="C259" s="2" t="n">
        <v>0.0365352230425332</v>
      </c>
      <c r="D259" s="2" t="n">
        <v>0.0325370303562861</v>
      </c>
      <c r="E259" s="2" t="n">
        <v>0.0383427580850153</v>
      </c>
    </row>
    <row r="260" customFormat="false" ht="13.8" hidden="false" customHeight="false" outlineLevel="0" collapsed="false">
      <c r="B260" s="2" t="n">
        <v>258</v>
      </c>
      <c r="C260" s="2" t="n">
        <v>0.0311836105657496</v>
      </c>
      <c r="D260" s="2" t="n">
        <v>0.0277710658127157</v>
      </c>
      <c r="E260" s="2" t="n">
        <v>0.0327263811896797</v>
      </c>
    </row>
    <row r="261" customFormat="false" ht="13.8" hidden="false" customHeight="false" outlineLevel="0" collapsed="false">
      <c r="B261" s="2" t="n">
        <v>259</v>
      </c>
      <c r="C261" s="2" t="n">
        <v>0.0258319980889659</v>
      </c>
      <c r="D261" s="2" t="n">
        <v>0.0230051012691453</v>
      </c>
      <c r="E261" s="2" t="n">
        <v>0.0271100042943441</v>
      </c>
    </row>
    <row r="262" customFormat="false" ht="13.8" hidden="false" customHeight="false" outlineLevel="0" collapsed="false">
      <c r="B262" s="2" t="n">
        <v>260</v>
      </c>
      <c r="C262" s="2" t="n">
        <v>0.0204803856121822</v>
      </c>
      <c r="D262" s="2" t="n">
        <v>0.0182391367255749</v>
      </c>
      <c r="E262" s="2" t="n">
        <v>0.0214936273990085</v>
      </c>
    </row>
    <row r="263" customFormat="false" ht="13.8" hidden="false" customHeight="false" outlineLevel="0" collapsed="false">
      <c r="B263" s="2" t="n">
        <v>261</v>
      </c>
      <c r="C263" s="2" t="n">
        <v>0.0151287731353986</v>
      </c>
      <c r="D263" s="2" t="n">
        <v>0.0134731721820045</v>
      </c>
      <c r="E263" s="2" t="n">
        <v>0.0158772505036729</v>
      </c>
    </row>
    <row r="264" customFormat="false" ht="13.8" hidden="false" customHeight="false" outlineLevel="0" collapsed="false">
      <c r="B264" s="2" t="n">
        <v>262</v>
      </c>
      <c r="C264" s="2" t="n">
        <v>0.0113465798515495</v>
      </c>
      <c r="D264" s="2" t="n">
        <v>0.0101048791365059</v>
      </c>
      <c r="E264" s="2" t="n">
        <v>0.0119079378777576</v>
      </c>
    </row>
    <row r="265" customFormat="false" ht="13.8" hidden="false" customHeight="false" outlineLevel="0" collapsed="false">
      <c r="B265" s="2" t="n">
        <v>263</v>
      </c>
      <c r="C265" s="2" t="n">
        <v>0.00756438656770049</v>
      </c>
      <c r="D265" s="2" t="n">
        <v>0.00673658609100729</v>
      </c>
      <c r="E265" s="2" t="n">
        <v>0.00793862525184239</v>
      </c>
    </row>
    <row r="266" customFormat="false" ht="13.8" hidden="false" customHeight="false" outlineLevel="0" collapsed="false">
      <c r="B266" s="2" t="n">
        <v>264</v>
      </c>
      <c r="C266" s="2" t="n">
        <v>0.00378219328385144</v>
      </c>
      <c r="D266" s="2" t="n">
        <v>0.00336829304550869</v>
      </c>
      <c r="E266" s="2" t="n">
        <v>0.00396931262592716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0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0.00478008104723767</v>
      </c>
      <c r="D312" s="2" t="n">
        <v>0.00425697803895375</v>
      </c>
      <c r="E312" s="2" t="n">
        <v>0.00501656965412097</v>
      </c>
    </row>
    <row r="313" customFormat="false" ht="13.8" hidden="false" customHeight="false" outlineLevel="0" collapsed="false">
      <c r="B313" s="2" t="n">
        <v>311</v>
      </c>
      <c r="C313" s="2" t="n">
        <v>0.00956016209446237</v>
      </c>
      <c r="D313" s="2" t="n">
        <v>0.00851395607787208</v>
      </c>
      <c r="E313" s="2" t="n">
        <v>0.0100331393082081</v>
      </c>
    </row>
    <row r="314" customFormat="false" ht="13.8" hidden="false" customHeight="false" outlineLevel="0" collapsed="false">
      <c r="B314" s="2" t="n">
        <v>312</v>
      </c>
      <c r="C314" s="2" t="n">
        <v>0.0143402431416871</v>
      </c>
      <c r="D314" s="2" t="n">
        <v>0.0127709341167904</v>
      </c>
      <c r="E314" s="2" t="n">
        <v>0.0150497089622952</v>
      </c>
    </row>
    <row r="315" customFormat="false" ht="13.8" hidden="false" customHeight="false" outlineLevel="0" collapsed="false">
      <c r="B315" s="2" t="n">
        <v>313</v>
      </c>
      <c r="C315" s="2" t="n">
        <v>0.0191203241889118</v>
      </c>
      <c r="D315" s="2" t="n">
        <v>0.0170279121557087</v>
      </c>
      <c r="E315" s="2" t="n">
        <v>0.0200662786163823</v>
      </c>
    </row>
    <row r="316" customFormat="false" ht="13.8" hidden="false" customHeight="false" outlineLevel="0" collapsed="false">
      <c r="B316" s="2" t="n">
        <v>314</v>
      </c>
      <c r="C316" s="2" t="n">
        <v>0.0347946500525249</v>
      </c>
      <c r="D316" s="2" t="n">
        <v>0.0309869350921478</v>
      </c>
      <c r="E316" s="2" t="n">
        <v>0.0365160723957839</v>
      </c>
    </row>
    <row r="317" customFormat="false" ht="13.8" hidden="false" customHeight="false" outlineLevel="0" collapsed="false">
      <c r="B317" s="2" t="n">
        <v>315</v>
      </c>
      <c r="C317" s="2" t="n">
        <v>0.0504689759161381</v>
      </c>
      <c r="D317" s="2" t="n">
        <v>0.0449459580285868</v>
      </c>
      <c r="E317" s="2" t="n">
        <v>0.0519899788069745</v>
      </c>
    </row>
    <row r="318" customFormat="false" ht="13.8" hidden="false" customHeight="false" outlineLevel="0" collapsed="false">
      <c r="B318" s="2" t="n">
        <v>316</v>
      </c>
      <c r="C318" s="2" t="n">
        <v>0.066143301769578</v>
      </c>
      <c r="D318" s="2" t="n">
        <v>0.0589049809590032</v>
      </c>
      <c r="E318" s="2" t="n">
        <v>0.0694156599545871</v>
      </c>
    </row>
    <row r="319" customFormat="false" ht="13.8" hidden="false" customHeight="false" outlineLevel="0" collapsed="false">
      <c r="B319" s="2" t="n">
        <v>317</v>
      </c>
      <c r="C319" s="2" t="n">
        <v>0.0672464794142779</v>
      </c>
      <c r="D319" s="2" t="n">
        <v>0.0728640039014648</v>
      </c>
      <c r="E319" s="2" t="n">
        <v>0.076765918181402</v>
      </c>
    </row>
    <row r="320" customFormat="false" ht="13.8" hidden="false" customHeight="false" outlineLevel="0" collapsed="false">
      <c r="B320" s="2" t="n">
        <v>318</v>
      </c>
      <c r="C320" s="2" t="n">
        <v>0.0821776576004658</v>
      </c>
      <c r="D320" s="2" t="n">
        <v>0.1017020360665</v>
      </c>
      <c r="E320" s="2" t="n">
        <v>0.0833865332931024</v>
      </c>
    </row>
    <row r="321" customFormat="false" ht="13.8" hidden="false" customHeight="false" outlineLevel="0" collapsed="false">
      <c r="B321" s="2" t="n">
        <v>319</v>
      </c>
      <c r="C321" s="2" t="n">
        <v>0.0829481973997404</v>
      </c>
      <c r="D321" s="2" t="n">
        <v>0.130540068238976</v>
      </c>
      <c r="E321" s="2" t="n">
        <v>0.0645252485764482</v>
      </c>
    </row>
    <row r="322" customFormat="false" ht="13.8" hidden="false" customHeight="false" outlineLevel="0" collapsed="false">
      <c r="B322" s="2" t="n">
        <v>320</v>
      </c>
      <c r="C322" s="2" t="n">
        <v>0.0993911319999668</v>
      </c>
      <c r="D322" s="2" t="n">
        <v>0.158191329594507</v>
      </c>
      <c r="E322" s="2" t="n">
        <v>0.0876070555842937</v>
      </c>
    </row>
    <row r="323" customFormat="false" ht="13.8" hidden="false" customHeight="false" outlineLevel="0" collapsed="false">
      <c r="B323" s="2" t="n">
        <v>321</v>
      </c>
      <c r="C323" s="2" t="n">
        <v>0.123830156393538</v>
      </c>
      <c r="D323" s="2" t="n">
        <v>0.187598073466952</v>
      </c>
      <c r="E323" s="2" t="n">
        <v>0.104803795781049</v>
      </c>
    </row>
    <row r="324" customFormat="false" ht="13.8" hidden="false" customHeight="false" outlineLevel="0" collapsed="false">
      <c r="B324" s="2" t="n">
        <v>322</v>
      </c>
      <c r="C324" s="2" t="n">
        <v>0.135372956942497</v>
      </c>
      <c r="D324" s="2" t="n">
        <v>0.05855165</v>
      </c>
      <c r="E324" s="2" t="n">
        <v>0.115556951244355</v>
      </c>
    </row>
    <row r="325" customFormat="false" ht="13.8" hidden="false" customHeight="false" outlineLevel="0" collapsed="false">
      <c r="B325" s="2" t="n">
        <v>323</v>
      </c>
      <c r="C325" s="2" t="n">
        <v>0.142494899480653</v>
      </c>
      <c r="D325" s="2" t="n">
        <v>0.0812513666666667</v>
      </c>
      <c r="E325" s="2" t="n">
        <v>0.104766708669703</v>
      </c>
    </row>
    <row r="326" customFormat="false" ht="13.8" hidden="false" customHeight="false" outlineLevel="0" collapsed="false">
      <c r="B326" s="2" t="n">
        <v>324</v>
      </c>
      <c r="C326" s="2" t="n">
        <v>0.150092349396217</v>
      </c>
      <c r="D326" s="2" t="n">
        <v>0.0597515333333334</v>
      </c>
      <c r="E326" s="2" t="n">
        <v>0.138417262801148</v>
      </c>
    </row>
    <row r="327" customFormat="false" ht="13.8" hidden="false" customHeight="false" outlineLevel="0" collapsed="false">
      <c r="B327" s="2" t="n">
        <v>325</v>
      </c>
      <c r="C327" s="2" t="n">
        <v>0.151377629782219</v>
      </c>
      <c r="D327" s="2" t="n">
        <v>0.0854562792007274</v>
      </c>
      <c r="E327" s="2" t="n">
        <v>0.126848335713347</v>
      </c>
    </row>
    <row r="328" customFormat="false" ht="13.8" hidden="false" customHeight="false" outlineLevel="0" collapsed="false">
      <c r="B328" s="2" t="n">
        <v>326</v>
      </c>
      <c r="C328" s="2" t="n">
        <v>0.180055538820731</v>
      </c>
      <c r="D328" s="2" t="n">
        <v>0.065428442037253</v>
      </c>
      <c r="E328" s="2" t="n">
        <v>0.155324319894404</v>
      </c>
    </row>
    <row r="329" customFormat="false" ht="13.8" hidden="false" customHeight="false" outlineLevel="0" collapsed="false">
      <c r="B329" s="2" t="n">
        <v>327</v>
      </c>
      <c r="C329" s="2" t="n">
        <v>0.176878024260619</v>
      </c>
      <c r="D329" s="2" t="n">
        <v>0.0833773403150256</v>
      </c>
      <c r="E329" s="2" t="n">
        <v>0.138791208731584</v>
      </c>
    </row>
    <row r="330" customFormat="false" ht="13.8" hidden="false" customHeight="false" outlineLevel="0" collapsed="false">
      <c r="B330" s="2" t="n">
        <v>328</v>
      </c>
      <c r="C330" s="2" t="n">
        <v>0.217450709453261</v>
      </c>
      <c r="D330" s="2" t="n">
        <v>0.0598351166666667</v>
      </c>
      <c r="E330" s="2" t="n">
        <v>0.166715888051703</v>
      </c>
    </row>
    <row r="331" customFormat="false" ht="13.8" hidden="false" customHeight="false" outlineLevel="0" collapsed="false">
      <c r="B331" s="2" t="n">
        <v>329</v>
      </c>
      <c r="C331" s="2" t="n">
        <v>0.1998619019152</v>
      </c>
      <c r="D331" s="2" t="n">
        <v>0.0800016500000001</v>
      </c>
      <c r="E331" s="2" t="n">
        <v>0.159854568858145</v>
      </c>
    </row>
    <row r="332" customFormat="false" ht="13.8" hidden="false" customHeight="false" outlineLevel="0" collapsed="false">
      <c r="B332" s="2" t="n">
        <v>330</v>
      </c>
      <c r="C332" s="2" t="n">
        <v>0.209978658618743</v>
      </c>
      <c r="D332" s="2" t="n">
        <v>0.0709165435039885</v>
      </c>
      <c r="E332" s="2" t="n">
        <v>0.17676952099919</v>
      </c>
    </row>
    <row r="333" customFormat="false" ht="13.8" hidden="false" customHeight="false" outlineLevel="0" collapsed="false">
      <c r="B333" s="2" t="n">
        <v>331</v>
      </c>
      <c r="C333" s="2" t="n">
        <v>0.202561603140425</v>
      </c>
      <c r="D333" s="2" t="n">
        <v>0.11243449902419</v>
      </c>
      <c r="E333" s="2" t="n">
        <v>0.163041427906764</v>
      </c>
    </row>
    <row r="334" customFormat="false" ht="13.8" hidden="false" customHeight="false" outlineLevel="0" collapsed="false">
      <c r="B334" s="2" t="n">
        <v>332</v>
      </c>
      <c r="C334" s="2" t="n">
        <v>0.213183661045055</v>
      </c>
      <c r="D334" s="2" t="n">
        <v>0.147802673184909</v>
      </c>
      <c r="E334" s="2" t="n">
        <v>0.178753631470895</v>
      </c>
    </row>
    <row r="335" customFormat="false" ht="13.8" hidden="false" customHeight="false" outlineLevel="0" collapsed="false">
      <c r="B335" s="2" t="n">
        <v>333</v>
      </c>
      <c r="C335" s="2" t="n">
        <v>0.239340751744374</v>
      </c>
      <c r="D335" s="2" t="n">
        <v>0.193865009118341</v>
      </c>
      <c r="E335" s="2" t="n">
        <v>0.164584699296116</v>
      </c>
    </row>
    <row r="336" customFormat="false" ht="13.8" hidden="false" customHeight="false" outlineLevel="0" collapsed="false">
      <c r="B336" s="2" t="n">
        <v>334</v>
      </c>
      <c r="C336" s="2" t="n">
        <v>0.403045797916005</v>
      </c>
      <c r="D336" s="2" t="n">
        <v>0.326419446542881</v>
      </c>
      <c r="E336" s="2" t="n">
        <v>0.182507724630084</v>
      </c>
    </row>
    <row r="337" customFormat="false" ht="13.8" hidden="false" customHeight="false" outlineLevel="0" collapsed="false">
      <c r="B337" s="2" t="n">
        <v>335</v>
      </c>
      <c r="C337" s="2" t="n">
        <v>0.404937658637381</v>
      </c>
      <c r="D337" s="2" t="n">
        <v>0.360623743179215</v>
      </c>
      <c r="E337" s="2" t="n">
        <v>0.185163344498445</v>
      </c>
    </row>
    <row r="338" customFormat="false" ht="13.8" hidden="false" customHeight="false" outlineLevel="0" collapsed="false">
      <c r="B338" s="2" t="n">
        <v>336</v>
      </c>
      <c r="C338" s="2" t="n">
        <v>0.406829519358757</v>
      </c>
      <c r="D338" s="2" t="n">
        <v>0.362308570165206</v>
      </c>
      <c r="E338" s="2" t="n">
        <v>0.324375860851353</v>
      </c>
    </row>
    <row r="339" customFormat="false" ht="13.8" hidden="false" customHeight="false" outlineLevel="0" collapsed="false">
      <c r="B339" s="2" t="n">
        <v>337</v>
      </c>
      <c r="C339" s="2" t="n">
        <v>0.408721380080133</v>
      </c>
      <c r="D339" s="2" t="n">
        <v>0.363993397151197</v>
      </c>
      <c r="E339" s="2" t="n">
        <v>0.428942365627242</v>
      </c>
    </row>
    <row r="340" customFormat="false" ht="13.8" hidden="false" customHeight="false" outlineLevel="0" collapsed="false">
      <c r="B340" s="2" t="n">
        <v>338</v>
      </c>
      <c r="C340" s="2" t="n">
        <v>0.402067776218363</v>
      </c>
      <c r="D340" s="2" t="n">
        <v>0.358067923244085</v>
      </c>
      <c r="E340" s="2" t="n">
        <v>0.421959582930985</v>
      </c>
    </row>
    <row r="341" customFormat="false" ht="13.8" hidden="false" customHeight="false" outlineLevel="0" collapsed="false">
      <c r="B341" s="2" t="n">
        <v>339</v>
      </c>
      <c r="C341" s="2" t="n">
        <v>0.395414172356594</v>
      </c>
      <c r="D341" s="2" t="n">
        <v>0.352142449336972</v>
      </c>
      <c r="E341" s="2" t="n">
        <v>0.414976800234728</v>
      </c>
    </row>
    <row r="342" customFormat="false" ht="13.8" hidden="false" customHeight="false" outlineLevel="0" collapsed="false">
      <c r="B342" s="2" t="n">
        <v>340</v>
      </c>
      <c r="C342" s="2" t="n">
        <v>0.388760568494825</v>
      </c>
      <c r="D342" s="2" t="n">
        <v>0.34621697542986</v>
      </c>
      <c r="E342" s="2" t="n">
        <v>0.407994017538471</v>
      </c>
    </row>
    <row r="343" customFormat="false" ht="13.8" hidden="false" customHeight="false" outlineLevel="0" collapsed="false">
      <c r="B343" s="2" t="n">
        <v>341</v>
      </c>
      <c r="C343" s="2" t="n">
        <v>0.382106964633055</v>
      </c>
      <c r="D343" s="2" t="n">
        <v>0.340291501522748</v>
      </c>
      <c r="E343" s="2" t="n">
        <v>0.401011234842214</v>
      </c>
    </row>
    <row r="344" customFormat="false" ht="13.8" hidden="false" customHeight="false" outlineLevel="0" collapsed="false">
      <c r="B344" s="2" t="n">
        <v>342</v>
      </c>
      <c r="C344" s="2" t="n">
        <v>0.344257524934317</v>
      </c>
      <c r="D344" s="2" t="n">
        <v>0.306584074391062</v>
      </c>
      <c r="E344" s="2" t="n">
        <v>0.361289240854868</v>
      </c>
    </row>
    <row r="345" customFormat="false" ht="13.8" hidden="false" customHeight="false" outlineLevel="0" collapsed="false">
      <c r="B345" s="2" t="n">
        <v>343</v>
      </c>
      <c r="C345" s="2" t="n">
        <v>0.306408085235578</v>
      </c>
      <c r="D345" s="2" t="n">
        <v>0.272876647259376</v>
      </c>
      <c r="E345" s="2" t="n">
        <v>0.321567246867523</v>
      </c>
    </row>
    <row r="346" customFormat="false" ht="13.8" hidden="false" customHeight="false" outlineLevel="0" collapsed="false">
      <c r="B346" s="2" t="n">
        <v>344</v>
      </c>
      <c r="C346" s="2" t="n">
        <v>0.268558645536839</v>
      </c>
      <c r="D346" s="2" t="n">
        <v>0.239169220127689</v>
      </c>
      <c r="E346" s="2" t="n">
        <v>0.281845252880178</v>
      </c>
    </row>
    <row r="347" customFormat="false" ht="13.8" hidden="false" customHeight="false" outlineLevel="0" collapsed="false">
      <c r="B347" s="2" t="n">
        <v>345</v>
      </c>
      <c r="C347" s="2" t="n">
        <v>0.230709205838101</v>
      </c>
      <c r="D347" s="2" t="n">
        <v>0.205461792996003</v>
      </c>
      <c r="E347" s="2" t="n">
        <v>0.242123258892832</v>
      </c>
    </row>
    <row r="348" customFormat="false" ht="13.8" hidden="false" customHeight="false" outlineLevel="0" collapsed="false">
      <c r="B348" s="2" t="n">
        <v>346</v>
      </c>
      <c r="C348" s="2" t="n">
        <v>0.212811408771256</v>
      </c>
      <c r="D348" s="2" t="n">
        <v>0.189522622026757</v>
      </c>
      <c r="E348" s="2" t="n">
        <v>0.223339990418196</v>
      </c>
    </row>
    <row r="349" customFormat="false" ht="13.8" hidden="false" customHeight="false" outlineLevel="0" collapsed="false">
      <c r="B349" s="2" t="n">
        <v>347</v>
      </c>
      <c r="C349" s="2" t="n">
        <v>0.194913611704411</v>
      </c>
      <c r="D349" s="2" t="n">
        <v>0.17358345105751</v>
      </c>
      <c r="E349" s="2" t="n">
        <v>0.20455672194356</v>
      </c>
    </row>
    <row r="350" customFormat="false" ht="13.8" hidden="false" customHeight="false" outlineLevel="0" collapsed="false">
      <c r="B350" s="2" t="n">
        <v>348</v>
      </c>
      <c r="C350" s="2" t="n">
        <v>0.177015814637565</v>
      </c>
      <c r="D350" s="2" t="n">
        <v>0.157644280088263</v>
      </c>
      <c r="E350" s="2" t="n">
        <v>0.185773453468924</v>
      </c>
    </row>
    <row r="351" customFormat="false" ht="13.8" hidden="false" customHeight="false" outlineLevel="0" collapsed="false">
      <c r="B351" s="2" t="n">
        <v>349</v>
      </c>
      <c r="C351" s="2" t="n">
        <v>0.15911801757072</v>
      </c>
      <c r="D351" s="2" t="n">
        <v>0.141705109119017</v>
      </c>
      <c r="E351" s="2" t="n">
        <v>0.166990184994288</v>
      </c>
    </row>
    <row r="352" customFormat="false" ht="13.8" hidden="false" customHeight="false" outlineLevel="0" collapsed="false">
      <c r="B352" s="2" t="n">
        <v>350</v>
      </c>
      <c r="C352" s="2" t="n">
        <v>0.128547198724901</v>
      </c>
      <c r="D352" s="2" t="n">
        <v>0.114479774826003</v>
      </c>
      <c r="E352" s="2" t="n">
        <v>0.13490691263815</v>
      </c>
    </row>
    <row r="353" customFormat="false" ht="13.8" hidden="false" customHeight="false" outlineLevel="0" collapsed="false">
      <c r="B353" s="2" t="n">
        <v>351</v>
      </c>
      <c r="C353" s="2" t="n">
        <v>0.0979763798790809</v>
      </c>
      <c r="D353" s="2" t="n">
        <v>0.0872544405329884</v>
      </c>
      <c r="E353" s="2" t="n">
        <v>0.102823640282011</v>
      </c>
    </row>
    <row r="354" customFormat="false" ht="13.8" hidden="false" customHeight="false" outlineLevel="0" collapsed="false">
      <c r="B354" s="2" t="n">
        <v>352</v>
      </c>
      <c r="C354" s="2" t="n">
        <v>0.0674055610332626</v>
      </c>
      <c r="D354" s="2" t="n">
        <v>0.0600291062399755</v>
      </c>
      <c r="E354" s="2" t="n">
        <v>0.0707403679258737</v>
      </c>
    </row>
    <row r="355" customFormat="false" ht="13.8" hidden="false" customHeight="false" outlineLevel="0" collapsed="false">
      <c r="B355" s="2" t="n">
        <v>353</v>
      </c>
      <c r="C355" s="2" t="n">
        <v>0.036834742187443</v>
      </c>
      <c r="D355" s="2" t="n">
        <v>0.0328037719469614</v>
      </c>
      <c r="E355" s="2" t="n">
        <v>0.0386570955697351</v>
      </c>
    </row>
    <row r="356" customFormat="false" ht="13.8" hidden="false" customHeight="false" outlineLevel="0" collapsed="false">
      <c r="B356" s="2" t="n">
        <v>354</v>
      </c>
      <c r="C356" s="2" t="n">
        <v>0.0312157019027107</v>
      </c>
      <c r="D356" s="2" t="n">
        <v>0.0277996452688607</v>
      </c>
      <c r="E356" s="2" t="n">
        <v>0.0327600602059004</v>
      </c>
    </row>
    <row r="357" customFormat="false" ht="13.8" hidden="false" customHeight="false" outlineLevel="0" collapsed="false">
      <c r="B357" s="2" t="n">
        <v>355</v>
      </c>
      <c r="C357" s="2" t="n">
        <v>0.0255966616179785</v>
      </c>
      <c r="D357" s="2" t="n">
        <v>0.0227955185907601</v>
      </c>
      <c r="E357" s="2" t="n">
        <v>0.0268630248420657</v>
      </c>
    </row>
    <row r="358" customFormat="false" ht="13.8" hidden="false" customHeight="false" outlineLevel="0" collapsed="false">
      <c r="B358" s="2" t="n">
        <v>356</v>
      </c>
      <c r="C358" s="2" t="n">
        <v>0.0199776213332462</v>
      </c>
      <c r="D358" s="2" t="n">
        <v>0.0177913919126595</v>
      </c>
      <c r="E358" s="2" t="n">
        <v>0.020965989478231</v>
      </c>
    </row>
    <row r="359" customFormat="false" ht="13.8" hidden="false" customHeight="false" outlineLevel="0" collapsed="false">
      <c r="B359" s="2" t="n">
        <v>357</v>
      </c>
      <c r="C359" s="2" t="n">
        <v>0.0143585810485139</v>
      </c>
      <c r="D359" s="2" t="n">
        <v>0.0127872652345588</v>
      </c>
      <c r="E359" s="2" t="n">
        <v>0.0150689541143963</v>
      </c>
    </row>
    <row r="360" customFormat="false" ht="13.8" hidden="false" customHeight="false" outlineLevel="0" collapsed="false">
      <c r="B360" s="2" t="n">
        <v>358</v>
      </c>
      <c r="C360" s="2" t="n">
        <v>0.0107689357863884</v>
      </c>
      <c r="D360" s="2" t="n">
        <v>0.00959044892592198</v>
      </c>
      <c r="E360" s="2" t="n">
        <v>0.0113017155858004</v>
      </c>
    </row>
    <row r="361" customFormat="false" ht="13.8" hidden="false" customHeight="false" outlineLevel="0" collapsed="false">
      <c r="B361" s="2" t="n">
        <v>359</v>
      </c>
      <c r="C361" s="2" t="n">
        <v>0.00717929052426296</v>
      </c>
      <c r="D361" s="2" t="n">
        <v>0.00639363261728514</v>
      </c>
      <c r="E361" s="2" t="n">
        <v>0.0075344770572045</v>
      </c>
    </row>
    <row r="362" customFormat="false" ht="13.8" hidden="false" customHeight="false" outlineLevel="0" collapsed="false">
      <c r="B362" s="2" t="n">
        <v>360</v>
      </c>
      <c r="C362" s="2" t="n">
        <v>0.00358964526213748</v>
      </c>
      <c r="D362" s="2" t="n">
        <v>0.00319681630864837</v>
      </c>
      <c r="E362" s="2" t="n">
        <v>0.00376723852860861</v>
      </c>
    </row>
    <row r="363" customFormat="false" ht="13.8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0.00412450087806152</v>
      </c>
      <c r="D408" s="2" t="n">
        <v>0.00367314057773553</v>
      </c>
      <c r="E408" s="2" t="n">
        <v>0.00432855546562953</v>
      </c>
    </row>
    <row r="409" customFormat="false" ht="13.8" hidden="false" customHeight="false" outlineLevel="0" collapsed="false">
      <c r="B409" s="2" t="n">
        <v>407</v>
      </c>
      <c r="C409" s="2" t="n">
        <v>0.008249001756086</v>
      </c>
      <c r="D409" s="2" t="n">
        <v>0.00734628115543376</v>
      </c>
      <c r="E409" s="2" t="n">
        <v>0.00865711093122459</v>
      </c>
    </row>
    <row r="410" customFormat="false" ht="13.8" hidden="false" customHeight="false" outlineLevel="0" collapsed="false">
      <c r="B410" s="2" t="n">
        <v>408</v>
      </c>
      <c r="C410" s="2" t="n">
        <v>0.0123735026341105</v>
      </c>
      <c r="D410" s="2" t="n">
        <v>0.0110194217331322</v>
      </c>
      <c r="E410" s="2" t="n">
        <v>0.0117334</v>
      </c>
    </row>
    <row r="411" customFormat="false" ht="13.8" hidden="false" customHeight="false" outlineLevel="0" collapsed="false">
      <c r="B411" s="2" t="n">
        <v>409</v>
      </c>
      <c r="C411" s="2" t="n">
        <v>0.016498003512135</v>
      </c>
      <c r="D411" s="2" t="n">
        <v>0.0146925623108307</v>
      </c>
      <c r="E411" s="2" t="n">
        <v>0.0173142218624147</v>
      </c>
    </row>
    <row r="412" customFormat="false" ht="13.8" hidden="false" customHeight="false" outlineLevel="0" collapsed="false">
      <c r="B412" s="2" t="n">
        <v>410</v>
      </c>
      <c r="C412" s="2" t="n">
        <v>0.0335858763606214</v>
      </c>
      <c r="D412" s="2" t="n">
        <v>0.0299104422440724</v>
      </c>
      <c r="E412" s="2" t="n">
        <v>0.0349099367154638</v>
      </c>
    </row>
    <row r="413" customFormat="false" ht="13.8" hidden="false" customHeight="false" outlineLevel="0" collapsed="false">
      <c r="B413" s="2" t="n">
        <v>411</v>
      </c>
      <c r="C413" s="2" t="n">
        <v>0.0506737492091079</v>
      </c>
      <c r="D413" s="2" t="n">
        <v>0.0451283221726901</v>
      </c>
      <c r="E413" s="2" t="n">
        <v>0.0513164849109661</v>
      </c>
    </row>
    <row r="414" customFormat="false" ht="13.8" hidden="false" customHeight="false" outlineLevel="0" collapsed="false">
      <c r="B414" s="2" t="n">
        <v>412</v>
      </c>
      <c r="C414" s="2" t="n">
        <v>0.0677616220471462</v>
      </c>
      <c r="D414" s="2" t="n">
        <v>0.0603462021043855</v>
      </c>
      <c r="E414" s="2" t="n">
        <v>0.0680504200241262</v>
      </c>
    </row>
    <row r="415" customFormat="false" ht="13.8" hidden="false" customHeight="false" outlineLevel="0" collapsed="false">
      <c r="B415" s="2" t="n">
        <v>413</v>
      </c>
      <c r="C415" s="2" t="n">
        <v>0.07890185</v>
      </c>
      <c r="D415" s="2" t="n">
        <v>0.075564082036081</v>
      </c>
      <c r="E415" s="2" t="n">
        <v>0.0819398721006185</v>
      </c>
    </row>
    <row r="416" customFormat="false" ht="13.8" hidden="false" customHeight="false" outlineLevel="0" collapsed="false">
      <c r="B416" s="2" t="n">
        <v>414</v>
      </c>
      <c r="C416" s="2" t="n">
        <v>0.0716853944036645</v>
      </c>
      <c r="D416" s="2" t="n">
        <v>0.104630749857683</v>
      </c>
      <c r="E416" s="2" t="n">
        <v>0.0585816641082794</v>
      </c>
    </row>
    <row r="417" customFormat="false" ht="13.8" hidden="false" customHeight="false" outlineLevel="0" collapsed="false">
      <c r="B417" s="2" t="n">
        <v>415</v>
      </c>
      <c r="C417" s="2" t="n">
        <v>0.105535114999703</v>
      </c>
      <c r="D417" s="2" t="n">
        <v>0.133697417679285</v>
      </c>
      <c r="E417" s="2" t="n">
        <v>0.0864624524371941</v>
      </c>
    </row>
    <row r="418" customFormat="false" ht="13.8" hidden="false" customHeight="false" outlineLevel="0" collapsed="false">
      <c r="B418" s="2" t="n">
        <v>416</v>
      </c>
      <c r="C418" s="2" t="n">
        <v>0.0978356911727642</v>
      </c>
      <c r="D418" s="2" t="n">
        <v>0.0382510166666668</v>
      </c>
      <c r="E418" s="2" t="n">
        <v>0.07581668354347</v>
      </c>
    </row>
    <row r="419" customFormat="false" ht="13.8" hidden="false" customHeight="false" outlineLevel="0" collapsed="false">
      <c r="B419" s="2" t="n">
        <v>417</v>
      </c>
      <c r="C419" s="2" t="n">
        <v>0.130621056136702</v>
      </c>
      <c r="D419" s="2" t="n">
        <v>0.191830753322488</v>
      </c>
      <c r="E419" s="2" t="n">
        <v>0.115063048542221</v>
      </c>
    </row>
    <row r="420" customFormat="false" ht="13.8" hidden="false" customHeight="false" outlineLevel="0" collapsed="false">
      <c r="B420" s="2" t="n">
        <v>418</v>
      </c>
      <c r="C420" s="2" t="n">
        <v>0.130671416645245</v>
      </c>
      <c r="D420" s="2" t="n">
        <v>0.0382517333333335</v>
      </c>
      <c r="E420" s="2" t="n">
        <v>0.098519470473567</v>
      </c>
    </row>
    <row r="421" customFormat="false" ht="13.8" hidden="false" customHeight="false" outlineLevel="0" collapsed="false">
      <c r="B421" s="2" t="n">
        <v>419</v>
      </c>
      <c r="C421" s="2" t="n">
        <v>0.142726224514218</v>
      </c>
      <c r="D421" s="2" t="n">
        <v>0.233386022187418</v>
      </c>
      <c r="E421" s="2" t="n">
        <v>0.117661377982133</v>
      </c>
    </row>
    <row r="422" customFormat="false" ht="13.8" hidden="false" customHeight="false" outlineLevel="0" collapsed="false">
      <c r="B422" s="2" t="n">
        <v>420</v>
      </c>
      <c r="C422" s="2" t="n">
        <v>0.168726385741897</v>
      </c>
      <c r="D422" s="2" t="n">
        <v>0.0432518000000005</v>
      </c>
      <c r="E422" s="2" t="n">
        <v>0.124645937257457</v>
      </c>
    </row>
    <row r="423" customFormat="false" ht="13.8" hidden="false" customHeight="false" outlineLevel="0" collapsed="false">
      <c r="B423" s="2" t="n">
        <v>421</v>
      </c>
      <c r="C423" s="2" t="n">
        <v>0.151238711106763</v>
      </c>
      <c r="D423" s="2" t="n">
        <v>0.108043453967288</v>
      </c>
      <c r="E423" s="2" t="n">
        <v>0.138409437889915</v>
      </c>
    </row>
    <row r="424" customFormat="false" ht="13.8" hidden="false" customHeight="false" outlineLevel="0" collapsed="false">
      <c r="B424" s="2" t="n">
        <v>422</v>
      </c>
      <c r="C424" s="2" t="n">
        <v>0.178714736690859</v>
      </c>
      <c r="D424" s="2" t="n">
        <v>0.0627081467409612</v>
      </c>
      <c r="E424" s="2" t="n">
        <v>0.132834837727193</v>
      </c>
    </row>
    <row r="425" customFormat="false" ht="13.8" hidden="false" customHeight="false" outlineLevel="0" collapsed="false">
      <c r="B425" s="2" t="n">
        <v>423</v>
      </c>
      <c r="C425" s="2" t="n">
        <v>0.182780471538925</v>
      </c>
      <c r="D425" s="2" t="n">
        <v>0.138260237171796</v>
      </c>
      <c r="E425" s="2" t="n">
        <v>0.139368653193527</v>
      </c>
    </row>
    <row r="426" customFormat="false" ht="13.8" hidden="false" customHeight="false" outlineLevel="0" collapsed="false">
      <c r="B426" s="2" t="n">
        <v>424</v>
      </c>
      <c r="C426" s="2" t="n">
        <v>0.196559358550688</v>
      </c>
      <c r="D426" s="2" t="n">
        <v>0.15010703226296</v>
      </c>
      <c r="E426" s="2" t="n">
        <v>0.171599588759368</v>
      </c>
    </row>
    <row r="427" customFormat="false" ht="13.8" hidden="false" customHeight="false" outlineLevel="0" collapsed="false">
      <c r="B427" s="2" t="n">
        <v>425</v>
      </c>
      <c r="C427" s="2" t="n">
        <v>0.193719512970004</v>
      </c>
      <c r="D427" s="2" t="n">
        <v>0.217444622061342</v>
      </c>
      <c r="E427" s="2" t="n">
        <v>0.236531085367907</v>
      </c>
    </row>
    <row r="428" customFormat="false" ht="13.8" hidden="false" customHeight="false" outlineLevel="0" collapsed="false">
      <c r="B428" s="2" t="n">
        <v>426</v>
      </c>
      <c r="C428" s="2" t="n">
        <v>0.186406568249968</v>
      </c>
      <c r="D428" s="2" t="n">
        <v>0.321918015605921</v>
      </c>
      <c r="E428" s="2" t="n">
        <v>0.277484842514135</v>
      </c>
    </row>
    <row r="429" customFormat="false" ht="13.8" hidden="false" customHeight="false" outlineLevel="0" collapsed="false">
      <c r="B429" s="2" t="n">
        <v>427</v>
      </c>
      <c r="C429" s="2" t="n">
        <v>0.209896335616336</v>
      </c>
      <c r="D429" s="2" t="n">
        <v>0.345699823366306</v>
      </c>
      <c r="E429" s="2" t="n">
        <v>0.251913849404603</v>
      </c>
    </row>
    <row r="430" customFormat="false" ht="13.8" hidden="false" customHeight="false" outlineLevel="0" collapsed="false">
      <c r="B430" s="2" t="n">
        <v>428</v>
      </c>
      <c r="C430" s="2" t="n">
        <v>0.20002122713455</v>
      </c>
      <c r="D430" s="2" t="n">
        <v>0.351852571996084</v>
      </c>
      <c r="E430" s="2" t="n">
        <v>0.163066582636739</v>
      </c>
    </row>
    <row r="431" customFormat="false" ht="13.8" hidden="false" customHeight="false" outlineLevel="0" collapsed="false">
      <c r="B431" s="2" t="n">
        <v>429</v>
      </c>
      <c r="C431" s="2" t="n">
        <v>0.292252571435418</v>
      </c>
      <c r="D431" s="2" t="n">
        <v>0.358005320625861</v>
      </c>
      <c r="E431" s="2" t="n">
        <v>0.176637564928404</v>
      </c>
    </row>
    <row r="432" customFormat="false" ht="13.8" hidden="false" customHeight="false" outlineLevel="0" collapsed="false">
      <c r="B432" s="2" t="n">
        <v>430</v>
      </c>
      <c r="C432" s="2" t="n">
        <v>0.411954964317961</v>
      </c>
      <c r="D432" s="2" t="n">
        <v>0.366873117589284</v>
      </c>
      <c r="E432" s="2" t="n">
        <v>0.220121208130792</v>
      </c>
    </row>
    <row r="433" customFormat="false" ht="13.8" hidden="false" customHeight="false" outlineLevel="0" collapsed="false">
      <c r="B433" s="2" t="n">
        <v>431</v>
      </c>
      <c r="C433" s="2" t="n">
        <v>0.421912447727075</v>
      </c>
      <c r="D433" s="2" t="n">
        <v>0.375740914552707</v>
      </c>
      <c r="E433" s="2" t="n">
        <v>0.330273845203253</v>
      </c>
    </row>
    <row r="434" customFormat="false" ht="13.8" hidden="false" customHeight="false" outlineLevel="0" collapsed="false">
      <c r="B434" s="2" t="n">
        <v>432</v>
      </c>
      <c r="C434" s="2" t="n">
        <v>0.43186993113619</v>
      </c>
      <c r="D434" s="2" t="n">
        <v>0.384608711516129</v>
      </c>
      <c r="E434" s="2" t="n">
        <v>0.453236162660523</v>
      </c>
    </row>
    <row r="435" customFormat="false" ht="13.8" hidden="false" customHeight="false" outlineLevel="0" collapsed="false">
      <c r="B435" s="2" t="n">
        <v>433</v>
      </c>
      <c r="C435" s="2" t="n">
        <v>0.441827414545305</v>
      </c>
      <c r="D435" s="2" t="n">
        <v>0.393476508479552</v>
      </c>
      <c r="E435" s="2" t="n">
        <v>0.463686280264752</v>
      </c>
    </row>
    <row r="436" customFormat="false" ht="13.8" hidden="false" customHeight="false" outlineLevel="0" collapsed="false">
      <c r="B436" s="2" t="n">
        <v>434</v>
      </c>
      <c r="C436" s="2" t="n">
        <v>0.43844101441722</v>
      </c>
      <c r="D436" s="2" t="n">
        <v>0.390460695393157</v>
      </c>
      <c r="E436" s="2" t="n">
        <v>0.460132342172215</v>
      </c>
    </row>
    <row r="437" customFormat="false" ht="13.8" hidden="false" customHeight="false" outlineLevel="0" collapsed="false">
      <c r="B437" s="2" t="n">
        <v>435</v>
      </c>
      <c r="C437" s="2" t="n">
        <v>0.435054614289135</v>
      </c>
      <c r="D437" s="2" t="n">
        <v>0.387444882306762</v>
      </c>
      <c r="E437" s="2" t="n">
        <v>0.456578404079678</v>
      </c>
    </row>
    <row r="438" customFormat="false" ht="13.8" hidden="false" customHeight="false" outlineLevel="0" collapsed="false">
      <c r="B438" s="2" t="n">
        <v>436</v>
      </c>
      <c r="C438" s="2" t="n">
        <v>0.431668214161049</v>
      </c>
      <c r="D438" s="2" t="n">
        <v>0.384429069220367</v>
      </c>
      <c r="E438" s="2" t="n">
        <v>0.453024465987141</v>
      </c>
    </row>
    <row r="439" customFormat="false" ht="13.8" hidden="false" customHeight="false" outlineLevel="0" collapsed="false">
      <c r="B439" s="2" t="n">
        <v>437</v>
      </c>
      <c r="C439" s="2" t="n">
        <v>0.428281814032964</v>
      </c>
      <c r="D439" s="2" t="n">
        <v>0.381413256133972</v>
      </c>
      <c r="E439" s="2" t="n">
        <v>0.449470527894605</v>
      </c>
    </row>
    <row r="440" customFormat="false" ht="13.8" hidden="false" customHeight="false" outlineLevel="0" collapsed="false">
      <c r="B440" s="2" t="n">
        <v>438</v>
      </c>
      <c r="C440" s="2" t="n">
        <v>0.351696602471997</v>
      </c>
      <c r="D440" s="2" t="n">
        <v>0.313209064510442</v>
      </c>
      <c r="E440" s="2" t="n">
        <v>0.369096357567173</v>
      </c>
    </row>
    <row r="441" customFormat="false" ht="13.8" hidden="false" customHeight="false" outlineLevel="0" collapsed="false">
      <c r="B441" s="2" t="n">
        <v>439</v>
      </c>
      <c r="C441" s="2" t="n">
        <v>0.275111390911031</v>
      </c>
      <c r="D441" s="2" t="n">
        <v>0.245004872886911</v>
      </c>
      <c r="E441" s="2" t="n">
        <v>0.288722187239742</v>
      </c>
    </row>
    <row r="442" customFormat="false" ht="13.8" hidden="false" customHeight="false" outlineLevel="0" collapsed="false">
      <c r="B442" s="2" t="n">
        <v>440</v>
      </c>
      <c r="C442" s="2" t="n">
        <v>0.198526179350065</v>
      </c>
      <c r="D442" s="2" t="n">
        <v>0.17680068126338</v>
      </c>
      <c r="E442" s="2" t="n">
        <v>0.208348016912311</v>
      </c>
    </row>
    <row r="443" customFormat="false" ht="13.8" hidden="false" customHeight="false" outlineLevel="0" collapsed="false">
      <c r="B443" s="2" t="n">
        <v>441</v>
      </c>
      <c r="C443" s="2" t="n">
        <v>0.121940967789099</v>
      </c>
      <c r="D443" s="2" t="n">
        <v>0.10859648963985</v>
      </c>
      <c r="E443" s="2" t="n">
        <v>0.127973846584881</v>
      </c>
    </row>
    <row r="444" customFormat="false" ht="13.8" hidden="false" customHeight="false" outlineLevel="0" collapsed="false">
      <c r="B444" s="2" t="n">
        <v>442</v>
      </c>
      <c r="C444" s="2" t="n">
        <v>0.134340449124513</v>
      </c>
      <c r="D444" s="2" t="n">
        <v>0.119639047123155</v>
      </c>
      <c r="E444" s="2" t="n">
        <v>0.140986776947175</v>
      </c>
    </row>
    <row r="445" customFormat="false" ht="13.8" hidden="false" customHeight="false" outlineLevel="0" collapsed="false">
      <c r="B445" s="2" t="n">
        <v>443</v>
      </c>
      <c r="C445" s="2" t="n">
        <v>0.146739930459928</v>
      </c>
      <c r="D445" s="2" t="n">
        <v>0.13068160460646</v>
      </c>
      <c r="E445" s="2" t="n">
        <v>0.15399970730947</v>
      </c>
    </row>
    <row r="446" customFormat="false" ht="13.8" hidden="false" customHeight="false" outlineLevel="0" collapsed="false">
      <c r="B446" s="2" t="n">
        <v>444</v>
      </c>
      <c r="C446" s="2" t="n">
        <v>0.159139411795343</v>
      </c>
      <c r="D446" s="2" t="n">
        <v>0.141724162089765</v>
      </c>
      <c r="E446" s="2" t="n">
        <v>0.167012637671766</v>
      </c>
    </row>
    <row r="447" customFormat="false" ht="13.8" hidden="false" customHeight="false" outlineLevel="0" collapsed="false">
      <c r="B447" s="2" t="n">
        <v>445</v>
      </c>
      <c r="C447" s="2" t="n">
        <v>0.171538893130758</v>
      </c>
      <c r="D447" s="2" t="n">
        <v>0.152766719573069</v>
      </c>
      <c r="E447" s="2" t="n">
        <v>0.180025568034061</v>
      </c>
    </row>
    <row r="448" customFormat="false" ht="13.8" hidden="false" customHeight="false" outlineLevel="0" collapsed="false">
      <c r="B448" s="2" t="n">
        <v>446</v>
      </c>
      <c r="C448" s="2" t="n">
        <v>0.156287867283155</v>
      </c>
      <c r="D448" s="2" t="n">
        <v>0.13918467327243</v>
      </c>
      <c r="E448" s="2" t="n">
        <v>0.164020016516227</v>
      </c>
    </row>
    <row r="449" customFormat="false" ht="13.8" hidden="false" customHeight="false" outlineLevel="0" collapsed="false">
      <c r="B449" s="2" t="n">
        <v>447</v>
      </c>
      <c r="C449" s="2" t="n">
        <v>0.141036841435553</v>
      </c>
      <c r="D449" s="2" t="n">
        <v>0.125602626971791</v>
      </c>
      <c r="E449" s="2" t="n">
        <v>0.148014464998393</v>
      </c>
    </row>
    <row r="450" customFormat="false" ht="13.8" hidden="false" customHeight="false" outlineLevel="0" collapsed="false">
      <c r="B450" s="2" t="n">
        <v>448</v>
      </c>
      <c r="C450" s="2" t="n">
        <v>0.12578581558795</v>
      </c>
      <c r="D450" s="2" t="n">
        <v>0.112020580671151</v>
      </c>
      <c r="E450" s="2" t="n">
        <v>0.13200891348056</v>
      </c>
    </row>
    <row r="451" customFormat="false" ht="13.8" hidden="false" customHeight="false" outlineLevel="0" collapsed="false">
      <c r="B451" s="2" t="n">
        <v>449</v>
      </c>
      <c r="C451" s="2" t="n">
        <v>0.110534789740347</v>
      </c>
      <c r="D451" s="2" t="n">
        <v>0.0984385343705115</v>
      </c>
      <c r="E451" s="2" t="n">
        <v>0.116003361962726</v>
      </c>
    </row>
    <row r="452" customFormat="false" ht="13.8" hidden="false" customHeight="false" outlineLevel="0" collapsed="false">
      <c r="B452" s="2" t="n">
        <v>450</v>
      </c>
      <c r="C452" s="2" t="n">
        <v>0.096941816302028</v>
      </c>
      <c r="D452" s="2" t="n">
        <v>0.0863330933039571</v>
      </c>
      <c r="E452" s="2" t="n">
        <v>0.101737892949587</v>
      </c>
    </row>
    <row r="453" customFormat="false" ht="13.8" hidden="false" customHeight="false" outlineLevel="0" collapsed="false">
      <c r="B453" s="2" t="n">
        <v>451</v>
      </c>
      <c r="C453" s="2" t="n">
        <v>0.083348842863706</v>
      </c>
      <c r="D453" s="2" t="n">
        <v>0.0742276522374082</v>
      </c>
      <c r="E453" s="2" t="n">
        <v>0.0874724239364468</v>
      </c>
    </row>
    <row r="454" customFormat="false" ht="13.8" hidden="false" customHeight="false" outlineLevel="0" collapsed="false">
      <c r="B454" s="2" t="n">
        <v>452</v>
      </c>
      <c r="C454" s="2" t="n">
        <v>0.069755869425389</v>
      </c>
      <c r="D454" s="2" t="n">
        <v>0.0621222111717752</v>
      </c>
      <c r="E454" s="2" t="n">
        <v>0.0732069549233073</v>
      </c>
    </row>
    <row r="455" customFormat="false" ht="13.8" hidden="false" customHeight="false" outlineLevel="0" collapsed="false">
      <c r="B455" s="2" t="n">
        <v>453</v>
      </c>
      <c r="C455" s="2" t="n">
        <v>0.0561628959893424</v>
      </c>
      <c r="D455" s="2" t="n">
        <v>0.0500167701052236</v>
      </c>
      <c r="E455" s="2" t="n">
        <v>0.0589414859008899</v>
      </c>
    </row>
    <row r="456" customFormat="false" ht="13.8" hidden="false" customHeight="false" outlineLevel="0" collapsed="false">
      <c r="B456" s="2" t="n">
        <v>454</v>
      </c>
      <c r="C456" s="2" t="n">
        <v>0.0422367839102643</v>
      </c>
      <c r="D456" s="2" t="n">
        <v>0.0376146470653714</v>
      </c>
      <c r="E456" s="2" t="n">
        <v>0.0443263966241349</v>
      </c>
    </row>
    <row r="457" customFormat="false" ht="13.8" hidden="false" customHeight="false" outlineLevel="0" collapsed="false">
      <c r="B457" s="2" t="n">
        <v>455</v>
      </c>
      <c r="C457" s="2" t="n">
        <v>0.0283106718311861</v>
      </c>
      <c r="D457" s="2" t="n">
        <v>0.0252125240255192</v>
      </c>
      <c r="E457" s="2" t="n">
        <v>0.0297113073473799</v>
      </c>
    </row>
    <row r="458" customFormat="false" ht="13.8" hidden="false" customHeight="false" outlineLevel="0" collapsed="false">
      <c r="B458" s="2" t="n">
        <v>456</v>
      </c>
      <c r="C458" s="2" t="n">
        <v>0.0143845597521079</v>
      </c>
      <c r="D458" s="2" t="n">
        <v>0.0128104009856671</v>
      </c>
      <c r="E458" s="2" t="n">
        <v>0.0150962180706248</v>
      </c>
    </row>
    <row r="459" customFormat="false" ht="13.8" hidden="false" customHeight="false" outlineLevel="0" collapsed="false">
      <c r="B459" s="2" t="n">
        <v>457</v>
      </c>
      <c r="C459" s="2" t="n">
        <v>0.00045844767302977</v>
      </c>
      <c r="D459" s="2" t="n">
        <v>0.000408277945814918</v>
      </c>
      <c r="E459" s="2" t="n">
        <v>0.000481128793869796</v>
      </c>
    </row>
    <row r="460" customFormat="false" ht="13.8" hidden="false" customHeight="false" outlineLevel="0" collapsed="false">
      <c r="B460" s="2" t="n">
        <v>458</v>
      </c>
      <c r="C460" s="2" t="n">
        <v>0.000343835755337368</v>
      </c>
      <c r="D460" s="2" t="n">
        <v>0.000306208459587668</v>
      </c>
      <c r="E460" s="2" t="n">
        <v>0.000360846593085026</v>
      </c>
    </row>
    <row r="461" customFormat="false" ht="13.8" hidden="false" customHeight="false" outlineLevel="0" collapsed="false">
      <c r="B461" s="2" t="n">
        <v>459</v>
      </c>
      <c r="C461" s="2" t="n">
        <v>0.000229223837644967</v>
      </c>
      <c r="D461" s="2" t="n">
        <v>0.000204138973360457</v>
      </c>
      <c r="E461" s="2" t="n">
        <v>0.000240564392300238</v>
      </c>
    </row>
    <row r="462" customFormat="false" ht="13.8" hidden="false" customHeight="false" outlineLevel="0" collapsed="false">
      <c r="B462" s="2" t="n">
        <v>460</v>
      </c>
      <c r="C462" s="2" t="n">
        <v>0.000114611919952565</v>
      </c>
      <c r="D462" s="2" t="n">
        <v>0.000102069487133154</v>
      </c>
      <c r="E462" s="2" t="n">
        <v>0.00012028219151548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0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0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0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0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0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0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0</v>
      </c>
    </row>
    <row r="470" customFormat="false" ht="13.8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0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0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0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0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0</v>
      </c>
    </row>
    <row r="475" customFormat="false" ht="13.8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0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0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0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0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0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0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0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0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0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0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0</v>
      </c>
    </row>
    <row r="487" customFormat="false" ht="13.8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0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0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0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0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0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0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0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0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0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0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0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0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0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0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0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0.000175738436195936</v>
      </c>
      <c r="D504" s="2" t="n">
        <v>0.000156506662480003</v>
      </c>
      <c r="E504" s="2" t="n">
        <v>0.000184432799715777</v>
      </c>
    </row>
    <row r="505" customFormat="false" ht="13.8" hidden="false" customHeight="false" outlineLevel="0" collapsed="false">
      <c r="B505" s="2" t="n">
        <v>503</v>
      </c>
      <c r="C505" s="2" t="n">
        <v>0.000351476549851311</v>
      </c>
      <c r="D505" s="2" t="n">
        <v>0.000313013092003263</v>
      </c>
      <c r="E505" s="2" t="n">
        <v>0.000368865406495533</v>
      </c>
    </row>
    <row r="506" customFormat="false" ht="13.8" hidden="false" customHeight="false" outlineLevel="0" collapsed="false">
      <c r="B506" s="2" t="n">
        <v>504</v>
      </c>
      <c r="C506" s="2" t="n">
        <v>0.000527214823645267</v>
      </c>
      <c r="D506" s="2" t="n">
        <v>0.000469519637551024</v>
      </c>
      <c r="E506" s="2" t="n">
        <v>0.000553298114366088</v>
      </c>
    </row>
    <row r="507" customFormat="false" ht="13.8" hidden="false" customHeight="false" outlineLevel="0" collapsed="false">
      <c r="B507" s="2" t="n">
        <v>505</v>
      </c>
      <c r="C507" s="2" t="n">
        <v>0.000702953097439463</v>
      </c>
      <c r="D507" s="2" t="n">
        <v>0.000626026183098591</v>
      </c>
      <c r="E507" s="2" t="n">
        <v>0.000737730822236554</v>
      </c>
    </row>
    <row r="508" customFormat="false" ht="13.8" hidden="false" customHeight="false" outlineLevel="0" collapsed="false">
      <c r="B508" s="2" t="n">
        <v>506</v>
      </c>
      <c r="C508" s="2" t="n">
        <v>0.00255355352844555</v>
      </c>
      <c r="D508" s="2" t="n">
        <v>0.00227410815404714</v>
      </c>
      <c r="E508" s="2" t="n">
        <v>0.00267988742425018</v>
      </c>
    </row>
    <row r="509" customFormat="false" ht="13.8" hidden="false" customHeight="false" outlineLevel="0" collapsed="false">
      <c r="B509" s="2" t="n">
        <v>507</v>
      </c>
      <c r="C509" s="2" t="n">
        <v>0.00440415395945163</v>
      </c>
      <c r="D509" s="2" t="n">
        <v>0.00392219012499584</v>
      </c>
      <c r="E509" s="2" t="n">
        <v>0.00462204402626379</v>
      </c>
    </row>
    <row r="510" customFormat="false" ht="13.8" hidden="false" customHeight="false" outlineLevel="0" collapsed="false">
      <c r="B510" s="2" t="n">
        <v>508</v>
      </c>
      <c r="C510" s="2" t="n">
        <v>0.00625475439045772</v>
      </c>
      <c r="D510" s="2" t="n">
        <v>0.00557027209594441</v>
      </c>
      <c r="E510" s="2" t="n">
        <v>0.00656420062827743</v>
      </c>
    </row>
    <row r="511" customFormat="false" ht="13.8" hidden="false" customHeight="false" outlineLevel="0" collapsed="false">
      <c r="B511" s="2" t="n">
        <v>509</v>
      </c>
      <c r="C511" s="2" t="n">
        <v>0.00810535482146381</v>
      </c>
      <c r="D511" s="2" t="n">
        <v>0.00721835406689308</v>
      </c>
      <c r="E511" s="2" t="n">
        <v>0.00850635723029105</v>
      </c>
    </row>
    <row r="512" customFormat="false" ht="13.8" hidden="false" customHeight="false" outlineLevel="0" collapsed="false">
      <c r="B512" s="2" t="n">
        <v>510</v>
      </c>
      <c r="C512" s="2" t="n">
        <v>0.0338777547132281</v>
      </c>
      <c r="D512" s="2" t="n">
        <v>0.0301703792031929</v>
      </c>
      <c r="E512" s="2" t="n">
        <v>0.0355538147802178</v>
      </c>
    </row>
    <row r="513" customFormat="false" ht="13.8" hidden="false" customHeight="false" outlineLevel="0" collapsed="false">
      <c r="B513" s="2" t="n">
        <v>511</v>
      </c>
      <c r="C513" s="2" t="n">
        <v>0.0596501546049924</v>
      </c>
      <c r="D513" s="2" t="n">
        <v>0.0531224043393216</v>
      </c>
      <c r="E513" s="2" t="n">
        <v>0.0626012723301444</v>
      </c>
    </row>
    <row r="514" customFormat="false" ht="13.8" hidden="false" customHeight="false" outlineLevel="0" collapsed="false">
      <c r="B514" s="2" t="n">
        <v>512</v>
      </c>
      <c r="C514" s="2" t="n">
        <v>0.0854225544963281</v>
      </c>
      <c r="D514" s="2" t="n">
        <v>0.0760744294756216</v>
      </c>
      <c r="E514" s="2" t="n">
        <v>0.089648729889627</v>
      </c>
    </row>
    <row r="515" customFormat="false" ht="13.8" hidden="false" customHeight="false" outlineLevel="0" collapsed="false">
      <c r="B515" s="2" t="n">
        <v>513</v>
      </c>
      <c r="C515" s="2" t="n">
        <v>0.111194954388093</v>
      </c>
      <c r="D515" s="2" t="n">
        <v>0.0990264546119216</v>
      </c>
      <c r="E515" s="2" t="n">
        <v>0.116696187439554</v>
      </c>
    </row>
    <row r="516" customFormat="false" ht="13.8" hidden="false" customHeight="false" outlineLevel="0" collapsed="false">
      <c r="B516" s="2" t="n">
        <v>514</v>
      </c>
      <c r="C516" s="2" t="n">
        <v>0.13334714583968</v>
      </c>
      <c r="D516" s="2" t="n">
        <v>0.118754444909924</v>
      </c>
      <c r="E516" s="2" t="n">
        <v>0.139944331207341</v>
      </c>
    </row>
    <row r="517" customFormat="false" ht="13.8" hidden="false" customHeight="false" outlineLevel="0" collapsed="false">
      <c r="B517" s="2" t="n">
        <v>515</v>
      </c>
      <c r="C517" s="2" t="n">
        <v>0.155499337291267</v>
      </c>
      <c r="D517" s="2" t="n">
        <v>0.138482435207926</v>
      </c>
      <c r="E517" s="2" t="n">
        <v>0.163192474975129</v>
      </c>
    </row>
    <row r="518" customFormat="false" ht="13.8" hidden="false" customHeight="false" outlineLevel="0" collapsed="false">
      <c r="B518" s="2" t="n">
        <v>516</v>
      </c>
      <c r="C518" s="2" t="n">
        <v>0.177651528742854</v>
      </c>
      <c r="D518" s="2" t="n">
        <v>0.158210425505928</v>
      </c>
      <c r="E518" s="2" t="n">
        <v>0.186440618742917</v>
      </c>
    </row>
    <row r="519" customFormat="false" ht="13.8" hidden="false" customHeight="false" outlineLevel="0" collapsed="false">
      <c r="B519" s="2" t="n">
        <v>517</v>
      </c>
      <c r="C519" s="2" t="n">
        <v>0.199803720194441</v>
      </c>
      <c r="D519" s="2" t="n">
        <v>0.17793841580393</v>
      </c>
      <c r="E519" s="2" t="n">
        <v>0.209688762510704</v>
      </c>
    </row>
    <row r="520" customFormat="false" ht="13.8" hidden="false" customHeight="false" outlineLevel="0" collapsed="false">
      <c r="B520" s="2" t="n">
        <v>518</v>
      </c>
      <c r="C520" s="2" t="n">
        <v>0.208648703922489</v>
      </c>
      <c r="D520" s="2" t="n">
        <v>0.185815458287707</v>
      </c>
      <c r="E520" s="2" t="n">
        <v>0.218971340885977</v>
      </c>
    </row>
    <row r="521" customFormat="false" ht="13.8" hidden="false" customHeight="false" outlineLevel="0" collapsed="false">
      <c r="B521" s="2" t="n">
        <v>519</v>
      </c>
      <c r="C521" s="2" t="n">
        <v>0.217493687650537</v>
      </c>
      <c r="D521" s="2" t="n">
        <v>0.193692500771484</v>
      </c>
      <c r="E521" s="2" t="n">
        <v>0.22825391926125</v>
      </c>
    </row>
    <row r="522" customFormat="false" ht="13.8" hidden="false" customHeight="false" outlineLevel="0" collapsed="false">
      <c r="B522" s="2" t="n">
        <v>520</v>
      </c>
      <c r="C522" s="2" t="n">
        <v>0.226338671378585</v>
      </c>
      <c r="D522" s="2" t="n">
        <v>0.201569543255261</v>
      </c>
      <c r="E522" s="2" t="n">
        <v>0.237536497636523</v>
      </c>
    </row>
    <row r="523" customFormat="false" ht="13.8" hidden="false" customHeight="false" outlineLevel="0" collapsed="false">
      <c r="B523" s="2" t="n">
        <v>521</v>
      </c>
      <c r="C523" s="2" t="n">
        <v>0.235183655106633</v>
      </c>
      <c r="D523" s="2" t="n">
        <v>0.209446585739038</v>
      </c>
      <c r="E523" s="2" t="n">
        <v>0.246819076011796</v>
      </c>
    </row>
    <row r="524" customFormat="false" ht="13.8" hidden="false" customHeight="false" outlineLevel="0" collapsed="false">
      <c r="B524" s="2" t="n">
        <v>522</v>
      </c>
      <c r="C524" s="2" t="n">
        <v>0.26534798368437</v>
      </c>
      <c r="D524" s="2" t="n">
        <v>0.236309913587566</v>
      </c>
      <c r="E524" s="2" t="n">
        <v>0.278475747495816</v>
      </c>
    </row>
    <row r="525" customFormat="false" ht="13.8" hidden="false" customHeight="false" outlineLevel="0" collapsed="false">
      <c r="B525" s="2" t="n">
        <v>523</v>
      </c>
      <c r="C525" s="2" t="n">
        <v>0.295512312262108</v>
      </c>
      <c r="D525" s="2" t="n">
        <v>0.263173241436094</v>
      </c>
      <c r="E525" s="2" t="n">
        <v>0.310132418979837</v>
      </c>
    </row>
    <row r="526" customFormat="false" ht="13.8" hidden="false" customHeight="false" outlineLevel="0" collapsed="false">
      <c r="B526" s="2" t="n">
        <v>524</v>
      </c>
      <c r="C526" s="2" t="n">
        <v>0.325676640839845</v>
      </c>
      <c r="D526" s="2" t="n">
        <v>0.290036569284623</v>
      </c>
      <c r="E526" s="2" t="n">
        <v>0.341789090463857</v>
      </c>
    </row>
    <row r="527" customFormat="false" ht="13.8" hidden="false" customHeight="false" outlineLevel="0" collapsed="false">
      <c r="B527" s="2" t="n">
        <v>525</v>
      </c>
      <c r="C527" s="2" t="n">
        <v>0.355840969417582</v>
      </c>
      <c r="D527" s="2" t="n">
        <v>0.316899897133151</v>
      </c>
      <c r="E527" s="2" t="n">
        <v>0.373445761947878</v>
      </c>
    </row>
    <row r="528" customFormat="false" ht="13.8" hidden="false" customHeight="false" outlineLevel="0" collapsed="false">
      <c r="B528" s="2" t="n">
        <v>526</v>
      </c>
      <c r="C528" s="2" t="n">
        <v>0.339731118266738</v>
      </c>
      <c r="D528" s="2" t="n">
        <v>0.302553010149049</v>
      </c>
      <c r="E528" s="2" t="n">
        <v>0.356538895805492</v>
      </c>
    </row>
    <row r="529" customFormat="false" ht="13.8" hidden="false" customHeight="false" outlineLevel="0" collapsed="false">
      <c r="B529" s="2" t="n">
        <v>527</v>
      </c>
      <c r="C529" s="2" t="n">
        <v>0.323621267115894</v>
      </c>
      <c r="D529" s="2" t="n">
        <v>0.288206123164947</v>
      </c>
      <c r="E529" s="2" t="n">
        <v>0.339632029663107</v>
      </c>
    </row>
    <row r="530" customFormat="false" ht="13.8" hidden="false" customHeight="false" outlineLevel="0" collapsed="false">
      <c r="B530" s="2" t="n">
        <v>528</v>
      </c>
      <c r="C530" s="2" t="n">
        <v>0.30751141596505</v>
      </c>
      <c r="D530" s="2" t="n">
        <v>0.273859236180844</v>
      </c>
      <c r="E530" s="2" t="n">
        <v>0.322725163520722</v>
      </c>
    </row>
    <row r="531" customFormat="false" ht="13.8" hidden="false" customHeight="false" outlineLevel="0" collapsed="false">
      <c r="B531" s="2" t="n">
        <v>529</v>
      </c>
      <c r="C531" s="2" t="n">
        <v>0.291401564814205</v>
      </c>
      <c r="D531" s="2" t="n">
        <v>0.259512349196742</v>
      </c>
      <c r="E531" s="2" t="n">
        <v>0.305818297378336</v>
      </c>
    </row>
    <row r="532" customFormat="false" ht="13.8" hidden="false" customHeight="false" outlineLevel="0" collapsed="false">
      <c r="B532" s="2" t="n">
        <v>530</v>
      </c>
      <c r="C532" s="2" t="n">
        <v>0.284339942525451</v>
      </c>
      <c r="D532" s="2" t="n">
        <v>0.253223507918661</v>
      </c>
      <c r="E532" s="2" t="n">
        <v>0.298407310047283</v>
      </c>
    </row>
    <row r="533" customFormat="false" ht="13.8" hidden="false" customHeight="false" outlineLevel="0" collapsed="false">
      <c r="B533" s="2" t="n">
        <v>531</v>
      </c>
      <c r="C533" s="2" t="n">
        <v>0.277278320236696</v>
      </c>
      <c r="D533" s="2" t="n">
        <v>0.246934666640579</v>
      </c>
      <c r="E533" s="2" t="n">
        <v>0.29099632271623</v>
      </c>
    </row>
    <row r="534" customFormat="false" ht="13.8" hidden="false" customHeight="false" outlineLevel="0" collapsed="false">
      <c r="B534" s="2" t="n">
        <v>532</v>
      </c>
      <c r="C534" s="2" t="n">
        <v>0.270216697947941</v>
      </c>
      <c r="D534" s="2" t="n">
        <v>0.240645825362497</v>
      </c>
      <c r="E534" s="2" t="n">
        <v>0.283585335385177</v>
      </c>
    </row>
    <row r="535" customFormat="false" ht="13.8" hidden="false" customHeight="false" outlineLevel="0" collapsed="false">
      <c r="B535" s="2" t="n">
        <v>533</v>
      </c>
      <c r="C535" s="2" t="n">
        <v>0.263155075659187</v>
      </c>
      <c r="D535" s="2" t="n">
        <v>0.234356984084416</v>
      </c>
      <c r="E535" s="2" t="n">
        <v>0.276174348054124</v>
      </c>
    </row>
    <row r="536" customFormat="false" ht="13.8" hidden="false" customHeight="false" outlineLevel="0" collapsed="false">
      <c r="B536" s="2" t="n">
        <v>534</v>
      </c>
      <c r="C536" s="2" t="n">
        <v>0.2199158195111</v>
      </c>
      <c r="D536" s="2" t="n">
        <v>0.195849569247082</v>
      </c>
      <c r="E536" s="2" t="n">
        <v>0.230795883104513</v>
      </c>
    </row>
    <row r="537" customFormat="false" ht="13.8" hidden="false" customHeight="false" outlineLevel="0" collapsed="false">
      <c r="B537" s="2" t="n">
        <v>535</v>
      </c>
      <c r="C537" s="2" t="n">
        <v>0.176676563363013</v>
      </c>
      <c r="D537" s="2" t="n">
        <v>0.157342154409749</v>
      </c>
      <c r="E537" s="2" t="n">
        <v>0.185417418154903</v>
      </c>
    </row>
    <row r="538" customFormat="false" ht="13.8" hidden="false" customHeight="false" outlineLevel="0" collapsed="false">
      <c r="B538" s="2" t="n">
        <v>536</v>
      </c>
      <c r="C538" s="2" t="n">
        <v>0.133437307214926</v>
      </c>
      <c r="D538" s="2" t="n">
        <v>0.118834739572416</v>
      </c>
      <c r="E538" s="2" t="n">
        <v>0.140038953205293</v>
      </c>
    </row>
    <row r="539" customFormat="false" ht="13.8" hidden="false" customHeight="false" outlineLevel="0" collapsed="false">
      <c r="B539" s="2" t="n">
        <v>537</v>
      </c>
      <c r="C539" s="2" t="n">
        <v>0.0901980510668387</v>
      </c>
      <c r="D539" s="2" t="n">
        <v>0.080327324735083</v>
      </c>
      <c r="E539" s="2" t="n">
        <v>0.0946604882556823</v>
      </c>
    </row>
    <row r="540" customFormat="false" ht="13.8" hidden="false" customHeight="false" outlineLevel="0" collapsed="false">
      <c r="B540" s="2" t="n">
        <v>538</v>
      </c>
      <c r="C540" s="2" t="n">
        <v>0.0731392132375015</v>
      </c>
      <c r="D540" s="2" t="n">
        <v>0.0651353024050194</v>
      </c>
      <c r="E540" s="2" t="n">
        <v>0.0767576854907945</v>
      </c>
    </row>
    <row r="541" customFormat="false" ht="13.8" hidden="false" customHeight="false" outlineLevel="0" collapsed="false">
      <c r="B541" s="2" t="n">
        <v>539</v>
      </c>
      <c r="C541" s="2" t="n">
        <v>0.0560803753652671</v>
      </c>
      <c r="D541" s="2" t="n">
        <v>0.0499432800559514</v>
      </c>
      <c r="E541" s="2" t="n">
        <v>0.0588548827259791</v>
      </c>
    </row>
    <row r="542" customFormat="false" ht="13.8" hidden="false" customHeight="false" outlineLevel="0" collapsed="false">
      <c r="B542" s="2" t="n">
        <v>540</v>
      </c>
      <c r="C542" s="2" t="n">
        <v>0.0390215375359295</v>
      </c>
      <c r="D542" s="2" t="n">
        <v>0.0347512577258879</v>
      </c>
      <c r="E542" s="2" t="n">
        <v>0.0409520799610913</v>
      </c>
    </row>
    <row r="543" customFormat="false" ht="13.8" hidden="false" customHeight="false" outlineLevel="0" collapsed="false">
      <c r="B543" s="2" t="n">
        <v>541</v>
      </c>
      <c r="C543" s="2" t="n">
        <v>0.0219626997065919</v>
      </c>
      <c r="D543" s="2" t="n">
        <v>0.0195592353958242</v>
      </c>
      <c r="E543" s="2" t="n">
        <v>0.0230492771961311</v>
      </c>
    </row>
    <row r="544" customFormat="false" ht="13.8" hidden="false" customHeight="false" outlineLevel="0" collapsed="false">
      <c r="B544" s="2" t="n">
        <v>542</v>
      </c>
      <c r="C544" s="2" t="n">
        <v>0.0197499256156768</v>
      </c>
      <c r="D544" s="2" t="n">
        <v>0.0175886138483964</v>
      </c>
      <c r="E544" s="2" t="n">
        <v>0.0207270288397082</v>
      </c>
    </row>
    <row r="545" customFormat="false" ht="13.8" hidden="false" customHeight="false" outlineLevel="0" collapsed="false">
      <c r="B545" s="2" t="n">
        <v>543</v>
      </c>
      <c r="C545" s="2" t="n">
        <v>0.0175371515247618</v>
      </c>
      <c r="D545" s="2" t="n">
        <v>0.0156179923009688</v>
      </c>
      <c r="E545" s="2" t="n">
        <v>0.0184047804832128</v>
      </c>
    </row>
    <row r="546" customFormat="false" ht="13.8" hidden="false" customHeight="false" outlineLevel="0" collapsed="false">
      <c r="B546" s="2" t="n">
        <v>544</v>
      </c>
      <c r="C546" s="2" t="n">
        <v>0.0153243774338467</v>
      </c>
      <c r="D546" s="2" t="n">
        <v>0.0136473707535413</v>
      </c>
      <c r="E546" s="2" t="n">
        <v>0.0160825321267175</v>
      </c>
    </row>
    <row r="547" customFormat="false" ht="13.8" hidden="false" customHeight="false" outlineLevel="0" collapsed="false">
      <c r="B547" s="2" t="n">
        <v>545</v>
      </c>
      <c r="C547" s="2" t="n">
        <v>0.0131116033429316</v>
      </c>
      <c r="D547" s="2" t="n">
        <v>0.0116767492061138</v>
      </c>
      <c r="E547" s="2" t="n">
        <v>0.0137602837702221</v>
      </c>
    </row>
    <row r="548" customFormat="false" ht="13.8" hidden="false" customHeight="false" outlineLevel="0" collapsed="false">
      <c r="B548" s="2" t="n">
        <v>546</v>
      </c>
      <c r="C548" s="2" t="n">
        <v>0.0119608996892994</v>
      </c>
      <c r="D548" s="2" t="n">
        <v>0.0106519715643918</v>
      </c>
      <c r="E548" s="2" t="n">
        <v>0.0125526504743375</v>
      </c>
    </row>
    <row r="549" customFormat="false" ht="13.8" hidden="false" customHeight="false" outlineLevel="0" collapsed="false">
      <c r="B549" s="2" t="n">
        <v>547</v>
      </c>
      <c r="C549" s="2" t="n">
        <v>0.0108101960356673</v>
      </c>
      <c r="D549" s="2" t="n">
        <v>0.00962719392267005</v>
      </c>
      <c r="E549" s="2" t="n">
        <v>0.0113450171784528</v>
      </c>
    </row>
    <row r="550" customFormat="false" ht="13.8" hidden="false" customHeight="false" outlineLevel="0" collapsed="false">
      <c r="B550" s="2" t="n">
        <v>548</v>
      </c>
      <c r="C550" s="2" t="n">
        <v>0.00965949238203516</v>
      </c>
      <c r="D550" s="2" t="n">
        <v>0.00860241628094828</v>
      </c>
      <c r="E550" s="2" t="n">
        <v>0.0101373838825681</v>
      </c>
    </row>
    <row r="551" customFormat="false" ht="13.8" hidden="false" customHeight="false" outlineLevel="0" collapsed="false">
      <c r="B551" s="2" t="n">
        <v>549</v>
      </c>
      <c r="C551" s="2" t="n">
        <v>0.00850878872840301</v>
      </c>
      <c r="D551" s="2" t="n">
        <v>0.00757763863922651</v>
      </c>
      <c r="E551" s="2" t="n">
        <v>0.00892975058668347</v>
      </c>
    </row>
    <row r="552" customFormat="false" ht="13.8" hidden="false" customHeight="false" outlineLevel="0" collapsed="false">
      <c r="B552" s="2" t="n">
        <v>550</v>
      </c>
      <c r="C552" s="2" t="n">
        <v>0.0063815915360316</v>
      </c>
      <c r="D552" s="2" t="n">
        <v>0.00568322897484859</v>
      </c>
      <c r="E552" s="2" t="n">
        <v>0.00669731294010783</v>
      </c>
    </row>
    <row r="553" customFormat="false" ht="13.8" hidden="false" customHeight="false" outlineLevel="0" collapsed="false">
      <c r="B553" s="2" t="n">
        <v>551</v>
      </c>
      <c r="C553" s="2" t="n">
        <v>0.00425439434366019</v>
      </c>
      <c r="D553" s="2" t="n">
        <v>0.00378881931047067</v>
      </c>
      <c r="E553" s="2" t="n">
        <v>0.00446487529353221</v>
      </c>
    </row>
    <row r="554" customFormat="false" ht="13.8" hidden="false" customHeight="false" outlineLevel="0" collapsed="false">
      <c r="B554" s="2" t="n">
        <v>552</v>
      </c>
      <c r="C554" s="2" t="n">
        <v>0.00212719715128878</v>
      </c>
      <c r="D554" s="2" t="n">
        <v>0.00189440964609274</v>
      </c>
      <c r="E554" s="2" t="n">
        <v>0.00223243764695658</v>
      </c>
    </row>
    <row r="555" customFormat="false" ht="13.8" hidden="false" customHeight="false" outlineLevel="0" collapsed="false">
      <c r="B555" s="2" t="n">
        <v>553</v>
      </c>
      <c r="C555" s="2" t="n">
        <v>0</v>
      </c>
      <c r="D555" s="2" t="n">
        <v>0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0</v>
      </c>
      <c r="D556" s="2" t="n">
        <v>0</v>
      </c>
      <c r="E556" s="2" t="n">
        <v>0</v>
      </c>
    </row>
    <row r="557" customFormat="false" ht="13.8" hidden="false" customHeight="false" outlineLevel="0" collapsed="false">
      <c r="B557" s="2" t="n">
        <v>555</v>
      </c>
      <c r="C557" s="2" t="n">
        <v>0</v>
      </c>
      <c r="D557" s="2" t="n">
        <v>0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0</v>
      </c>
      <c r="D558" s="2" t="n">
        <v>0</v>
      </c>
      <c r="E558" s="2" t="n">
        <v>0</v>
      </c>
    </row>
    <row r="559" customFormat="false" ht="13.8" hidden="false" customHeight="false" outlineLevel="0" collapsed="false">
      <c r="B559" s="2" t="n">
        <v>557</v>
      </c>
      <c r="C559" s="2" t="n">
        <v>0</v>
      </c>
      <c r="D559" s="2" t="n">
        <v>0</v>
      </c>
      <c r="E559" s="2" t="n">
        <v>0</v>
      </c>
    </row>
    <row r="560" customFormat="false" ht="13.8" hidden="false" customHeight="false" outlineLevel="0" collapsed="false">
      <c r="B560" s="2" t="n">
        <v>558</v>
      </c>
      <c r="C560" s="2" t="n">
        <v>0</v>
      </c>
      <c r="D560" s="2" t="n">
        <v>0</v>
      </c>
      <c r="E560" s="2" t="n">
        <v>0</v>
      </c>
    </row>
    <row r="561" customFormat="false" ht="13.8" hidden="false" customHeight="false" outlineLevel="0" collapsed="false">
      <c r="B561" s="2" t="n">
        <v>559</v>
      </c>
      <c r="C561" s="2" t="n">
        <v>0</v>
      </c>
      <c r="D561" s="2" t="n">
        <v>0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0</v>
      </c>
      <c r="D562" s="2" t="n">
        <v>0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0</v>
      </c>
      <c r="D563" s="2" t="n">
        <v>0</v>
      </c>
      <c r="E563" s="2" t="n">
        <v>0</v>
      </c>
    </row>
    <row r="564" customFormat="false" ht="13.8" hidden="false" customHeight="false" outlineLevel="0" collapsed="false">
      <c r="B564" s="2" t="n">
        <v>562</v>
      </c>
      <c r="C564" s="2" t="n">
        <v>0</v>
      </c>
      <c r="D564" s="2" t="n">
        <v>0</v>
      </c>
      <c r="E564" s="2" t="n">
        <v>0</v>
      </c>
    </row>
    <row r="565" customFormat="false" ht="13.8" hidden="false" customHeight="false" outlineLevel="0" collapsed="false">
      <c r="B565" s="2" t="n">
        <v>563</v>
      </c>
      <c r="C565" s="2" t="n">
        <v>0</v>
      </c>
      <c r="D565" s="2" t="n">
        <v>0</v>
      </c>
      <c r="E565" s="2" t="n">
        <v>0</v>
      </c>
    </row>
    <row r="566" customFormat="false" ht="13.8" hidden="false" customHeight="false" outlineLevel="0" collapsed="false">
      <c r="B566" s="2" t="n">
        <v>564</v>
      </c>
      <c r="C566" s="2" t="n">
        <v>0</v>
      </c>
      <c r="D566" s="2" t="n">
        <v>0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0</v>
      </c>
      <c r="D567" s="2" t="n">
        <v>0</v>
      </c>
      <c r="E567" s="2" t="n">
        <v>0</v>
      </c>
    </row>
    <row r="568" customFormat="false" ht="13.8" hidden="false" customHeight="false" outlineLevel="0" collapsed="false">
      <c r="B568" s="2" t="n">
        <v>566</v>
      </c>
      <c r="C568" s="2" t="n">
        <v>0</v>
      </c>
      <c r="D568" s="2" t="n">
        <v>0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0</v>
      </c>
      <c r="D569" s="2" t="n">
        <v>0</v>
      </c>
      <c r="E569" s="2" t="n">
        <v>0</v>
      </c>
    </row>
    <row r="570" customFormat="false" ht="13.8" hidden="false" customHeight="false" outlineLevel="0" collapsed="false">
      <c r="B570" s="2" t="n">
        <v>568</v>
      </c>
      <c r="C570" s="2" t="n">
        <v>0</v>
      </c>
      <c r="D570" s="2" t="n">
        <v>0</v>
      </c>
      <c r="E570" s="2" t="n">
        <v>0</v>
      </c>
    </row>
    <row r="571" customFormat="false" ht="13.8" hidden="false" customHeight="false" outlineLevel="0" collapsed="false">
      <c r="B571" s="2" t="n">
        <v>569</v>
      </c>
      <c r="C571" s="2" t="n">
        <v>0</v>
      </c>
      <c r="D571" s="2" t="n">
        <v>0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0</v>
      </c>
      <c r="D572" s="2" t="n">
        <v>0</v>
      </c>
      <c r="E572" s="2" t="n">
        <v>0</v>
      </c>
    </row>
    <row r="573" customFormat="false" ht="13.8" hidden="false" customHeight="false" outlineLevel="0" collapsed="false">
      <c r="B573" s="2" t="n">
        <v>571</v>
      </c>
      <c r="C573" s="2" t="n">
        <v>0</v>
      </c>
      <c r="D573" s="2" t="n">
        <v>0</v>
      </c>
      <c r="E573" s="2" t="n">
        <v>0</v>
      </c>
    </row>
    <row r="574" customFormat="false" ht="13.8" hidden="false" customHeight="false" outlineLevel="0" collapsed="false">
      <c r="B574" s="2" t="n">
        <v>572</v>
      </c>
      <c r="C574" s="2" t="n">
        <v>0</v>
      </c>
      <c r="D574" s="2" t="n">
        <v>0</v>
      </c>
      <c r="E574" s="2" t="n">
        <v>0</v>
      </c>
    </row>
    <row r="575" customFormat="false" ht="13.8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0</v>
      </c>
    </row>
    <row r="576" customFormat="false" ht="13.8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0</v>
      </c>
    </row>
    <row r="577" customFormat="false" ht="13.8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0</v>
      </c>
    </row>
    <row r="579" customFormat="false" ht="13.8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0</v>
      </c>
    </row>
    <row r="580" customFormat="false" ht="13.8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0</v>
      </c>
    </row>
    <row r="581" customFormat="false" ht="13.8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0</v>
      </c>
    </row>
    <row r="584" customFormat="false" ht="13.8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0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0</v>
      </c>
    </row>
    <row r="592" customFormat="false" ht="13.8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0</v>
      </c>
    </row>
    <row r="594" customFormat="false" ht="13.8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0</v>
      </c>
    </row>
    <row r="595" customFormat="false" ht="13.8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0</v>
      </c>
      <c r="D598" s="2" t="n">
        <v>0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0</v>
      </c>
    </row>
    <row r="600" customFormat="false" ht="13.8" hidden="false" customHeight="false" outlineLevel="0" collapsed="false">
      <c r="B600" s="2" t="n">
        <v>598</v>
      </c>
      <c r="C600" s="2" t="n">
        <v>0.00356825099638843</v>
      </c>
      <c r="D600" s="2" t="n">
        <v>0.00317776331958094</v>
      </c>
      <c r="E600" s="2" t="n">
        <v>0.00374478585149755</v>
      </c>
    </row>
    <row r="601" customFormat="false" ht="13.8" hidden="false" customHeight="false" outlineLevel="0" collapsed="false">
      <c r="B601" s="2" t="n">
        <v>599</v>
      </c>
      <c r="C601" s="2" t="n">
        <v>0.00713650203387813</v>
      </c>
      <c r="D601" s="2" t="n">
        <v>0.00635552665745573</v>
      </c>
      <c r="E601" s="2" t="n">
        <v>0.00748957170261401</v>
      </c>
    </row>
    <row r="602" customFormat="false" ht="13.8" hidden="false" customHeight="false" outlineLevel="0" collapsed="false">
      <c r="B602" s="2" t="n">
        <v>600</v>
      </c>
      <c r="C602" s="2" t="n">
        <v>0.0107047530713678</v>
      </c>
      <c r="D602" s="2" t="n">
        <v>0.00953328999533053</v>
      </c>
      <c r="E602" s="2" t="n">
        <v>0.0112343575537305</v>
      </c>
    </row>
    <row r="603" customFormat="false" ht="13.8" hidden="false" customHeight="false" outlineLevel="0" collapsed="false">
      <c r="B603" s="2" t="n">
        <v>601</v>
      </c>
      <c r="C603" s="2" t="n">
        <v>0.0142730041088575</v>
      </c>
      <c r="D603" s="2" t="n">
        <v>0.0127110533332053</v>
      </c>
      <c r="E603" s="2" t="n">
        <v>0.0149791434048469</v>
      </c>
    </row>
    <row r="604" customFormat="false" ht="13.8" hidden="false" customHeight="false" outlineLevel="0" collapsed="false">
      <c r="B604" s="2" t="n">
        <v>602</v>
      </c>
      <c r="C604" s="2" t="n">
        <v>0.0320363231922769</v>
      </c>
      <c r="D604" s="2" t="n">
        <v>0.0285304627719455</v>
      </c>
      <c r="E604" s="2" t="n">
        <v>0.0336212807638952</v>
      </c>
    </row>
    <row r="605" customFormat="false" ht="13.8" hidden="false" customHeight="false" outlineLevel="0" collapsed="false">
      <c r="B605" s="2" t="n">
        <v>603</v>
      </c>
      <c r="C605" s="2" t="n">
        <v>0.0497996422756963</v>
      </c>
      <c r="D605" s="2" t="n">
        <v>0.0443498722106857</v>
      </c>
      <c r="E605" s="2" t="n">
        <v>0.0522634181228711</v>
      </c>
    </row>
    <row r="606" customFormat="false" ht="13.8" hidden="false" customHeight="false" outlineLevel="0" collapsed="false">
      <c r="B606" s="2" t="n">
        <v>604</v>
      </c>
      <c r="C606" s="2" t="n">
        <v>0.0621643564375024</v>
      </c>
      <c r="D606" s="2" t="n">
        <v>0.0588173483772282</v>
      </c>
      <c r="E606" s="2" t="n">
        <v>0.0709055554819917</v>
      </c>
    </row>
    <row r="607" customFormat="false" ht="13.8" hidden="false" customHeight="false" outlineLevel="0" collapsed="false">
      <c r="B607" s="2" t="n">
        <v>605</v>
      </c>
      <c r="C607" s="2" t="n">
        <v>0.0732846023759227</v>
      </c>
      <c r="D607" s="2" t="n">
        <v>0.075988691106462</v>
      </c>
      <c r="E607" s="2" t="n">
        <v>0.0750099943284887</v>
      </c>
    </row>
    <row r="608" customFormat="false" ht="13.8" hidden="false" customHeight="false" outlineLevel="0" collapsed="false">
      <c r="B608" s="2" t="n">
        <v>606</v>
      </c>
      <c r="C608" s="2" t="n">
        <v>0.0844176343763441</v>
      </c>
      <c r="D608" s="2" t="n">
        <v>0.103072489034772</v>
      </c>
      <c r="E608" s="2" t="n">
        <v>0.100000683333333</v>
      </c>
    </row>
    <row r="609" customFormat="false" ht="13.8" hidden="false" customHeight="false" outlineLevel="0" collapsed="false">
      <c r="B609" s="2" t="n">
        <v>607</v>
      </c>
      <c r="C609" s="2" t="n">
        <v>0.0903639688611221</v>
      </c>
      <c r="D609" s="2" t="n">
        <v>0.1301562869708</v>
      </c>
      <c r="E609" s="2" t="n">
        <v>0.0959900940840804</v>
      </c>
    </row>
    <row r="610" customFormat="false" ht="13.8" hidden="false" customHeight="false" outlineLevel="0" collapsed="false">
      <c r="B610" s="2" t="n">
        <v>608</v>
      </c>
      <c r="C610" s="2" t="n">
        <v>0.104056672382954</v>
      </c>
      <c r="D610" s="2" t="n">
        <v>0.0301011666666666</v>
      </c>
      <c r="E610" s="2" t="n">
        <v>0.103750633333333</v>
      </c>
    </row>
    <row r="611" customFormat="false" ht="13.8" hidden="false" customHeight="false" outlineLevel="0" collapsed="false">
      <c r="B611" s="2" t="n">
        <v>609</v>
      </c>
      <c r="C611" s="2" t="n">
        <v>0.118583605445748</v>
      </c>
      <c r="D611" s="2" t="n">
        <v>0.183174100456978</v>
      </c>
      <c r="E611" s="2" t="n">
        <v>0.0878980579650674</v>
      </c>
    </row>
    <row r="612" customFormat="false" ht="13.8" hidden="false" customHeight="false" outlineLevel="0" collapsed="false">
      <c r="B612" s="2" t="n">
        <v>610</v>
      </c>
      <c r="C612" s="2" t="n">
        <v>0.143932418416909</v>
      </c>
      <c r="D612" s="2" t="n">
        <v>0.0119644069283322</v>
      </c>
      <c r="E612" s="2" t="n">
        <v>0.123719674702577</v>
      </c>
    </row>
    <row r="613" customFormat="false" ht="13.8" hidden="false" customHeight="false" outlineLevel="0" collapsed="false">
      <c r="B613" s="2" t="n">
        <v>611</v>
      </c>
      <c r="C613" s="2" t="n">
        <v>0.138892432539348</v>
      </c>
      <c r="D613" s="2" t="n">
        <v>0.0728853166666667</v>
      </c>
      <c r="E613" s="2" t="n">
        <v>0.104528796987658</v>
      </c>
    </row>
    <row r="614" customFormat="false" ht="13.8" hidden="false" customHeight="false" outlineLevel="0" collapsed="false">
      <c r="B614" s="2" t="n">
        <v>612</v>
      </c>
      <c r="C614" s="2" t="n">
        <v>0.147352177702675</v>
      </c>
      <c r="D614" s="2" t="n">
        <v>0.0502686333333333</v>
      </c>
      <c r="E614" s="2" t="n">
        <v>0.141946536391661</v>
      </c>
    </row>
    <row r="615" customFormat="false" ht="13.8" hidden="false" customHeight="false" outlineLevel="0" collapsed="false">
      <c r="B615" s="2" t="n">
        <v>613</v>
      </c>
      <c r="C615" s="2" t="n">
        <v>0.159707442071221</v>
      </c>
      <c r="D615" s="2" t="n">
        <v>0.0745185333333334</v>
      </c>
      <c r="E615" s="2" t="n">
        <v>0.123495802054895</v>
      </c>
    </row>
    <row r="616" customFormat="false" ht="13.8" hidden="false" customHeight="false" outlineLevel="0" collapsed="false">
      <c r="B616" s="2" t="n">
        <v>614</v>
      </c>
      <c r="C616" s="2" t="n">
        <v>0.185767181721632</v>
      </c>
      <c r="D616" s="2" t="n">
        <v>0.0525519000000001</v>
      </c>
      <c r="E616" s="2" t="n">
        <v>0.157882442533562</v>
      </c>
    </row>
    <row r="617" customFormat="false" ht="13.8" hidden="false" customHeight="false" outlineLevel="0" collapsed="false">
      <c r="B617" s="2" t="n">
        <v>615</v>
      </c>
      <c r="C617" s="2" t="n">
        <v>0.183208621765851</v>
      </c>
      <c r="D617" s="2" t="n">
        <v>0.0718021333333334</v>
      </c>
      <c r="E617" s="2" t="n">
        <v>0.136672887272581</v>
      </c>
    </row>
    <row r="618" customFormat="false" ht="13.8" hidden="false" customHeight="false" outlineLevel="0" collapsed="false">
      <c r="B618" s="2" t="n">
        <v>616</v>
      </c>
      <c r="C618" s="2" t="n">
        <v>0.205271258588192</v>
      </c>
      <c r="D618" s="2" t="n">
        <v>0.0512518666666669</v>
      </c>
      <c r="E618" s="2" t="n">
        <v>0.171172111840925</v>
      </c>
    </row>
    <row r="619" customFormat="false" ht="13.8" hidden="false" customHeight="false" outlineLevel="0" collapsed="false">
      <c r="B619" s="2" t="n">
        <v>617</v>
      </c>
      <c r="C619" s="2" t="n">
        <v>0.198334948494863</v>
      </c>
      <c r="D619" s="2" t="n">
        <v>0.0707515000000004</v>
      </c>
      <c r="E619" s="2" t="n">
        <v>0.151123080820402</v>
      </c>
    </row>
    <row r="620" customFormat="false" ht="13.8" hidden="false" customHeight="false" outlineLevel="0" collapsed="false">
      <c r="B620" s="2" t="n">
        <v>618</v>
      </c>
      <c r="C620" s="2" t="n">
        <v>0.215584241264883</v>
      </c>
      <c r="D620" s="2" t="n">
        <v>0.0548539961943102</v>
      </c>
      <c r="E620" s="2" t="n">
        <v>0.182949982591618</v>
      </c>
    </row>
    <row r="621" customFormat="false" ht="13.8" hidden="false" customHeight="false" outlineLevel="0" collapsed="false">
      <c r="B621" s="2" t="n">
        <v>619</v>
      </c>
      <c r="C621" s="2" t="n">
        <v>0.206639350014519</v>
      </c>
      <c r="D621" s="2" t="n">
        <v>0.0914146890327577</v>
      </c>
      <c r="E621" s="2" t="n">
        <v>0.159437430513142</v>
      </c>
    </row>
    <row r="622" customFormat="false" ht="13.8" hidden="false" customHeight="false" outlineLevel="0" collapsed="false">
      <c r="B622" s="2" t="n">
        <v>620</v>
      </c>
      <c r="C622" s="2" t="n">
        <v>0.223884856013329</v>
      </c>
      <c r="D622" s="2" t="n">
        <v>0.0883397847359774</v>
      </c>
      <c r="E622" s="2" t="n">
        <v>0.19126296403302</v>
      </c>
    </row>
    <row r="623" customFormat="false" ht="13.8" hidden="false" customHeight="false" outlineLevel="0" collapsed="false">
      <c r="B623" s="2" t="n">
        <v>621</v>
      </c>
      <c r="C623" s="2" t="n">
        <v>0.212209304072566</v>
      </c>
      <c r="D623" s="2" t="n">
        <v>0.117231649828641</v>
      </c>
      <c r="E623" s="2" t="n">
        <v>0.173661840865069</v>
      </c>
    </row>
    <row r="624" customFormat="false" ht="13.8" hidden="false" customHeight="false" outlineLevel="0" collapsed="false">
      <c r="B624" s="2" t="n">
        <v>622</v>
      </c>
      <c r="C624" s="2" t="n">
        <v>0.242675836666872</v>
      </c>
      <c r="D624" s="2" t="n">
        <v>0.250605230156604</v>
      </c>
      <c r="E624" s="2" t="n">
        <v>0.193304751303914</v>
      </c>
    </row>
    <row r="625" customFormat="false" ht="13.8" hidden="false" customHeight="false" outlineLevel="0" collapsed="false">
      <c r="B625" s="2" t="n">
        <v>623</v>
      </c>
      <c r="C625" s="2" t="n">
        <v>0.355025973055674</v>
      </c>
      <c r="D625" s="2" t="n">
        <v>0.344483291011015</v>
      </c>
      <c r="E625" s="2" t="n">
        <v>0.167855100854932</v>
      </c>
    </row>
    <row r="626" customFormat="false" ht="13.8" hidden="false" customHeight="false" outlineLevel="0" collapsed="false">
      <c r="B626" s="2" t="n">
        <v>624</v>
      </c>
      <c r="C626" s="2" t="n">
        <v>0.408822238567701</v>
      </c>
      <c r="D626" s="2" t="n">
        <v>0.364083218299076</v>
      </c>
      <c r="E626" s="2" t="n">
        <v>0.297248172652372</v>
      </c>
    </row>
    <row r="627" customFormat="false" ht="13.8" hidden="false" customHeight="false" outlineLevel="0" collapsed="false">
      <c r="B627" s="2" t="n">
        <v>625</v>
      </c>
      <c r="C627" s="2" t="n">
        <v>0.400939994948268</v>
      </c>
      <c r="D627" s="2" t="n">
        <v>0.357063559499607</v>
      </c>
      <c r="E627" s="2" t="n">
        <v>0.414588739468854</v>
      </c>
    </row>
    <row r="628" customFormat="false" ht="13.8" hidden="false" customHeight="false" outlineLevel="0" collapsed="false">
      <c r="B628" s="2" t="n">
        <v>626</v>
      </c>
      <c r="C628" s="2" t="n">
        <v>0.356372768713852</v>
      </c>
      <c r="D628" s="2" t="n">
        <v>0.317373499548521</v>
      </c>
      <c r="E628" s="2" t="n">
        <v>0.374003871359211</v>
      </c>
    </row>
    <row r="629" customFormat="false" ht="13.8" hidden="false" customHeight="false" outlineLevel="0" collapsed="false">
      <c r="B629" s="2" t="n">
        <v>627</v>
      </c>
      <c r="C629" s="2" t="n">
        <v>0.311805542479436</v>
      </c>
      <c r="D629" s="2" t="n">
        <v>0.277683439597434</v>
      </c>
      <c r="E629" s="2" t="n">
        <v>0.327231736643167</v>
      </c>
    </row>
    <row r="630" customFormat="false" ht="13.8" hidden="false" customHeight="false" outlineLevel="0" collapsed="false">
      <c r="B630" s="2" t="n">
        <v>628</v>
      </c>
      <c r="C630" s="2" t="n">
        <v>0.267238316245019</v>
      </c>
      <c r="D630" s="2" t="n">
        <v>0.237993379646348</v>
      </c>
      <c r="E630" s="2" t="n">
        <v>0.280459601927123</v>
      </c>
    </row>
    <row r="631" customFormat="false" ht="13.8" hidden="false" customHeight="false" outlineLevel="0" collapsed="false">
      <c r="B631" s="2" t="n">
        <v>629</v>
      </c>
      <c r="C631" s="2" t="n">
        <v>0.222671090010603</v>
      </c>
      <c r="D631" s="2" t="n">
        <v>0.198303319695262</v>
      </c>
      <c r="E631" s="2" t="n">
        <v>0.233687467211079</v>
      </c>
    </row>
    <row r="632" customFormat="false" ht="13.8" hidden="false" customHeight="false" outlineLevel="0" collapsed="false">
      <c r="B632" s="2" t="n">
        <v>630</v>
      </c>
      <c r="C632" s="2" t="n">
        <v>0.217643447221163</v>
      </c>
      <c r="D632" s="2" t="n">
        <v>0.193825871566093</v>
      </c>
      <c r="E632" s="2" t="n">
        <v>0.228411088003295</v>
      </c>
    </row>
    <row r="633" customFormat="false" ht="13.8" hidden="false" customHeight="false" outlineLevel="0" collapsed="false">
      <c r="B633" s="2" t="n">
        <v>631</v>
      </c>
      <c r="C633" s="2" t="n">
        <v>0.212615804431722</v>
      </c>
      <c r="D633" s="2" t="n">
        <v>0.189348423436924</v>
      </c>
      <c r="E633" s="2" t="n">
        <v>0.223134708795512</v>
      </c>
    </row>
    <row r="634" customFormat="false" ht="13.8" hidden="false" customHeight="false" outlineLevel="0" collapsed="false">
      <c r="B634" s="2" t="n">
        <v>632</v>
      </c>
      <c r="C634" s="2" t="n">
        <v>0.207588161642282</v>
      </c>
      <c r="D634" s="2" t="n">
        <v>0.184870975307755</v>
      </c>
      <c r="E634" s="2" t="n">
        <v>0.217858329587728</v>
      </c>
    </row>
    <row r="635" customFormat="false" ht="13.8" hidden="false" customHeight="false" outlineLevel="0" collapsed="false">
      <c r="B635" s="2" t="n">
        <v>633</v>
      </c>
      <c r="C635" s="2" t="n">
        <v>0.202560518852842</v>
      </c>
      <c r="D635" s="2" t="n">
        <v>0.180393527178587</v>
      </c>
      <c r="E635" s="2" t="n">
        <v>0.212581950379944</v>
      </c>
    </row>
    <row r="636" customFormat="false" ht="13.8" hidden="false" customHeight="false" outlineLevel="0" collapsed="false">
      <c r="B636" s="2" t="n">
        <v>634</v>
      </c>
      <c r="C636" s="2" t="n">
        <v>0.186835763745444</v>
      </c>
      <c r="D636" s="2" t="n">
        <v>0.166389593668208</v>
      </c>
      <c r="E636" s="2" t="n">
        <v>0.196079232432196</v>
      </c>
    </row>
    <row r="637" customFormat="false" ht="13.8" hidden="false" customHeight="false" outlineLevel="0" collapsed="false">
      <c r="B637" s="2" t="n">
        <v>635</v>
      </c>
      <c r="C637" s="2" t="n">
        <v>0.171111008638047</v>
      </c>
      <c r="D637" s="2" t="n">
        <v>0.15238566015783</v>
      </c>
      <c r="E637" s="2" t="n">
        <v>0.179576514484449</v>
      </c>
    </row>
    <row r="638" customFormat="false" ht="13.8" hidden="false" customHeight="false" outlineLevel="0" collapsed="false">
      <c r="B638" s="2" t="n">
        <v>636</v>
      </c>
      <c r="C638" s="2" t="n">
        <v>0.155386253530649</v>
      </c>
      <c r="D638" s="2" t="n">
        <v>0.138381726647451</v>
      </c>
      <c r="E638" s="2" t="n">
        <v>0.163073796536702</v>
      </c>
    </row>
    <row r="639" customFormat="false" ht="13.8" hidden="false" customHeight="false" outlineLevel="0" collapsed="false">
      <c r="B639" s="2" t="n">
        <v>637</v>
      </c>
      <c r="C639" s="2" t="n">
        <v>0.139661498423251</v>
      </c>
      <c r="D639" s="2" t="n">
        <v>0.124377793137073</v>
      </c>
      <c r="E639" s="2" t="n">
        <v>0.146571078588956</v>
      </c>
    </row>
    <row r="640" customFormat="false" ht="13.8" hidden="false" customHeight="false" outlineLevel="0" collapsed="false">
      <c r="B640" s="2" t="n">
        <v>638</v>
      </c>
      <c r="C640" s="2" t="n">
        <v>0.110224573483135</v>
      </c>
      <c r="D640" s="2" t="n">
        <v>0.0981622662944663</v>
      </c>
      <c r="E640" s="2" t="n">
        <v>0.115677798139251</v>
      </c>
    </row>
    <row r="641" customFormat="false" ht="13.8" hidden="false" customHeight="false" outlineLevel="0" collapsed="false">
      <c r="B641" s="2" t="n">
        <v>639</v>
      </c>
      <c r="C641" s="2" t="n">
        <v>0.0807876485430182</v>
      </c>
      <c r="D641" s="2" t="n">
        <v>0.0719467394518599</v>
      </c>
      <c r="E641" s="2" t="n">
        <v>0.0847845176895467</v>
      </c>
    </row>
    <row r="642" customFormat="false" ht="13.8" hidden="false" customHeight="false" outlineLevel="0" collapsed="false">
      <c r="B642" s="2" t="n">
        <v>640</v>
      </c>
      <c r="C642" s="2" t="n">
        <v>0.0513507236029011</v>
      </c>
      <c r="D642" s="2" t="n">
        <v>0.0457312126092529</v>
      </c>
      <c r="E642" s="2" t="n">
        <v>0.0538912372398417</v>
      </c>
    </row>
    <row r="643" customFormat="false" ht="13.8" hidden="false" customHeight="false" outlineLevel="0" collapsed="false">
      <c r="B643" s="2" t="n">
        <v>641</v>
      </c>
      <c r="C643" s="2" t="n">
        <v>0.0219137986627845</v>
      </c>
      <c r="D643" s="2" t="n">
        <v>0.0195156857666465</v>
      </c>
      <c r="E643" s="2" t="n">
        <v>0.0229979567901388</v>
      </c>
    </row>
    <row r="644" customFormat="false" ht="13.8" hidden="false" customHeight="false" outlineLevel="0" collapsed="false">
      <c r="B644" s="2" t="n">
        <v>642</v>
      </c>
      <c r="C644" s="2" t="n">
        <v>0.0199119105004238</v>
      </c>
      <c r="D644" s="2" t="n">
        <v>0.0177328720738773</v>
      </c>
      <c r="E644" s="2" t="n">
        <v>0.0208970276830885</v>
      </c>
    </row>
    <row r="645" customFormat="false" ht="13.8" hidden="false" customHeight="false" outlineLevel="0" collapsed="false">
      <c r="B645" s="2" t="n">
        <v>643</v>
      </c>
      <c r="C645" s="2" t="n">
        <v>0.0179100223380632</v>
      </c>
      <c r="D645" s="2" t="n">
        <v>0.015950058381108</v>
      </c>
      <c r="E645" s="2" t="n">
        <v>0.0187960985760381</v>
      </c>
    </row>
    <row r="646" customFormat="false" ht="13.8" hidden="false" customHeight="false" outlineLevel="0" collapsed="false">
      <c r="B646" s="2" t="n">
        <v>644</v>
      </c>
      <c r="C646" s="2" t="n">
        <v>0.0159081341757026</v>
      </c>
      <c r="D646" s="2" t="n">
        <v>0.0141672446883387</v>
      </c>
      <c r="E646" s="2" t="n">
        <v>0.0166951694689878</v>
      </c>
    </row>
    <row r="647" customFormat="false" ht="13.8" hidden="false" customHeight="false" outlineLevel="0" collapsed="false">
      <c r="B647" s="2" t="n">
        <v>645</v>
      </c>
      <c r="C647" s="2" t="n">
        <v>0.0139062460133419</v>
      </c>
      <c r="D647" s="2" t="n">
        <v>0.0123844309955695</v>
      </c>
      <c r="E647" s="2" t="n">
        <v>0.0145942403619374</v>
      </c>
    </row>
    <row r="648" customFormat="false" ht="13.8" hidden="false" customHeight="false" outlineLevel="0" collapsed="false">
      <c r="B648" s="2" t="n">
        <v>646</v>
      </c>
      <c r="C648" s="2" t="n">
        <v>0.0104296845100057</v>
      </c>
      <c r="D648" s="2" t="n">
        <v>0.00928832324667625</v>
      </c>
      <c r="E648" s="2" t="n">
        <v>0.0109456802714492</v>
      </c>
    </row>
    <row r="649" customFormat="false" ht="13.8" hidden="false" customHeight="false" outlineLevel="0" collapsed="false">
      <c r="B649" s="2" t="n">
        <v>647</v>
      </c>
      <c r="C649" s="2" t="n">
        <v>0.00695312300666951</v>
      </c>
      <c r="D649" s="2" t="n">
        <v>0.00619221549778311</v>
      </c>
      <c r="E649" s="2" t="n">
        <v>0.00729712018096103</v>
      </c>
    </row>
    <row r="650" customFormat="false" ht="13.8" hidden="false" customHeight="false" outlineLevel="0" collapsed="false">
      <c r="B650" s="2" t="n">
        <v>648</v>
      </c>
      <c r="C650" s="2" t="n">
        <v>0.00347656150333336</v>
      </c>
      <c r="D650" s="2" t="n">
        <v>0.00309610774888986</v>
      </c>
      <c r="E650" s="2" t="n">
        <v>0.00364856009047284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</v>
      </c>
    </row>
    <row r="652" customFormat="false" ht="13.8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</v>
      </c>
    </row>
    <row r="654" customFormat="false" ht="13.8" hidden="false" customHeight="false" outlineLevel="0" collapsed="false">
      <c r="B654" s="2" t="n">
        <v>652</v>
      </c>
      <c r="C654" s="2" t="n">
        <v>0</v>
      </c>
      <c r="D654" s="2" t="n">
        <v>0</v>
      </c>
      <c r="E654" s="2" t="n">
        <v>0</v>
      </c>
    </row>
    <row r="655" customFormat="false" ht="13.8" hidden="false" customHeight="false" outlineLevel="0" collapsed="false">
      <c r="B655" s="2" t="n">
        <v>653</v>
      </c>
      <c r="C655" s="2" t="n">
        <v>0</v>
      </c>
      <c r="D655" s="2" t="n">
        <v>0</v>
      </c>
      <c r="E655" s="2" t="n">
        <v>0</v>
      </c>
    </row>
    <row r="656" customFormat="false" ht="13.8" hidden="false" customHeight="false" outlineLevel="0" collapsed="false">
      <c r="B656" s="2" t="n">
        <v>654</v>
      </c>
      <c r="C656" s="2" t="n">
        <v>0</v>
      </c>
      <c r="D656" s="2" t="n">
        <v>0</v>
      </c>
      <c r="E656" s="2" t="n">
        <v>0</v>
      </c>
    </row>
    <row r="657" customFormat="false" ht="13.8" hidden="false" customHeight="false" outlineLevel="0" collapsed="false">
      <c r="B657" s="2" t="n">
        <v>655</v>
      </c>
      <c r="C657" s="2" t="n">
        <v>0</v>
      </c>
      <c r="D657" s="2" t="n">
        <v>0</v>
      </c>
      <c r="E657" s="2" t="n">
        <v>0</v>
      </c>
    </row>
    <row r="658" customFormat="false" ht="13.8" hidden="false" customHeight="false" outlineLevel="0" collapsed="false">
      <c r="B658" s="2" t="n">
        <v>656</v>
      </c>
      <c r="C658" s="2" t="n">
        <v>0</v>
      </c>
      <c r="D658" s="2" t="n">
        <v>0</v>
      </c>
      <c r="E658" s="2" t="n">
        <v>0</v>
      </c>
    </row>
    <row r="659" customFormat="false" ht="13.8" hidden="false" customHeight="false" outlineLevel="0" collapsed="false">
      <c r="B659" s="2" t="n">
        <v>657</v>
      </c>
      <c r="C659" s="2" t="n">
        <v>0</v>
      </c>
      <c r="D659" s="2" t="n">
        <v>0</v>
      </c>
      <c r="E659" s="2" t="n">
        <v>0</v>
      </c>
    </row>
    <row r="660" customFormat="false" ht="13.8" hidden="false" customHeight="false" outlineLevel="0" collapsed="false">
      <c r="B660" s="2" t="n">
        <v>658</v>
      </c>
      <c r="C660" s="2" t="n">
        <v>0</v>
      </c>
      <c r="D660" s="2" t="n">
        <v>0</v>
      </c>
      <c r="E660" s="2" t="n">
        <v>0</v>
      </c>
    </row>
    <row r="661" customFormat="false" ht="13.8" hidden="false" customHeight="false" outlineLevel="0" collapsed="false">
      <c r="B661" s="2" t="n">
        <v>659</v>
      </c>
      <c r="C661" s="2" t="n">
        <v>0</v>
      </c>
      <c r="D661" s="2" t="n">
        <v>0</v>
      </c>
      <c r="E661" s="2" t="n">
        <v>0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0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0</v>
      </c>
    </row>
    <row r="664" customFormat="false" ht="13.8" hidden="false" customHeight="false" outlineLevel="0" collapsed="false">
      <c r="B664" s="2" t="n">
        <v>662</v>
      </c>
      <c r="C664" s="2" t="n">
        <v>0</v>
      </c>
      <c r="D664" s="2" t="n">
        <v>0</v>
      </c>
      <c r="E664" s="2" t="n">
        <v>0</v>
      </c>
    </row>
    <row r="665" customFormat="false" ht="13.8" hidden="false" customHeight="false" outlineLevel="0" collapsed="false">
      <c r="B665" s="2" t="n">
        <v>663</v>
      </c>
      <c r="C665" s="2" t="n">
        <v>0</v>
      </c>
      <c r="D665" s="2" t="n">
        <v>0</v>
      </c>
      <c r="E665" s="2" t="n">
        <v>0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0</v>
      </c>
      <c r="E667" s="2" t="n">
        <v>0</v>
      </c>
    </row>
    <row r="668" customFormat="false" ht="13.8" hidden="false" customHeight="false" outlineLevel="0" collapsed="false">
      <c r="B668" s="2" t="n">
        <v>666</v>
      </c>
      <c r="C668" s="2" t="n">
        <v>0</v>
      </c>
      <c r="D668" s="2" t="n">
        <v>0</v>
      </c>
      <c r="E668" s="2" t="n">
        <v>0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</v>
      </c>
      <c r="E669" s="2" t="n">
        <v>0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1" sqref="B13:E16 C2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9.99390693234965E-012</v>
      </c>
      <c r="D3" s="2" t="n">
        <v>4.45133440231271E-012</v>
      </c>
      <c r="E3" s="2" t="n">
        <v>2.25777858294137E-012</v>
      </c>
    </row>
    <row r="4" customFormat="false" ht="13.8" hidden="false" customHeight="false" outlineLevel="0" collapsed="false">
      <c r="B4" s="2" t="n">
        <v>2</v>
      </c>
      <c r="C4" s="2" t="n">
        <v>9.64661668967322E-012</v>
      </c>
      <c r="D4" s="2" t="n">
        <v>4.27959385092809E-012</v>
      </c>
      <c r="E4" s="2" t="n">
        <v>2.18325764032821E-012</v>
      </c>
    </row>
    <row r="5" customFormat="false" ht="13.8" hidden="false" customHeight="false" outlineLevel="0" collapsed="false">
      <c r="B5" s="2" t="n">
        <v>3</v>
      </c>
      <c r="C5" s="2" t="n">
        <v>9.45478865718636E-012</v>
      </c>
      <c r="D5" s="2" t="n">
        <v>4.18472583458496E-012</v>
      </c>
      <c r="E5" s="2" t="n">
        <v>2.14213043400763E-012</v>
      </c>
    </row>
    <row r="6" customFormat="false" ht="13.8" hidden="false" customHeight="false" outlineLevel="0" collapsed="false">
      <c r="B6" s="2" t="n">
        <v>4</v>
      </c>
      <c r="C6" s="2" t="n">
        <v>9.26295713282873E-012</v>
      </c>
      <c r="D6" s="2" t="n">
        <v>4.08985898253953E-012</v>
      </c>
      <c r="E6" s="2" t="n">
        <v>2.10100031733106E-012</v>
      </c>
    </row>
    <row r="7" customFormat="false" ht="13.8" hidden="false" customHeight="false" outlineLevel="0" collapsed="false">
      <c r="B7" s="2" t="n">
        <v>5</v>
      </c>
      <c r="C7" s="2" t="n">
        <v>9.07112677321392E-012</v>
      </c>
      <c r="D7" s="2" t="n">
        <v>3.99499096648521E-012</v>
      </c>
      <c r="E7" s="2" t="n">
        <v>2.05986903652841E-012</v>
      </c>
    </row>
    <row r="8" customFormat="false" ht="13.8" hidden="false" customHeight="false" outlineLevel="0" collapsed="false">
      <c r="B8" s="2" t="n">
        <v>6</v>
      </c>
      <c r="C8" s="2" t="n">
        <v>8.87929525003512E-012</v>
      </c>
      <c r="D8" s="2" t="n">
        <v>3.9001206222687E-012</v>
      </c>
      <c r="E8" s="2" t="n">
        <v>2.01874299444257E-012</v>
      </c>
    </row>
    <row r="9" customFormat="false" ht="13.8" hidden="false" customHeight="false" outlineLevel="0" collapsed="false">
      <c r="B9" s="2" t="n">
        <v>7</v>
      </c>
      <c r="C9" s="2" t="n">
        <v>8.68746489159911E-012</v>
      </c>
      <c r="D9" s="2" t="n">
        <v>3.80525609896302E-012</v>
      </c>
      <c r="E9" s="2" t="n">
        <v>1.97761345992412E-012</v>
      </c>
    </row>
    <row r="10" customFormat="false" ht="13.8" hidden="false" customHeight="false" outlineLevel="0" collapsed="false">
      <c r="B10" s="2" t="n">
        <v>8</v>
      </c>
      <c r="C10" s="2" t="n">
        <v>8.49563453375248E-012</v>
      </c>
      <c r="D10" s="2" t="n">
        <v>3.71038808334184E-012</v>
      </c>
      <c r="E10" s="2" t="n">
        <v>1.93648508958609E-012</v>
      </c>
    </row>
    <row r="11" customFormat="false" ht="13.8" hidden="false" customHeight="false" outlineLevel="0" collapsed="false">
      <c r="B11" s="2" t="n">
        <v>9</v>
      </c>
      <c r="C11" s="2" t="n">
        <v>8.30380417649522E-012</v>
      </c>
      <c r="D11" s="2" t="n">
        <v>3.61552123201831E-012</v>
      </c>
      <c r="E11" s="2" t="n">
        <v>1.89535613719858E-012</v>
      </c>
    </row>
    <row r="12" customFormat="false" ht="13.8" hidden="false" customHeight="false" outlineLevel="0" collapsed="false">
      <c r="B12" s="2" t="n">
        <v>10</v>
      </c>
      <c r="C12" s="2" t="n">
        <v>8.11197265567397E-012</v>
      </c>
      <c r="D12" s="2" t="n">
        <v>3.52065321668585E-012</v>
      </c>
      <c r="E12" s="2" t="n">
        <v>1.85422834899147E-012</v>
      </c>
    </row>
    <row r="13" customFormat="false" ht="13.8" hidden="false" customHeight="false" outlineLevel="0" collapsed="false">
      <c r="B13" s="2" t="n">
        <v>11</v>
      </c>
      <c r="C13" s="2" t="n">
        <v>7.92014113544207E-012</v>
      </c>
      <c r="D13" s="2" t="n">
        <v>3.42578636565101E-012</v>
      </c>
      <c r="E13" s="2" t="n">
        <v>1.81309765042839E-012</v>
      </c>
    </row>
    <row r="14" customFormat="false" ht="13.8" hidden="false" customHeight="false" outlineLevel="0" collapsed="false">
      <c r="B14" s="2" t="n">
        <v>12</v>
      </c>
      <c r="C14" s="2" t="n">
        <v>7.72831077995289E-012</v>
      </c>
      <c r="D14" s="2" t="n">
        <v>3.3309195147605E-012</v>
      </c>
      <c r="E14" s="2" t="n">
        <v>1.77196695189245E-012</v>
      </c>
    </row>
    <row r="15" customFormat="false" ht="13.8" hidden="false" customHeight="false" outlineLevel="0" collapsed="false">
      <c r="B15" s="2" t="n">
        <v>13</v>
      </c>
      <c r="C15" s="2" t="n">
        <v>7.5364792608997E-012</v>
      </c>
      <c r="D15" s="2" t="n">
        <v>3.23605033570776E-012</v>
      </c>
      <c r="E15" s="2" t="n">
        <v>1.73083974584342E-012</v>
      </c>
    </row>
    <row r="16" customFormat="false" ht="13.8" hidden="false" customHeight="false" outlineLevel="0" collapsed="false">
      <c r="B16" s="2" t="n">
        <v>14</v>
      </c>
      <c r="C16" s="2" t="n">
        <v>7.34465007074254E-012</v>
      </c>
      <c r="D16" s="2" t="n">
        <v>3.14118115679934E-012</v>
      </c>
      <c r="E16" s="2" t="n">
        <v>1.68971021151503E-012</v>
      </c>
    </row>
    <row r="17" customFormat="false" ht="13.8" hidden="false" customHeight="false" outlineLevel="0" collapsed="false">
      <c r="B17" s="2" t="n">
        <v>15</v>
      </c>
      <c r="C17" s="2" t="n">
        <v>7.15281738871464E-012</v>
      </c>
      <c r="D17" s="2" t="n">
        <v>3.04631488841842E-012</v>
      </c>
      <c r="E17" s="2" t="n">
        <v>1.64858300552028E-012</v>
      </c>
    </row>
    <row r="18" customFormat="false" ht="13.8" hidden="false" customHeight="false" outlineLevel="0" collapsed="false">
      <c r="B18" s="2" t="n">
        <v>16</v>
      </c>
      <c r="C18" s="2" t="n">
        <v>6.96098703558276E-012</v>
      </c>
      <c r="D18" s="2" t="n">
        <v>2.95144745602851E-012</v>
      </c>
      <c r="E18" s="2" t="n">
        <v>1.60745347124617E-012</v>
      </c>
    </row>
    <row r="19" customFormat="false" ht="13.8" hidden="false" customHeight="false" outlineLevel="0" collapsed="false">
      <c r="B19" s="2" t="n">
        <v>17</v>
      </c>
      <c r="C19" s="2" t="n">
        <v>6.76915668304017E-012</v>
      </c>
      <c r="D19" s="2" t="n">
        <v>2.85657944170626E-012</v>
      </c>
      <c r="E19" s="2" t="n">
        <v>1.56632277284595E-012</v>
      </c>
    </row>
    <row r="20" customFormat="false" ht="13.8" hidden="false" customHeight="false" outlineLevel="0" collapsed="false">
      <c r="B20" s="2" t="n">
        <v>18</v>
      </c>
      <c r="C20" s="2" t="n">
        <v>6.5773240027802E-012</v>
      </c>
      <c r="D20" s="2" t="n">
        <v>2.76171375583482E-012</v>
      </c>
      <c r="E20" s="2" t="n">
        <v>1.52519556693262E-012</v>
      </c>
    </row>
    <row r="21" customFormat="false" ht="13.8" hidden="false" customHeight="false" outlineLevel="0" collapsed="false">
      <c r="B21" s="2" t="n">
        <v>19</v>
      </c>
      <c r="C21" s="2" t="n">
        <v>6.38549597972287E-012</v>
      </c>
      <c r="D21" s="2" t="n">
        <v>2.66684457764784E-012</v>
      </c>
      <c r="E21" s="2" t="n">
        <v>1.48406661481654E-012</v>
      </c>
    </row>
    <row r="22" customFormat="false" ht="13.8" hidden="false" customHeight="false" outlineLevel="0" collapsed="false">
      <c r="B22" s="2" t="n">
        <v>20</v>
      </c>
      <c r="C22" s="2" t="n">
        <v>6.19366446479478E-012</v>
      </c>
      <c r="D22" s="2" t="n">
        <v>2.57197772791166E-012</v>
      </c>
      <c r="E22" s="2" t="n">
        <v>1.4429376627276E-012</v>
      </c>
    </row>
    <row r="23" customFormat="false" ht="13.8" hidden="false" customHeight="false" outlineLevel="0" collapsed="false">
      <c r="B23" s="2" t="n">
        <v>21</v>
      </c>
      <c r="C23" s="2" t="n">
        <v>6.0018341146093E-012</v>
      </c>
      <c r="D23" s="2" t="n">
        <v>2.47710971416645E-012</v>
      </c>
      <c r="E23" s="2" t="n">
        <v>1.40180871066578E-012</v>
      </c>
    </row>
    <row r="24" customFormat="false" ht="13.8" hidden="false" customHeight="false" outlineLevel="0" collapsed="false">
      <c r="B24" s="2" t="n">
        <v>22</v>
      </c>
      <c r="C24" s="2" t="n">
        <v>5.81002122731296E-012</v>
      </c>
      <c r="D24" s="2" t="n">
        <v>2.3822603270177E-012</v>
      </c>
      <c r="E24" s="2" t="n">
        <v>1.36073680214004E-012</v>
      </c>
    </row>
    <row r="25" customFormat="false" ht="13.8" hidden="false" customHeight="false" outlineLevel="0" collapsed="false">
      <c r="B25" s="2" t="n">
        <v>23</v>
      </c>
      <c r="C25" s="2" t="n">
        <v>5.61814780463296E-012</v>
      </c>
      <c r="D25" s="2" t="n">
        <v>2.28735156819681E-012</v>
      </c>
      <c r="E25" s="2" t="n">
        <v>1.31953392640152E-012</v>
      </c>
    </row>
    <row r="26" customFormat="false" ht="13.8" hidden="false" customHeight="false" outlineLevel="0" collapsed="false">
      <c r="B26" s="2" t="n">
        <v>24</v>
      </c>
      <c r="C26" s="2" t="n">
        <v>5.42629533730221E-012</v>
      </c>
      <c r="D26" s="2" t="n">
        <v>2.19246027181915E-012</v>
      </c>
      <c r="E26" s="2" t="n">
        <v>1.27838460173936E-012</v>
      </c>
    </row>
    <row r="27" customFormat="false" ht="13.8" hidden="false" customHeight="false" outlineLevel="0" collapsed="false">
      <c r="B27" s="2" t="n">
        <v>25</v>
      </c>
      <c r="C27" s="2" t="n">
        <v>5.23443937810086E-012</v>
      </c>
      <c r="D27" s="2" t="n">
        <v>2.09757013973904E-012</v>
      </c>
      <c r="E27" s="2" t="n">
        <v>1.23725041109648E-012</v>
      </c>
    </row>
    <row r="28" customFormat="false" ht="13.8" hidden="false" customHeight="false" outlineLevel="0" collapsed="false">
      <c r="B28" s="2" t="n">
        <v>26</v>
      </c>
      <c r="C28" s="2" t="n">
        <v>5.04258341948888E-012</v>
      </c>
      <c r="D28" s="2" t="n">
        <v>2.00268000780319E-012</v>
      </c>
      <c r="E28" s="2" t="n">
        <v>1.1960952657224E-012</v>
      </c>
    </row>
    <row r="29" customFormat="false" ht="13.8" hidden="false" customHeight="false" outlineLevel="0" collapsed="false">
      <c r="B29" s="2" t="n">
        <v>27</v>
      </c>
      <c r="C29" s="2" t="n">
        <v>4.85072978977288E-012</v>
      </c>
      <c r="D29" s="2" t="n">
        <v>1.90778871185836E-012</v>
      </c>
      <c r="E29" s="2" t="n">
        <v>1.15503179744311E-012</v>
      </c>
    </row>
    <row r="30" customFormat="false" ht="13.8" hidden="false" customHeight="false" outlineLevel="0" collapsed="false">
      <c r="B30" s="2" t="n">
        <v>28</v>
      </c>
      <c r="C30" s="2" t="n">
        <v>4.65887616064621E-012</v>
      </c>
      <c r="D30" s="2" t="n">
        <v>1.81289974436428E-012</v>
      </c>
      <c r="E30" s="2" t="n">
        <v>1.11379661658809E-012</v>
      </c>
    </row>
    <row r="31" customFormat="false" ht="13.8" hidden="false" customHeight="false" outlineLevel="0" collapsed="false">
      <c r="B31" s="2" t="n">
        <v>29</v>
      </c>
      <c r="C31" s="2" t="n">
        <v>4.46702136795557E-012</v>
      </c>
      <c r="D31" s="2" t="n">
        <v>1.71801077701444E-012</v>
      </c>
      <c r="E31" s="2" t="n">
        <v>1.07264379960192E-012</v>
      </c>
    </row>
    <row r="32" customFormat="false" ht="13.8" hidden="false" customHeight="false" outlineLevel="0" collapsed="false">
      <c r="B32" s="2" t="n">
        <v>30</v>
      </c>
      <c r="C32" s="2" t="n">
        <v>4.27516424754765E-012</v>
      </c>
      <c r="D32" s="2" t="n">
        <v>1.62312064565558E-012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1.52823051444095E-012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1.23384979692778E-015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3.02679896224878E-017</v>
      </c>
      <c r="D57" s="2" t="n">
        <v>0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1.02445499318169E-016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1.73458854726876E-016</v>
      </c>
      <c r="D59" s="2" t="n">
        <v>1.86264516118253E-017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2.35158980636281E-016</v>
      </c>
      <c r="D60" s="2" t="n">
        <v>9.54605665179372E-017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2.66591116960323E-016</v>
      </c>
      <c r="D61" s="2" t="n">
        <v>1.76951296901075E-016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3.07336481860649E-016</v>
      </c>
      <c r="D62" s="2" t="n">
        <v>2.60770335582001E-016</v>
      </c>
      <c r="E62" s="2" t="n">
        <v>0</v>
      </c>
    </row>
    <row r="63" customFormat="false" ht="13.8" hidden="false" customHeight="false" outlineLevel="0" collapsed="false">
      <c r="B63" s="2" t="n">
        <v>61</v>
      </c>
      <c r="C63" s="2" t="n">
        <v>3.45753540088662E-016</v>
      </c>
      <c r="D63" s="2" t="n">
        <v>3.35276148459724E-016</v>
      </c>
      <c r="E63" s="2" t="n">
        <v>2.32830645877266E-017</v>
      </c>
    </row>
    <row r="64" customFormat="false" ht="13.8" hidden="false" customHeight="false" outlineLevel="0" collapsed="false">
      <c r="B64" s="2" t="n">
        <v>62</v>
      </c>
      <c r="C64" s="2" t="n">
        <v>3.84170598486563E-016</v>
      </c>
      <c r="D64" s="2" t="n">
        <v>4.14438575419751E-016</v>
      </c>
      <c r="E64" s="2" t="n">
        <v>3.44589395545172E-016</v>
      </c>
    </row>
    <row r="65" customFormat="false" ht="13.8" hidden="false" customHeight="false" outlineLevel="0" collapsed="false">
      <c r="B65" s="2" t="n">
        <v>63</v>
      </c>
      <c r="C65" s="2" t="n">
        <v>4.12110276129909E-016</v>
      </c>
      <c r="D65" s="2" t="n">
        <v>4.87780235891654E-016</v>
      </c>
      <c r="E65" s="2" t="n">
        <v>3.46917695411567E-016</v>
      </c>
    </row>
    <row r="66" customFormat="false" ht="13.8" hidden="false" customHeight="false" outlineLevel="0" collapsed="false">
      <c r="B66" s="2" t="n">
        <v>64</v>
      </c>
      <c r="C66" s="2" t="n">
        <v>4.49363181337396E-016</v>
      </c>
      <c r="D66" s="2" t="n">
        <v>5.63450203447935E-016</v>
      </c>
      <c r="E66" s="2" t="n">
        <v>4.6566134473134E-016</v>
      </c>
    </row>
    <row r="67" customFormat="false" ht="13.8" hidden="false" customHeight="false" outlineLevel="0" collapsed="false">
      <c r="B67" s="2" t="n">
        <v>65</v>
      </c>
      <c r="C67" s="2" t="n">
        <v>4.81959472934777E-016</v>
      </c>
      <c r="D67" s="2" t="n">
        <v>6.40284324663357E-016</v>
      </c>
      <c r="E67" s="2" t="n">
        <v>5.75091767772853E-016</v>
      </c>
    </row>
    <row r="68" customFormat="false" ht="13.8" hidden="false" customHeight="false" outlineLevel="0" collapsed="false">
      <c r="B68" s="2" t="n">
        <v>66</v>
      </c>
      <c r="C68" s="2" t="n">
        <v>5.14555764605999E-016</v>
      </c>
      <c r="D68" s="2" t="n">
        <v>7.14790139236042E-016</v>
      </c>
      <c r="E68" s="2" t="n">
        <v>7.31088335280799E-016</v>
      </c>
    </row>
    <row r="69" customFormat="false" ht="13.8" hidden="false" customHeight="false" outlineLevel="0" collapsed="false">
      <c r="B69" s="2" t="n">
        <v>67</v>
      </c>
      <c r="C69" s="2" t="n">
        <v>5.45987902928732E-016</v>
      </c>
      <c r="D69" s="2" t="n">
        <v>7.96280874536219E-016</v>
      </c>
      <c r="E69" s="2" t="n">
        <v>8.03265845244036E-016</v>
      </c>
    </row>
    <row r="70" customFormat="false" ht="13.8" hidden="false" customHeight="false" outlineLevel="0" collapsed="false">
      <c r="B70" s="2" t="n">
        <v>68</v>
      </c>
      <c r="C70" s="2" t="n">
        <v>2.02329829338489E-015</v>
      </c>
      <c r="D70" s="2" t="n">
        <v>0</v>
      </c>
      <c r="E70" s="2" t="n">
        <v>9.26665961749273E-016</v>
      </c>
    </row>
    <row r="71" customFormat="false" ht="13.8" hidden="false" customHeight="false" outlineLevel="0" collapsed="false">
      <c r="B71" s="2" t="n">
        <v>69</v>
      </c>
      <c r="C71" s="2" t="n">
        <v>2.03261151913134E-015</v>
      </c>
      <c r="D71" s="2" t="n">
        <v>0</v>
      </c>
      <c r="E71" s="2" t="n">
        <v>1.01514160633912E-015</v>
      </c>
    </row>
    <row r="72" customFormat="false" ht="13.8" hidden="false" customHeight="false" outlineLevel="0" collapsed="false">
      <c r="B72" s="2" t="n">
        <v>70</v>
      </c>
      <c r="C72" s="2" t="n">
        <v>2.04658135775103E-015</v>
      </c>
      <c r="D72" s="2" t="n">
        <v>0</v>
      </c>
      <c r="E72" s="2" t="n">
        <v>1.10594555736567E-015</v>
      </c>
    </row>
    <row r="73" customFormat="false" ht="13.8" hidden="false" customHeight="false" outlineLevel="0" collapsed="false">
      <c r="B73" s="2" t="n">
        <v>71</v>
      </c>
      <c r="C73" s="2" t="n">
        <v>2.05240212384257E-015</v>
      </c>
      <c r="D73" s="2" t="n">
        <v>0</v>
      </c>
      <c r="E73" s="2" t="n">
        <v>1.1897645890826E-015</v>
      </c>
    </row>
    <row r="74" customFormat="false" ht="13.8" hidden="false" customHeight="false" outlineLevel="0" collapsed="false">
      <c r="B74" s="2" t="n">
        <v>72</v>
      </c>
      <c r="C74" s="2" t="n">
        <v>2.06287950280734E-015</v>
      </c>
      <c r="D74" s="2" t="n">
        <v>0</v>
      </c>
      <c r="E74" s="2" t="n">
        <v>1.28289684654599E-015</v>
      </c>
    </row>
    <row r="75" customFormat="false" ht="13.8" hidden="false" customHeight="false" outlineLevel="0" collapsed="false">
      <c r="B75" s="2" t="n">
        <v>73</v>
      </c>
      <c r="C75" s="2" t="n">
        <v>2.07452103499042E-015</v>
      </c>
      <c r="D75" s="2" t="n">
        <v>0</v>
      </c>
      <c r="E75" s="2" t="n">
        <v>1.36671587826316E-015</v>
      </c>
    </row>
    <row r="76" customFormat="false" ht="13.8" hidden="false" customHeight="false" outlineLevel="0" collapsed="false">
      <c r="B76" s="2" t="n">
        <v>74</v>
      </c>
      <c r="C76" s="2" t="n">
        <v>2.08849087361011E-015</v>
      </c>
      <c r="D76" s="2" t="n">
        <v>0</v>
      </c>
      <c r="E76" s="2" t="n">
        <v>1.45751982929022E-015</v>
      </c>
    </row>
    <row r="77" customFormat="false" ht="13.8" hidden="false" customHeight="false" outlineLevel="0" collapsed="false">
      <c r="B77" s="2" t="n">
        <v>75</v>
      </c>
      <c r="C77" s="2" t="n">
        <v>2.09780409935658E-015</v>
      </c>
      <c r="D77" s="2" t="n">
        <v>0</v>
      </c>
      <c r="E77" s="2" t="n">
        <v>1.54366716744422E-015</v>
      </c>
    </row>
    <row r="78" customFormat="false" ht="13.8" hidden="false" customHeight="false" outlineLevel="0" collapsed="false">
      <c r="B78" s="2" t="n">
        <v>76</v>
      </c>
      <c r="C78" s="2" t="n">
        <v>2.10828147832136E-015</v>
      </c>
      <c r="D78" s="2" t="n">
        <v>0</v>
      </c>
      <c r="E78" s="2" t="n">
        <v>1.63447111847154E-015</v>
      </c>
    </row>
    <row r="79" customFormat="false" ht="13.8" hidden="false" customHeight="false" outlineLevel="0" collapsed="false">
      <c r="B79" s="2" t="n">
        <v>77</v>
      </c>
      <c r="C79" s="2" t="n">
        <v>2.11875885728613E-015</v>
      </c>
      <c r="D79" s="2" t="n">
        <v>8.84756445885331E-017</v>
      </c>
      <c r="E79" s="2" t="n">
        <v>1.72294676306239E-015</v>
      </c>
    </row>
    <row r="80" customFormat="false" ht="13.8" hidden="false" customHeight="false" outlineLevel="0" collapsed="false">
      <c r="B80" s="2" t="n">
        <v>78</v>
      </c>
      <c r="C80" s="2" t="n">
        <v>2.12807208303261E-015</v>
      </c>
      <c r="D80" s="2" t="n">
        <v>2.16532498598474E-016</v>
      </c>
      <c r="E80" s="2" t="n">
        <v>1.80676579478015E-015</v>
      </c>
    </row>
    <row r="81" customFormat="false" ht="13.8" hidden="false" customHeight="false" outlineLevel="0" collapsed="false">
      <c r="B81" s="2" t="n">
        <v>79</v>
      </c>
      <c r="C81" s="2" t="n">
        <v>2.13738530877908E-015</v>
      </c>
      <c r="D81" s="2" t="n">
        <v>3.44589352608677E-016</v>
      </c>
      <c r="E81" s="2" t="n">
        <v>1.89524143937124E-015</v>
      </c>
    </row>
    <row r="82" customFormat="false" ht="13.8" hidden="false" customHeight="false" outlineLevel="0" collapsed="false">
      <c r="B82" s="2" t="n">
        <v>80</v>
      </c>
      <c r="C82" s="2" t="n">
        <v>2.15135514739879E-015</v>
      </c>
      <c r="D82" s="2" t="n">
        <v>4.77302819492256E-016</v>
      </c>
      <c r="E82" s="2" t="n">
        <v>1.98371708396246E-015</v>
      </c>
    </row>
    <row r="83" customFormat="false" ht="13.8" hidden="false" customHeight="false" outlineLevel="0" collapsed="false">
      <c r="B83" s="2" t="n">
        <v>81</v>
      </c>
      <c r="C83" s="2" t="n">
        <v>2.16299667958188E-015</v>
      </c>
      <c r="D83" s="2" t="n">
        <v>6.05359673502994E-016</v>
      </c>
      <c r="E83" s="2" t="n">
        <v>2.06986442211718E-015</v>
      </c>
    </row>
    <row r="84" customFormat="false" ht="13.8" hidden="false" customHeight="false" outlineLevel="0" collapsed="false">
      <c r="B84" s="2" t="n">
        <v>82</v>
      </c>
      <c r="C84" s="2" t="n">
        <v>2.17230990532836E-015</v>
      </c>
      <c r="D84" s="2" t="n">
        <v>7.40401446823692E-016</v>
      </c>
      <c r="E84" s="2" t="n">
        <v>2.15834006670865E-015</v>
      </c>
    </row>
    <row r="85" customFormat="false" ht="13.8" hidden="false" customHeight="false" outlineLevel="0" collapsed="false">
      <c r="B85" s="2" t="n">
        <v>83</v>
      </c>
      <c r="C85" s="2" t="n">
        <v>2.18395143751146E-015</v>
      </c>
      <c r="D85" s="2" t="n">
        <v>8.61473381525256E-016</v>
      </c>
      <c r="E85" s="2" t="n">
        <v>2.24448740486361E-015</v>
      </c>
    </row>
    <row r="86" customFormat="false" ht="13.8" hidden="false" customHeight="false" outlineLevel="0" collapsed="false">
      <c r="B86" s="2" t="n">
        <v>84</v>
      </c>
      <c r="C86" s="2" t="n">
        <v>2.19326466325794E-015</v>
      </c>
      <c r="D86" s="2" t="n">
        <v>9.91858541973356E-016</v>
      </c>
      <c r="E86" s="2" t="n">
        <v>2.33296304945532E-015</v>
      </c>
    </row>
    <row r="87" customFormat="false" ht="13.8" hidden="false" customHeight="false" outlineLevel="0" collapsed="false">
      <c r="B87" s="2" t="n">
        <v>85</v>
      </c>
      <c r="C87" s="2" t="n">
        <v>2.20490619544104E-015</v>
      </c>
      <c r="D87" s="2" t="n">
        <v>1.12224370242173E-015</v>
      </c>
      <c r="E87" s="2" t="n">
        <v>2.42143869404716E-015</v>
      </c>
    </row>
    <row r="88" customFormat="false" ht="13.8" hidden="false" customHeight="false" outlineLevel="0" collapsed="false">
      <c r="B88" s="2" t="n">
        <v>86</v>
      </c>
      <c r="C88" s="2" t="n">
        <v>2.21654772762415E-015</v>
      </c>
      <c r="D88" s="2" t="n">
        <v>1.25262886287037E-015</v>
      </c>
      <c r="E88" s="2" t="n">
        <v>2.50525772576586E-015</v>
      </c>
    </row>
    <row r="89" customFormat="false" ht="13.8" hidden="false" customHeight="false" outlineLevel="0" collapsed="false">
      <c r="B89" s="2" t="n">
        <v>87</v>
      </c>
      <c r="C89" s="2" t="n">
        <v>2.22818925980726E-015</v>
      </c>
      <c r="D89" s="2" t="n">
        <v>1.38301402331929E-015</v>
      </c>
      <c r="E89" s="2" t="n">
        <v>2.58907675748467E-015</v>
      </c>
    </row>
    <row r="90" customFormat="false" ht="13.8" hidden="false" customHeight="false" outlineLevel="0" collapsed="false">
      <c r="B90" s="2" t="n">
        <v>88</v>
      </c>
      <c r="C90" s="2" t="n">
        <v>2.23750248555374E-015</v>
      </c>
      <c r="D90" s="2" t="n">
        <v>1.51107087733188E-015</v>
      </c>
      <c r="E90" s="2" t="n">
        <v>2.68220901495014E-015</v>
      </c>
    </row>
    <row r="91" customFormat="false" ht="13.8" hidden="false" customHeight="false" outlineLevel="0" collapsed="false">
      <c r="B91" s="2" t="n">
        <v>89</v>
      </c>
      <c r="C91" s="2" t="n">
        <v>2.24914401773686E-015</v>
      </c>
      <c r="D91" s="2" t="n">
        <v>1.64378434421794E-015</v>
      </c>
      <c r="E91" s="2" t="n">
        <v>2.76835635310583E-015</v>
      </c>
    </row>
    <row r="92" customFormat="false" ht="13.8" hidden="false" customHeight="false" outlineLevel="0" collapsed="false">
      <c r="B92" s="2" t="n">
        <v>90</v>
      </c>
      <c r="C92" s="2" t="n">
        <v>2.26078554991997E-015</v>
      </c>
      <c r="D92" s="2" t="n">
        <v>1.77184119823107E-015</v>
      </c>
      <c r="E92" s="2" t="n">
        <v>2.85916030413493E-015</v>
      </c>
    </row>
    <row r="93" customFormat="false" ht="13.8" hidden="false" customHeight="false" outlineLevel="0" collapsed="false">
      <c r="B93" s="2" t="n">
        <v>91</v>
      </c>
      <c r="C93" s="2" t="n">
        <v>2.27009877566646E-015</v>
      </c>
      <c r="D93" s="2" t="n">
        <v>1.90222635868107E-015</v>
      </c>
      <c r="E93" s="2" t="n">
        <v>2.94763594872751E-015</v>
      </c>
    </row>
    <row r="94" customFormat="false" ht="13.8" hidden="false" customHeight="false" outlineLevel="0" collapsed="false">
      <c r="B94" s="2" t="n">
        <v>92</v>
      </c>
      <c r="C94" s="2" t="n">
        <v>2.27941200141295E-015</v>
      </c>
      <c r="D94" s="2" t="n">
        <v>2.03028321269472E-015</v>
      </c>
      <c r="E94" s="2" t="n">
        <v>3.03378328688356E-015</v>
      </c>
    </row>
    <row r="95" customFormat="false" ht="13.8" hidden="false" customHeight="false" outlineLevel="0" collapsed="false">
      <c r="B95" s="2" t="n">
        <v>93</v>
      </c>
      <c r="C95" s="2" t="n">
        <v>2.29221768681439E-015</v>
      </c>
      <c r="D95" s="2" t="n">
        <v>2.16183252636357E-015</v>
      </c>
      <c r="E95" s="2" t="n">
        <v>3.11993062503973E-015</v>
      </c>
    </row>
    <row r="96" customFormat="false" ht="13.8" hidden="false" customHeight="false" outlineLevel="0" collapsed="false">
      <c r="B96" s="2" t="n">
        <v>94</v>
      </c>
      <c r="C96" s="2" t="n">
        <v>2.30269506577919E-015</v>
      </c>
      <c r="D96" s="2" t="n">
        <v>2.29105353359607E-015</v>
      </c>
      <c r="E96" s="2" t="n">
        <v>3.20840626963268E-015</v>
      </c>
    </row>
    <row r="97" customFormat="false" ht="13.8" hidden="false" customHeight="false" outlineLevel="0" collapsed="false">
      <c r="B97" s="2" t="n">
        <v>95</v>
      </c>
      <c r="C97" s="2" t="n">
        <v>2.31433659796232E-015</v>
      </c>
      <c r="D97" s="2" t="n">
        <v>2.42027454082884E-015</v>
      </c>
      <c r="E97" s="2" t="n">
        <v>3.29804606744409E-015</v>
      </c>
    </row>
    <row r="98" customFormat="false" ht="13.8" hidden="false" customHeight="false" outlineLevel="0" collapsed="false">
      <c r="B98" s="2" t="n">
        <v>96</v>
      </c>
      <c r="C98" s="2" t="n">
        <v>2.32481397692713E-015</v>
      </c>
      <c r="D98" s="2" t="n">
        <v>2.54949554806188E-015</v>
      </c>
      <c r="E98" s="2" t="n">
        <v>3.38535755881896E-015</v>
      </c>
    </row>
    <row r="99" customFormat="false" ht="13.8" hidden="false" customHeight="false" outlineLevel="0" collapsed="false">
      <c r="B99" s="2" t="n">
        <v>97</v>
      </c>
      <c r="C99" s="2" t="n">
        <v>2.33470927928279E-015</v>
      </c>
      <c r="D99" s="2" t="n">
        <v>2.67871655529518E-015</v>
      </c>
      <c r="E99" s="2" t="n">
        <v>3.47208697358478E-015</v>
      </c>
    </row>
    <row r="100" customFormat="false" ht="13.8" hidden="false" customHeight="false" outlineLevel="0" collapsed="false">
      <c r="B100" s="2" t="n">
        <v>98</v>
      </c>
      <c r="C100" s="2" t="n">
        <v>2.34693288807507E-015</v>
      </c>
      <c r="D100" s="2" t="n">
        <v>2.80968379235623E-015</v>
      </c>
      <c r="E100" s="2" t="n">
        <v>3.55998054156906E-015</v>
      </c>
    </row>
    <row r="101" customFormat="false" ht="13.8" hidden="false" customHeight="false" outlineLevel="0" collapsed="false">
      <c r="B101" s="2" t="n">
        <v>99</v>
      </c>
      <c r="C101" s="2" t="n">
        <v>2.35741026703989E-015</v>
      </c>
      <c r="D101" s="2" t="n">
        <v>2.93948687619923E-015</v>
      </c>
      <c r="E101" s="2" t="n">
        <v>3.64787410955347E-015</v>
      </c>
    </row>
    <row r="102" customFormat="false" ht="13.8" hidden="false" customHeight="false" outlineLevel="0" collapsed="false">
      <c r="B102" s="2" t="n">
        <v>100</v>
      </c>
      <c r="C102" s="2" t="n">
        <v>2.36788764600471E-015</v>
      </c>
      <c r="D102" s="2" t="n">
        <v>3.06812580682418E-015</v>
      </c>
      <c r="E102" s="2" t="n">
        <v>3.735767677538E-015</v>
      </c>
    </row>
    <row r="103" customFormat="false" ht="13.8" hidden="false" customHeight="false" outlineLevel="0" collapsed="false">
      <c r="B103" s="2" t="n">
        <v>101</v>
      </c>
      <c r="C103" s="2" t="n">
        <v>2.37952917818785E-015</v>
      </c>
      <c r="D103" s="2" t="n">
        <v>3.19792889066772E-015</v>
      </c>
      <c r="E103" s="2" t="n">
        <v>3.82191501569514E-015</v>
      </c>
    </row>
    <row r="104" customFormat="false" ht="13.8" hidden="false" customHeight="false" outlineLevel="0" collapsed="false">
      <c r="B104" s="2" t="n">
        <v>102</v>
      </c>
      <c r="C104" s="2" t="n">
        <v>2.39000655715267E-015</v>
      </c>
      <c r="D104" s="2" t="n">
        <v>3.32831405112069E-015</v>
      </c>
      <c r="E104" s="2" t="n">
        <v>3.91039066028908E-015</v>
      </c>
    </row>
    <row r="105" customFormat="false" ht="13.8" hidden="false" customHeight="false" outlineLevel="0" collapsed="false">
      <c r="B105" s="2" t="n">
        <v>103</v>
      </c>
      <c r="C105" s="2" t="n">
        <v>2.4004839361175E-015</v>
      </c>
      <c r="D105" s="2" t="n">
        <v>3.4575350583556E-015</v>
      </c>
      <c r="E105" s="2" t="n">
        <v>4.00003045810149E-015</v>
      </c>
    </row>
    <row r="106" customFormat="false" ht="13.8" hidden="false" customHeight="false" outlineLevel="0" collapsed="false">
      <c r="B106" s="2" t="n">
        <v>104</v>
      </c>
      <c r="C106" s="2" t="n">
        <v>2.4112523533869E-015</v>
      </c>
      <c r="D106" s="2" t="n">
        <v>3.58908437202745E-015</v>
      </c>
      <c r="E106" s="2" t="n">
        <v>4.08559571964982E-015</v>
      </c>
    </row>
    <row r="107" customFormat="false" ht="13.8" hidden="false" customHeight="false" outlineLevel="0" collapsed="false">
      <c r="B107" s="2" t="n">
        <v>105</v>
      </c>
      <c r="C107" s="2" t="n">
        <v>2.42143869404715E-015</v>
      </c>
      <c r="D107" s="2" t="n">
        <v>3.71597707282623E-015</v>
      </c>
      <c r="E107" s="2" t="n">
        <v>4.17232513441662E-015</v>
      </c>
    </row>
    <row r="108" customFormat="false" ht="13.8" hidden="false" customHeight="false" outlineLevel="0" collapsed="false">
      <c r="B108" s="2" t="n">
        <v>106</v>
      </c>
      <c r="C108" s="2" t="n">
        <v>2.4330802262303E-015</v>
      </c>
      <c r="D108" s="2" t="n">
        <v>3.84636223328028E-015</v>
      </c>
      <c r="E108" s="2" t="n">
        <v>4.26196493222941E-015</v>
      </c>
    </row>
    <row r="109" customFormat="false" ht="13.8" hidden="false" customHeight="false" outlineLevel="0" collapsed="false">
      <c r="B109" s="2" t="n">
        <v>107</v>
      </c>
      <c r="C109" s="2" t="n">
        <v>2.44472175841345E-015</v>
      </c>
      <c r="D109" s="2" t="n">
        <v>3.97674739373461E-015</v>
      </c>
      <c r="E109" s="2" t="n">
        <v>4.34811227038727E-015</v>
      </c>
    </row>
    <row r="110" customFormat="false" ht="13.8" hidden="false" customHeight="false" outlineLevel="0" collapsed="false">
      <c r="B110" s="2" t="n">
        <v>108</v>
      </c>
      <c r="C110" s="2" t="n">
        <v>2.45519913737828E-015</v>
      </c>
      <c r="D110" s="2" t="n">
        <v>4.10480424775251E-015</v>
      </c>
      <c r="E110" s="2" t="n">
        <v>4.43775206820031E-015</v>
      </c>
    </row>
    <row r="111" customFormat="false" ht="13.8" hidden="false" customHeight="false" outlineLevel="0" collapsed="false">
      <c r="B111" s="2" t="n">
        <v>109</v>
      </c>
      <c r="C111" s="2" t="n">
        <v>2.46567651634312E-015</v>
      </c>
      <c r="D111" s="2" t="n">
        <v>4.23518940820738E-015</v>
      </c>
      <c r="E111" s="2" t="n">
        <v>4.52506355957677E-015</v>
      </c>
    </row>
    <row r="112" customFormat="false" ht="13.8" hidden="false" customHeight="false" outlineLevel="0" collapsed="false">
      <c r="B112" s="2" t="n">
        <v>110</v>
      </c>
      <c r="C112" s="2" t="n">
        <v>2.47615389530795E-015</v>
      </c>
      <c r="D112" s="2" t="n">
        <v>4.36557456866251E-015</v>
      </c>
      <c r="E112" s="2" t="n">
        <v>4.611210897735E-015</v>
      </c>
    </row>
    <row r="113" customFormat="false" ht="13.8" hidden="false" customHeight="false" outlineLevel="0" collapsed="false">
      <c r="B113" s="2" t="n">
        <v>111</v>
      </c>
      <c r="C113" s="2" t="n">
        <v>2.4866312742728E-015</v>
      </c>
      <c r="D113" s="2" t="n">
        <v>4.49479557589957E-015</v>
      </c>
      <c r="E113" s="2" t="n">
        <v>4.69968654233006E-015</v>
      </c>
    </row>
    <row r="114" customFormat="false" ht="13.8" hidden="false" customHeight="false" outlineLevel="0" collapsed="false">
      <c r="B114" s="2" t="n">
        <v>112</v>
      </c>
      <c r="C114" s="2" t="n">
        <v>2.49710865323764E-015</v>
      </c>
      <c r="D114" s="2" t="n">
        <v>4.62634488957361E-015</v>
      </c>
      <c r="E114" s="2" t="n">
        <v>4.78583388048853E-015</v>
      </c>
    </row>
    <row r="115" customFormat="false" ht="13.8" hidden="false" customHeight="false" outlineLevel="0" collapsed="false">
      <c r="B115" s="2" t="n">
        <v>113</v>
      </c>
      <c r="C115" s="2" t="n">
        <v>2.5087501854208E-015</v>
      </c>
      <c r="D115" s="2" t="n">
        <v>4.75440174359284E-015</v>
      </c>
      <c r="E115" s="2" t="n">
        <v>4.87489160169302E-015</v>
      </c>
    </row>
    <row r="116" customFormat="false" ht="13.8" hidden="false" customHeight="false" outlineLevel="0" collapsed="false">
      <c r="B116" s="2" t="n">
        <v>114</v>
      </c>
      <c r="C116" s="2" t="n">
        <v>2.51806341116732E-015</v>
      </c>
      <c r="D116" s="2" t="n">
        <v>4.88245859761234E-015</v>
      </c>
      <c r="E116" s="2" t="n">
        <v>4.96394932289763E-015</v>
      </c>
    </row>
    <row r="117" customFormat="false" ht="13.8" hidden="false" customHeight="false" outlineLevel="0" collapsed="false">
      <c r="B117" s="2" t="n">
        <v>115</v>
      </c>
      <c r="C117" s="2" t="n">
        <v>2.5308690965688E-015</v>
      </c>
      <c r="D117" s="2" t="n">
        <v>5.01400791128719E-015</v>
      </c>
      <c r="E117" s="2" t="n">
        <v>5.05009666105646E-015</v>
      </c>
    </row>
    <row r="118" customFormat="false" ht="13.8" hidden="false" customHeight="false" outlineLevel="0" collapsed="false">
      <c r="B118" s="2" t="n">
        <v>116</v>
      </c>
      <c r="C118" s="2" t="n">
        <v>2.54192855214281E-015</v>
      </c>
      <c r="D118" s="2" t="n">
        <v>5.14322891852559E-015</v>
      </c>
      <c r="E118" s="2" t="n">
        <v>5.13857230565214E-015</v>
      </c>
    </row>
    <row r="119" customFormat="false" ht="13.8" hidden="false" customHeight="false" outlineLevel="0" collapsed="false">
      <c r="B119" s="2" t="n">
        <v>117</v>
      </c>
      <c r="C119" s="2" t="n">
        <v>2.5518238544985E-015</v>
      </c>
      <c r="D119" s="2" t="n">
        <v>5.27361407898262E-015</v>
      </c>
      <c r="E119" s="2" t="n">
        <v>5.22559275872499E-015</v>
      </c>
    </row>
    <row r="120" customFormat="false" ht="13.8" hidden="false" customHeight="false" outlineLevel="0" collapsed="false">
      <c r="B120" s="2" t="n">
        <v>118</v>
      </c>
      <c r="C120" s="2" t="n">
        <v>2.56288331007252E-015</v>
      </c>
      <c r="D120" s="2" t="n">
        <v>5.40167093300318E-015</v>
      </c>
      <c r="E120" s="2" t="n">
        <v>5.31203113518877E-015</v>
      </c>
    </row>
    <row r="121" customFormat="false" ht="13.8" hidden="false" customHeight="false" outlineLevel="0" collapsed="false">
      <c r="B121" s="2" t="n">
        <v>119</v>
      </c>
      <c r="C121" s="2" t="n">
        <v>2.57277861242821E-015</v>
      </c>
      <c r="D121" s="2" t="n">
        <v>5.53438439989749E-015</v>
      </c>
      <c r="E121" s="2" t="n">
        <v>5.39817847334809E-015</v>
      </c>
    </row>
    <row r="122" customFormat="false" ht="13.8" hidden="false" customHeight="false" outlineLevel="0" collapsed="false">
      <c r="B122" s="2" t="n">
        <v>120</v>
      </c>
      <c r="C122" s="2" t="n">
        <v>2.58209183817475E-015</v>
      </c>
      <c r="D122" s="2" t="n">
        <v>5.66011294748184E-015</v>
      </c>
      <c r="E122" s="2" t="n">
        <v>5.488982424381E-015</v>
      </c>
    </row>
    <row r="123" customFormat="false" ht="13.8" hidden="false" customHeight="false" outlineLevel="0" collapsed="false">
      <c r="B123" s="2" t="n">
        <v>121</v>
      </c>
      <c r="C123" s="2" t="n">
        <v>2.1027518698781E-015</v>
      </c>
      <c r="D123" s="2" t="n">
        <v>5.79049810793995E-015</v>
      </c>
      <c r="E123" s="2" t="n">
        <v>5.57512976254056E-015</v>
      </c>
    </row>
    <row r="124" customFormat="false" ht="13.8" hidden="false" customHeight="false" outlineLevel="0" collapsed="false">
      <c r="B124" s="2" t="n">
        <v>122</v>
      </c>
      <c r="C124" s="2" t="n">
        <v>2.60304659610447E-015</v>
      </c>
      <c r="D124" s="2" t="n">
        <v>5.92321157483509E-015</v>
      </c>
      <c r="E124" s="2" t="n">
        <v>5.66011294748186E-015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6.05243258207536E-015</v>
      </c>
      <c r="E125" s="2" t="n">
        <v>5.75324520495191E-015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6.1816535893159E-015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6.98491981509899E-018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8.14907282463888E-018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6.28642792995893E-017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8.14907304750077E-018</v>
      </c>
      <c r="D149" s="2" t="n">
        <v>4.19095170656597E-017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3.72529067615183E-017</v>
      </c>
      <c r="D150" s="2" t="n">
        <v>6.98491955058491E-017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8.61473450398938E-017</v>
      </c>
      <c r="D151" s="2" t="n">
        <v>8.14907278375179E-017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1.32713478068464E-016</v>
      </c>
      <c r="D152" s="2" t="n">
        <v>1.11758712898793E-016</v>
      </c>
      <c r="E152" s="2" t="n">
        <v>9.429642670161E-017</v>
      </c>
    </row>
    <row r="153" customFormat="false" ht="13.8" hidden="false" customHeight="false" outlineLevel="0" collapsed="false">
      <c r="B153" s="2" t="n">
        <v>151</v>
      </c>
      <c r="C153" s="2" t="n">
        <v>1.74622997459144E-016</v>
      </c>
      <c r="D153" s="2" t="n">
        <v>1.43190851334096E-016</v>
      </c>
      <c r="E153" s="2" t="n">
        <v>1.65309784217178E-016</v>
      </c>
    </row>
    <row r="154" customFormat="false" ht="13.8" hidden="false" customHeight="false" outlineLevel="0" collapsed="false">
      <c r="B154" s="2" t="n">
        <v>152</v>
      </c>
      <c r="C154" s="2" t="n">
        <v>2.37487278482147E-016</v>
      </c>
      <c r="D154" s="2" t="n">
        <v>1.83936216340903E-016</v>
      </c>
      <c r="E154" s="2" t="n">
        <v>2.35158989586385E-016</v>
      </c>
    </row>
    <row r="155" customFormat="false" ht="13.8" hidden="false" customHeight="false" outlineLevel="0" collapsed="false">
      <c r="B155" s="2" t="n">
        <v>153</v>
      </c>
      <c r="C155" s="2" t="n">
        <v>2.8405341157391E-016</v>
      </c>
      <c r="D155" s="2" t="n">
        <v>2.06055128337436E-016</v>
      </c>
      <c r="E155" s="2" t="n">
        <v>3.02679887748075E-016</v>
      </c>
    </row>
    <row r="156" customFormat="false" ht="13.8" hidden="false" customHeight="false" outlineLevel="0" collapsed="false">
      <c r="B156" s="2" t="n">
        <v>154</v>
      </c>
      <c r="C156" s="2" t="n">
        <v>3.51574306606547E-016</v>
      </c>
      <c r="D156" s="2" t="n">
        <v>2.73576020028833E-016</v>
      </c>
      <c r="E156" s="2" t="n">
        <v>3.70200785910252E-016</v>
      </c>
    </row>
    <row r="157" customFormat="false" ht="13.8" hidden="false" customHeight="false" outlineLevel="0" collapsed="false">
      <c r="B157" s="2" t="n">
        <v>155</v>
      </c>
      <c r="C157" s="2" t="n">
        <v>4.12110281094821E-016</v>
      </c>
      <c r="D157" s="2" t="n">
        <v>3.21306305392483E-016</v>
      </c>
      <c r="E157" s="2" t="n">
        <v>4.35393376850899E-016</v>
      </c>
    </row>
    <row r="158" customFormat="false" ht="13.8" hidden="false" customHeight="false" outlineLevel="0" collapsed="false">
      <c r="B158" s="2" t="n">
        <v>156</v>
      </c>
      <c r="C158" s="2" t="n">
        <v>4.88944404128292E-016</v>
      </c>
      <c r="D158" s="2" t="n">
        <v>3.79513971010546E-016</v>
      </c>
      <c r="E158" s="2" t="n">
        <v>4.94765199761028E-016</v>
      </c>
    </row>
    <row r="159" customFormat="false" ht="13.8" hidden="false" customHeight="false" outlineLevel="0" collapsed="false">
      <c r="B159" s="2" t="n">
        <v>157</v>
      </c>
      <c r="C159" s="2" t="n">
        <v>5.63450220450186E-016</v>
      </c>
      <c r="D159" s="2" t="n">
        <v>4.36557483464551E-016</v>
      </c>
      <c r="E159" s="2" t="n">
        <v>5.68106865953345E-016</v>
      </c>
    </row>
    <row r="160" customFormat="false" ht="13.8" hidden="false" customHeight="false" outlineLevel="0" collapsed="false">
      <c r="B160" s="2" t="n">
        <v>158</v>
      </c>
      <c r="C160" s="2" t="n">
        <v>6.35627729946886E-016</v>
      </c>
      <c r="D160" s="2" t="n">
        <v>5.00585916265443E-016</v>
      </c>
      <c r="E160" s="2" t="n">
        <v>6.34463610572327E-016</v>
      </c>
    </row>
    <row r="161" customFormat="false" ht="13.8" hidden="false" customHeight="false" outlineLevel="0" collapsed="false">
      <c r="B161" s="2" t="n">
        <v>159</v>
      </c>
      <c r="C161" s="2" t="n">
        <v>7.22939234945042E-016</v>
      </c>
      <c r="D161" s="2" t="n">
        <v>5.66942656010854E-016</v>
      </c>
      <c r="E161" s="2" t="n">
        <v>7.10133583892861E-016</v>
      </c>
    </row>
    <row r="162" customFormat="false" ht="13.8" hidden="false" customHeight="false" outlineLevel="0" collapsed="false">
      <c r="B162" s="2" t="n">
        <v>160</v>
      </c>
      <c r="C162" s="2" t="n">
        <v>8.07922433189986E-016</v>
      </c>
      <c r="D162" s="2" t="n">
        <v>6.34463549322317E-016</v>
      </c>
      <c r="E162" s="2" t="n">
        <v>7.72997867547228E-016</v>
      </c>
    </row>
    <row r="163" customFormat="false" ht="13.8" hidden="false" customHeight="false" outlineLevel="0" collapsed="false">
      <c r="B163" s="2" t="n">
        <v>161</v>
      </c>
      <c r="C163" s="2" t="n">
        <v>8.97562245663077E-016</v>
      </c>
      <c r="D163" s="2" t="n">
        <v>7.06641056362858E-016</v>
      </c>
      <c r="E163" s="2" t="n">
        <v>8.38190458430424E-016</v>
      </c>
    </row>
    <row r="164" customFormat="false" ht="13.8" hidden="false" customHeight="false" outlineLevel="0" collapsed="false">
      <c r="B164" s="2" t="n">
        <v>162</v>
      </c>
      <c r="C164" s="2" t="n">
        <v>9.79052983680392E-016</v>
      </c>
      <c r="D164" s="2" t="n">
        <v>7.82311023787192E-016</v>
      </c>
      <c r="E164" s="2" t="n">
        <v>9.05711356535711E-016</v>
      </c>
    </row>
    <row r="165" customFormat="false" ht="13.8" hidden="false" customHeight="false" outlineLevel="0" collapsed="false">
      <c r="B165" s="2" t="n">
        <v>163</v>
      </c>
      <c r="C165" s="2" t="n">
        <v>1.0710211035169E-015</v>
      </c>
      <c r="D165" s="2" t="n">
        <v>8.55652684591629E-016</v>
      </c>
      <c r="E165" s="2" t="n">
        <v>9.70903947578331E-016</v>
      </c>
    </row>
    <row r="166" customFormat="false" ht="13.8" hidden="false" customHeight="false" outlineLevel="0" collapsed="false">
      <c r="B166" s="2" t="n">
        <v>164</v>
      </c>
      <c r="C166" s="2" t="n">
        <v>1.18743644801488E-015</v>
      </c>
      <c r="D166" s="2" t="n">
        <v>1.16648152471678E-015</v>
      </c>
      <c r="E166" s="2" t="n">
        <v>1.03958899914785E-015</v>
      </c>
    </row>
    <row r="167" customFormat="false" ht="13.8" hidden="false" customHeight="false" outlineLevel="0" collapsed="false">
      <c r="B167" s="2" t="n">
        <v>165</v>
      </c>
      <c r="C167" s="2" t="n">
        <v>1.52038410307827E-015</v>
      </c>
      <c r="D167" s="2" t="n">
        <v>1.01397754078491E-015</v>
      </c>
      <c r="E167" s="2" t="n">
        <v>1.10478158989873E-015</v>
      </c>
    </row>
    <row r="168" customFormat="false" ht="13.8" hidden="false" customHeight="false" outlineLevel="0" collapsed="false">
      <c r="B168" s="2" t="n">
        <v>166</v>
      </c>
      <c r="C168" s="2" t="n">
        <v>1.61468051376045E-015</v>
      </c>
      <c r="D168" s="2" t="n">
        <v>1.36205926538998E-015</v>
      </c>
      <c r="E168" s="2" t="n">
        <v>1.49128027262083E-015</v>
      </c>
    </row>
    <row r="169" customFormat="false" ht="13.8" hidden="false" customHeight="false" outlineLevel="0" collapsed="false">
      <c r="B169" s="2" t="n">
        <v>167</v>
      </c>
      <c r="C169" s="2" t="n">
        <v>1.70548446478787E-015</v>
      </c>
      <c r="D169" s="2" t="n">
        <v>1.17346655102051E-015</v>
      </c>
      <c r="E169" s="2" t="n">
        <v>1.53668224813444E-015</v>
      </c>
    </row>
    <row r="170" customFormat="false" ht="13.8" hidden="false" customHeight="false" outlineLevel="0" collapsed="false">
      <c r="B170" s="2" t="n">
        <v>168</v>
      </c>
      <c r="C170" s="2" t="n">
        <v>1.79745256903373E-015</v>
      </c>
      <c r="D170" s="2" t="n">
        <v>1.562293618937E-015</v>
      </c>
      <c r="E170" s="2" t="n">
        <v>1.62282958628855E-015</v>
      </c>
    </row>
    <row r="171" customFormat="false" ht="13.8" hidden="false" customHeight="false" outlineLevel="0" collapsed="false">
      <c r="B171" s="2" t="n">
        <v>169</v>
      </c>
      <c r="C171" s="2" t="n">
        <v>1.89174897971633E-015</v>
      </c>
      <c r="D171" s="2" t="n">
        <v>1.66473910214734E-015</v>
      </c>
      <c r="E171" s="2" t="n">
        <v>1.86497345569533E-015</v>
      </c>
    </row>
    <row r="172" customFormat="false" ht="13.8" hidden="false" customHeight="false" outlineLevel="0" collapsed="false">
      <c r="B172" s="2" t="n">
        <v>170</v>
      </c>
      <c r="C172" s="2" t="n">
        <v>1.97906047108923E-015</v>
      </c>
      <c r="D172" s="2" t="n">
        <v>1.76019966604805E-015</v>
      </c>
      <c r="E172" s="2" t="n">
        <v>1.64844095709114E-015</v>
      </c>
    </row>
    <row r="173" customFormat="false" ht="13.8" hidden="false" customHeight="false" outlineLevel="0" collapsed="false">
      <c r="B173" s="2" t="n">
        <v>171</v>
      </c>
      <c r="C173" s="2" t="n">
        <v>2.06637196246226E-015</v>
      </c>
      <c r="D173" s="2" t="n">
        <v>1.85333192351229E-015</v>
      </c>
      <c r="E173" s="2" t="n">
        <v>2.03726813200457E-015</v>
      </c>
    </row>
    <row r="174" customFormat="false" ht="13.8" hidden="false" customHeight="false" outlineLevel="0" collapsed="false">
      <c r="B174" s="2" t="n">
        <v>172</v>
      </c>
      <c r="C174" s="2" t="n">
        <v>2.15135514739879E-015</v>
      </c>
      <c r="D174" s="2" t="n">
        <v>1.94762833419497E-015</v>
      </c>
      <c r="E174" s="2" t="n">
        <v>1.95810571315972E-015</v>
      </c>
    </row>
    <row r="175" customFormat="false" ht="13.8" hidden="false" customHeight="false" outlineLevel="0" collapsed="false">
      <c r="B175" s="2" t="n">
        <v>173</v>
      </c>
      <c r="C175" s="2" t="n">
        <v>2.23750248555375E-015</v>
      </c>
      <c r="D175" s="2" t="n">
        <v>2.0419247448778E-015</v>
      </c>
      <c r="E175" s="2" t="n">
        <v>2.05123797062426E-015</v>
      </c>
    </row>
    <row r="176" customFormat="false" ht="13.8" hidden="false" customHeight="false" outlineLevel="0" collapsed="false">
      <c r="B176" s="2" t="n">
        <v>174</v>
      </c>
      <c r="C176" s="2" t="n">
        <v>2.31899321083557E-015</v>
      </c>
      <c r="D176" s="2" t="n">
        <v>2.13738530877908E-015</v>
      </c>
      <c r="E176" s="2" t="n">
        <v>2.13505700234246E-015</v>
      </c>
    </row>
    <row r="177" customFormat="false" ht="13.8" hidden="false" customHeight="false" outlineLevel="0" collapsed="false">
      <c r="B177" s="2" t="n">
        <v>175</v>
      </c>
      <c r="C177" s="2" t="n">
        <v>2.40514054899076E-015</v>
      </c>
      <c r="D177" s="2" t="n">
        <v>2.23051756624388E-015</v>
      </c>
      <c r="E177" s="2" t="n">
        <v>2.21654772762415E-015</v>
      </c>
    </row>
    <row r="178" customFormat="false" ht="13.8" hidden="false" customHeight="false" outlineLevel="0" collapsed="false">
      <c r="B178" s="2" t="n">
        <v>176</v>
      </c>
      <c r="C178" s="2" t="n">
        <v>2.49128788714607E-015</v>
      </c>
      <c r="D178" s="2" t="n">
        <v>2.32364982370882E-015</v>
      </c>
      <c r="E178" s="2" t="n">
        <v>2.29803845290595E-015</v>
      </c>
    </row>
    <row r="179" customFormat="false" ht="13.8" hidden="false" customHeight="false" outlineLevel="0" collapsed="false">
      <c r="B179" s="2" t="n">
        <v>177</v>
      </c>
      <c r="C179" s="2" t="n">
        <v>2.57743522530149E-015</v>
      </c>
      <c r="D179" s="2" t="n">
        <v>2.4167820811739E-015</v>
      </c>
      <c r="E179" s="2" t="n">
        <v>2.38418579106111E-015</v>
      </c>
    </row>
    <row r="180" customFormat="false" ht="13.8" hidden="false" customHeight="false" outlineLevel="0" collapsed="false">
      <c r="B180" s="2" t="n">
        <v>178</v>
      </c>
      <c r="C180" s="2" t="n">
        <v>2.6612542570204E-015</v>
      </c>
      <c r="D180" s="2" t="n">
        <v>2.50991433863912E-015</v>
      </c>
      <c r="E180" s="2" t="n">
        <v>2.46567651634313E-015</v>
      </c>
    </row>
    <row r="181" customFormat="false" ht="13.8" hidden="false" customHeight="false" outlineLevel="0" collapsed="false">
      <c r="B181" s="2" t="n">
        <v>179</v>
      </c>
      <c r="C181" s="2" t="n">
        <v>2.74274498230278E-015</v>
      </c>
      <c r="D181" s="2" t="n">
        <v>2.60770320897775E-015</v>
      </c>
      <c r="E181" s="2" t="n">
        <v>2.54949554806188E-015</v>
      </c>
    </row>
    <row r="182" customFormat="false" ht="13.8" hidden="false" customHeight="false" outlineLevel="0" collapsed="false">
      <c r="B182" s="2" t="n">
        <v>180</v>
      </c>
      <c r="C182" s="2" t="n">
        <v>2.8265640140219E-015</v>
      </c>
      <c r="D182" s="2" t="n">
        <v>2.70083546644325E-015</v>
      </c>
      <c r="E182" s="2" t="n">
        <v>2.63098627334411E-015</v>
      </c>
    </row>
    <row r="183" customFormat="false" ht="13.8" hidden="false" customHeight="false" outlineLevel="0" collapsed="false">
      <c r="B183" s="2" t="n">
        <v>181</v>
      </c>
      <c r="C183" s="2" t="n">
        <v>2.91503965861444E-015</v>
      </c>
      <c r="D183" s="2" t="n">
        <v>2.79629603034553E-015</v>
      </c>
      <c r="E183" s="2" t="n">
        <v>2.71014869218981E-015</v>
      </c>
    </row>
    <row r="184" customFormat="false" ht="13.8" hidden="false" customHeight="false" outlineLevel="0" collapsed="false">
      <c r="B184" s="2" t="n">
        <v>182</v>
      </c>
      <c r="C184" s="2" t="n">
        <v>3.00118699677045E-015</v>
      </c>
      <c r="D184" s="2" t="n">
        <v>2.88709998137467E-015</v>
      </c>
      <c r="E184" s="2" t="n">
        <v>2.79862433678218E-015</v>
      </c>
    </row>
    <row r="185" customFormat="false" ht="13.8" hidden="false" customHeight="false" outlineLevel="0" collapsed="false">
      <c r="B185" s="2" t="n">
        <v>183</v>
      </c>
      <c r="C185" s="2" t="n">
        <v>3.08500602848992E-015</v>
      </c>
      <c r="D185" s="2" t="n">
        <v>2.98256054527724E-015</v>
      </c>
      <c r="E185" s="2" t="n">
        <v>2.88011506206474E-015</v>
      </c>
    </row>
    <row r="186" customFormat="false" ht="13.8" hidden="false" customHeight="false" outlineLevel="0" collapsed="false">
      <c r="B186" s="2" t="n">
        <v>184</v>
      </c>
      <c r="C186" s="2" t="n">
        <v>3.16766090699118E-015</v>
      </c>
      <c r="D186" s="2" t="n">
        <v>3.0756928027433E-015</v>
      </c>
      <c r="E186" s="2" t="n">
        <v>2.96393409378405E-015</v>
      </c>
    </row>
    <row r="187" customFormat="false" ht="13.8" hidden="false" customHeight="false" outlineLevel="0" collapsed="false">
      <c r="B187" s="2" t="n">
        <v>185</v>
      </c>
      <c r="C187" s="2" t="n">
        <v>3.25031578549255E-015</v>
      </c>
      <c r="D187" s="2" t="n">
        <v>3.1688250602095E-015</v>
      </c>
      <c r="E187" s="2" t="n">
        <v>3.04658897228515E-015</v>
      </c>
    </row>
    <row r="188" customFormat="false" ht="13.8" hidden="false" customHeight="false" outlineLevel="0" collapsed="false">
      <c r="B188" s="2" t="n">
        <v>186</v>
      </c>
      <c r="C188" s="2" t="n">
        <v>3.33762727686735E-015</v>
      </c>
      <c r="D188" s="2" t="n">
        <v>3.2642856241125E-015</v>
      </c>
      <c r="E188" s="2" t="n">
        <v>3.1269155443497E-015</v>
      </c>
    </row>
    <row r="189" customFormat="false" ht="13.8" hidden="false" customHeight="false" outlineLevel="0" collapsed="false">
      <c r="B189" s="2" t="n">
        <v>187</v>
      </c>
      <c r="C189" s="2" t="n">
        <v>3.42261046180561E-015</v>
      </c>
      <c r="D189" s="2" t="n">
        <v>3.36207449445231E-015</v>
      </c>
      <c r="E189" s="2" t="n">
        <v>3.21073457606934E-015</v>
      </c>
    </row>
    <row r="190" customFormat="false" ht="13.8" hidden="false" customHeight="false" outlineLevel="0" collapsed="false">
      <c r="B190" s="2" t="n">
        <v>188</v>
      </c>
      <c r="C190" s="2" t="n">
        <v>3.50642949352565E-015</v>
      </c>
      <c r="D190" s="2" t="n">
        <v>3.45520675191894E-015</v>
      </c>
      <c r="E190" s="2" t="n">
        <v>3.29688191422576E-015</v>
      </c>
    </row>
    <row r="191" customFormat="false" ht="13.8" hidden="false" customHeight="false" outlineLevel="0" collapsed="false">
      <c r="B191" s="2" t="n">
        <v>189</v>
      </c>
      <c r="C191" s="2" t="n">
        <v>3.59257683168247E-015</v>
      </c>
      <c r="D191" s="2" t="n">
        <v>3.5483390093857E-015</v>
      </c>
      <c r="E191" s="2" t="n">
        <v>3.37837263950897E-015</v>
      </c>
    </row>
    <row r="192" customFormat="false" ht="13.8" hidden="false" customHeight="false" outlineLevel="0" collapsed="false">
      <c r="B192" s="2" t="n">
        <v>190</v>
      </c>
      <c r="C192" s="2" t="n">
        <v>3.67756001662108E-015</v>
      </c>
      <c r="D192" s="2" t="n">
        <v>3.64030711363427E-015</v>
      </c>
      <c r="E192" s="2" t="n">
        <v>3.46102751801062E-015</v>
      </c>
    </row>
    <row r="193" customFormat="false" ht="13.8" hidden="false" customHeight="false" outlineLevel="0" collapsed="false">
      <c r="B193" s="2" t="n">
        <v>191</v>
      </c>
      <c r="C193" s="2" t="n">
        <v>3.76137904834146E-015</v>
      </c>
      <c r="D193" s="2" t="n">
        <v>3.73576767753799E-015</v>
      </c>
      <c r="E193" s="2" t="n">
        <v>3.54484654973071E-015</v>
      </c>
    </row>
    <row r="194" customFormat="false" ht="13.8" hidden="false" customHeight="false" outlineLevel="0" collapsed="false">
      <c r="B194" s="2" t="n">
        <v>192</v>
      </c>
      <c r="C194" s="2" t="n">
        <v>3.84752638649863E-015</v>
      </c>
      <c r="D194" s="2" t="n">
        <v>3.82948201161434E-015</v>
      </c>
      <c r="E194" s="2" t="n">
        <v>3.6251731217959E-015</v>
      </c>
    </row>
    <row r="195" customFormat="false" ht="13.8" hidden="false" customHeight="false" outlineLevel="0" collapsed="false">
      <c r="B195" s="2" t="n">
        <v>193</v>
      </c>
      <c r="C195" s="2" t="n">
        <v>3.93134541821924E-015</v>
      </c>
      <c r="D195" s="2" t="n">
        <v>3.92377842230001E-015</v>
      </c>
      <c r="E195" s="2" t="n">
        <v>3.70782800029787E-015</v>
      </c>
    </row>
    <row r="196" customFormat="false" ht="13.8" hidden="false" customHeight="false" outlineLevel="0" collapsed="false">
      <c r="B196" s="2" t="n">
        <v>194</v>
      </c>
      <c r="C196" s="2" t="n">
        <v>4.01574652654914E-015</v>
      </c>
      <c r="D196" s="2" t="n">
        <v>4.01865690959499E-015</v>
      </c>
      <c r="E196" s="2" t="n">
        <v>3.79281118523663E-015</v>
      </c>
    </row>
    <row r="197" customFormat="false" ht="13.8" hidden="false" customHeight="false" outlineLevel="0" collapsed="false">
      <c r="B197" s="2" t="n">
        <v>195</v>
      </c>
      <c r="C197" s="2" t="n">
        <v>4.10247594131583E-015</v>
      </c>
      <c r="D197" s="2" t="n">
        <v>4.11208020536718E-015</v>
      </c>
      <c r="E197" s="2" t="n">
        <v>3.87430191052049E-015</v>
      </c>
    </row>
    <row r="198" customFormat="false" ht="13.8" hidden="false" customHeight="false" outlineLevel="0" collapsed="false">
      <c r="B198" s="2" t="n">
        <v>196</v>
      </c>
      <c r="C198" s="2" t="n">
        <v>4.18513081981844E-015</v>
      </c>
      <c r="D198" s="2" t="n">
        <v>4.20492142453034E-015</v>
      </c>
      <c r="E198" s="2" t="n">
        <v>3.95753886563196E-015</v>
      </c>
    </row>
    <row r="199" customFormat="false" ht="13.8" hidden="false" customHeight="false" outlineLevel="0" collapsed="false">
      <c r="B199" s="2" t="n">
        <v>197</v>
      </c>
      <c r="C199" s="2" t="n">
        <v>4.27011400475785E-015</v>
      </c>
      <c r="D199" s="2" t="n">
        <v>4.29921783521657E-015</v>
      </c>
      <c r="E199" s="2" t="n">
        <v>4.0396116675252E-015</v>
      </c>
    </row>
    <row r="200" customFormat="false" ht="13.8" hidden="false" customHeight="false" outlineLevel="0" collapsed="false">
      <c r="B200" s="2" t="n">
        <v>198</v>
      </c>
      <c r="C200" s="2" t="n">
        <v>4.3545151130882E-015</v>
      </c>
      <c r="D200" s="2" t="n">
        <v>4.39235009268459E-015</v>
      </c>
      <c r="E200" s="2" t="n">
        <v>4.12313966094148E-015</v>
      </c>
    </row>
    <row r="201" customFormat="false" ht="13.8" hidden="false" customHeight="false" outlineLevel="0" collapsed="false">
      <c r="B201" s="2" t="n">
        <v>199</v>
      </c>
      <c r="C201" s="2" t="n">
        <v>4.44008037463701E-015</v>
      </c>
      <c r="D201" s="2" t="n">
        <v>4.48897480980781E-015</v>
      </c>
      <c r="E201" s="2" t="n">
        <v>4.20724973096705E-015</v>
      </c>
    </row>
    <row r="202" customFormat="false" ht="13.8" hidden="false" customHeight="false" outlineLevel="0" collapsed="false">
      <c r="B202" s="2" t="n">
        <v>200</v>
      </c>
      <c r="C202" s="2" t="n">
        <v>4.52419044466301E-015</v>
      </c>
      <c r="D202" s="2" t="n">
        <v>4.58152499066694E-015</v>
      </c>
      <c r="E202" s="2" t="n">
        <v>4.28903149455603E-015</v>
      </c>
    </row>
    <row r="203" customFormat="false" ht="13.8" hidden="false" customHeight="false" outlineLevel="0" collapsed="false">
      <c r="B203" s="2" t="n">
        <v>201</v>
      </c>
      <c r="C203" s="2" t="n">
        <v>4.61004674451664E-015</v>
      </c>
      <c r="D203" s="2" t="n">
        <v>4.67640347796292E-015</v>
      </c>
      <c r="E203" s="2" t="n">
        <v>4.37255948797264E-015</v>
      </c>
    </row>
    <row r="204" customFormat="false" ht="13.8" hidden="false" customHeight="false" outlineLevel="0" collapsed="false">
      <c r="B204" s="2" t="n">
        <v>202</v>
      </c>
      <c r="C204" s="2" t="n">
        <v>4.6932836996291E-015</v>
      </c>
      <c r="D204" s="2" t="n">
        <v>4.77011781204068E-015</v>
      </c>
      <c r="E204" s="2" t="n">
        <v>4.4552143664756E-015</v>
      </c>
    </row>
    <row r="205" customFormat="false" ht="13.8" hidden="false" customHeight="false" outlineLevel="0" collapsed="false">
      <c r="B205" s="2" t="n">
        <v>203</v>
      </c>
      <c r="C205" s="2" t="n">
        <v>4.77855792287379E-015</v>
      </c>
      <c r="D205" s="2" t="n">
        <v>4.86383214611858E-015</v>
      </c>
      <c r="E205" s="2" t="n">
        <v>4.53554093854196E-015</v>
      </c>
    </row>
    <row r="206" customFormat="false" ht="13.8" hidden="false" customHeight="false" outlineLevel="0" collapsed="false">
      <c r="B206" s="2" t="n">
        <v>204</v>
      </c>
      <c r="C206" s="2" t="n">
        <v>4.86383214611859E-015</v>
      </c>
      <c r="D206" s="2" t="n">
        <v>4.95871063341499E-015</v>
      </c>
      <c r="E206" s="2" t="n">
        <v>4.62052412348185E-015</v>
      </c>
    </row>
    <row r="207" customFormat="false" ht="13.8" hidden="false" customHeight="false" outlineLevel="0" collapsed="false">
      <c r="B207" s="2" t="n">
        <v>205</v>
      </c>
      <c r="C207" s="2" t="n">
        <v>4.94706910123138E-015</v>
      </c>
      <c r="D207" s="2" t="n">
        <v>5.05242496749318E-015</v>
      </c>
      <c r="E207" s="2" t="n">
        <v>4.70317900198514E-015</v>
      </c>
    </row>
    <row r="208" customFormat="false" ht="13.8" hidden="false" customHeight="false" outlineLevel="0" collapsed="false">
      <c r="B208" s="2" t="n">
        <v>206</v>
      </c>
      <c r="C208" s="2" t="n">
        <v>5.03147020956265E-015</v>
      </c>
      <c r="D208" s="2" t="n">
        <v>5.14788553139905E-015</v>
      </c>
      <c r="E208" s="2" t="n">
        <v>4.78641595709771E-015</v>
      </c>
    </row>
    <row r="209" customFormat="false" ht="13.8" hidden="false" customHeight="false" outlineLevel="0" collapsed="false">
      <c r="B209" s="2" t="n">
        <v>207</v>
      </c>
      <c r="C209" s="2" t="n">
        <v>5.11703547111239E-015</v>
      </c>
      <c r="D209" s="2" t="n">
        <v>5.24101778886834E-015</v>
      </c>
      <c r="E209" s="2" t="n">
        <v>4.87081706542876E-015</v>
      </c>
    </row>
    <row r="210" customFormat="false" ht="13.8" hidden="false" customHeight="false" outlineLevel="0" collapsed="false">
      <c r="B210" s="2" t="n">
        <v>208</v>
      </c>
      <c r="C210" s="2" t="n">
        <v>5.20376488588062E-015</v>
      </c>
      <c r="D210" s="2" t="n">
        <v>5.3364783527745E-015</v>
      </c>
      <c r="E210" s="2" t="n">
        <v>4.95259882901861E-015</v>
      </c>
    </row>
    <row r="211" customFormat="false" ht="13.8" hidden="false" customHeight="false" outlineLevel="0" collapsed="false">
      <c r="B211" s="2" t="n">
        <v>209</v>
      </c>
      <c r="C211" s="2" t="n">
        <v>5.28700184099386E-015</v>
      </c>
      <c r="D211" s="2" t="n">
        <v>5.4284464570257E-015</v>
      </c>
      <c r="E211" s="2" t="n">
        <v>5.03379851599938E-015</v>
      </c>
    </row>
    <row r="212" customFormat="false" ht="13.8" hidden="false" customHeight="false" outlineLevel="0" collapsed="false">
      <c r="B212" s="2" t="n">
        <v>210</v>
      </c>
      <c r="C212" s="2" t="n">
        <v>5.37140294932558E-015</v>
      </c>
      <c r="D212" s="2" t="n">
        <v>5.52390702093215E-015</v>
      </c>
      <c r="E212" s="2" t="n">
        <v>5.11819962433077E-015</v>
      </c>
    </row>
    <row r="213" customFormat="false" ht="13.8" hidden="false" customHeight="false" outlineLevel="0" collapsed="false">
      <c r="B213" s="2" t="n">
        <v>211</v>
      </c>
      <c r="C213" s="2" t="n">
        <v>5.45638613426661E-015</v>
      </c>
      <c r="D213" s="2" t="n">
        <v>5.61820343162037E-015</v>
      </c>
      <c r="E213" s="2" t="n">
        <v>5.20027242622553E-015</v>
      </c>
    </row>
    <row r="214" customFormat="false" ht="13.8" hidden="false" customHeight="false" outlineLevel="0" collapsed="false">
      <c r="B214" s="2" t="n">
        <v>212</v>
      </c>
      <c r="C214" s="2" t="n">
        <v>5.54136931920774E-015</v>
      </c>
      <c r="D214" s="2" t="n">
        <v>5.71133568909035E-015</v>
      </c>
      <c r="E214" s="2" t="n">
        <v>5.28292730472958E-015</v>
      </c>
    </row>
    <row r="215" customFormat="false" ht="13.8" hidden="false" customHeight="false" outlineLevel="0" collapsed="false">
      <c r="B215" s="2" t="n">
        <v>213</v>
      </c>
      <c r="C215" s="2" t="n">
        <v>5.62751665736737E-015</v>
      </c>
      <c r="D215" s="2" t="n">
        <v>5.80446794656048E-015</v>
      </c>
      <c r="E215" s="2" t="n">
        <v>5.36674633645212E-015</v>
      </c>
    </row>
    <row r="216" customFormat="false" ht="13.8" hidden="false" customHeight="false" outlineLevel="0" collapsed="false">
      <c r="B216" s="2" t="n">
        <v>214</v>
      </c>
      <c r="C216" s="2" t="n">
        <v>5.71017153587199E-015</v>
      </c>
      <c r="D216" s="2" t="n">
        <v>5.8999285104675E-015</v>
      </c>
      <c r="E216" s="2" t="n">
        <v>5.4412521424278E-015</v>
      </c>
    </row>
    <row r="217" customFormat="false" ht="13.8" hidden="false" customHeight="false" outlineLevel="0" collapsed="false">
      <c r="B217" s="2" t="n">
        <v>215</v>
      </c>
      <c r="C217" s="2" t="n">
        <v>5.79515472081347E-015</v>
      </c>
      <c r="D217" s="2" t="n">
        <v>5.99073246150115E-015</v>
      </c>
      <c r="E217" s="2" t="n">
        <v>5.53671270633427E-015</v>
      </c>
    </row>
    <row r="218" customFormat="false" ht="13.8" hidden="false" customHeight="false" outlineLevel="0" collapsed="false">
      <c r="B218" s="2" t="n">
        <v>216</v>
      </c>
      <c r="C218" s="2" t="n">
        <v>5.88013790575507E-015</v>
      </c>
      <c r="D218" s="2" t="n">
        <v>6.08852133184522E-015</v>
      </c>
      <c r="E218" s="2" t="n">
        <v>5.61587512518364E-015</v>
      </c>
    </row>
    <row r="219" customFormat="false" ht="13.8" hidden="false" customHeight="false" outlineLevel="0" collapsed="false">
      <c r="B219" s="2" t="n">
        <v>217</v>
      </c>
      <c r="C219" s="2" t="n">
        <v>5.96744939713354E-015</v>
      </c>
      <c r="D219" s="2" t="n">
        <v>6.1816535893159E-015</v>
      </c>
      <c r="E219" s="2" t="n">
        <v>5.69969415690662E-015</v>
      </c>
    </row>
    <row r="220" customFormat="false" ht="13.8" hidden="false" customHeight="false" outlineLevel="0" collapsed="false">
      <c r="B220" s="2" t="n">
        <v>218</v>
      </c>
      <c r="C220" s="2" t="n">
        <v>6.051268428857E-015</v>
      </c>
      <c r="D220" s="2" t="n">
        <v>6.27827830644189E-015</v>
      </c>
      <c r="E220" s="2" t="n">
        <v>5.78234903541134E-015</v>
      </c>
    </row>
    <row r="221" customFormat="false" ht="13.8" hidden="false" customHeight="false" outlineLevel="0" collapsed="false">
      <c r="B221" s="2" t="n">
        <v>219</v>
      </c>
      <c r="C221" s="2" t="n">
        <v>6.13508746058056E-015</v>
      </c>
      <c r="D221" s="2" t="n">
        <v>6.37257471713125E-015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0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0</v>
      </c>
      <c r="E242" s="2" t="n">
        <v>0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1.16415322250142E-018</v>
      </c>
      <c r="E243" s="2" t="n">
        <v>1.16415335921263E-017</v>
      </c>
    </row>
    <row r="244" customFormat="false" ht="13.8" hidden="false" customHeight="false" outlineLevel="0" collapsed="false">
      <c r="B244" s="2" t="n">
        <v>242</v>
      </c>
      <c r="C244" s="2" t="n">
        <v>0</v>
      </c>
      <c r="D244" s="2" t="n">
        <v>0</v>
      </c>
      <c r="E244" s="2" t="n">
        <v>3.49246022643225E-017</v>
      </c>
    </row>
    <row r="245" customFormat="false" ht="13.8" hidden="false" customHeight="false" outlineLevel="0" collapsed="false">
      <c r="B245" s="2" t="n">
        <v>243</v>
      </c>
      <c r="C245" s="2" t="n">
        <v>0</v>
      </c>
      <c r="D245" s="2" t="n">
        <v>6.98491933648943E-018</v>
      </c>
      <c r="E245" s="2" t="n">
        <v>1.35041795183977E-016</v>
      </c>
    </row>
    <row r="246" customFormat="false" ht="13.8" hidden="false" customHeight="false" outlineLevel="0" collapsed="false">
      <c r="B246" s="2" t="n">
        <v>244</v>
      </c>
      <c r="C246" s="2" t="n">
        <v>0</v>
      </c>
      <c r="D246" s="2" t="n">
        <v>3.49245970556539E-017</v>
      </c>
      <c r="E246" s="2" t="n">
        <v>2.02562693032974E-016</v>
      </c>
    </row>
    <row r="247" customFormat="false" ht="13.8" hidden="false" customHeight="false" outlineLevel="0" collapsed="false">
      <c r="B247" s="2" t="n">
        <v>245</v>
      </c>
      <c r="C247" s="2" t="n">
        <v>0</v>
      </c>
      <c r="D247" s="2" t="n">
        <v>5.12227424811908E-017</v>
      </c>
      <c r="E247" s="2" t="n">
        <v>2.67755283687734E-016</v>
      </c>
    </row>
    <row r="248" customFormat="false" ht="13.8" hidden="false" customHeight="false" outlineLevel="0" collapsed="false">
      <c r="B248" s="2" t="n">
        <v>246</v>
      </c>
      <c r="C248" s="2" t="n">
        <v>0</v>
      </c>
      <c r="D248" s="2" t="n">
        <v>8.26548804064453E-017</v>
      </c>
      <c r="E248" s="2" t="n">
        <v>3.44589410362658E-016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1.25728551367812E-016</v>
      </c>
      <c r="E249" s="2" t="n">
        <v>4.07453693844228E-016</v>
      </c>
    </row>
    <row r="250" customFormat="false" ht="13.8" hidden="false" customHeight="false" outlineLevel="0" collapsed="false">
      <c r="B250" s="2" t="n">
        <v>248</v>
      </c>
      <c r="C250" s="2" t="n">
        <v>0</v>
      </c>
      <c r="D250" s="2" t="n">
        <v>1.59488996254334E-016</v>
      </c>
      <c r="E250" s="2" t="n">
        <v>4.74974591601625E-016</v>
      </c>
    </row>
    <row r="251" customFormat="false" ht="13.8" hidden="false" customHeight="false" outlineLevel="0" collapsed="false">
      <c r="B251" s="2" t="n">
        <v>249</v>
      </c>
      <c r="C251" s="2" t="n">
        <v>0</v>
      </c>
      <c r="D251" s="2" t="n">
        <v>2.09547587510099E-016</v>
      </c>
      <c r="E251" s="2" t="n">
        <v>5.51226641458895E-016</v>
      </c>
    </row>
    <row r="252" customFormat="false" ht="13.8" hidden="false" customHeight="false" outlineLevel="0" collapsed="false">
      <c r="B252" s="2" t="n">
        <v>250</v>
      </c>
      <c r="C252" s="2" t="n">
        <v>0</v>
      </c>
      <c r="D252" s="2" t="n">
        <v>2.64262792326864E-016</v>
      </c>
      <c r="E252" s="2" t="n">
        <v>6.0768808001606E-016</v>
      </c>
    </row>
    <row r="253" customFormat="false" ht="13.8" hidden="false" customHeight="false" outlineLevel="0" collapsed="false">
      <c r="B253" s="2" t="n">
        <v>251</v>
      </c>
      <c r="C253" s="2" t="n">
        <v>0</v>
      </c>
      <c r="D253" s="2" t="n">
        <v>3.16649690757153E-016</v>
      </c>
      <c r="E253" s="2" t="n">
        <v>6.68224056226426E-016</v>
      </c>
    </row>
    <row r="254" customFormat="false" ht="13.8" hidden="false" customHeight="false" outlineLevel="0" collapsed="false">
      <c r="B254" s="2" t="n">
        <v>252</v>
      </c>
      <c r="C254" s="2" t="n">
        <v>0</v>
      </c>
      <c r="D254" s="2" t="n">
        <v>3.85334736149775E-016</v>
      </c>
      <c r="E254" s="2" t="n">
        <v>7.47386490047077E-016</v>
      </c>
    </row>
    <row r="255" customFormat="false" ht="13.8" hidden="false" customHeight="false" outlineLevel="0" collapsed="false">
      <c r="B255" s="2" t="n">
        <v>253</v>
      </c>
      <c r="C255" s="2" t="n">
        <v>0</v>
      </c>
      <c r="D255" s="2" t="n">
        <v>4.42378248387019E-016</v>
      </c>
      <c r="E255" s="2" t="n">
        <v>8.09668696738616E-016</v>
      </c>
    </row>
    <row r="256" customFormat="false" ht="13.8" hidden="false" customHeight="false" outlineLevel="0" collapsed="false">
      <c r="B256" s="2" t="n">
        <v>254</v>
      </c>
      <c r="C256" s="2" t="n">
        <v>0</v>
      </c>
      <c r="D256" s="2" t="n">
        <v>5.12227447731393E-016</v>
      </c>
      <c r="E256" s="2" t="n">
        <v>8.75443363972395E-016</v>
      </c>
    </row>
    <row r="257" customFormat="false" ht="13.8" hidden="false" customHeight="false" outlineLevel="0" collapsed="false">
      <c r="B257" s="2" t="n">
        <v>255</v>
      </c>
      <c r="C257" s="2" t="n">
        <v>1.04773789784576E-017</v>
      </c>
      <c r="D257" s="2" t="n">
        <v>5.91389874326886E-016</v>
      </c>
      <c r="E257" s="2" t="n">
        <v>9.47620876391191E-016</v>
      </c>
    </row>
    <row r="258" customFormat="false" ht="13.8" hidden="false" customHeight="false" outlineLevel="0" collapsed="false">
      <c r="B258" s="2" t="n">
        <v>256</v>
      </c>
      <c r="C258" s="2" t="n">
        <v>3.95812096080722E-017</v>
      </c>
      <c r="D258" s="2" t="n">
        <v>6.67059841135353E-016</v>
      </c>
      <c r="E258" s="2" t="n">
        <v>1.0128134666881E-015</v>
      </c>
    </row>
    <row r="259" customFormat="false" ht="13.8" hidden="false" customHeight="false" outlineLevel="0" collapsed="false">
      <c r="B259" s="2" t="n">
        <v>257</v>
      </c>
      <c r="C259" s="2" t="n">
        <v>8.73114913702622E-017</v>
      </c>
      <c r="D259" s="2" t="n">
        <v>9.243376553127E-016</v>
      </c>
      <c r="E259" s="2" t="n">
        <v>1.33295543493262E-015</v>
      </c>
    </row>
    <row r="260" customFormat="false" ht="13.8" hidden="false" customHeight="false" outlineLevel="0" collapsed="false">
      <c r="B260" s="2" t="n">
        <v>258</v>
      </c>
      <c r="C260" s="2" t="n">
        <v>1.25728547573216E-016</v>
      </c>
      <c r="D260" s="2" t="n">
        <v>1.01746991277569E-015</v>
      </c>
      <c r="E260" s="2" t="n">
        <v>1.41328200699497E-015</v>
      </c>
    </row>
    <row r="261" customFormat="false" ht="13.8" hidden="false" customHeight="false" outlineLevel="0" collapsed="false">
      <c r="B261" s="2" t="n">
        <v>259</v>
      </c>
      <c r="C261" s="2" t="n">
        <v>1.66473910212739E-016</v>
      </c>
      <c r="D261" s="2" t="n">
        <v>1.11293047667541E-015</v>
      </c>
      <c r="E261" s="2" t="n">
        <v>1.49942934514891E-015</v>
      </c>
    </row>
    <row r="262" customFormat="false" ht="13.8" hidden="false" customHeight="false" outlineLevel="0" collapsed="false">
      <c r="B262" s="2" t="n">
        <v>260</v>
      </c>
      <c r="C262" s="2" t="n">
        <v>2.04890966415741E-016</v>
      </c>
      <c r="D262" s="2" t="n">
        <v>1.21071934701185E-015</v>
      </c>
      <c r="E262" s="2" t="n">
        <v>1.58324837686637E-015</v>
      </c>
    </row>
    <row r="263" customFormat="false" ht="13.8" hidden="false" customHeight="false" outlineLevel="0" collapsed="false">
      <c r="B263" s="2" t="n">
        <v>261</v>
      </c>
      <c r="C263" s="2" t="n">
        <v>2.43308022618768E-016</v>
      </c>
      <c r="D263" s="2" t="n">
        <v>1.30385160447527E-015</v>
      </c>
      <c r="E263" s="2" t="n">
        <v>1.66706740858395E-015</v>
      </c>
    </row>
    <row r="264" customFormat="false" ht="13.8" hidden="false" customHeight="false" outlineLevel="0" collapsed="false">
      <c r="B264" s="2" t="n">
        <v>262</v>
      </c>
      <c r="C264" s="2" t="n">
        <v>2.81725078821818E-016</v>
      </c>
      <c r="D264" s="2" t="n">
        <v>1.40164047481202E-015</v>
      </c>
      <c r="E264" s="2" t="n">
        <v>1.75088644030163E-015</v>
      </c>
    </row>
    <row r="265" customFormat="false" ht="13.8" hidden="false" customHeight="false" outlineLevel="0" collapsed="false">
      <c r="B265" s="2" t="n">
        <v>263</v>
      </c>
      <c r="C265" s="2" t="n">
        <v>3.24798747897993E-016</v>
      </c>
      <c r="D265" s="2" t="n">
        <v>1.49710103871232E-015</v>
      </c>
      <c r="E265" s="2" t="n">
        <v>1.83470547201943E-015</v>
      </c>
    </row>
    <row r="266" customFormat="false" ht="13.8" hidden="false" customHeight="false" outlineLevel="0" collapsed="false">
      <c r="B266" s="2" t="n">
        <v>264</v>
      </c>
      <c r="C266" s="2" t="n">
        <v>3.65544110537645E-016</v>
      </c>
      <c r="D266" s="2" t="n">
        <v>1.59488990904936E-015</v>
      </c>
      <c r="E266" s="2" t="n">
        <v>1.91736035051903E-015</v>
      </c>
    </row>
    <row r="267" customFormat="false" ht="13.8" hidden="false" customHeight="false" outlineLevel="0" collapsed="false">
      <c r="B267" s="2" t="n">
        <v>265</v>
      </c>
      <c r="C267" s="2" t="n">
        <v>4.0396116674077E-016</v>
      </c>
      <c r="D267" s="2" t="n">
        <v>1.68802216651335E-015</v>
      </c>
      <c r="E267" s="2" t="n">
        <v>2.00117938223705E-015</v>
      </c>
    </row>
    <row r="268" customFormat="false" ht="13.8" hidden="false" customHeight="false" outlineLevel="0" collapsed="false">
      <c r="B268" s="2" t="n">
        <v>266</v>
      </c>
      <c r="C268" s="2" t="n">
        <v>4.47034835817029E-016</v>
      </c>
      <c r="D268" s="2" t="n">
        <v>1.786975190069E-015</v>
      </c>
      <c r="E268" s="2" t="n">
        <v>2.0861625671735E-015</v>
      </c>
    </row>
    <row r="269" customFormat="false" ht="13.8" hidden="false" customHeight="false" outlineLevel="0" collapsed="false">
      <c r="B269" s="2" t="n">
        <v>267</v>
      </c>
      <c r="C269" s="2" t="n">
        <v>4.85451892020204E-016</v>
      </c>
      <c r="D269" s="2" t="n">
        <v>1.88359990718819E-015</v>
      </c>
      <c r="E269" s="2" t="n">
        <v>2.16765329245512E-015</v>
      </c>
    </row>
    <row r="270" customFormat="false" ht="13.8" hidden="false" customHeight="false" outlineLevel="0" collapsed="false">
      <c r="B270" s="2" t="n">
        <v>268</v>
      </c>
      <c r="C270" s="2" t="n">
        <v>5.26197254659961E-016</v>
      </c>
      <c r="D270" s="2" t="n">
        <v>1.98138877752584E-015</v>
      </c>
      <c r="E270" s="2" t="n">
        <v>2.25147232417348E-015</v>
      </c>
    </row>
    <row r="271" customFormat="false" ht="13.8" hidden="false" customHeight="false" outlineLevel="0" collapsed="false">
      <c r="B271" s="2" t="n">
        <v>269</v>
      </c>
      <c r="C271" s="2" t="n">
        <v>5.65778464081465E-016</v>
      </c>
      <c r="D271" s="2" t="n">
        <v>2.07684934142703E-015</v>
      </c>
      <c r="E271" s="2" t="n">
        <v>2.33296304945533E-015</v>
      </c>
    </row>
    <row r="272" customFormat="false" ht="13.8" hidden="false" customHeight="false" outlineLevel="0" collapsed="false">
      <c r="B272" s="2" t="n">
        <v>270</v>
      </c>
      <c r="C272" s="2" t="n">
        <v>6.10016286376116E-016</v>
      </c>
      <c r="D272" s="2" t="n">
        <v>2.17463821176498E-015</v>
      </c>
      <c r="E272" s="2" t="n">
        <v>2.41911038761053E-015</v>
      </c>
    </row>
    <row r="273" customFormat="false" ht="13.8" hidden="false" customHeight="false" outlineLevel="0" collapsed="false">
      <c r="B273" s="2" t="n">
        <v>271</v>
      </c>
      <c r="C273" s="2" t="n">
        <v>6.44940882924548E-016</v>
      </c>
      <c r="D273" s="2" t="n">
        <v>2.26777046922984E-015</v>
      </c>
      <c r="E273" s="2" t="n">
        <v>2.50525772576586E-015</v>
      </c>
    </row>
    <row r="274" customFormat="false" ht="13.8" hidden="false" customHeight="false" outlineLevel="0" collapsed="false">
      <c r="B274" s="2" t="n">
        <v>272</v>
      </c>
      <c r="C274" s="2" t="n">
        <v>6.84522092346126E-016</v>
      </c>
      <c r="D274" s="2" t="n">
        <v>2.36555933956809E-015</v>
      </c>
      <c r="E274" s="2" t="n">
        <v>2.58674845104803E-015</v>
      </c>
    </row>
    <row r="275" customFormat="false" ht="13.8" hidden="false" customHeight="false" outlineLevel="0" collapsed="false">
      <c r="B275" s="2" t="n">
        <v>273</v>
      </c>
      <c r="C275" s="2" t="n">
        <v>7.26431608204296E-016</v>
      </c>
      <c r="D275" s="2" t="n">
        <v>2.46567651634312E-015</v>
      </c>
      <c r="E275" s="2" t="n">
        <v>2.66591086989367E-015</v>
      </c>
    </row>
    <row r="276" customFormat="false" ht="13.8" hidden="false" customHeight="false" outlineLevel="0" collapsed="false">
      <c r="B276" s="2" t="n">
        <v>274</v>
      </c>
      <c r="C276" s="2" t="n">
        <v>7.63684511189359E-016</v>
      </c>
      <c r="D276" s="2" t="n">
        <v>2.56346538668168E-015</v>
      </c>
      <c r="E276" s="2" t="n">
        <v>2.75322236126766E-015</v>
      </c>
    </row>
    <row r="277" customFormat="false" ht="13.8" hidden="false" customHeight="false" outlineLevel="0" collapsed="false">
      <c r="B277" s="2" t="n">
        <v>275</v>
      </c>
      <c r="C277" s="2" t="n">
        <v>8.07922333484151E-016</v>
      </c>
      <c r="D277" s="2" t="n">
        <v>2.65426933771048E-015</v>
      </c>
      <c r="E277" s="2" t="n">
        <v>2.83820554620512E-015</v>
      </c>
    </row>
    <row r="278" customFormat="false" ht="13.8" hidden="false" customHeight="false" outlineLevel="0" collapsed="false">
      <c r="B278" s="2" t="n">
        <v>276</v>
      </c>
      <c r="C278" s="2" t="n">
        <v>8.47503542905833E-016</v>
      </c>
      <c r="D278" s="2" t="n">
        <v>2.75438651448598E-015</v>
      </c>
      <c r="E278" s="2" t="n">
        <v>2.91736796505109E-015</v>
      </c>
    </row>
    <row r="279" customFormat="false" ht="13.8" hidden="false" customHeight="false" outlineLevel="0" collapsed="false">
      <c r="B279" s="2" t="n">
        <v>277</v>
      </c>
      <c r="C279" s="2" t="n">
        <v>8.89413058764112E-016</v>
      </c>
      <c r="D279" s="2" t="n">
        <v>2.84984707838834E-015</v>
      </c>
      <c r="E279" s="2" t="n">
        <v>3.00584360964375E-015</v>
      </c>
    </row>
    <row r="280" customFormat="false" ht="13.8" hidden="false" customHeight="false" outlineLevel="0" collapsed="false">
      <c r="B280" s="2" t="n">
        <v>278</v>
      </c>
      <c r="C280" s="2" t="n">
        <v>9.26665961749272E-016</v>
      </c>
      <c r="D280" s="2" t="n">
        <v>2.9476359487275E-015</v>
      </c>
      <c r="E280" s="2" t="n">
        <v>3.08617018170825E-015</v>
      </c>
    </row>
    <row r="281" customFormat="false" ht="13.8" hidden="false" customHeight="false" outlineLevel="0" collapsed="false">
      <c r="B281" s="2" t="n">
        <v>279</v>
      </c>
      <c r="C281" s="2" t="n">
        <v>9.68575477607604E-016</v>
      </c>
      <c r="D281" s="2" t="n">
        <v>3.04542481906682E-015</v>
      </c>
      <c r="E281" s="2" t="n">
        <v>3.17115336664617E-015</v>
      </c>
    </row>
    <row r="282" customFormat="false" ht="13.8" hidden="false" customHeight="false" outlineLevel="0" collapsed="false">
      <c r="B282" s="2" t="n">
        <v>280</v>
      </c>
      <c r="C282" s="2" t="n">
        <v>1.01048499346596E-015</v>
      </c>
      <c r="D282" s="2" t="n">
        <v>3.14088538296963E-015</v>
      </c>
      <c r="E282" s="2" t="n">
        <v>3.25497239836587E-015</v>
      </c>
    </row>
    <row r="283" customFormat="false" ht="13.8" hidden="false" customHeight="false" outlineLevel="0" collapsed="false">
      <c r="B283" s="2" t="n">
        <v>281</v>
      </c>
      <c r="C283" s="2" t="n">
        <v>1.0477378964512E-015</v>
      </c>
      <c r="D283" s="2" t="n">
        <v>3.23634594687258E-015</v>
      </c>
      <c r="E283" s="2" t="n">
        <v>3.33879143008568E-015</v>
      </c>
    </row>
    <row r="284" customFormat="false" ht="13.8" hidden="false" customHeight="false" outlineLevel="0" collapsed="false">
      <c r="B284" s="2" t="n">
        <v>282</v>
      </c>
      <c r="C284" s="2" t="n">
        <v>1.08964741230961E-015</v>
      </c>
      <c r="D284" s="2" t="n">
        <v>3.33180651077569E-015</v>
      </c>
      <c r="E284" s="2" t="n">
        <v>3.42261046180561E-015</v>
      </c>
    </row>
    <row r="285" customFormat="false" ht="13.8" hidden="false" customHeight="false" outlineLevel="0" collapsed="false">
      <c r="B285" s="2" t="n">
        <v>283</v>
      </c>
      <c r="C285" s="2" t="n">
        <v>1.12922862173147E-015</v>
      </c>
      <c r="D285" s="2" t="n">
        <v>3.4295953811156E-015</v>
      </c>
      <c r="E285" s="2" t="n">
        <v>3.50177288065231E-015</v>
      </c>
    </row>
    <row r="286" customFormat="false" ht="13.8" hidden="false" customHeight="false" outlineLevel="0" collapsed="false">
      <c r="B286" s="2" t="n">
        <v>284</v>
      </c>
      <c r="C286" s="2" t="n">
        <v>1.16880983115336E-015</v>
      </c>
      <c r="D286" s="2" t="n">
        <v>3.52738425145567E-015</v>
      </c>
      <c r="E286" s="2" t="n">
        <v>3.58559191237246E-015</v>
      </c>
    </row>
    <row r="287" customFormat="false" ht="13.8" hidden="false" customHeight="false" outlineLevel="0" collapsed="false">
      <c r="B287" s="2" t="n">
        <v>285</v>
      </c>
      <c r="C287" s="2" t="n">
        <v>1.21071934701185E-015</v>
      </c>
      <c r="D287" s="2" t="n">
        <v>3.62284481535922E-015</v>
      </c>
      <c r="E287" s="2" t="n">
        <v>3.67406755696607E-015</v>
      </c>
    </row>
    <row r="288" customFormat="false" ht="13.8" hidden="false" customHeight="false" outlineLevel="0" collapsed="false">
      <c r="B288" s="2" t="n">
        <v>286</v>
      </c>
      <c r="C288" s="2" t="n">
        <v>1.25030055643379E-015</v>
      </c>
      <c r="D288" s="2" t="n">
        <v>3.71946953248125E-015</v>
      </c>
      <c r="E288" s="2" t="n">
        <v>3.75555828224976E-015</v>
      </c>
    </row>
    <row r="289" customFormat="false" ht="13.8" hidden="false" customHeight="false" outlineLevel="0" collapsed="false">
      <c r="B289" s="2" t="n">
        <v>287</v>
      </c>
      <c r="C289" s="2" t="n">
        <v>1.29104591907404E-015</v>
      </c>
      <c r="D289" s="2" t="n">
        <v>3.81609424960343E-015</v>
      </c>
      <c r="E289" s="2" t="n">
        <v>3.83937731397025E-015</v>
      </c>
    </row>
    <row r="290" customFormat="false" ht="13.8" hidden="false" customHeight="false" outlineLevel="0" collapsed="false">
      <c r="B290" s="2" t="n">
        <v>288</v>
      </c>
      <c r="C290" s="2" t="n">
        <v>1.32946297527774E-015</v>
      </c>
      <c r="D290" s="2" t="n">
        <v>3.91213689011659E-015</v>
      </c>
      <c r="E290" s="2" t="n">
        <v>3.92319634569085E-015</v>
      </c>
    </row>
    <row r="291" customFormat="false" ht="13.8" hidden="false" customHeight="false" outlineLevel="0" collapsed="false">
      <c r="B291" s="2" t="n">
        <v>289</v>
      </c>
      <c r="C291" s="2" t="n">
        <v>1.37079041452719E-015</v>
      </c>
      <c r="D291" s="2" t="n">
        <v>4.00905264554365E-015</v>
      </c>
      <c r="E291" s="2" t="n">
        <v>4.00643330080239E-015</v>
      </c>
    </row>
    <row r="292" customFormat="false" ht="13.8" hidden="false" customHeight="false" outlineLevel="0" collapsed="false">
      <c r="B292" s="2" t="n">
        <v>290</v>
      </c>
      <c r="C292" s="2" t="n">
        <v>1.41095370055838E-015</v>
      </c>
      <c r="D292" s="2" t="n">
        <v>4.10596840097086E-015</v>
      </c>
      <c r="E292" s="2" t="n">
        <v>4.08967025591404E-015</v>
      </c>
    </row>
    <row r="293" customFormat="false" ht="13.8" hidden="false" customHeight="false" outlineLevel="0" collapsed="false">
      <c r="B293" s="2" t="n">
        <v>291</v>
      </c>
      <c r="C293" s="2" t="n">
        <v>1.45169906319874E-015</v>
      </c>
      <c r="D293" s="2" t="n">
        <v>4.20492142453034E-015</v>
      </c>
      <c r="E293" s="2" t="n">
        <v>4.17348928763497E-015</v>
      </c>
    </row>
    <row r="294" customFormat="false" ht="13.8" hidden="false" customHeight="false" outlineLevel="0" collapsed="false">
      <c r="B294" s="2" t="n">
        <v>292</v>
      </c>
      <c r="C294" s="2" t="n">
        <v>1.49128027262083E-015</v>
      </c>
      <c r="D294" s="2" t="n">
        <v>4.29805368199822E-015</v>
      </c>
      <c r="E294" s="2" t="n">
        <v>4.25847247257436E-015</v>
      </c>
    </row>
    <row r="295" customFormat="false" ht="13.8" hidden="false" customHeight="false" outlineLevel="0" collapsed="false">
      <c r="B295" s="2" t="n">
        <v>293</v>
      </c>
      <c r="C295" s="2" t="n">
        <v>1.53202563526124E-015</v>
      </c>
      <c r="D295" s="2" t="n">
        <v>4.39555151403506E-015</v>
      </c>
      <c r="E295" s="2" t="n">
        <v>4.34112735107717E-015</v>
      </c>
    </row>
    <row r="296" customFormat="false" ht="13.8" hidden="false" customHeight="false" outlineLevel="0" collapsed="false">
      <c r="B296" s="2" t="n">
        <v>294</v>
      </c>
      <c r="C296" s="2" t="n">
        <v>1.57277099790168E-015</v>
      </c>
      <c r="D296" s="2" t="n">
        <v>4.49246726946287E-015</v>
      </c>
      <c r="E296" s="2" t="n">
        <v>4.41912561670669E-015</v>
      </c>
    </row>
    <row r="297" customFormat="false" ht="13.8" hidden="false" customHeight="false" outlineLevel="0" collapsed="false">
      <c r="B297" s="2" t="n">
        <v>295</v>
      </c>
      <c r="C297" s="2" t="n">
        <v>1.61293428393299E-015</v>
      </c>
      <c r="D297" s="2" t="n">
        <v>4.58792783336789E-015</v>
      </c>
      <c r="E297" s="2" t="n">
        <v>4.50760126130148E-015</v>
      </c>
    </row>
    <row r="298" customFormat="false" ht="13.8" hidden="false" customHeight="false" outlineLevel="0" collapsed="false">
      <c r="B298" s="2" t="n">
        <v>296</v>
      </c>
      <c r="C298" s="2" t="n">
        <v>1.65309756996434E-015</v>
      </c>
      <c r="D298" s="2" t="n">
        <v>4.68455255049141E-015</v>
      </c>
      <c r="E298" s="2" t="n">
        <v>4.59142029302297E-015</v>
      </c>
    </row>
    <row r="299" customFormat="false" ht="13.8" hidden="false" customHeight="false" outlineLevel="0" collapsed="false">
      <c r="B299" s="2" t="n">
        <v>297</v>
      </c>
      <c r="C299" s="2" t="n">
        <v>1.6932608559957E-015</v>
      </c>
      <c r="D299" s="2" t="n">
        <v>4.78234142083344E-015</v>
      </c>
      <c r="E299" s="2" t="n">
        <v>4.6746572481354E-015</v>
      </c>
    </row>
    <row r="300" customFormat="false" ht="13.8" hidden="false" customHeight="false" outlineLevel="0" collapsed="false">
      <c r="B300" s="2" t="n">
        <v>298</v>
      </c>
      <c r="C300" s="2" t="n">
        <v>1.7334241420271E-015</v>
      </c>
      <c r="D300" s="2" t="n">
        <v>4.87896613795726E-015</v>
      </c>
      <c r="E300" s="2" t="n">
        <v>4.75440174359286E-015</v>
      </c>
    </row>
    <row r="301" customFormat="false" ht="13.8" hidden="false" customHeight="false" outlineLevel="0" collapsed="false">
      <c r="B301" s="2" t="n">
        <v>299</v>
      </c>
      <c r="C301" s="2" t="n">
        <v>1.77329638975394E-015</v>
      </c>
      <c r="D301" s="2" t="n">
        <v>4.97559085508124E-015</v>
      </c>
      <c r="E301" s="2" t="n">
        <v>4.84171323496977E-015</v>
      </c>
    </row>
    <row r="302" customFormat="false" ht="13.8" hidden="false" customHeight="false" outlineLevel="0" collapsed="false">
      <c r="B302" s="2" t="n">
        <v>300</v>
      </c>
      <c r="C302" s="2" t="n">
        <v>1.81491486730827E-015</v>
      </c>
      <c r="D302" s="2" t="n">
        <v>5.07221557220536E-015</v>
      </c>
      <c r="E302" s="2" t="n">
        <v>4.92436811347335E-015</v>
      </c>
    </row>
    <row r="303" customFormat="false" ht="13.8" hidden="false" customHeight="false" outlineLevel="0" collapsed="false">
      <c r="B303" s="2" t="n">
        <v>301</v>
      </c>
      <c r="C303" s="2" t="n">
        <v>1.85420503842601E-015</v>
      </c>
      <c r="D303" s="2" t="n">
        <v>5.16825821272045E-015</v>
      </c>
      <c r="E303" s="2" t="n">
        <v>5.00935129841376E-015</v>
      </c>
    </row>
    <row r="304" customFormat="false" ht="13.8" hidden="false" customHeight="false" outlineLevel="0" collapsed="false">
      <c r="B304" s="2" t="n">
        <v>302</v>
      </c>
      <c r="C304" s="2" t="n">
        <v>1.89407728615293E-015</v>
      </c>
      <c r="D304" s="2" t="n">
        <v>5.26662915967242E-015</v>
      </c>
      <c r="E304" s="2" t="n">
        <v>5.09433448335429E-015</v>
      </c>
    </row>
    <row r="305" customFormat="false" ht="13.8" hidden="false" customHeight="false" outlineLevel="0" collapsed="false">
      <c r="B305" s="2" t="n">
        <v>303</v>
      </c>
      <c r="C305" s="2" t="n">
        <v>1.9348226487936E-015</v>
      </c>
      <c r="D305" s="2" t="n">
        <v>5.36179868527402E-015</v>
      </c>
      <c r="E305" s="2" t="n">
        <v>5.17640728524903E-015</v>
      </c>
    </row>
    <row r="306" customFormat="false" ht="13.8" hidden="false" customHeight="false" outlineLevel="0" collapsed="false">
      <c r="B306" s="2" t="n">
        <v>304</v>
      </c>
      <c r="C306" s="2" t="n">
        <v>1.97556801143431E-015</v>
      </c>
      <c r="D306" s="2" t="n">
        <v>5.45871444070334E-015</v>
      </c>
      <c r="E306" s="2" t="n">
        <v>5.2573159339255E-015</v>
      </c>
    </row>
    <row r="307" customFormat="false" ht="13.8" hidden="false" customHeight="false" outlineLevel="0" collapsed="false">
      <c r="B307" s="2" t="n">
        <v>305</v>
      </c>
      <c r="C307" s="2" t="n">
        <v>2.01514922085673E-015</v>
      </c>
      <c r="D307" s="2" t="n">
        <v>5.5553391578282E-015</v>
      </c>
      <c r="E307" s="2" t="n">
        <v>5.34346327208473E-015</v>
      </c>
    </row>
    <row r="308" customFormat="false" ht="13.8" hidden="false" customHeight="false" outlineLevel="0" collapsed="false">
      <c r="B308" s="2" t="n">
        <v>306</v>
      </c>
      <c r="C308" s="2" t="n">
        <v>2.05473043027917E-015</v>
      </c>
      <c r="D308" s="2" t="n">
        <v>5.65079972173484E-015</v>
      </c>
      <c r="E308" s="2" t="n">
        <v>5.42495399737061E-015</v>
      </c>
    </row>
    <row r="309" customFormat="false" ht="13.8" hidden="false" customHeight="false" outlineLevel="0" collapsed="false">
      <c r="B309" s="2" t="n">
        <v>307</v>
      </c>
      <c r="C309" s="2" t="n">
        <v>2.09547579291995E-015</v>
      </c>
      <c r="D309" s="2" t="n">
        <v>5.7480065154692E-015</v>
      </c>
      <c r="E309" s="2" t="n">
        <v>5.51051925892089E-015</v>
      </c>
    </row>
    <row r="310" customFormat="false" ht="13.8" hidden="false" customHeight="false" outlineLevel="0" collapsed="false">
      <c r="B310" s="2" t="n">
        <v>308</v>
      </c>
      <c r="C310" s="2" t="n">
        <v>2.13622115556076E-015</v>
      </c>
      <c r="D310" s="2" t="n">
        <v>5.84637746242208E-015</v>
      </c>
      <c r="E310" s="2" t="n">
        <v>5.59259206081617E-015</v>
      </c>
    </row>
    <row r="311" customFormat="false" ht="13.8" hidden="false" customHeight="false" outlineLevel="0" collapsed="false">
      <c r="B311" s="2" t="n">
        <v>309</v>
      </c>
      <c r="C311" s="2" t="n">
        <v>2.17696651820159E-015</v>
      </c>
      <c r="D311" s="2" t="n">
        <v>5.94183802632917E-015</v>
      </c>
      <c r="E311" s="2" t="n">
        <v>5.67757524575749E-015</v>
      </c>
    </row>
    <row r="312" customFormat="false" ht="13.8" hidden="false" customHeight="false" outlineLevel="0" collapsed="false">
      <c r="B312" s="2" t="n">
        <v>310</v>
      </c>
      <c r="C312" s="2" t="n">
        <v>2.21654772762414E-015</v>
      </c>
      <c r="D312" s="2" t="n">
        <v>6.03846274345478E-015</v>
      </c>
      <c r="E312" s="2" t="n">
        <v>5.76255843069893E-015</v>
      </c>
    </row>
    <row r="313" customFormat="false" ht="13.8" hidden="false" customHeight="false" outlineLevel="0" collapsed="false">
      <c r="B313" s="2" t="n">
        <v>311</v>
      </c>
      <c r="C313" s="2" t="n">
        <v>2.25612893704671E-015</v>
      </c>
      <c r="D313" s="2" t="n">
        <v>6.13508746058054E-015</v>
      </c>
      <c r="E313" s="2" t="n">
        <v>5.84521330920373E-015</v>
      </c>
    </row>
    <row r="314" customFormat="false" ht="13.8" hidden="false" customHeight="false" outlineLevel="0" collapsed="false">
      <c r="B314" s="2" t="n">
        <v>312</v>
      </c>
      <c r="C314" s="2" t="n">
        <v>2.29571014646931E-015</v>
      </c>
      <c r="D314" s="2" t="n">
        <v>6.23287633092484E-015</v>
      </c>
      <c r="E314" s="2" t="n">
        <v>5.92786818770864E-015</v>
      </c>
    </row>
    <row r="315" customFormat="false" ht="13.8" hidden="false" customHeight="false" outlineLevel="0" collapsed="false">
      <c r="B315" s="2" t="n">
        <v>313</v>
      </c>
      <c r="C315" s="2" t="n">
        <v>2.33529135589194E-015</v>
      </c>
      <c r="D315" s="2" t="n">
        <v>6.32833689483252E-015</v>
      </c>
      <c r="E315" s="2" t="n">
        <v>6.01168721943203E-015</v>
      </c>
    </row>
    <row r="316" customFormat="false" ht="13.8" hidden="false" customHeight="false" outlineLevel="0" collapsed="false">
      <c r="B316" s="2" t="n">
        <v>314</v>
      </c>
      <c r="C316" s="2" t="n">
        <v>2.37952917818784E-015</v>
      </c>
      <c r="D316" s="2" t="n">
        <v>6.42612576517712E-015</v>
      </c>
      <c r="E316" s="2" t="n">
        <v>6.09550625115554E-015</v>
      </c>
    </row>
    <row r="317" customFormat="false" ht="13.8" hidden="false" customHeight="false" outlineLevel="0" collapsed="false">
      <c r="B317" s="2" t="n">
        <v>315</v>
      </c>
      <c r="C317" s="2" t="n">
        <v>2.42376700048378E-015</v>
      </c>
      <c r="D317" s="2" t="n">
        <v>6.52391463552187E-015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6.2631443146029E-015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6.72414898908541E-015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0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1.04773795031867E-017</v>
      </c>
      <c r="D335" s="2" t="n">
        <v>0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6.05359730987619E-017</v>
      </c>
      <c r="D336" s="2" t="n">
        <v>0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5.70435100727365E-017</v>
      </c>
      <c r="D337" s="2" t="n">
        <v>1.16415321937013E-018</v>
      </c>
      <c r="E337" s="2" t="n">
        <v>1.28056873880642E-017</v>
      </c>
    </row>
    <row r="338" customFormat="false" ht="13.8" hidden="false" customHeight="false" outlineLevel="0" collapsed="false">
      <c r="B338" s="2" t="n">
        <v>336</v>
      </c>
      <c r="C338" s="2" t="n">
        <v>7.45058088582886E-017</v>
      </c>
      <c r="D338" s="2" t="n">
        <v>1.86264516837972E-017</v>
      </c>
      <c r="E338" s="2" t="n">
        <v>3.25962954982692E-017</v>
      </c>
    </row>
    <row r="339" customFormat="false" ht="13.8" hidden="false" customHeight="false" outlineLevel="0" collapsed="false">
      <c r="B339" s="2" t="n">
        <v>337</v>
      </c>
      <c r="C339" s="2" t="n">
        <v>9.66247208897648E-017</v>
      </c>
      <c r="D339" s="2" t="n">
        <v>4.19095165918253E-017</v>
      </c>
      <c r="E339" s="2" t="n">
        <v>1.28056874933745E-016</v>
      </c>
    </row>
    <row r="340" customFormat="false" ht="13.8" hidden="false" customHeight="false" outlineLevel="0" collapsed="false">
      <c r="B340" s="2" t="n">
        <v>338</v>
      </c>
      <c r="C340" s="2" t="n">
        <v>1.30385166062269E-016</v>
      </c>
      <c r="D340" s="2" t="n">
        <v>6.75208881930211E-017</v>
      </c>
      <c r="E340" s="2" t="n">
        <v>1.93249466071792E-016</v>
      </c>
    </row>
    <row r="341" customFormat="false" ht="13.8" hidden="false" customHeight="false" outlineLevel="0" collapsed="false">
      <c r="B341" s="2" t="n">
        <v>339</v>
      </c>
      <c r="C341" s="2" t="n">
        <v>1.50757848114666E-016</v>
      </c>
      <c r="D341" s="2" t="n">
        <v>8.3819033692295E-017</v>
      </c>
      <c r="E341" s="2" t="n">
        <v>2.56113750008456E-016</v>
      </c>
    </row>
    <row r="342" customFormat="false" ht="13.8" hidden="false" customHeight="false" outlineLevel="0" collapsed="false">
      <c r="B342" s="2" t="n">
        <v>340</v>
      </c>
      <c r="C342" s="2" t="n">
        <v>1.93249443269226E-016</v>
      </c>
      <c r="D342" s="2" t="n">
        <v>1.23400244819574E-016</v>
      </c>
      <c r="E342" s="2" t="n">
        <v>3.23634648352781E-016</v>
      </c>
    </row>
    <row r="343" customFormat="false" ht="13.8" hidden="false" customHeight="false" outlineLevel="0" collapsed="false">
      <c r="B343" s="2" t="n">
        <v>341</v>
      </c>
      <c r="C343" s="2" t="n">
        <v>2.37487268563994E-016</v>
      </c>
      <c r="D343" s="2" t="n">
        <v>1.68802222692061E-016</v>
      </c>
      <c r="E343" s="2" t="n">
        <v>3.78349857146202E-016</v>
      </c>
    </row>
    <row r="344" customFormat="false" ht="13.8" hidden="false" customHeight="false" outlineLevel="0" collapsed="false">
      <c r="B344" s="2" t="n">
        <v>342</v>
      </c>
      <c r="C344" s="2" t="n">
        <v>2.72411867241247E-016</v>
      </c>
      <c r="D344" s="2" t="n">
        <v>2.04890974342303E-016</v>
      </c>
      <c r="E344" s="2" t="n">
        <v>4.65661366684282E-016</v>
      </c>
    </row>
    <row r="345" customFormat="false" ht="13.8" hidden="false" customHeight="false" outlineLevel="0" collapsed="false">
      <c r="B345" s="2" t="n">
        <v>343</v>
      </c>
      <c r="C345" s="2" t="n">
        <v>3.35276146271938E-016</v>
      </c>
      <c r="D345" s="2" t="n">
        <v>2.51457105905853E-016</v>
      </c>
      <c r="E345" s="2" t="n">
        <v>5.27361496932488E-016</v>
      </c>
    </row>
    <row r="346" customFormat="false" ht="13.8" hidden="false" customHeight="false" outlineLevel="0" collapsed="false">
      <c r="B346" s="2" t="n">
        <v>344</v>
      </c>
      <c r="C346" s="2" t="n">
        <v>3.95812118906553E-016</v>
      </c>
      <c r="D346" s="2" t="n">
        <v>3.16649690896859E-016</v>
      </c>
      <c r="E346" s="2" t="n">
        <v>5.91389934411476E-016</v>
      </c>
    </row>
    <row r="347" customFormat="false" ht="13.8" hidden="false" customHeight="false" outlineLevel="0" collapsed="false">
      <c r="B347" s="2" t="n">
        <v>345</v>
      </c>
      <c r="C347" s="2" t="n">
        <v>4.49363171529718E-016</v>
      </c>
      <c r="D347" s="2" t="n">
        <v>3.70200742882153E-016</v>
      </c>
      <c r="E347" s="2" t="n">
        <v>6.63567447172538E-016</v>
      </c>
    </row>
    <row r="348" customFormat="false" ht="13.8" hidden="false" customHeight="false" outlineLevel="0" collapsed="false">
      <c r="B348" s="2" t="n">
        <v>346</v>
      </c>
      <c r="C348" s="2" t="n">
        <v>5.19212371534448E-016</v>
      </c>
      <c r="D348" s="2" t="n">
        <v>4.33065021812388E-016</v>
      </c>
      <c r="E348" s="2" t="n">
        <v>7.26431731034434E-016</v>
      </c>
    </row>
    <row r="349" customFormat="false" ht="13.8" hidden="false" customHeight="false" outlineLevel="0" collapsed="false">
      <c r="B349" s="2" t="n">
        <v>347</v>
      </c>
      <c r="C349" s="2" t="n">
        <v>5.7509173115248E-016</v>
      </c>
      <c r="D349" s="2" t="n">
        <v>4.92436840902163E-016</v>
      </c>
      <c r="E349" s="2" t="n">
        <v>7.86385630952435E-016</v>
      </c>
    </row>
    <row r="350" customFormat="false" ht="13.8" hidden="false" customHeight="false" outlineLevel="0" collapsed="false">
      <c r="B350" s="2" t="n">
        <v>348</v>
      </c>
      <c r="C350" s="2" t="n">
        <v>6.51925851906956E-016</v>
      </c>
      <c r="D350" s="2" t="n">
        <v>5.6577850053638E-016</v>
      </c>
      <c r="E350" s="2" t="n">
        <v>8.56816913150092E-016</v>
      </c>
    </row>
    <row r="351" customFormat="false" ht="13.8" hidden="false" customHeight="false" outlineLevel="0" collapsed="false">
      <c r="B351" s="2" t="n">
        <v>349</v>
      </c>
      <c r="C351" s="2" t="n">
        <v>7.19446745717219E-016</v>
      </c>
      <c r="D351" s="2" t="n">
        <v>6.40284313843148E-016</v>
      </c>
      <c r="E351" s="2" t="n">
        <v>9.22009504177508E-016</v>
      </c>
    </row>
    <row r="352" customFormat="false" ht="13.8" hidden="false" customHeight="false" outlineLevel="0" collapsed="false">
      <c r="B352" s="2" t="n">
        <v>350</v>
      </c>
      <c r="C352" s="2" t="n">
        <v>7.89295946469215E-016</v>
      </c>
      <c r="D352" s="2" t="n">
        <v>7.0547690033275E-016</v>
      </c>
      <c r="E352" s="2" t="n">
        <v>9.89530402605042E-016</v>
      </c>
    </row>
    <row r="353" customFormat="false" ht="13.8" hidden="false" customHeight="false" outlineLevel="0" collapsed="false">
      <c r="B353" s="2" t="n">
        <v>351</v>
      </c>
      <c r="C353" s="2" t="n">
        <v>8.59145147347677E-016</v>
      </c>
      <c r="D353" s="2" t="n">
        <v>7.79982714057025E-016</v>
      </c>
      <c r="E353" s="2" t="n">
        <v>1.05705130069571E-015</v>
      </c>
    </row>
    <row r="354" customFormat="false" ht="13.8" hidden="false" customHeight="false" outlineLevel="0" collapsed="false">
      <c r="B354" s="2" t="n">
        <v>352</v>
      </c>
      <c r="C354" s="2" t="n">
        <v>1.16648152471678E-015</v>
      </c>
      <c r="D354" s="2" t="n">
        <v>1.06636434794382E-015</v>
      </c>
      <c r="E354" s="2" t="n">
        <v>1.38999894262906E-015</v>
      </c>
    </row>
    <row r="355" customFormat="false" ht="13.8" hidden="false" customHeight="false" outlineLevel="0" collapsed="false">
      <c r="B355" s="2" t="n">
        <v>353</v>
      </c>
      <c r="C355" s="2" t="n">
        <v>1.25961378218013E-015</v>
      </c>
      <c r="D355" s="2" t="n">
        <v>1.18277966977285E-015</v>
      </c>
      <c r="E355" s="2" t="n">
        <v>1.47032551469149E-015</v>
      </c>
    </row>
    <row r="356" customFormat="false" ht="13.8" hidden="false" customHeight="false" outlineLevel="0" collapsed="false">
      <c r="B356" s="2" t="n">
        <v>354</v>
      </c>
      <c r="C356" s="2" t="n">
        <v>1.35274603964363E-015</v>
      </c>
      <c r="D356" s="2" t="n">
        <v>1.25262886287037E-015</v>
      </c>
      <c r="E356" s="2" t="n">
        <v>1.55530869962721E-015</v>
      </c>
    </row>
    <row r="357" customFormat="false" ht="13.8" hidden="false" customHeight="false" outlineLevel="0" collapsed="false">
      <c r="B357" s="2" t="n">
        <v>355</v>
      </c>
      <c r="C357" s="2" t="n">
        <v>1.44471414388896E-015</v>
      </c>
      <c r="D357" s="2" t="n">
        <v>1.34576112033386E-015</v>
      </c>
      <c r="E357" s="2" t="n">
        <v>1.63563527168984E-015</v>
      </c>
    </row>
    <row r="358" customFormat="false" ht="13.8" hidden="false" customHeight="false" outlineLevel="0" collapsed="false">
      <c r="B358" s="2" t="n">
        <v>356</v>
      </c>
      <c r="C358" s="2" t="n">
        <v>1.53901055457103E-015</v>
      </c>
      <c r="D358" s="2" t="n">
        <v>1.44587829710726E-015</v>
      </c>
      <c r="E358" s="2" t="n">
        <v>1.71945430340749E-015</v>
      </c>
    </row>
    <row r="359" customFormat="false" ht="13.8" hidden="false" customHeight="false" outlineLevel="0" collapsed="false">
      <c r="B359" s="2" t="n">
        <v>357</v>
      </c>
      <c r="C359" s="2" t="n">
        <v>1.63447111847154E-015</v>
      </c>
      <c r="D359" s="2" t="n">
        <v>1.54133886100763E-015</v>
      </c>
      <c r="E359" s="2" t="n">
        <v>1.80210918190694E-015</v>
      </c>
    </row>
    <row r="360" customFormat="false" ht="13.8" hidden="false" customHeight="false" outlineLevel="0" collapsed="false">
      <c r="B360" s="2" t="n">
        <v>358</v>
      </c>
      <c r="C360" s="2" t="n">
        <v>1.7299316823722E-015</v>
      </c>
      <c r="D360" s="2" t="n">
        <v>1.63796357812644E-015</v>
      </c>
      <c r="E360" s="2" t="n">
        <v>1.88592821362481E-015</v>
      </c>
    </row>
    <row r="361" customFormat="false" ht="13.8" hidden="false" customHeight="false" outlineLevel="0" collapsed="false">
      <c r="B361" s="2" t="n">
        <v>359</v>
      </c>
      <c r="C361" s="2" t="n">
        <v>1.825392246273E-015</v>
      </c>
      <c r="D361" s="2" t="n">
        <v>1.7322599888088E-015</v>
      </c>
      <c r="E361" s="2" t="n">
        <v>1.96858309212448E-015</v>
      </c>
    </row>
    <row r="362" customFormat="false" ht="13.8" hidden="false" customHeight="false" outlineLevel="0" collapsed="false">
      <c r="B362" s="2" t="n">
        <v>360</v>
      </c>
      <c r="C362" s="2" t="n">
        <v>1.91852450373734E-015</v>
      </c>
      <c r="D362" s="2" t="n">
        <v>1.88825652006141E-015</v>
      </c>
      <c r="E362" s="2" t="n">
        <v>2.05123797062426E-015</v>
      </c>
    </row>
    <row r="363" customFormat="false" ht="13.8" hidden="false" customHeight="false" outlineLevel="0" collapsed="false">
      <c r="B363" s="2" t="n">
        <v>361</v>
      </c>
      <c r="C363" s="2" t="n">
        <v>2.01514922085673E-015</v>
      </c>
      <c r="D363" s="2" t="n">
        <v>1.92550942304717E-015</v>
      </c>
      <c r="E363" s="2" t="n">
        <v>2.13505700234246E-015</v>
      </c>
    </row>
    <row r="364" customFormat="false" ht="13.8" hidden="false" customHeight="false" outlineLevel="0" collapsed="false">
      <c r="B364" s="2" t="n">
        <v>362</v>
      </c>
      <c r="C364" s="2" t="n">
        <v>2.11177393797628E-015</v>
      </c>
      <c r="D364" s="2" t="n">
        <v>2.02096998694827E-015</v>
      </c>
      <c r="E364" s="2" t="n">
        <v>2.21771188084246E-015</v>
      </c>
    </row>
    <row r="365" customFormat="false" ht="13.8" hidden="false" customHeight="false" outlineLevel="0" collapsed="false">
      <c r="B365" s="2" t="n">
        <v>363</v>
      </c>
      <c r="C365" s="2" t="n">
        <v>2.20723450187767E-015</v>
      </c>
      <c r="D365" s="2" t="n">
        <v>2.11875885728613E-015</v>
      </c>
      <c r="E365" s="2" t="n">
        <v>2.30036675934257E-015</v>
      </c>
    </row>
    <row r="366" customFormat="false" ht="13.8" hidden="false" customHeight="false" outlineLevel="0" collapsed="false">
      <c r="B366" s="2" t="n">
        <v>364</v>
      </c>
      <c r="C366" s="2" t="n">
        <v>2.3026950657792E-015</v>
      </c>
      <c r="D366" s="2" t="n">
        <v>2.21421942118753E-015</v>
      </c>
      <c r="E366" s="2" t="n">
        <v>2.38418579106111E-015</v>
      </c>
    </row>
    <row r="367" customFormat="false" ht="13.8" hidden="false" customHeight="false" outlineLevel="0" collapsed="false">
      <c r="B367" s="2" t="n">
        <v>365</v>
      </c>
      <c r="C367" s="2" t="n">
        <v>2.39815562968087E-015</v>
      </c>
      <c r="D367" s="2" t="n">
        <v>2.31433659796232E-015</v>
      </c>
      <c r="E367" s="2" t="n">
        <v>2.46684066956144E-015</v>
      </c>
    </row>
    <row r="368" customFormat="false" ht="13.8" hidden="false" customHeight="false" outlineLevel="0" collapsed="false">
      <c r="B368" s="2" t="n">
        <v>366</v>
      </c>
      <c r="C368" s="2" t="n">
        <v>2.4936161935827E-015</v>
      </c>
      <c r="D368" s="2" t="n">
        <v>2.40746885542739E-015</v>
      </c>
      <c r="E368" s="2" t="n">
        <v>2.54716724162525E-015</v>
      </c>
    </row>
    <row r="369" customFormat="false" ht="13.8" hidden="false" customHeight="false" outlineLevel="0" collapsed="false">
      <c r="B369" s="2" t="n">
        <v>367</v>
      </c>
      <c r="C369" s="2" t="n">
        <v>2.58907675748466E-015</v>
      </c>
      <c r="D369" s="2" t="n">
        <v>2.50292941932922E-015</v>
      </c>
      <c r="E369" s="2" t="n">
        <v>2.63215042656243E-015</v>
      </c>
    </row>
    <row r="370" customFormat="false" ht="13.8" hidden="false" customHeight="false" outlineLevel="0" collapsed="false">
      <c r="B370" s="2" t="n">
        <v>368</v>
      </c>
      <c r="C370" s="2" t="n">
        <v>2.68220901495014E-015</v>
      </c>
      <c r="D370" s="2" t="n">
        <v>2.60071828966784E-015</v>
      </c>
      <c r="E370" s="2" t="n">
        <v>2.71247699862645E-015</v>
      </c>
    </row>
    <row r="371" customFormat="false" ht="13.8" hidden="false" customHeight="false" outlineLevel="0" collapsed="false">
      <c r="B371" s="2" t="n">
        <v>369</v>
      </c>
      <c r="C371" s="2" t="n">
        <v>2.77999788528904E-015</v>
      </c>
      <c r="D371" s="2" t="n">
        <v>2.69850716000661E-015</v>
      </c>
      <c r="E371" s="2" t="n">
        <v>2.79862433678218E-015</v>
      </c>
    </row>
    <row r="372" customFormat="false" ht="13.8" hidden="false" customHeight="false" outlineLevel="0" collapsed="false">
      <c r="B372" s="2" t="n">
        <v>370</v>
      </c>
      <c r="C372" s="2" t="n">
        <v>2.86847352988151E-015</v>
      </c>
      <c r="D372" s="2" t="n">
        <v>2.79396772390889E-015</v>
      </c>
      <c r="E372" s="2" t="n">
        <v>2.88011506206474E-015</v>
      </c>
    </row>
    <row r="373" customFormat="false" ht="13.8" hidden="false" customHeight="false" outlineLevel="0" collapsed="false">
      <c r="B373" s="2" t="n">
        <v>371</v>
      </c>
      <c r="C373" s="2" t="n">
        <v>2.97091901309399E-015</v>
      </c>
      <c r="D373" s="2" t="n">
        <v>2.88942828781132E-015</v>
      </c>
      <c r="E373" s="2" t="n">
        <v>2.96393409378405E-015</v>
      </c>
    </row>
    <row r="374" customFormat="false" ht="13.8" hidden="false" customHeight="false" outlineLevel="0" collapsed="false">
      <c r="B374" s="2" t="n">
        <v>372</v>
      </c>
      <c r="C374" s="2" t="n">
        <v>3.06405127056004E-015</v>
      </c>
      <c r="D374" s="2" t="n">
        <v>2.98721715815054E-015</v>
      </c>
      <c r="E374" s="2" t="n">
        <v>3.04775312550348E-015</v>
      </c>
    </row>
    <row r="375" customFormat="false" ht="13.8" hidden="false" customHeight="false" outlineLevel="0" collapsed="false">
      <c r="B375" s="2" t="n">
        <v>373</v>
      </c>
      <c r="C375" s="2" t="n">
        <v>3.16184014089953E-015</v>
      </c>
      <c r="D375" s="2" t="n">
        <v>3.08500602848992E-015</v>
      </c>
      <c r="E375" s="2" t="n">
        <v>3.1269155443497E-015</v>
      </c>
    </row>
    <row r="376" customFormat="false" ht="13.8" hidden="false" customHeight="false" outlineLevel="0" collapsed="false">
      <c r="B376" s="2" t="n">
        <v>374</v>
      </c>
      <c r="C376" s="2" t="n">
        <v>3.25497239836586E-015</v>
      </c>
      <c r="D376" s="2" t="n">
        <v>3.18046659239279E-015</v>
      </c>
      <c r="E376" s="2" t="n">
        <v>3.21073457606935E-015</v>
      </c>
    </row>
    <row r="377" customFormat="false" ht="13.8" hidden="false" customHeight="false" outlineLevel="0" collapsed="false">
      <c r="B377" s="2" t="n">
        <v>375</v>
      </c>
      <c r="C377" s="2" t="n">
        <v>3.35276126870566E-015</v>
      </c>
      <c r="D377" s="2" t="n">
        <v>3.27825546273247E-015</v>
      </c>
      <c r="E377" s="2" t="n">
        <v>3.2945536077891E-015</v>
      </c>
    </row>
    <row r="378" customFormat="false" ht="13.8" hidden="false" customHeight="false" outlineLevel="0" collapsed="false">
      <c r="B378" s="2" t="n">
        <v>376</v>
      </c>
      <c r="C378" s="2" t="n">
        <v>3.44822183260894E-015</v>
      </c>
      <c r="D378" s="2" t="n">
        <v>3.37371602663563E-015</v>
      </c>
      <c r="E378" s="2" t="n">
        <v>3.37837263950897E-015</v>
      </c>
    </row>
    <row r="379" customFormat="false" ht="13.8" hidden="false" customHeight="false" outlineLevel="0" collapsed="false">
      <c r="B379" s="2" t="n">
        <v>377</v>
      </c>
      <c r="C379" s="2" t="n">
        <v>3.54251824329403E-015</v>
      </c>
      <c r="D379" s="2" t="n">
        <v>3.46917659053894E-015</v>
      </c>
      <c r="E379" s="2" t="n">
        <v>3.45986336479228E-015</v>
      </c>
    </row>
    <row r="380" customFormat="false" ht="13.8" hidden="false" customHeight="false" outlineLevel="0" collapsed="false">
      <c r="B380" s="2" t="n">
        <v>378</v>
      </c>
      <c r="C380" s="2" t="n">
        <v>3.6379788071976E-015</v>
      </c>
      <c r="D380" s="2" t="n">
        <v>3.56812961409741E-015</v>
      </c>
      <c r="E380" s="2" t="n">
        <v>3.54368239651237E-015</v>
      </c>
    </row>
    <row r="381" customFormat="false" ht="13.8" hidden="false" customHeight="false" outlineLevel="0" collapsed="false">
      <c r="B381" s="2" t="n">
        <v>379</v>
      </c>
      <c r="C381" s="2" t="n">
        <v>3.73227521788298E-015</v>
      </c>
      <c r="D381" s="2" t="n">
        <v>3.66475433121936E-015</v>
      </c>
      <c r="E381" s="2" t="n">
        <v>3.6251731217959E-015</v>
      </c>
    </row>
    <row r="382" customFormat="false" ht="13.8" hidden="false" customHeight="false" outlineLevel="0" collapsed="false">
      <c r="B382" s="2" t="n">
        <v>380</v>
      </c>
      <c r="C382" s="2" t="n">
        <v>3.82773578178683E-015</v>
      </c>
      <c r="D382" s="2" t="n">
        <v>3.76254320155979E-015</v>
      </c>
      <c r="E382" s="2" t="n">
        <v>3.71132045995289E-015</v>
      </c>
    </row>
    <row r="383" customFormat="false" ht="13.8" hidden="false" customHeight="false" outlineLevel="0" collapsed="false">
      <c r="B383" s="2" t="n">
        <v>381</v>
      </c>
      <c r="C383" s="2" t="n">
        <v>3.92319634569084E-015</v>
      </c>
      <c r="D383" s="2" t="n">
        <v>3.8580037654637E-015</v>
      </c>
      <c r="E383" s="2" t="n">
        <v>3.79281118523663E-015</v>
      </c>
    </row>
    <row r="384" customFormat="false" ht="13.8" hidden="false" customHeight="false" outlineLevel="0" collapsed="false">
      <c r="B384" s="2" t="n">
        <v>382</v>
      </c>
      <c r="C384" s="2" t="n">
        <v>4.01865690959499E-015</v>
      </c>
      <c r="D384" s="2" t="n">
        <v>3.95462848258609E-015</v>
      </c>
      <c r="E384" s="2" t="n">
        <v>3.87663021695717E-015</v>
      </c>
    </row>
    <row r="385" customFormat="false" ht="13.8" hidden="false" customHeight="false" outlineLevel="0" collapsed="false">
      <c r="B385" s="2" t="n">
        <v>383</v>
      </c>
      <c r="C385" s="2" t="n">
        <v>4.11469955010846E-015</v>
      </c>
      <c r="D385" s="2" t="n">
        <v>4.04892489327195E-015</v>
      </c>
      <c r="E385" s="2" t="n">
        <v>3.95928509545947E-015</v>
      </c>
    </row>
    <row r="386" customFormat="false" ht="13.8" hidden="false" customHeight="false" outlineLevel="0" collapsed="false">
      <c r="B386" s="2" t="n">
        <v>384</v>
      </c>
      <c r="C386" s="2" t="n">
        <v>4.21190634384043E-015</v>
      </c>
      <c r="D386" s="2" t="n">
        <v>4.14729584022215E-015</v>
      </c>
      <c r="E386" s="2" t="n">
        <v>4.04077582074354E-015</v>
      </c>
    </row>
    <row r="387" customFormat="false" ht="13.8" hidden="false" customHeight="false" outlineLevel="0" collapsed="false">
      <c r="B387" s="2" t="n">
        <v>385</v>
      </c>
      <c r="C387" s="2" t="n">
        <v>4.30503860130832E-015</v>
      </c>
      <c r="D387" s="2" t="n">
        <v>4.243920557345E-015</v>
      </c>
      <c r="E387" s="2" t="n">
        <v>4.12226654602772E-015</v>
      </c>
    </row>
    <row r="388" customFormat="false" ht="13.8" hidden="false" customHeight="false" outlineLevel="0" collapsed="false">
      <c r="B388" s="2" t="n">
        <v>386</v>
      </c>
      <c r="C388" s="2" t="n">
        <v>4.40049916521305E-015</v>
      </c>
      <c r="D388" s="2" t="n">
        <v>4.33879904464046E-015</v>
      </c>
      <c r="E388" s="2" t="n">
        <v>4.20724973096705E-015</v>
      </c>
    </row>
    <row r="389" customFormat="false" ht="13.8" hidden="false" customHeight="false" outlineLevel="0" collapsed="false">
      <c r="B389" s="2" t="n">
        <v>387</v>
      </c>
      <c r="C389" s="2" t="n">
        <v>4.49363142268123E-015</v>
      </c>
      <c r="D389" s="2" t="n">
        <v>4.4377520682003E-015</v>
      </c>
      <c r="E389" s="2" t="n">
        <v>4.28874045625144E-015</v>
      </c>
    </row>
    <row r="390" customFormat="false" ht="13.8" hidden="false" customHeight="false" outlineLevel="0" collapsed="false">
      <c r="B390" s="2" t="n">
        <v>388</v>
      </c>
      <c r="C390" s="2" t="n">
        <v>4.59142029302296E-015</v>
      </c>
      <c r="D390" s="2" t="n">
        <v>4.53437678532359E-015</v>
      </c>
      <c r="E390" s="2" t="n">
        <v>4.37270500712493E-015</v>
      </c>
    </row>
    <row r="391" customFormat="false" ht="13.8" hidden="false" customHeight="false" outlineLevel="0" collapsed="false">
      <c r="B391" s="2" t="n">
        <v>389</v>
      </c>
      <c r="C391" s="2" t="n">
        <v>4.68455255049141E-015</v>
      </c>
      <c r="D391" s="2" t="n">
        <v>4.62983734922868E-015</v>
      </c>
      <c r="E391" s="2" t="n">
        <v>4.45637851969395E-015</v>
      </c>
    </row>
    <row r="392" customFormat="false" ht="13.8" hidden="false" customHeight="false" outlineLevel="0" collapsed="false">
      <c r="B392" s="2" t="n">
        <v>390</v>
      </c>
      <c r="C392" s="2" t="n">
        <v>4.78292349744262E-015</v>
      </c>
      <c r="D392" s="2" t="n">
        <v>4.72646206635226E-015</v>
      </c>
      <c r="E392" s="2" t="n">
        <v>4.53903339819702E-015</v>
      </c>
    </row>
    <row r="393" customFormat="false" ht="13.8" hidden="false" customHeight="false" outlineLevel="0" collapsed="false">
      <c r="B393" s="2" t="n">
        <v>391</v>
      </c>
      <c r="C393" s="2" t="n">
        <v>4.87780198473891E-015</v>
      </c>
      <c r="D393" s="2" t="n">
        <v>4.823086783476E-015</v>
      </c>
      <c r="E393" s="2" t="n">
        <v>4.62168827670021E-015</v>
      </c>
    </row>
    <row r="394" customFormat="false" ht="13.8" hidden="false" customHeight="false" outlineLevel="0" collapsed="false">
      <c r="B394" s="2" t="n">
        <v>392</v>
      </c>
      <c r="C394" s="2" t="n">
        <v>4.97209839542615E-015</v>
      </c>
      <c r="D394" s="2" t="n">
        <v>4.91971150059989E-015</v>
      </c>
      <c r="E394" s="2" t="n">
        <v>4.70317900198514E-015</v>
      </c>
    </row>
    <row r="395" customFormat="false" ht="13.8" hidden="false" customHeight="false" outlineLevel="0" collapsed="false">
      <c r="B395" s="2" t="n">
        <v>393</v>
      </c>
      <c r="C395" s="2" t="n">
        <v>5.06755895933191E-015</v>
      </c>
      <c r="D395" s="2" t="n">
        <v>5.01633621772392E-015</v>
      </c>
      <c r="E395" s="2" t="n">
        <v>4.78583388048854E-015</v>
      </c>
    </row>
    <row r="396" customFormat="false" ht="13.8" hidden="false" customHeight="false" outlineLevel="0" collapsed="false">
      <c r="B396" s="2" t="n">
        <v>394</v>
      </c>
      <c r="C396" s="2" t="n">
        <v>5.16418367645617E-015</v>
      </c>
      <c r="D396" s="2" t="n">
        <v>5.1129609348481E-015</v>
      </c>
      <c r="E396" s="2" t="n">
        <v>4.87023498881958E-015</v>
      </c>
    </row>
    <row r="397" customFormat="false" ht="13.8" hidden="false" customHeight="false" outlineLevel="0" collapsed="false">
      <c r="B397" s="2" t="n">
        <v>395</v>
      </c>
      <c r="C397" s="2" t="n">
        <v>5.25848008714385E-015</v>
      </c>
      <c r="D397" s="2" t="n">
        <v>5.2107498051908E-015</v>
      </c>
      <c r="E397" s="2" t="n">
        <v>4.95347194393238E-015</v>
      </c>
    </row>
    <row r="398" customFormat="false" ht="13.8" hidden="false" customHeight="false" outlineLevel="0" collapsed="false">
      <c r="B398" s="2" t="n">
        <v>396</v>
      </c>
      <c r="C398" s="2" t="n">
        <v>5.35394065105004E-015</v>
      </c>
      <c r="D398" s="2" t="n">
        <v>5.30621036909692E-015</v>
      </c>
      <c r="E398" s="2" t="n">
        <v>5.03612682243611E-015</v>
      </c>
    </row>
    <row r="399" customFormat="false" ht="13.8" hidden="false" customHeight="false" outlineLevel="0" collapsed="false">
      <c r="B399" s="2" t="n">
        <v>397</v>
      </c>
      <c r="C399" s="2" t="n">
        <v>5.448237061738E-015</v>
      </c>
      <c r="D399" s="2" t="n">
        <v>5.40167093300318E-015</v>
      </c>
      <c r="E399" s="2" t="n">
        <v>5.11878170093995E-015</v>
      </c>
    </row>
    <row r="400" customFormat="false" ht="13.8" hidden="false" customHeight="false" outlineLevel="0" collapsed="false">
      <c r="B400" s="2" t="n">
        <v>398</v>
      </c>
      <c r="C400" s="2" t="n">
        <v>5.54486177886285E-015</v>
      </c>
      <c r="D400" s="2" t="n">
        <v>5.49916876504174E-015</v>
      </c>
      <c r="E400" s="2" t="n">
        <v>5.20260073266226E-015</v>
      </c>
    </row>
    <row r="401" customFormat="false" ht="13.8" hidden="false" customHeight="false" outlineLevel="0" collapsed="false">
      <c r="B401" s="2" t="n">
        <v>399</v>
      </c>
      <c r="C401" s="2" t="n">
        <v>5.64148649598785E-015</v>
      </c>
      <c r="D401" s="2" t="n">
        <v>5.59724867368964E-015</v>
      </c>
      <c r="E401" s="2" t="n">
        <v>5.28525561116632E-015</v>
      </c>
    </row>
    <row r="402" customFormat="false" ht="13.8" hidden="false" customHeight="false" outlineLevel="0" collapsed="false">
      <c r="B402" s="2" t="n">
        <v>400</v>
      </c>
      <c r="C402" s="2" t="n">
        <v>5.73592842582855E-015</v>
      </c>
      <c r="D402" s="2" t="n">
        <v>5.69270923759634E-015</v>
      </c>
      <c r="E402" s="2" t="n">
        <v>5.36674633645212E-015</v>
      </c>
    </row>
    <row r="403" customFormat="false" ht="13.8" hidden="false" customHeight="false" outlineLevel="0" collapsed="false">
      <c r="B403" s="2" t="n">
        <v>401</v>
      </c>
      <c r="C403" s="2" t="n">
        <v>5.83240762380155E-015</v>
      </c>
      <c r="D403" s="2" t="n">
        <v>5.7881698015032E-015</v>
      </c>
      <c r="E403" s="2" t="n">
        <v>5.45027432987017E-015</v>
      </c>
    </row>
    <row r="404" customFormat="false" ht="13.8" hidden="false" customHeight="false" outlineLevel="0" collapsed="false">
      <c r="B404" s="2" t="n">
        <v>402</v>
      </c>
      <c r="C404" s="2" t="n">
        <v>5.92612195788104E-015</v>
      </c>
      <c r="D404" s="2" t="n">
        <v>5.88595867184695E-015</v>
      </c>
      <c r="E404" s="2" t="n">
        <v>5.53322024667915E-015</v>
      </c>
    </row>
    <row r="405" customFormat="false" ht="13.8" hidden="false" customHeight="false" outlineLevel="0" collapsed="false">
      <c r="B405" s="2" t="n">
        <v>403</v>
      </c>
      <c r="C405" s="2" t="n">
        <v>6.02216459839744E-015</v>
      </c>
      <c r="D405" s="2" t="n">
        <v>5.9814192357541E-015</v>
      </c>
      <c r="E405" s="2" t="n">
        <v>5.61587512518364E-015</v>
      </c>
    </row>
    <row r="406" customFormat="false" ht="13.8" hidden="false" customHeight="false" outlineLevel="0" collapsed="false">
      <c r="B406" s="2" t="n">
        <v>404</v>
      </c>
      <c r="C406" s="2" t="n">
        <v>6.1176251623048E-015</v>
      </c>
      <c r="D406" s="2" t="n">
        <v>6.07862602948896E-015</v>
      </c>
      <c r="E406" s="2" t="n">
        <v>5.69969415690663E-015</v>
      </c>
    </row>
    <row r="407" customFormat="false" ht="13.8" hidden="false" customHeight="false" outlineLevel="0" collapsed="false">
      <c r="B407" s="2" t="n">
        <v>405</v>
      </c>
      <c r="C407" s="2" t="n">
        <v>6.21075741977553E-015</v>
      </c>
      <c r="D407" s="2" t="n">
        <v>6.17525074661479E-015</v>
      </c>
      <c r="E407" s="2" t="n">
        <v>5.78118488219296E-015</v>
      </c>
    </row>
    <row r="408" customFormat="false" ht="13.8" hidden="false" customHeight="false" outlineLevel="0" collapsed="false">
      <c r="B408" s="2" t="n">
        <v>406</v>
      </c>
      <c r="C408" s="2" t="n">
        <v>6.30854629011995E-015</v>
      </c>
      <c r="D408" s="2" t="n">
        <v>6.27012923391318E-015</v>
      </c>
      <c r="E408" s="2" t="n">
        <v>5.86500391391617E-015</v>
      </c>
    </row>
    <row r="409" customFormat="false" ht="13.8" hidden="false" customHeight="false" outlineLevel="0" collapsed="false">
      <c r="B409" s="2" t="n">
        <v>407</v>
      </c>
      <c r="C409" s="2" t="n">
        <v>6.40284270080935E-015</v>
      </c>
      <c r="D409" s="2" t="n">
        <v>6.37257471713125E-015</v>
      </c>
      <c r="E409" s="2" t="n">
        <v>5.94882294563948E-015</v>
      </c>
    </row>
    <row r="410" customFormat="false" ht="13.8" hidden="false" customHeight="false" outlineLevel="0" collapsed="false">
      <c r="B410" s="2" t="n">
        <v>408</v>
      </c>
      <c r="C410" s="2" t="n">
        <v>6.49830326471728E-015</v>
      </c>
      <c r="D410" s="2" t="n">
        <v>6.46570697460236E-015</v>
      </c>
      <c r="E410" s="2" t="n">
        <v>0</v>
      </c>
    </row>
    <row r="411" customFormat="false" ht="13.8" hidden="false" customHeight="false" outlineLevel="0" collapsed="false">
      <c r="B411" s="2" t="n">
        <v>409</v>
      </c>
      <c r="C411" s="2" t="n">
        <v>6.59492798184376E-015</v>
      </c>
      <c r="D411" s="2" t="n">
        <v>6.56233169172878E-015</v>
      </c>
      <c r="E411" s="2" t="n">
        <v>6.11413270264968E-015</v>
      </c>
    </row>
    <row r="412" customFormat="false" ht="13.8" hidden="false" customHeight="false" outlineLevel="0" collapsed="false">
      <c r="B412" s="2" t="n">
        <v>410</v>
      </c>
      <c r="C412" s="2" t="n">
        <v>6.69155269897038E-015</v>
      </c>
      <c r="D412" s="2" t="n">
        <v>6.66012056207374E-015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6.78468495644197E-015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0</v>
      </c>
      <c r="D431" s="2" t="n">
        <v>0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0</v>
      </c>
      <c r="D432" s="2" t="n">
        <v>0</v>
      </c>
      <c r="E432" s="2" t="n">
        <v>0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2.09547607197551E-017</v>
      </c>
    </row>
    <row r="434" customFormat="false" ht="13.8" hidden="false" customHeight="false" outlineLevel="0" collapsed="false">
      <c r="B434" s="2" t="n">
        <v>432</v>
      </c>
      <c r="C434" s="2" t="n">
        <v>0</v>
      </c>
      <c r="D434" s="2" t="n">
        <v>0</v>
      </c>
      <c r="E434" s="2" t="n">
        <v>2.23517497607197E-016</v>
      </c>
    </row>
    <row r="435" customFormat="false" ht="13.8" hidden="false" customHeight="false" outlineLevel="0" collapsed="false">
      <c r="B435" s="2" t="n">
        <v>433</v>
      </c>
      <c r="C435" s="2" t="n">
        <v>0</v>
      </c>
      <c r="D435" s="2" t="n">
        <v>0</v>
      </c>
      <c r="E435" s="2" t="n">
        <v>1.0710210830389E-016</v>
      </c>
    </row>
    <row r="436" customFormat="false" ht="13.8" hidden="false" customHeight="false" outlineLevel="0" collapsed="false">
      <c r="B436" s="2" t="n">
        <v>434</v>
      </c>
      <c r="C436" s="2" t="n">
        <v>0</v>
      </c>
      <c r="D436" s="2" t="n">
        <v>0</v>
      </c>
      <c r="E436" s="2" t="n">
        <v>1.44355015735243E-016</v>
      </c>
    </row>
    <row r="437" customFormat="false" ht="13.8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1.74623002266335E-016</v>
      </c>
    </row>
    <row r="438" customFormat="false" ht="13.8" hidden="false" customHeight="false" outlineLevel="0" collapsed="false">
      <c r="B438" s="2" t="n">
        <v>436</v>
      </c>
      <c r="C438" s="2" t="n">
        <v>0</v>
      </c>
      <c r="D438" s="2" t="n">
        <v>0</v>
      </c>
      <c r="E438" s="2" t="n">
        <v>2.03726835353083E-016</v>
      </c>
    </row>
    <row r="439" customFormat="false" ht="13.8" hidden="false" customHeight="false" outlineLevel="0" collapsed="false">
      <c r="B439" s="2" t="n">
        <v>437</v>
      </c>
      <c r="C439" s="2" t="n">
        <v>0</v>
      </c>
      <c r="D439" s="2" t="n">
        <v>0</v>
      </c>
      <c r="E439" s="2" t="n">
        <v>2.46800510172362E-016</v>
      </c>
    </row>
    <row r="440" customFormat="false" ht="13.8" hidden="false" customHeight="false" outlineLevel="0" collapsed="false">
      <c r="B440" s="2" t="n">
        <v>438</v>
      </c>
      <c r="C440" s="2" t="n">
        <v>0</v>
      </c>
      <c r="D440" s="2" t="n">
        <v>0</v>
      </c>
      <c r="E440" s="2" t="n">
        <v>2.84053417559175E-016</v>
      </c>
    </row>
    <row r="441" customFormat="false" ht="13.8" hidden="false" customHeight="false" outlineLevel="0" collapsed="false">
      <c r="B441" s="2" t="n">
        <v>439</v>
      </c>
      <c r="C441" s="2" t="n">
        <v>0</v>
      </c>
      <c r="D441" s="2" t="n">
        <v>0</v>
      </c>
      <c r="E441" s="2" t="n">
        <v>3.18978018002836E-016</v>
      </c>
    </row>
    <row r="442" customFormat="false" ht="13.8" hidden="false" customHeight="false" outlineLevel="0" collapsed="false">
      <c r="B442" s="2" t="n">
        <v>440</v>
      </c>
      <c r="C442" s="2" t="n">
        <v>0</v>
      </c>
      <c r="D442" s="2" t="n">
        <v>0</v>
      </c>
      <c r="E442" s="2" t="n">
        <v>3.44589390618142E-016</v>
      </c>
    </row>
    <row r="443" customFormat="false" ht="13.8" hidden="false" customHeight="false" outlineLevel="0" collapsed="false">
      <c r="B443" s="2" t="n">
        <v>441</v>
      </c>
      <c r="C443" s="2" t="n">
        <v>0</v>
      </c>
      <c r="D443" s="2" t="n">
        <v>0</v>
      </c>
      <c r="E443" s="2" t="n">
        <v>1.15018376456246E-015</v>
      </c>
    </row>
    <row r="444" customFormat="false" ht="13.8" hidden="false" customHeight="false" outlineLevel="0" collapsed="false">
      <c r="B444" s="2" t="n">
        <v>442</v>
      </c>
      <c r="C444" s="2" t="n">
        <v>0</v>
      </c>
      <c r="D444" s="2" t="n">
        <v>0</v>
      </c>
      <c r="E444" s="2" t="n">
        <v>4.21423512398833E-016</v>
      </c>
    </row>
    <row r="445" customFormat="false" ht="13.8" hidden="false" customHeight="false" outlineLevel="0" collapsed="false">
      <c r="B445" s="2" t="n">
        <v>443</v>
      </c>
      <c r="C445" s="2" t="n">
        <v>0</v>
      </c>
      <c r="D445" s="2" t="n">
        <v>0</v>
      </c>
      <c r="E445" s="2" t="n">
        <v>4.51691498883868E-016</v>
      </c>
    </row>
    <row r="446" customFormat="false" ht="13.8" hidden="false" customHeight="false" outlineLevel="0" collapsed="false">
      <c r="B446" s="2" t="n">
        <v>444</v>
      </c>
      <c r="C446" s="2" t="n">
        <v>0</v>
      </c>
      <c r="D446" s="2" t="n">
        <v>0</v>
      </c>
      <c r="E446" s="2" t="n">
        <v>4.88944406263435E-016</v>
      </c>
    </row>
    <row r="447" customFormat="false" ht="13.8" hidden="false" customHeight="false" outlineLevel="0" collapsed="false">
      <c r="B447" s="2" t="n">
        <v>445</v>
      </c>
      <c r="C447" s="2" t="n">
        <v>0</v>
      </c>
      <c r="D447" s="2" t="n">
        <v>0</v>
      </c>
      <c r="E447" s="2" t="n">
        <v>5.2270485320977E-016</v>
      </c>
    </row>
    <row r="448" customFormat="false" ht="13.8" hidden="false" customHeight="false" outlineLevel="0" collapsed="false">
      <c r="B448" s="2" t="n">
        <v>446</v>
      </c>
      <c r="C448" s="2" t="n">
        <v>0</v>
      </c>
      <c r="D448" s="2" t="n">
        <v>0</v>
      </c>
      <c r="E448" s="2" t="n">
        <v>5.57629453633955E-016</v>
      </c>
    </row>
    <row r="449" customFormat="false" ht="13.8" hidden="false" customHeight="false" outlineLevel="0" collapsed="false">
      <c r="B449" s="2" t="n">
        <v>447</v>
      </c>
      <c r="C449" s="2" t="n">
        <v>0</v>
      </c>
      <c r="D449" s="2" t="n">
        <v>0</v>
      </c>
      <c r="E449" s="2" t="n">
        <v>5.9371820758427E-016</v>
      </c>
    </row>
    <row r="450" customFormat="false" ht="13.8" hidden="false" customHeight="false" outlineLevel="0" collapsed="false">
      <c r="B450" s="2" t="n">
        <v>448</v>
      </c>
      <c r="C450" s="2" t="n">
        <v>0</v>
      </c>
      <c r="D450" s="2" t="n">
        <v>0</v>
      </c>
      <c r="E450" s="2" t="n">
        <v>6.32135268430452E-016</v>
      </c>
    </row>
    <row r="451" customFormat="false" ht="13.8" hidden="false" customHeight="false" outlineLevel="0" collapsed="false">
      <c r="B451" s="2" t="n">
        <v>449</v>
      </c>
      <c r="C451" s="2" t="n">
        <v>0</v>
      </c>
      <c r="D451" s="2" t="n">
        <v>0</v>
      </c>
      <c r="E451" s="2" t="n">
        <v>6.68224022314408E-016</v>
      </c>
    </row>
    <row r="452" customFormat="false" ht="13.8" hidden="false" customHeight="false" outlineLevel="0" collapsed="false">
      <c r="B452" s="2" t="n">
        <v>450</v>
      </c>
      <c r="C452" s="2" t="n">
        <v>0</v>
      </c>
      <c r="D452" s="2" t="n">
        <v>0</v>
      </c>
      <c r="E452" s="2" t="n">
        <v>7.01984469234542E-016</v>
      </c>
    </row>
    <row r="453" customFormat="false" ht="13.8" hidden="false" customHeight="false" outlineLevel="0" collapsed="false">
      <c r="B453" s="2" t="n">
        <v>451</v>
      </c>
      <c r="C453" s="2" t="n">
        <v>0</v>
      </c>
      <c r="D453" s="2" t="n">
        <v>0</v>
      </c>
      <c r="E453" s="2" t="n">
        <v>6.79865594353027E-016</v>
      </c>
    </row>
    <row r="454" customFormat="false" ht="13.8" hidden="false" customHeight="false" outlineLevel="0" collapsed="false">
      <c r="B454" s="2" t="n">
        <v>452</v>
      </c>
      <c r="C454" s="2" t="n">
        <v>0</v>
      </c>
      <c r="D454" s="2" t="n">
        <v>1.52001157403956E-013</v>
      </c>
      <c r="E454" s="2" t="n">
        <v>6.8917882167882E-016</v>
      </c>
    </row>
    <row r="455" customFormat="false" ht="13.8" hidden="false" customHeight="false" outlineLevel="0" collapsed="false">
      <c r="B455" s="2" t="n">
        <v>453</v>
      </c>
      <c r="C455" s="2" t="n">
        <v>3.79194971179929E-013</v>
      </c>
      <c r="D455" s="2" t="n">
        <v>1.52016291395793E-013</v>
      </c>
      <c r="E455" s="2" t="n">
        <v>0</v>
      </c>
    </row>
    <row r="456" customFormat="false" ht="13.8" hidden="false" customHeight="false" outlineLevel="0" collapsed="false">
      <c r="B456" s="2" t="n">
        <v>454</v>
      </c>
      <c r="C456" s="2" t="n">
        <v>3.79192642873492E-013</v>
      </c>
      <c r="D456" s="2" t="n">
        <v>1.51994172484646E-013</v>
      </c>
      <c r="E456" s="2" t="n">
        <v>0</v>
      </c>
    </row>
    <row r="457" customFormat="false" ht="13.8" hidden="false" customHeight="false" outlineLevel="0" collapsed="false">
      <c r="B457" s="2" t="n">
        <v>455</v>
      </c>
      <c r="C457" s="2" t="n">
        <v>3.79192642873492E-013</v>
      </c>
      <c r="D457" s="2" t="n">
        <v>1.51993008331428E-013</v>
      </c>
      <c r="E457" s="2" t="n">
        <v>0</v>
      </c>
    </row>
    <row r="458" customFormat="false" ht="13.8" hidden="false" customHeight="false" outlineLevel="0" collapsed="false">
      <c r="B458" s="2" t="n">
        <v>456</v>
      </c>
      <c r="C458" s="2" t="n">
        <v>3.79192642873492E-013</v>
      </c>
      <c r="D458" s="2" t="n">
        <v>1.5202560462154E-013</v>
      </c>
      <c r="E458" s="2" t="n">
        <v>0</v>
      </c>
    </row>
    <row r="459" customFormat="false" ht="13.8" hidden="false" customHeight="false" outlineLevel="0" collapsed="false">
      <c r="B459" s="2" t="n">
        <v>457</v>
      </c>
      <c r="C459" s="2" t="n">
        <v>3.79191478720273E-013</v>
      </c>
      <c r="D459" s="2" t="n">
        <v>1.51991844178209E-013</v>
      </c>
      <c r="E459" s="2" t="n">
        <v>0</v>
      </c>
    </row>
    <row r="460" customFormat="false" ht="13.8" hidden="false" customHeight="false" outlineLevel="0" collapsed="false">
      <c r="B460" s="2" t="n">
        <v>458</v>
      </c>
      <c r="C460" s="2" t="n">
        <v>3.79191478720273E-013</v>
      </c>
      <c r="D460" s="2" t="n">
        <v>1.51988351718554E-013</v>
      </c>
      <c r="E460" s="2" t="n">
        <v>0</v>
      </c>
    </row>
    <row r="461" customFormat="false" ht="13.8" hidden="false" customHeight="false" outlineLevel="0" collapsed="false">
      <c r="B461" s="2" t="n">
        <v>459</v>
      </c>
      <c r="C461" s="2" t="n">
        <v>3.79192642873491E-013</v>
      </c>
      <c r="D461" s="2" t="n">
        <v>1.52029097081194E-013</v>
      </c>
      <c r="E461" s="2" t="n">
        <v>0</v>
      </c>
    </row>
    <row r="462" customFormat="false" ht="13.8" hidden="false" customHeight="false" outlineLevel="0" collapsed="false">
      <c r="B462" s="2" t="n">
        <v>460</v>
      </c>
      <c r="C462" s="2" t="n">
        <v>3.79192642873491E-013</v>
      </c>
      <c r="D462" s="2" t="n">
        <v>1.51986023412118E-013</v>
      </c>
      <c r="E462" s="2" t="n">
        <v>0</v>
      </c>
    </row>
    <row r="463" customFormat="false" ht="13.8" hidden="false" customHeight="false" outlineLevel="0" collapsed="false">
      <c r="B463" s="2" t="n">
        <v>461</v>
      </c>
      <c r="C463" s="2" t="n">
        <v>3.79190314567055E-013</v>
      </c>
      <c r="D463" s="2" t="n">
        <v>1.519848592589E-013</v>
      </c>
      <c r="E463" s="2" t="n">
        <v>0</v>
      </c>
    </row>
    <row r="464" customFormat="false" ht="13.8" hidden="false" customHeight="false" outlineLevel="0" collapsed="false">
      <c r="B464" s="2" t="n">
        <v>462</v>
      </c>
      <c r="C464" s="2" t="n">
        <v>3.79192642873491E-013</v>
      </c>
      <c r="D464" s="2" t="n">
        <v>1.51983695105681E-013</v>
      </c>
      <c r="E464" s="2" t="n">
        <v>0</v>
      </c>
    </row>
    <row r="465" customFormat="false" ht="13.8" hidden="false" customHeight="false" outlineLevel="0" collapsed="false">
      <c r="B465" s="2" t="n">
        <v>463</v>
      </c>
      <c r="C465" s="2" t="n">
        <v>3.79190314567055E-013</v>
      </c>
      <c r="D465" s="2" t="n">
        <v>1.51982530952463E-013</v>
      </c>
      <c r="E465" s="2" t="n">
        <v>0</v>
      </c>
    </row>
    <row r="466" customFormat="false" ht="13.8" hidden="false" customHeight="false" outlineLevel="0" collapsed="false">
      <c r="B466" s="2" t="n">
        <v>464</v>
      </c>
      <c r="C466" s="2" t="n">
        <v>3.79192642873491E-013</v>
      </c>
      <c r="D466" s="2" t="n">
        <v>1.51980202646026E-013</v>
      </c>
      <c r="E466" s="2" t="n">
        <v>0</v>
      </c>
    </row>
    <row r="467" customFormat="false" ht="13.8" hidden="false" customHeight="false" outlineLevel="0" collapsed="false">
      <c r="B467" s="2" t="n">
        <v>465</v>
      </c>
      <c r="C467" s="2" t="n">
        <v>3.79194971179928E-013</v>
      </c>
      <c r="D467" s="2" t="n">
        <v>1.5197787433959E-013</v>
      </c>
      <c r="E467" s="2" t="n">
        <v>0</v>
      </c>
    </row>
    <row r="468" customFormat="false" ht="13.8" hidden="false" customHeight="false" outlineLevel="0" collapsed="false">
      <c r="B468" s="2" t="n">
        <v>466</v>
      </c>
      <c r="C468" s="2" t="n">
        <v>3.79192642873491E-013</v>
      </c>
      <c r="D468" s="2" t="n">
        <v>1.5197787433959E-013</v>
      </c>
      <c r="E468" s="2" t="n">
        <v>0</v>
      </c>
    </row>
    <row r="469" customFormat="false" ht="13.8" hidden="false" customHeight="false" outlineLevel="0" collapsed="false">
      <c r="B469" s="2" t="n">
        <v>467</v>
      </c>
      <c r="C469" s="2" t="n">
        <v>3.79192642873491E-013</v>
      </c>
      <c r="D469" s="2" t="n">
        <v>1.51980202646026E-013</v>
      </c>
      <c r="E469" s="2" t="n">
        <v>0</v>
      </c>
    </row>
    <row r="470" customFormat="false" ht="13.8" hidden="false" customHeight="false" outlineLevel="0" collapsed="false">
      <c r="B470" s="2" t="n">
        <v>468</v>
      </c>
      <c r="C470" s="2" t="n">
        <v>3.79192642873491E-013</v>
      </c>
      <c r="D470" s="2" t="n">
        <v>1.51980202646026E-013</v>
      </c>
      <c r="E470" s="2" t="n">
        <v>0</v>
      </c>
    </row>
    <row r="471" customFormat="false" ht="13.8" hidden="false" customHeight="false" outlineLevel="0" collapsed="false">
      <c r="B471" s="2" t="n">
        <v>469</v>
      </c>
      <c r="C471" s="2" t="n">
        <v>3.79194971179927E-013</v>
      </c>
      <c r="D471" s="2" t="n">
        <v>1.51975546033153E-013</v>
      </c>
      <c r="E471" s="2" t="n">
        <v>0</v>
      </c>
    </row>
    <row r="472" customFormat="false" ht="13.8" hidden="false" customHeight="false" outlineLevel="0" collapsed="false">
      <c r="B472" s="2" t="n">
        <v>470</v>
      </c>
      <c r="C472" s="2" t="n">
        <v>3.79194971179927E-013</v>
      </c>
      <c r="D472" s="2" t="n">
        <v>1.51973217726717E-013</v>
      </c>
      <c r="E472" s="2" t="n">
        <v>0</v>
      </c>
    </row>
    <row r="473" customFormat="false" ht="13.8" hidden="false" customHeight="false" outlineLevel="0" collapsed="false">
      <c r="B473" s="2" t="n">
        <v>471</v>
      </c>
      <c r="C473" s="2" t="n">
        <v>3.79192642873491E-013</v>
      </c>
      <c r="D473" s="2" t="n">
        <v>1.51975546033153E-013</v>
      </c>
      <c r="E473" s="2" t="n">
        <v>0</v>
      </c>
    </row>
    <row r="474" customFormat="false" ht="13.8" hidden="false" customHeight="false" outlineLevel="0" collapsed="false">
      <c r="B474" s="2" t="n">
        <v>472</v>
      </c>
      <c r="C474" s="2" t="n">
        <v>3.79190314567054E-013</v>
      </c>
      <c r="D474" s="2" t="n">
        <v>1.51975546033153E-013</v>
      </c>
      <c r="E474" s="2" t="n">
        <v>0</v>
      </c>
    </row>
    <row r="475" customFormat="false" ht="13.8" hidden="false" customHeight="false" outlineLevel="0" collapsed="false">
      <c r="B475" s="2" t="n">
        <v>473</v>
      </c>
      <c r="C475" s="2" t="n">
        <v>3.79192642873491E-013</v>
      </c>
      <c r="D475" s="2" t="n">
        <v>1.5197088942028E-013</v>
      </c>
      <c r="E475" s="2" t="n">
        <v>0</v>
      </c>
    </row>
    <row r="476" customFormat="false" ht="13.8" hidden="false" customHeight="false" outlineLevel="0" collapsed="false">
      <c r="B476" s="2" t="n">
        <v>474</v>
      </c>
      <c r="C476" s="2" t="n">
        <v>3.79194971179927E-013</v>
      </c>
      <c r="D476" s="2" t="n">
        <v>1.51969725267062E-013</v>
      </c>
      <c r="E476" s="2" t="n">
        <v>0</v>
      </c>
    </row>
    <row r="477" customFormat="false" ht="13.8" hidden="false" customHeight="false" outlineLevel="0" collapsed="false">
      <c r="B477" s="2" t="n">
        <v>475</v>
      </c>
      <c r="C477" s="2" t="n">
        <v>3.79192642873491E-013</v>
      </c>
      <c r="D477" s="2" t="n">
        <v>1.5197088942028E-013</v>
      </c>
      <c r="E477" s="2" t="n">
        <v>0</v>
      </c>
    </row>
    <row r="478" customFormat="false" ht="13.8" hidden="false" customHeight="false" outlineLevel="0" collapsed="false">
      <c r="B478" s="2" t="n">
        <v>476</v>
      </c>
      <c r="C478" s="2" t="n">
        <v>3.79193807026709E-013</v>
      </c>
      <c r="D478" s="2" t="n">
        <v>1.51966232807407E-013</v>
      </c>
      <c r="E478" s="2" t="n">
        <v>0</v>
      </c>
    </row>
    <row r="479" customFormat="false" ht="13.8" hidden="false" customHeight="false" outlineLevel="0" collapsed="false">
      <c r="B479" s="2" t="n">
        <v>477</v>
      </c>
      <c r="C479" s="2" t="n">
        <v>3.79194971179927E-013</v>
      </c>
      <c r="D479" s="2" t="n">
        <v>1.51966232807407E-013</v>
      </c>
      <c r="E479" s="2" t="n">
        <v>0</v>
      </c>
    </row>
    <row r="480" customFormat="false" ht="13.8" hidden="false" customHeight="false" outlineLevel="0" collapsed="false">
      <c r="B480" s="2" t="n">
        <v>478</v>
      </c>
      <c r="C480" s="2" t="n">
        <v>3.79194971179927E-013</v>
      </c>
      <c r="D480" s="2" t="n">
        <v>1.51966232807407E-013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3.79194971179927E-013</v>
      </c>
      <c r="D481" s="2" t="n">
        <v>1.51965068654189E-013</v>
      </c>
      <c r="E481" s="2" t="n">
        <v>0</v>
      </c>
    </row>
    <row r="482" customFormat="false" ht="13.8" hidden="false" customHeight="false" outlineLevel="0" collapsed="false">
      <c r="B482" s="2" t="n">
        <v>480</v>
      </c>
      <c r="C482" s="2" t="n">
        <v>3.79194389103318E-013</v>
      </c>
      <c r="D482" s="2" t="n">
        <v>1.51963613462666E-013</v>
      </c>
      <c r="E482" s="2" t="n">
        <v>0</v>
      </c>
    </row>
    <row r="483" customFormat="false" ht="13.8" hidden="false" customHeight="false" outlineLevel="0" collapsed="false">
      <c r="B483" s="2" t="n">
        <v>481</v>
      </c>
      <c r="C483" s="2" t="n">
        <v>3.79194680141622E-013</v>
      </c>
      <c r="D483" s="2" t="n">
        <v>1.51962303790295E-013</v>
      </c>
      <c r="E483" s="2" t="n">
        <v>0</v>
      </c>
    </row>
    <row r="484" customFormat="false" ht="13.8" hidden="false" customHeight="false" outlineLevel="0" collapsed="false">
      <c r="B484" s="2" t="n">
        <v>482</v>
      </c>
      <c r="C484" s="2" t="n">
        <v>3.79194971179927E-013</v>
      </c>
      <c r="D484" s="2" t="n">
        <v>1.51960994117925E-013</v>
      </c>
      <c r="E484" s="2" t="n">
        <v>0</v>
      </c>
    </row>
    <row r="485" customFormat="false" ht="13.8" hidden="false" customHeight="false" outlineLevel="0" collapsed="false">
      <c r="B485" s="2" t="n">
        <v>483</v>
      </c>
      <c r="C485" s="2" t="n">
        <v>3.79194971179927E-013</v>
      </c>
      <c r="D485" s="2" t="n">
        <v>1.51960412041315E-013</v>
      </c>
      <c r="E485" s="2" t="n">
        <v>0</v>
      </c>
    </row>
    <row r="486" customFormat="false" ht="13.8" hidden="false" customHeight="false" outlineLevel="0" collapsed="false">
      <c r="B486" s="2" t="n">
        <v>484</v>
      </c>
      <c r="C486" s="2" t="n">
        <v>3.79194971179927E-013</v>
      </c>
      <c r="D486" s="2" t="n">
        <v>1.51958083734879E-013</v>
      </c>
      <c r="E486" s="2" t="n">
        <v>0</v>
      </c>
    </row>
    <row r="487" customFormat="false" ht="13.8" hidden="false" customHeight="false" outlineLevel="0" collapsed="false">
      <c r="B487" s="2" t="n">
        <v>485</v>
      </c>
      <c r="C487" s="2" t="n">
        <v>3.79194971179927E-013</v>
      </c>
      <c r="D487" s="2" t="n">
        <v>1.51958083734879E-013</v>
      </c>
      <c r="E487" s="2" t="n">
        <v>0</v>
      </c>
    </row>
    <row r="488" customFormat="false" ht="13.8" hidden="false" customHeight="false" outlineLevel="0" collapsed="false">
      <c r="B488" s="2" t="n">
        <v>486</v>
      </c>
      <c r="C488" s="2" t="n">
        <v>3.79196135333145E-013</v>
      </c>
      <c r="D488" s="2" t="n">
        <v>1.51955755428442E-013</v>
      </c>
      <c r="E488" s="2" t="n">
        <v>0</v>
      </c>
    </row>
    <row r="489" customFormat="false" ht="13.8" hidden="false" customHeight="false" outlineLevel="0" collapsed="false">
      <c r="B489" s="2" t="n">
        <v>487</v>
      </c>
      <c r="C489" s="2" t="n">
        <v>3.79195553256536E-013</v>
      </c>
      <c r="D489" s="2" t="n">
        <v>1.51956919581661E-013</v>
      </c>
      <c r="E489" s="2" t="n">
        <v>0</v>
      </c>
    </row>
    <row r="490" customFormat="false" ht="13.8" hidden="false" customHeight="false" outlineLevel="0" collapsed="false">
      <c r="B490" s="2" t="n">
        <v>488</v>
      </c>
      <c r="C490" s="2" t="n">
        <v>3.7919584429484E-013</v>
      </c>
      <c r="D490" s="2" t="n">
        <v>1.51954300236919E-013</v>
      </c>
      <c r="E490" s="2" t="n">
        <v>0</v>
      </c>
    </row>
    <row r="491" customFormat="false" ht="13.8" hidden="false" customHeight="false" outlineLevel="0" collapsed="false">
      <c r="B491" s="2" t="n">
        <v>489</v>
      </c>
      <c r="C491" s="2" t="n">
        <v>3.79197299486363E-013</v>
      </c>
      <c r="D491" s="2" t="n">
        <v>1.51953427122006E-013</v>
      </c>
      <c r="E491" s="2" t="n">
        <v>0</v>
      </c>
    </row>
    <row r="492" customFormat="false" ht="13.8" hidden="false" customHeight="false" outlineLevel="0" collapsed="false">
      <c r="B492" s="2" t="n">
        <v>490</v>
      </c>
      <c r="C492" s="2" t="n">
        <v>3.79196135333145E-013</v>
      </c>
      <c r="D492" s="2" t="n">
        <v>1.51949934662351E-013</v>
      </c>
      <c r="E492" s="2" t="n">
        <v>0</v>
      </c>
    </row>
    <row r="493" customFormat="false" ht="13.8" hidden="false" customHeight="false" outlineLevel="0" collapsed="false">
      <c r="B493" s="2" t="n">
        <v>491</v>
      </c>
      <c r="C493" s="2" t="n">
        <v>3.79197299486363E-013</v>
      </c>
      <c r="D493" s="2" t="n">
        <v>1.51950807777264E-013</v>
      </c>
      <c r="E493" s="2" t="n">
        <v>0</v>
      </c>
    </row>
    <row r="494" customFormat="false" ht="13.8" hidden="false" customHeight="false" outlineLevel="0" collapsed="false">
      <c r="B494" s="2" t="n">
        <v>492</v>
      </c>
      <c r="C494" s="2" t="n">
        <v>3.79196426371449E-013</v>
      </c>
      <c r="D494" s="2" t="n">
        <v>1.51947606355914E-013</v>
      </c>
      <c r="E494" s="2" t="n">
        <v>0</v>
      </c>
    </row>
    <row r="495" customFormat="false" ht="13.8" hidden="false" customHeight="false" outlineLevel="0" collapsed="false">
      <c r="B495" s="2" t="n">
        <v>493</v>
      </c>
      <c r="C495" s="2" t="n">
        <v>3.79197299486363E-013</v>
      </c>
      <c r="D495" s="2" t="n">
        <v>1.51949352585742E-013</v>
      </c>
      <c r="E495" s="2" t="n">
        <v>0</v>
      </c>
    </row>
    <row r="496" customFormat="false" ht="13.8" hidden="false" customHeight="false" outlineLevel="0" collapsed="false">
      <c r="B496" s="2" t="n">
        <v>494</v>
      </c>
      <c r="C496" s="2" t="n">
        <v>3.79197299486363E-013</v>
      </c>
      <c r="D496" s="2" t="n">
        <v>1.51947606355914E-013</v>
      </c>
      <c r="E496" s="2" t="n">
        <v>0</v>
      </c>
    </row>
    <row r="497" customFormat="false" ht="13.8" hidden="false" customHeight="false" outlineLevel="0" collapsed="false">
      <c r="B497" s="2" t="n">
        <v>495</v>
      </c>
      <c r="C497" s="2" t="n">
        <v>3.79197299486363E-013</v>
      </c>
      <c r="D497" s="2" t="n">
        <v>1.51946442202696E-013</v>
      </c>
      <c r="E497" s="2" t="n">
        <v>0</v>
      </c>
    </row>
    <row r="498" customFormat="false" ht="13.8" hidden="false" customHeight="false" outlineLevel="0" collapsed="false">
      <c r="B498" s="2" t="n">
        <v>496</v>
      </c>
      <c r="C498" s="2" t="n">
        <v>3.79196135333144E-013</v>
      </c>
      <c r="D498" s="2" t="n">
        <v>1.51946442202696E-013</v>
      </c>
      <c r="E498" s="2" t="n">
        <v>0</v>
      </c>
    </row>
    <row r="499" customFormat="false" ht="13.8" hidden="false" customHeight="false" outlineLevel="0" collapsed="false">
      <c r="B499" s="2" t="n">
        <v>497</v>
      </c>
      <c r="C499" s="2" t="n">
        <v>3.79197299486363E-013</v>
      </c>
      <c r="D499" s="2" t="n">
        <v>1.51944113896259E-013</v>
      </c>
      <c r="E499" s="2" t="n">
        <v>0</v>
      </c>
    </row>
    <row r="500" customFormat="false" ht="13.8" hidden="false" customHeight="false" outlineLevel="0" collapsed="false">
      <c r="B500" s="2" t="n">
        <v>498</v>
      </c>
      <c r="C500" s="2" t="n">
        <v>3.79197299486362E-013</v>
      </c>
      <c r="D500" s="2" t="n">
        <v>1.51942949743041E-013</v>
      </c>
      <c r="E500" s="2" t="n">
        <v>0</v>
      </c>
    </row>
    <row r="501" customFormat="false" ht="13.8" hidden="false" customHeight="false" outlineLevel="0" collapsed="false">
      <c r="B501" s="2" t="n">
        <v>499</v>
      </c>
      <c r="C501" s="2" t="n">
        <v>3.79197299486362E-013</v>
      </c>
      <c r="D501" s="2" t="n">
        <v>1.51942076628127E-013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3.79197299486362E-013</v>
      </c>
      <c r="D502" s="2" t="n">
        <v>1.51941785589823E-013</v>
      </c>
      <c r="E502" s="2" t="n">
        <v>0</v>
      </c>
    </row>
    <row r="503" customFormat="false" ht="13.8" hidden="false" customHeight="false" outlineLevel="0" collapsed="false">
      <c r="B503" s="2" t="n">
        <v>501</v>
      </c>
      <c r="C503" s="2" t="n">
        <v>3.79197299486362E-013</v>
      </c>
      <c r="D503" s="2" t="n">
        <v>1.51940621436604E-013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3.79172852268778E-013</v>
      </c>
      <c r="D504" s="2" t="n">
        <v>1.51949934662351E-013</v>
      </c>
      <c r="E504" s="2" t="n">
        <v>0</v>
      </c>
    </row>
    <row r="505" customFormat="false" ht="13.8" hidden="false" customHeight="false" outlineLevel="0" collapsed="false">
      <c r="B505" s="2" t="n">
        <v>503</v>
      </c>
      <c r="C505" s="2" t="n">
        <v>3.79311386501756E-013</v>
      </c>
      <c r="D505" s="2" t="n">
        <v>1.52012798936138E-013</v>
      </c>
      <c r="E505" s="2" t="n">
        <v>0</v>
      </c>
    </row>
    <row r="506" customFormat="false" ht="13.8" hidden="false" customHeight="false" outlineLevel="0" collapsed="false">
      <c r="B506" s="2" t="n">
        <v>504</v>
      </c>
      <c r="C506" s="2" t="n">
        <v>3.79183329647742E-013</v>
      </c>
      <c r="D506" s="2" t="n">
        <v>1.51920830831894E-013</v>
      </c>
      <c r="E506" s="2" t="n">
        <v>0</v>
      </c>
    </row>
    <row r="507" customFormat="false" ht="13.8" hidden="false" customHeight="false" outlineLevel="0" collapsed="false">
      <c r="B507" s="2" t="n">
        <v>505</v>
      </c>
      <c r="C507" s="2" t="n">
        <v>3.79064586019475E-013</v>
      </c>
      <c r="D507" s="2" t="n">
        <v>1.51846325025923E-013</v>
      </c>
      <c r="E507" s="2" t="n">
        <v>0</v>
      </c>
    </row>
    <row r="508" customFormat="false" ht="13.8" hidden="false" customHeight="false" outlineLevel="0" collapsed="false">
      <c r="B508" s="2" t="n">
        <v>506</v>
      </c>
      <c r="C508" s="2" t="n">
        <v>3.78967961302356E-013</v>
      </c>
      <c r="D508" s="2" t="n">
        <v>1.51682179422145E-013</v>
      </c>
      <c r="E508" s="2" t="n">
        <v>0</v>
      </c>
    </row>
    <row r="509" customFormat="false" ht="13.8" hidden="false" customHeight="false" outlineLevel="0" collapsed="false">
      <c r="B509" s="2" t="n">
        <v>507</v>
      </c>
      <c r="C509" s="2" t="n">
        <v>3.78873664891673E-013</v>
      </c>
      <c r="D509" s="2" t="n">
        <v>1.51635613293414E-013</v>
      </c>
      <c r="E509" s="2" t="n">
        <v>0</v>
      </c>
    </row>
    <row r="510" customFormat="false" ht="13.8" hidden="false" customHeight="false" outlineLevel="0" collapsed="false">
      <c r="B510" s="2" t="n">
        <v>508</v>
      </c>
      <c r="C510" s="2" t="n">
        <v>3.78776458097944E-013</v>
      </c>
      <c r="D510" s="2" t="n">
        <v>1.5144818462527E-013</v>
      </c>
      <c r="E510" s="2" t="n">
        <v>0</v>
      </c>
    </row>
    <row r="511" customFormat="false" ht="13.8" hidden="false" customHeight="false" outlineLevel="0" collapsed="false">
      <c r="B511" s="2" t="n">
        <v>509</v>
      </c>
      <c r="C511" s="2" t="n">
        <v>3.78685072070307E-013</v>
      </c>
      <c r="D511" s="2" t="n">
        <v>1.51362619363726E-013</v>
      </c>
      <c r="E511" s="2" t="n">
        <v>0</v>
      </c>
    </row>
    <row r="512" customFormat="false" ht="13.8" hidden="false" customHeight="false" outlineLevel="0" collapsed="false">
      <c r="B512" s="2" t="n">
        <v>510</v>
      </c>
      <c r="C512" s="2" t="n">
        <v>3.78584954893533E-013</v>
      </c>
      <c r="D512" s="2" t="n">
        <v>1.51267740876436E-013</v>
      </c>
      <c r="E512" s="2" t="n">
        <v>0</v>
      </c>
    </row>
    <row r="513" customFormat="false" ht="13.8" hidden="false" customHeight="false" outlineLevel="0" collapsed="false">
      <c r="B513" s="2" t="n">
        <v>511</v>
      </c>
      <c r="C513" s="2" t="n">
        <v>3.78489494329632E-013</v>
      </c>
      <c r="D513" s="2" t="n">
        <v>1.22410710901797E-013</v>
      </c>
      <c r="E513" s="2" t="n">
        <v>0</v>
      </c>
    </row>
    <row r="514" customFormat="false" ht="13.8" hidden="false" customHeight="false" outlineLevel="0" collapsed="false">
      <c r="B514" s="2" t="n">
        <v>512</v>
      </c>
      <c r="C514" s="2" t="n">
        <v>3.06501751770411E-013</v>
      </c>
      <c r="D514" s="2" t="n">
        <v>1.22322235257207E-013</v>
      </c>
      <c r="E514" s="2" t="n">
        <v>5.17535954715181E-014</v>
      </c>
    </row>
    <row r="515" customFormat="false" ht="13.8" hidden="false" customHeight="false" outlineLevel="0" collapsed="false">
      <c r="B515" s="2" t="n">
        <v>513</v>
      </c>
      <c r="C515" s="2" t="n">
        <v>3.06426081811221E-013</v>
      </c>
      <c r="D515" s="2" t="n">
        <v>1.22236669995663E-013</v>
      </c>
      <c r="E515" s="2" t="n">
        <v>5.17512671650815E-014</v>
      </c>
    </row>
    <row r="516" customFormat="false" ht="13.8" hidden="false" customHeight="false" outlineLevel="0" collapsed="false">
      <c r="B516" s="2" t="n">
        <v>514</v>
      </c>
      <c r="C516" s="2" t="n">
        <v>3.06353904311686E-013</v>
      </c>
      <c r="D516" s="2" t="n">
        <v>1.22149940580901E-013</v>
      </c>
      <c r="E516" s="2" t="n">
        <v>5.17547596247363E-014</v>
      </c>
    </row>
    <row r="517" customFormat="false" ht="13.8" hidden="false" customHeight="false" outlineLevel="0" collapsed="false">
      <c r="B517" s="2" t="n">
        <v>515</v>
      </c>
      <c r="C517" s="2" t="n">
        <v>3.06279398505715E-013</v>
      </c>
      <c r="D517" s="2" t="n">
        <v>1.22068449855621E-013</v>
      </c>
      <c r="E517" s="2" t="n">
        <v>5.17512671650815E-014</v>
      </c>
    </row>
    <row r="518" customFormat="false" ht="13.8" hidden="false" customHeight="false" outlineLevel="0" collapsed="false">
      <c r="B518" s="2" t="n">
        <v>516</v>
      </c>
      <c r="C518" s="2" t="n">
        <v>3.06211295542444E-013</v>
      </c>
      <c r="D518" s="2" t="n">
        <v>1.21984630823905E-013</v>
      </c>
      <c r="E518" s="2" t="n">
        <v>5.17530133949089E-014</v>
      </c>
    </row>
    <row r="519" customFormat="false" ht="13.8" hidden="false" customHeight="false" outlineLevel="0" collapsed="false">
      <c r="B519" s="2" t="n">
        <v>517</v>
      </c>
      <c r="C519" s="2" t="n">
        <v>3.06145520885609E-013</v>
      </c>
      <c r="D519" s="2" t="n">
        <v>1.21907796711498E-013</v>
      </c>
      <c r="E519" s="2" t="n">
        <v>5.17594162376094E-014</v>
      </c>
    </row>
    <row r="520" customFormat="false" ht="13.8" hidden="false" customHeight="false" outlineLevel="0" collapsed="false">
      <c r="B520" s="2" t="n">
        <v>518</v>
      </c>
      <c r="C520" s="2" t="n">
        <v>3.06074507539293E-013</v>
      </c>
      <c r="D520" s="2" t="n">
        <v>1.21835619211965E-013</v>
      </c>
      <c r="E520" s="2" t="n">
        <v>5.17535954715181E-014</v>
      </c>
    </row>
    <row r="521" customFormat="false" ht="13.8" hidden="false" customHeight="false" outlineLevel="0" collapsed="false">
      <c r="B521" s="2" t="n">
        <v>519</v>
      </c>
      <c r="C521" s="2" t="n">
        <v>3.06011643265504E-013</v>
      </c>
      <c r="D521" s="2" t="n">
        <v>1.21758785099558E-013</v>
      </c>
      <c r="E521" s="2" t="n">
        <v>5.17570879311729E-014</v>
      </c>
    </row>
    <row r="522" customFormat="false" ht="13.8" hidden="false" customHeight="false" outlineLevel="0" collapsed="false">
      <c r="B522" s="2" t="n">
        <v>520</v>
      </c>
      <c r="C522" s="2" t="n">
        <v>3.05951107298152E-013</v>
      </c>
      <c r="D522" s="2" t="n">
        <v>1.21693592519334E-013</v>
      </c>
      <c r="E522" s="2" t="n">
        <v>5.17547596247363E-014</v>
      </c>
    </row>
    <row r="523" customFormat="false" ht="13.8" hidden="false" customHeight="false" outlineLevel="0" collapsed="false">
      <c r="B523" s="2" t="n">
        <v>521</v>
      </c>
      <c r="C523" s="2" t="n">
        <v>3.058905713308E-013</v>
      </c>
      <c r="D523" s="2" t="n">
        <v>1.2162839993911E-013</v>
      </c>
      <c r="E523" s="2" t="n">
        <v>5.17605803908277E-014</v>
      </c>
    </row>
    <row r="524" customFormat="false" ht="13.8" hidden="false" customHeight="false" outlineLevel="0" collapsed="false">
      <c r="B524" s="2" t="n">
        <v>522</v>
      </c>
      <c r="C524" s="2" t="n">
        <v>3.05834691976321E-013</v>
      </c>
      <c r="D524" s="2" t="n">
        <v>1.21567863971759E-013</v>
      </c>
      <c r="E524" s="2" t="n">
        <v>5.17524313182998E-014</v>
      </c>
    </row>
    <row r="525" customFormat="false" ht="13.8" hidden="false" customHeight="false" outlineLevel="0" collapsed="false">
      <c r="B525" s="2" t="n">
        <v>523</v>
      </c>
      <c r="C525" s="2" t="n">
        <v>3.05776484315406E-013</v>
      </c>
      <c r="D525" s="2" t="n">
        <v>1.21502671391535E-013</v>
      </c>
      <c r="E525" s="2" t="n">
        <v>5.17652370037008E-014</v>
      </c>
    </row>
    <row r="526" customFormat="false" ht="13.8" hidden="false" customHeight="false" outlineLevel="0" collapsed="false">
      <c r="B526" s="2" t="n">
        <v>524</v>
      </c>
      <c r="C526" s="2" t="n">
        <v>3.0573923141242E-013</v>
      </c>
      <c r="D526" s="2" t="n">
        <v>1.21452612803149E-013</v>
      </c>
      <c r="E526" s="2" t="n">
        <v>5.17501030118632E-014</v>
      </c>
    </row>
    <row r="527" customFormat="false" ht="13.8" hidden="false" customHeight="false" outlineLevel="0" collapsed="false">
      <c r="B527" s="2" t="n">
        <v>525</v>
      </c>
      <c r="C527" s="2" t="n">
        <v>3.05683352057942E-013</v>
      </c>
      <c r="D527" s="2" t="n">
        <v>1.21387420222925E-013</v>
      </c>
      <c r="E527" s="2" t="n">
        <v>5.17489388586449E-014</v>
      </c>
    </row>
    <row r="528" customFormat="false" ht="13.8" hidden="false" customHeight="false" outlineLevel="0" collapsed="false">
      <c r="B528" s="2" t="n">
        <v>526</v>
      </c>
      <c r="C528" s="2" t="n">
        <v>3.05646099154956E-013</v>
      </c>
      <c r="D528" s="2" t="n">
        <v>1.21342018247412E-013</v>
      </c>
      <c r="E528" s="2" t="n">
        <v>5.1740789786117E-014</v>
      </c>
    </row>
    <row r="529" customFormat="false" ht="13.8" hidden="false" customHeight="false" outlineLevel="0" collapsed="false">
      <c r="B529" s="2" t="n">
        <v>527</v>
      </c>
      <c r="C529" s="2" t="n">
        <v>3.05620487784153E-013</v>
      </c>
      <c r="D529" s="2" t="n">
        <v>1.21308257804082E-013</v>
      </c>
      <c r="E529" s="2" t="n">
        <v>5.17582520843911E-014</v>
      </c>
    </row>
    <row r="530" customFormat="false" ht="13.8" hidden="false" customHeight="false" outlineLevel="0" collapsed="false">
      <c r="B530" s="2" t="n">
        <v>528</v>
      </c>
      <c r="C530" s="2" t="n">
        <v>3.05580906574731E-013</v>
      </c>
      <c r="D530" s="2" t="n">
        <v>1.21272169054315E-013</v>
      </c>
      <c r="E530" s="2" t="n">
        <v>5.17594162376094E-014</v>
      </c>
    </row>
    <row r="531" customFormat="false" ht="13.8" hidden="false" customHeight="false" outlineLevel="0" collapsed="false">
      <c r="B531" s="2" t="n">
        <v>529</v>
      </c>
      <c r="C531" s="2" t="n">
        <v>3.05559951816801E-013</v>
      </c>
      <c r="D531" s="2" t="n">
        <v>1.21238990687594E-013</v>
      </c>
      <c r="E531" s="2" t="n">
        <v>5.17605803908277E-014</v>
      </c>
    </row>
    <row r="532" customFormat="false" ht="13.8" hidden="false" customHeight="false" outlineLevel="0" collapsed="false">
      <c r="B532" s="2" t="n">
        <v>530</v>
      </c>
      <c r="C532" s="2" t="n">
        <v>3.05534340445998E-013</v>
      </c>
      <c r="D532" s="2" t="n">
        <v>1.21210468933746E-013</v>
      </c>
      <c r="E532" s="2" t="n">
        <v>5.17559237779546E-014</v>
      </c>
    </row>
    <row r="533" customFormat="false" ht="13.8" hidden="false" customHeight="false" outlineLevel="0" collapsed="false">
      <c r="B533" s="2" t="n">
        <v>531</v>
      </c>
      <c r="C533" s="2" t="n">
        <v>3.05522698913815E-013</v>
      </c>
      <c r="D533" s="2" t="n">
        <v>1.21181365103289E-013</v>
      </c>
      <c r="E533" s="2" t="n">
        <v>5.1753595471518E-014</v>
      </c>
    </row>
    <row r="534" customFormat="false" ht="13.8" hidden="false" customHeight="false" outlineLevel="0" collapsed="false">
      <c r="B534" s="2" t="n">
        <v>532</v>
      </c>
      <c r="C534" s="2" t="n">
        <v>3.05502908309104E-013</v>
      </c>
      <c r="D534" s="2" t="n">
        <v>1.21166231111451E-013</v>
      </c>
      <c r="E534" s="2" t="n">
        <v>5.17611624674368E-014</v>
      </c>
    </row>
    <row r="535" customFormat="false" ht="13.8" hidden="false" customHeight="false" outlineLevel="0" collapsed="false">
      <c r="B535" s="2" t="n">
        <v>533</v>
      </c>
      <c r="C535" s="2" t="n">
        <v>3.05490102623702E-013</v>
      </c>
      <c r="D535" s="2" t="n">
        <v>1.21147604659959E-013</v>
      </c>
      <c r="E535" s="2" t="n">
        <v>5.17675653101373E-014</v>
      </c>
    </row>
    <row r="536" customFormat="false" ht="13.8" hidden="false" customHeight="false" outlineLevel="0" collapsed="false">
      <c r="B536" s="2" t="n">
        <v>534</v>
      </c>
      <c r="C536" s="2" t="n">
        <v>3.05476132785083E-013</v>
      </c>
      <c r="D536" s="2" t="n">
        <v>1.21125485748811E-013</v>
      </c>
      <c r="E536" s="2" t="n">
        <v>5.17605803908277E-014</v>
      </c>
    </row>
    <row r="537" customFormat="false" ht="13.8" hidden="false" customHeight="false" outlineLevel="0" collapsed="false">
      <c r="B537" s="2" t="n">
        <v>535</v>
      </c>
      <c r="C537" s="2" t="n">
        <v>3.05472058248819E-013</v>
      </c>
      <c r="D537" s="2" t="n">
        <v>1.21120829135938E-013</v>
      </c>
      <c r="E537" s="2" t="n">
        <v>5.17652370037008E-014</v>
      </c>
    </row>
    <row r="538" customFormat="false" ht="13.8" hidden="false" customHeight="false" outlineLevel="0" collapsed="false">
      <c r="B538" s="2" t="n">
        <v>536</v>
      </c>
      <c r="C538" s="2" t="n">
        <v>3.05462162946463E-013</v>
      </c>
      <c r="D538" s="2" t="n">
        <v>1.21111515910192E-013</v>
      </c>
      <c r="E538" s="2" t="n">
        <v>5.17658190803099E-014</v>
      </c>
    </row>
    <row r="539" customFormat="false" ht="13.8" hidden="false" customHeight="false" outlineLevel="0" collapsed="false">
      <c r="B539" s="2" t="n">
        <v>537</v>
      </c>
      <c r="C539" s="2" t="n">
        <v>3.05459834640026E-013</v>
      </c>
      <c r="D539" s="2" t="n">
        <v>1.21104530990882E-013</v>
      </c>
      <c r="E539" s="2" t="n">
        <v>5.17652370037008E-014</v>
      </c>
    </row>
    <row r="540" customFormat="false" ht="13.8" hidden="false" customHeight="false" outlineLevel="0" collapsed="false">
      <c r="B540" s="2" t="n">
        <v>538</v>
      </c>
      <c r="C540" s="2" t="n">
        <v>3.0545750633359E-013</v>
      </c>
      <c r="D540" s="2" t="n">
        <v>1.21099874378009E-013</v>
      </c>
      <c r="E540" s="2" t="n">
        <v>5.17640728504825E-014</v>
      </c>
    </row>
    <row r="541" customFormat="false" ht="13.8" hidden="false" customHeight="false" outlineLevel="0" collapsed="false">
      <c r="B541" s="2" t="n">
        <v>539</v>
      </c>
      <c r="C541" s="2" t="n">
        <v>0</v>
      </c>
      <c r="D541" s="2" t="n">
        <v>0</v>
      </c>
      <c r="E541" s="2" t="n">
        <v>6.39050267638446E-014</v>
      </c>
    </row>
    <row r="542" customFormat="false" ht="13.8" hidden="false" customHeight="false" outlineLevel="0" collapsed="false">
      <c r="B542" s="2" t="n">
        <v>540</v>
      </c>
      <c r="C542" s="2" t="n">
        <v>0</v>
      </c>
      <c r="D542" s="2" t="n">
        <v>0</v>
      </c>
      <c r="E542" s="2" t="n">
        <v>6.39050267638446E-014</v>
      </c>
    </row>
    <row r="543" customFormat="false" ht="13.8" hidden="false" customHeight="false" outlineLevel="0" collapsed="false">
      <c r="B543" s="2" t="n">
        <v>541</v>
      </c>
      <c r="C543" s="2" t="n">
        <v>0</v>
      </c>
      <c r="D543" s="2" t="n">
        <v>0</v>
      </c>
      <c r="E543" s="2" t="n">
        <v>5.17643638887871E-014</v>
      </c>
    </row>
    <row r="544" customFormat="false" ht="13.8" hidden="false" customHeight="false" outlineLevel="0" collapsed="false">
      <c r="B544" s="2" t="n">
        <v>542</v>
      </c>
      <c r="C544" s="2" t="n">
        <v>0</v>
      </c>
      <c r="D544" s="2" t="n">
        <v>0</v>
      </c>
      <c r="E544" s="2" t="n">
        <v>6.39073550702811E-014</v>
      </c>
    </row>
    <row r="545" customFormat="false" ht="13.8" hidden="false" customHeight="false" outlineLevel="0" collapsed="false">
      <c r="B545" s="2" t="n">
        <v>543</v>
      </c>
      <c r="C545" s="2" t="n">
        <v>0</v>
      </c>
      <c r="D545" s="2" t="n">
        <v>0</v>
      </c>
      <c r="E545" s="2" t="n">
        <v>6.39073550702811E-014</v>
      </c>
    </row>
    <row r="546" customFormat="false" ht="13.8" hidden="false" customHeight="false" outlineLevel="0" collapsed="false">
      <c r="B546" s="2" t="n">
        <v>544</v>
      </c>
      <c r="C546" s="2" t="n">
        <v>0</v>
      </c>
      <c r="D546" s="2" t="n">
        <v>0</v>
      </c>
      <c r="E546" s="2" t="n">
        <v>6.39050267638445E-014</v>
      </c>
    </row>
    <row r="547" customFormat="false" ht="13.8" hidden="false" customHeight="false" outlineLevel="0" collapsed="false">
      <c r="B547" s="2" t="n">
        <v>545</v>
      </c>
      <c r="C547" s="2" t="n">
        <v>0</v>
      </c>
      <c r="D547" s="2" t="n">
        <v>0</v>
      </c>
      <c r="E547" s="2" t="n">
        <v>6.39079371468902E-014</v>
      </c>
    </row>
    <row r="548" customFormat="false" ht="13.8" hidden="false" customHeight="false" outlineLevel="0" collapsed="false">
      <c r="B548" s="2" t="n">
        <v>546</v>
      </c>
      <c r="C548" s="2" t="n">
        <v>0</v>
      </c>
      <c r="D548" s="2" t="n">
        <v>0</v>
      </c>
      <c r="E548" s="2" t="n">
        <v>6.39096833767177E-014</v>
      </c>
    </row>
    <row r="549" customFormat="false" ht="13.8" hidden="false" customHeight="false" outlineLevel="0" collapsed="false">
      <c r="B549" s="2" t="n">
        <v>547</v>
      </c>
      <c r="C549" s="2" t="n">
        <v>0</v>
      </c>
      <c r="D549" s="2" t="n">
        <v>0</v>
      </c>
      <c r="E549" s="2" t="n">
        <v>6.39073550702811E-014</v>
      </c>
    </row>
    <row r="550" customFormat="false" ht="13.8" hidden="false" customHeight="false" outlineLevel="0" collapsed="false">
      <c r="B550" s="2" t="n">
        <v>548</v>
      </c>
      <c r="C550" s="2" t="n">
        <v>0</v>
      </c>
      <c r="D550" s="2" t="n">
        <v>0</v>
      </c>
      <c r="E550" s="2" t="n">
        <v>6.39096833767177E-014</v>
      </c>
    </row>
    <row r="551" customFormat="false" ht="13.8" hidden="false" customHeight="false" outlineLevel="0" collapsed="false">
      <c r="B551" s="2" t="n">
        <v>549</v>
      </c>
      <c r="C551" s="2" t="n">
        <v>0</v>
      </c>
      <c r="D551" s="2" t="n">
        <v>0</v>
      </c>
      <c r="E551" s="2" t="n">
        <v>6.39085192234994E-014</v>
      </c>
    </row>
    <row r="552" customFormat="false" ht="13.8" hidden="false" customHeight="false" outlineLevel="0" collapsed="false">
      <c r="B552" s="2" t="n">
        <v>550</v>
      </c>
      <c r="C552" s="2" t="n">
        <v>0</v>
      </c>
      <c r="D552" s="2" t="n">
        <v>0</v>
      </c>
      <c r="E552" s="2" t="n">
        <v>6.39120116831542E-014</v>
      </c>
    </row>
    <row r="553" customFormat="false" ht="13.8" hidden="false" customHeight="false" outlineLevel="0" collapsed="false">
      <c r="B553" s="2" t="n">
        <v>551</v>
      </c>
      <c r="C553" s="2" t="n">
        <v>0</v>
      </c>
      <c r="D553" s="2" t="n">
        <v>0</v>
      </c>
      <c r="E553" s="2" t="n">
        <v>6.39120116831542E-014</v>
      </c>
    </row>
    <row r="554" customFormat="false" ht="13.8" hidden="false" customHeight="false" outlineLevel="0" collapsed="false">
      <c r="B554" s="2" t="n">
        <v>552</v>
      </c>
      <c r="C554" s="2" t="n">
        <v>0</v>
      </c>
      <c r="D554" s="2" t="n">
        <v>0</v>
      </c>
      <c r="E554" s="2" t="n">
        <v>6.39120116831542E-014</v>
      </c>
    </row>
    <row r="555" customFormat="false" ht="13.8" hidden="false" customHeight="false" outlineLevel="0" collapsed="false">
      <c r="B555" s="2" t="n">
        <v>553</v>
      </c>
      <c r="C555" s="2" t="n">
        <v>0</v>
      </c>
      <c r="D555" s="2" t="n">
        <v>0</v>
      </c>
      <c r="E555" s="2" t="n">
        <v>6.39108475299359E-014</v>
      </c>
    </row>
    <row r="556" customFormat="false" ht="13.8" hidden="false" customHeight="false" outlineLevel="0" collapsed="false">
      <c r="B556" s="2" t="n">
        <v>554</v>
      </c>
      <c r="C556" s="2" t="n">
        <v>0</v>
      </c>
      <c r="D556" s="2" t="n">
        <v>0</v>
      </c>
      <c r="E556" s="2" t="n">
        <v>6.39131758363725E-014</v>
      </c>
    </row>
    <row r="557" customFormat="false" ht="13.8" hidden="false" customHeight="false" outlineLevel="0" collapsed="false">
      <c r="B557" s="2" t="n">
        <v>555</v>
      </c>
      <c r="C557" s="2" t="n">
        <v>0</v>
      </c>
      <c r="D557" s="2" t="n">
        <v>0</v>
      </c>
      <c r="E557" s="2" t="n">
        <v>6.39131758363725E-014</v>
      </c>
    </row>
    <row r="558" customFormat="false" ht="13.8" hidden="false" customHeight="false" outlineLevel="0" collapsed="false">
      <c r="B558" s="2" t="n">
        <v>556</v>
      </c>
      <c r="C558" s="2" t="n">
        <v>0</v>
      </c>
      <c r="D558" s="2" t="n">
        <v>0</v>
      </c>
      <c r="E558" s="2" t="n">
        <v>6.39120116831542E-014</v>
      </c>
    </row>
    <row r="559" customFormat="false" ht="13.8" hidden="false" customHeight="false" outlineLevel="0" collapsed="false">
      <c r="B559" s="2" t="n">
        <v>557</v>
      </c>
      <c r="C559" s="2" t="n">
        <v>0</v>
      </c>
      <c r="D559" s="2" t="n">
        <v>0</v>
      </c>
      <c r="E559" s="2" t="n">
        <v>6.39143399895907E-014</v>
      </c>
    </row>
    <row r="560" customFormat="false" ht="13.8" hidden="false" customHeight="false" outlineLevel="0" collapsed="false">
      <c r="B560" s="2" t="n">
        <v>558</v>
      </c>
      <c r="C560" s="2" t="n">
        <v>0</v>
      </c>
      <c r="D560" s="2" t="n">
        <v>0</v>
      </c>
      <c r="E560" s="2" t="n">
        <v>6.39143399895907E-014</v>
      </c>
    </row>
    <row r="561" customFormat="false" ht="13.8" hidden="false" customHeight="false" outlineLevel="0" collapsed="false">
      <c r="B561" s="2" t="n">
        <v>559</v>
      </c>
      <c r="C561" s="2" t="n">
        <v>0</v>
      </c>
      <c r="D561" s="2" t="n">
        <v>0</v>
      </c>
      <c r="E561" s="2" t="n">
        <v>6.39166682960273E-014</v>
      </c>
    </row>
    <row r="562" customFormat="false" ht="13.8" hidden="false" customHeight="false" outlineLevel="0" collapsed="false">
      <c r="B562" s="2" t="n">
        <v>560</v>
      </c>
      <c r="C562" s="2" t="n">
        <v>0</v>
      </c>
      <c r="D562" s="2" t="n">
        <v>0</v>
      </c>
      <c r="E562" s="2" t="n">
        <v>6.39166682960273E-014</v>
      </c>
    </row>
    <row r="563" customFormat="false" ht="13.8" hidden="false" customHeight="false" outlineLevel="0" collapsed="false">
      <c r="B563" s="2" t="n">
        <v>561</v>
      </c>
      <c r="C563" s="2" t="n">
        <v>0</v>
      </c>
      <c r="D563" s="2" t="n">
        <v>0</v>
      </c>
      <c r="E563" s="2" t="n">
        <v>6.39166682960273E-014</v>
      </c>
    </row>
    <row r="564" customFormat="false" ht="13.8" hidden="false" customHeight="false" outlineLevel="0" collapsed="false">
      <c r="B564" s="2" t="n">
        <v>562</v>
      </c>
      <c r="C564" s="2" t="n">
        <v>0</v>
      </c>
      <c r="D564" s="2" t="n">
        <v>0</v>
      </c>
      <c r="E564" s="2" t="n">
        <v>6.39166682960273E-014</v>
      </c>
    </row>
    <row r="565" customFormat="false" ht="13.8" hidden="false" customHeight="false" outlineLevel="0" collapsed="false">
      <c r="B565" s="2" t="n">
        <v>563</v>
      </c>
      <c r="C565" s="2" t="n">
        <v>0</v>
      </c>
      <c r="D565" s="2" t="n">
        <v>0</v>
      </c>
      <c r="E565" s="2" t="n">
        <v>6.39166682960273E-014</v>
      </c>
    </row>
    <row r="566" customFormat="false" ht="13.8" hidden="false" customHeight="false" outlineLevel="0" collapsed="false">
      <c r="B566" s="2" t="n">
        <v>564</v>
      </c>
      <c r="C566" s="2" t="n">
        <v>0</v>
      </c>
      <c r="D566" s="2" t="n">
        <v>0</v>
      </c>
      <c r="E566" s="2" t="n">
        <v>6.39189966024638E-014</v>
      </c>
    </row>
    <row r="567" customFormat="false" ht="13.8" hidden="false" customHeight="false" outlineLevel="0" collapsed="false">
      <c r="B567" s="2" t="n">
        <v>565</v>
      </c>
      <c r="C567" s="2" t="n">
        <v>0</v>
      </c>
      <c r="D567" s="2" t="n">
        <v>0</v>
      </c>
      <c r="E567" s="2" t="n">
        <v>6.39189966024638E-014</v>
      </c>
    </row>
    <row r="568" customFormat="false" ht="13.8" hidden="false" customHeight="false" outlineLevel="0" collapsed="false">
      <c r="B568" s="2" t="n">
        <v>566</v>
      </c>
      <c r="C568" s="2" t="n">
        <v>0</v>
      </c>
      <c r="D568" s="2" t="n">
        <v>0</v>
      </c>
      <c r="E568" s="2" t="n">
        <v>6.39189966024638E-014</v>
      </c>
    </row>
    <row r="569" customFormat="false" ht="13.8" hidden="false" customHeight="false" outlineLevel="0" collapsed="false">
      <c r="B569" s="2" t="n">
        <v>567</v>
      </c>
      <c r="C569" s="2" t="n">
        <v>0</v>
      </c>
      <c r="D569" s="2" t="n">
        <v>0</v>
      </c>
      <c r="E569" s="2" t="n">
        <v>6.39166682960273E-014</v>
      </c>
    </row>
    <row r="570" customFormat="false" ht="13.8" hidden="false" customHeight="false" outlineLevel="0" collapsed="false">
      <c r="B570" s="2" t="n">
        <v>568</v>
      </c>
      <c r="C570" s="2" t="n">
        <v>0</v>
      </c>
      <c r="D570" s="2" t="n">
        <v>0</v>
      </c>
      <c r="E570" s="2" t="n">
        <v>6.39213249089004E-014</v>
      </c>
    </row>
    <row r="571" customFormat="false" ht="13.8" hidden="false" customHeight="false" outlineLevel="0" collapsed="false">
      <c r="B571" s="2" t="n">
        <v>569</v>
      </c>
      <c r="C571" s="2" t="n">
        <v>0</v>
      </c>
      <c r="D571" s="2" t="n">
        <v>0</v>
      </c>
      <c r="E571" s="2" t="n">
        <v>6.39213249089004E-014</v>
      </c>
    </row>
    <row r="572" customFormat="false" ht="13.8" hidden="false" customHeight="false" outlineLevel="0" collapsed="false">
      <c r="B572" s="2" t="n">
        <v>570</v>
      </c>
      <c r="C572" s="2" t="n">
        <v>0</v>
      </c>
      <c r="D572" s="2" t="n">
        <v>0</v>
      </c>
      <c r="E572" s="2" t="n">
        <v>6.39213249089004E-014</v>
      </c>
    </row>
    <row r="573" customFormat="false" ht="13.8" hidden="false" customHeight="false" outlineLevel="0" collapsed="false">
      <c r="B573" s="2" t="n">
        <v>571</v>
      </c>
      <c r="C573" s="2" t="n">
        <v>0</v>
      </c>
      <c r="D573" s="2" t="n">
        <v>0</v>
      </c>
      <c r="E573" s="2" t="n">
        <v>6.39213249089004E-014</v>
      </c>
    </row>
    <row r="574" customFormat="false" ht="13.8" hidden="false" customHeight="false" outlineLevel="0" collapsed="false">
      <c r="B574" s="2" t="n">
        <v>572</v>
      </c>
      <c r="C574" s="2" t="n">
        <v>0</v>
      </c>
      <c r="D574" s="2" t="n">
        <v>0</v>
      </c>
      <c r="E574" s="2" t="n">
        <v>6.39189966024638E-014</v>
      </c>
    </row>
    <row r="575" customFormat="false" ht="13.8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6.39213249089004E-014</v>
      </c>
    </row>
    <row r="576" customFormat="false" ht="13.8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6.39236532153369E-014</v>
      </c>
    </row>
    <row r="577" customFormat="false" ht="13.8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6.39236532153369E-014</v>
      </c>
    </row>
    <row r="578" customFormat="false" ht="13.8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6.39248173685552E-014</v>
      </c>
    </row>
    <row r="579" customFormat="false" ht="13.8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6.39236532153369E-014</v>
      </c>
    </row>
    <row r="580" customFormat="false" ht="13.8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6.39248173685552E-014</v>
      </c>
    </row>
    <row r="581" customFormat="false" ht="13.8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6.39259815217735E-014</v>
      </c>
    </row>
    <row r="582" customFormat="false" ht="13.8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6.39259815217735E-014</v>
      </c>
    </row>
    <row r="583" customFormat="false" ht="13.8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6.39271456749917E-014</v>
      </c>
    </row>
    <row r="584" customFormat="false" ht="13.8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6.392830982821E-014</v>
      </c>
    </row>
    <row r="585" customFormat="false" ht="13.8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6.39271456749917E-014</v>
      </c>
    </row>
    <row r="586" customFormat="false" ht="13.8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6.39294739814283E-014</v>
      </c>
    </row>
    <row r="587" customFormat="false" ht="13.8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6.39306381346465E-014</v>
      </c>
    </row>
    <row r="588" customFormat="false" ht="13.8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6.39271456749917E-014</v>
      </c>
    </row>
    <row r="589" customFormat="false" ht="13.8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6.39294739814283E-014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6.39306381346465E-014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6.39306381346465E-014</v>
      </c>
    </row>
    <row r="592" customFormat="false" ht="13.8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6.39306381346465E-014</v>
      </c>
    </row>
    <row r="593" customFormat="false" ht="13.8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6.39318022878648E-014</v>
      </c>
    </row>
    <row r="594" customFormat="false" ht="13.8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6.39329664410831E-014</v>
      </c>
    </row>
    <row r="595" customFormat="false" ht="13.8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6.39341305943013E-014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6.39352947475196E-014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6.39341305943014E-014</v>
      </c>
    </row>
    <row r="598" customFormat="false" ht="13.8" hidden="false" customHeight="false" outlineLevel="0" collapsed="false">
      <c r="B598" s="2" t="n">
        <v>596</v>
      </c>
      <c r="C598" s="2" t="n">
        <v>0</v>
      </c>
      <c r="D598" s="2" t="n">
        <v>0</v>
      </c>
      <c r="E598" s="2" t="n">
        <v>6.39352947475196E-014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6.39364589007379E-014</v>
      </c>
    </row>
    <row r="600" customFormat="false" ht="13.8" hidden="false" customHeight="false" outlineLevel="0" collapsed="false">
      <c r="B600" s="2" t="n">
        <v>598</v>
      </c>
      <c r="C600" s="2" t="n">
        <v>0</v>
      </c>
      <c r="D600" s="2" t="n">
        <v>0</v>
      </c>
      <c r="E600" s="2" t="n">
        <v>6.39376230539562E-014</v>
      </c>
    </row>
    <row r="601" customFormat="false" ht="13.8" hidden="false" customHeight="false" outlineLevel="0" collapsed="false">
      <c r="B601" s="2" t="n">
        <v>599</v>
      </c>
      <c r="C601" s="2" t="n">
        <v>0</v>
      </c>
      <c r="D601" s="2" t="n">
        <v>0</v>
      </c>
      <c r="E601" s="2" t="n">
        <v>6.39376230539562E-014</v>
      </c>
    </row>
    <row r="602" customFormat="false" ht="13.8" hidden="false" customHeight="false" outlineLevel="0" collapsed="false">
      <c r="B602" s="2" t="n">
        <v>600</v>
      </c>
      <c r="C602" s="2" t="n">
        <v>0</v>
      </c>
      <c r="D602" s="2" t="n">
        <v>0</v>
      </c>
      <c r="E602" s="2" t="n">
        <v>6.39376230539562E-014</v>
      </c>
    </row>
    <row r="603" customFormat="false" ht="13.8" hidden="false" customHeight="false" outlineLevel="0" collapsed="false">
      <c r="B603" s="2" t="n">
        <v>601</v>
      </c>
      <c r="C603" s="2" t="n">
        <v>0</v>
      </c>
      <c r="D603" s="2" t="n">
        <v>0</v>
      </c>
      <c r="E603" s="2" t="n">
        <v>6.39382051305653E-014</v>
      </c>
    </row>
    <row r="604" customFormat="false" ht="13.8" hidden="false" customHeight="false" outlineLevel="0" collapsed="false">
      <c r="B604" s="2" t="n">
        <v>602</v>
      </c>
      <c r="C604" s="2" t="n">
        <v>0</v>
      </c>
      <c r="D604" s="2" t="n">
        <v>0</v>
      </c>
      <c r="E604" s="2" t="n">
        <v>6.39422796668293E-014</v>
      </c>
    </row>
    <row r="605" customFormat="false" ht="13.8" hidden="false" customHeight="false" outlineLevel="0" collapsed="false">
      <c r="B605" s="2" t="n">
        <v>603</v>
      </c>
      <c r="C605" s="2" t="n">
        <v>0</v>
      </c>
      <c r="D605" s="2" t="n">
        <v>0</v>
      </c>
      <c r="E605" s="2" t="n">
        <v>5.17902662978936E-014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1.09466090837107E-016</v>
      </c>
      <c r="E606" s="2" t="n">
        <v>6.39446079732658E-014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6.28642737865765E-017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4.65661387838166E-018</v>
      </c>
      <c r="D624" s="2" t="n">
        <v>0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0</v>
      </c>
    </row>
    <row r="626" customFormat="false" ht="13.8" hidden="false" customHeight="false" outlineLevel="0" collapsed="false">
      <c r="B626" s="2" t="n">
        <v>624</v>
      </c>
      <c r="C626" s="2" t="n">
        <v>0</v>
      </c>
      <c r="D626" s="2" t="n">
        <v>0</v>
      </c>
      <c r="E626" s="2" t="n">
        <v>0</v>
      </c>
    </row>
    <row r="627" customFormat="false" ht="13.8" hidden="false" customHeight="false" outlineLevel="0" collapsed="false">
      <c r="B627" s="2" t="n">
        <v>625</v>
      </c>
      <c r="C627" s="2" t="n">
        <v>0</v>
      </c>
      <c r="D627" s="2" t="n">
        <v>0</v>
      </c>
      <c r="E627" s="2" t="n">
        <v>0</v>
      </c>
    </row>
    <row r="628" customFormat="false" ht="13.8" hidden="false" customHeight="false" outlineLevel="0" collapsed="false">
      <c r="B628" s="2" t="n">
        <v>626</v>
      </c>
      <c r="C628" s="2" t="n">
        <v>0</v>
      </c>
      <c r="D628" s="2" t="n">
        <v>0</v>
      </c>
      <c r="E628" s="2" t="n">
        <v>0</v>
      </c>
    </row>
    <row r="629" customFormat="false" ht="13.8" hidden="false" customHeight="false" outlineLevel="0" collapsed="false">
      <c r="B629" s="2" t="n">
        <v>627</v>
      </c>
      <c r="C629" s="2" t="n">
        <v>0</v>
      </c>
      <c r="D629" s="2" t="n">
        <v>0</v>
      </c>
      <c r="E629" s="2" t="n">
        <v>0</v>
      </c>
    </row>
    <row r="630" customFormat="false" ht="13.8" hidden="false" customHeight="false" outlineLevel="0" collapsed="false">
      <c r="B630" s="2" t="n">
        <v>628</v>
      </c>
      <c r="C630" s="2" t="n">
        <v>0</v>
      </c>
      <c r="D630" s="2" t="n">
        <v>0</v>
      </c>
      <c r="E630" s="2" t="n">
        <v>0</v>
      </c>
    </row>
    <row r="631" customFormat="false" ht="13.8" hidden="false" customHeight="false" outlineLevel="0" collapsed="false">
      <c r="B631" s="2" t="n">
        <v>629</v>
      </c>
      <c r="C631" s="2" t="n">
        <v>0</v>
      </c>
      <c r="D631" s="2" t="n">
        <v>0</v>
      </c>
      <c r="E631" s="2" t="n">
        <v>0</v>
      </c>
    </row>
    <row r="632" customFormat="false" ht="13.8" hidden="false" customHeight="false" outlineLevel="0" collapsed="false">
      <c r="B632" s="2" t="n">
        <v>630</v>
      </c>
      <c r="C632" s="2" t="n">
        <v>0</v>
      </c>
      <c r="D632" s="2" t="n">
        <v>0</v>
      </c>
      <c r="E632" s="2" t="n">
        <v>0</v>
      </c>
    </row>
    <row r="633" customFormat="false" ht="13.8" hidden="false" customHeight="false" outlineLevel="0" collapsed="false">
      <c r="B633" s="2" t="n">
        <v>631</v>
      </c>
      <c r="C633" s="2" t="n">
        <v>0</v>
      </c>
      <c r="D633" s="2" t="n">
        <v>0</v>
      </c>
      <c r="E633" s="2" t="n">
        <v>0</v>
      </c>
    </row>
    <row r="634" customFormat="false" ht="13.8" hidden="false" customHeight="false" outlineLevel="0" collapsed="false">
      <c r="B634" s="2" t="n">
        <v>632</v>
      </c>
      <c r="C634" s="2" t="n">
        <v>0</v>
      </c>
      <c r="D634" s="2" t="n">
        <v>0</v>
      </c>
      <c r="E634" s="2" t="n">
        <v>0</v>
      </c>
    </row>
    <row r="635" customFormat="false" ht="13.8" hidden="false" customHeight="false" outlineLevel="0" collapsed="false">
      <c r="B635" s="2" t="n">
        <v>633</v>
      </c>
      <c r="C635" s="2" t="n">
        <v>0</v>
      </c>
      <c r="D635" s="2" t="n">
        <v>0</v>
      </c>
      <c r="E635" s="2" t="n">
        <v>0</v>
      </c>
    </row>
    <row r="636" customFormat="false" ht="13.8" hidden="false" customHeight="false" outlineLevel="0" collapsed="false">
      <c r="B636" s="2" t="n">
        <v>634</v>
      </c>
      <c r="C636" s="2" t="n">
        <v>0</v>
      </c>
      <c r="D636" s="2" t="n">
        <v>0</v>
      </c>
      <c r="E636" s="2" t="n">
        <v>0</v>
      </c>
    </row>
    <row r="637" customFormat="false" ht="13.8" hidden="false" customHeight="false" outlineLevel="0" collapsed="false">
      <c r="B637" s="2" t="n">
        <v>635</v>
      </c>
      <c r="C637" s="2" t="n">
        <v>0</v>
      </c>
      <c r="D637" s="2" t="n">
        <v>0</v>
      </c>
      <c r="E637" s="2" t="n">
        <v>0</v>
      </c>
    </row>
    <row r="638" customFormat="false" ht="13.8" hidden="false" customHeight="false" outlineLevel="0" collapsed="false">
      <c r="B638" s="2" t="n">
        <v>636</v>
      </c>
      <c r="C638" s="2" t="n">
        <v>0</v>
      </c>
      <c r="D638" s="2" t="n">
        <v>0</v>
      </c>
      <c r="E638" s="2" t="n">
        <v>0</v>
      </c>
    </row>
    <row r="639" customFormat="false" ht="13.8" hidden="false" customHeight="false" outlineLevel="0" collapsed="false">
      <c r="B639" s="2" t="n">
        <v>637</v>
      </c>
      <c r="C639" s="2" t="n">
        <v>0</v>
      </c>
      <c r="D639" s="2" t="n">
        <v>0</v>
      </c>
      <c r="E639" s="2" t="n">
        <v>0</v>
      </c>
    </row>
    <row r="640" customFormat="false" ht="13.8" hidden="false" customHeight="false" outlineLevel="0" collapsed="false">
      <c r="B640" s="2" t="n">
        <v>638</v>
      </c>
      <c r="C640" s="2" t="n">
        <v>0</v>
      </c>
      <c r="D640" s="2" t="n">
        <v>0</v>
      </c>
      <c r="E640" s="2" t="n">
        <v>0</v>
      </c>
    </row>
    <row r="641" customFormat="false" ht="13.8" hidden="false" customHeight="false" outlineLevel="0" collapsed="false">
      <c r="B641" s="2" t="n">
        <v>639</v>
      </c>
      <c r="C641" s="2" t="n">
        <v>0</v>
      </c>
      <c r="D641" s="2" t="n">
        <v>0</v>
      </c>
      <c r="E641" s="2" t="n">
        <v>0</v>
      </c>
    </row>
    <row r="642" customFormat="false" ht="13.8" hidden="false" customHeight="false" outlineLevel="0" collapsed="false">
      <c r="B642" s="2" t="n">
        <v>640</v>
      </c>
      <c r="C642" s="2" t="n">
        <v>0</v>
      </c>
      <c r="D642" s="2" t="n">
        <v>0</v>
      </c>
      <c r="E642" s="2" t="n">
        <v>0</v>
      </c>
    </row>
    <row r="643" customFormat="false" ht="13.8" hidden="false" customHeight="false" outlineLevel="0" collapsed="false">
      <c r="B643" s="2" t="n">
        <v>641</v>
      </c>
      <c r="C643" s="2" t="n">
        <v>0</v>
      </c>
      <c r="D643" s="2" t="n">
        <v>0</v>
      </c>
      <c r="E643" s="2" t="n">
        <v>0</v>
      </c>
    </row>
    <row r="644" customFormat="false" ht="13.8" hidden="false" customHeight="false" outlineLevel="0" collapsed="false">
      <c r="B644" s="2" t="n">
        <v>642</v>
      </c>
      <c r="C644" s="2" t="n">
        <v>0</v>
      </c>
      <c r="D644" s="2" t="n">
        <v>0</v>
      </c>
      <c r="E644" s="2" t="n">
        <v>0</v>
      </c>
    </row>
    <row r="645" customFormat="false" ht="13.8" hidden="false" customHeight="false" outlineLevel="0" collapsed="false">
      <c r="B645" s="2" t="n">
        <v>643</v>
      </c>
      <c r="C645" s="2" t="n">
        <v>0</v>
      </c>
      <c r="D645" s="2" t="n">
        <v>0</v>
      </c>
      <c r="E645" s="2" t="n">
        <v>0</v>
      </c>
    </row>
    <row r="646" customFormat="false" ht="13.8" hidden="false" customHeight="false" outlineLevel="0" collapsed="false">
      <c r="B646" s="2" t="n">
        <v>644</v>
      </c>
      <c r="C646" s="2" t="n">
        <v>0</v>
      </c>
      <c r="D646" s="2" t="n">
        <v>0</v>
      </c>
      <c r="E646" s="2" t="n">
        <v>0</v>
      </c>
    </row>
    <row r="647" customFormat="false" ht="13.8" hidden="false" customHeight="false" outlineLevel="0" collapsed="false">
      <c r="B647" s="2" t="n">
        <v>645</v>
      </c>
      <c r="C647" s="2" t="n">
        <v>0</v>
      </c>
      <c r="D647" s="2" t="n">
        <v>0</v>
      </c>
      <c r="E647" s="2" t="n">
        <v>0</v>
      </c>
    </row>
    <row r="648" customFormat="false" ht="13.8" hidden="false" customHeight="false" outlineLevel="0" collapsed="false">
      <c r="B648" s="2" t="n">
        <v>646</v>
      </c>
      <c r="C648" s="2" t="n">
        <v>0</v>
      </c>
      <c r="D648" s="2" t="n">
        <v>0</v>
      </c>
      <c r="E648" s="2" t="n">
        <v>0</v>
      </c>
    </row>
    <row r="649" customFormat="false" ht="13.8" hidden="false" customHeight="false" outlineLevel="0" collapsed="false">
      <c r="B649" s="2" t="n">
        <v>647</v>
      </c>
      <c r="C649" s="2" t="n">
        <v>0</v>
      </c>
      <c r="D649" s="2" t="n">
        <v>0</v>
      </c>
      <c r="E649" s="2" t="n">
        <v>0</v>
      </c>
    </row>
    <row r="650" customFormat="false" ht="13.8" hidden="false" customHeight="false" outlineLevel="0" collapsed="false">
      <c r="B650" s="2" t="n">
        <v>648</v>
      </c>
      <c r="C650" s="2" t="n">
        <v>0</v>
      </c>
      <c r="D650" s="2" t="n">
        <v>0</v>
      </c>
      <c r="E650" s="2" t="n">
        <v>0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</v>
      </c>
    </row>
    <row r="652" customFormat="false" ht="13.8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</v>
      </c>
    </row>
    <row r="654" customFormat="false" ht="13.8" hidden="false" customHeight="false" outlineLevel="0" collapsed="false">
      <c r="B654" s="2" t="n">
        <v>652</v>
      </c>
      <c r="C654" s="2" t="n">
        <v>0</v>
      </c>
      <c r="D654" s="2" t="n">
        <v>0</v>
      </c>
      <c r="E654" s="2" t="n">
        <v>0</v>
      </c>
    </row>
    <row r="655" customFormat="false" ht="13.8" hidden="false" customHeight="false" outlineLevel="0" collapsed="false">
      <c r="B655" s="2" t="n">
        <v>653</v>
      </c>
      <c r="C655" s="2" t="n">
        <v>0</v>
      </c>
      <c r="D655" s="2" t="n">
        <v>0</v>
      </c>
      <c r="E655" s="2" t="n">
        <v>0</v>
      </c>
    </row>
    <row r="656" customFormat="false" ht="13.8" hidden="false" customHeight="false" outlineLevel="0" collapsed="false">
      <c r="B656" s="2" t="n">
        <v>654</v>
      </c>
      <c r="C656" s="2" t="n">
        <v>0</v>
      </c>
      <c r="D656" s="2" t="n">
        <v>0</v>
      </c>
      <c r="E656" s="2" t="n">
        <v>0</v>
      </c>
    </row>
    <row r="657" customFormat="false" ht="13.8" hidden="false" customHeight="false" outlineLevel="0" collapsed="false">
      <c r="B657" s="2" t="n">
        <v>655</v>
      </c>
      <c r="C657" s="2" t="n">
        <v>0</v>
      </c>
      <c r="D657" s="2" t="n">
        <v>0</v>
      </c>
      <c r="E657" s="2" t="n">
        <v>0</v>
      </c>
    </row>
    <row r="658" customFormat="false" ht="13.8" hidden="false" customHeight="false" outlineLevel="0" collapsed="false">
      <c r="B658" s="2" t="n">
        <v>656</v>
      </c>
      <c r="C658" s="2" t="n">
        <v>0</v>
      </c>
      <c r="D658" s="2" t="n">
        <v>0</v>
      </c>
      <c r="E658" s="2" t="n">
        <v>0</v>
      </c>
    </row>
    <row r="659" customFormat="false" ht="13.8" hidden="false" customHeight="false" outlineLevel="0" collapsed="false">
      <c r="B659" s="2" t="n">
        <v>657</v>
      </c>
      <c r="C659" s="2" t="n">
        <v>0</v>
      </c>
      <c r="D659" s="2" t="n">
        <v>0</v>
      </c>
      <c r="E659" s="2" t="n">
        <v>0</v>
      </c>
    </row>
    <row r="660" customFormat="false" ht="13.8" hidden="false" customHeight="false" outlineLevel="0" collapsed="false">
      <c r="B660" s="2" t="n">
        <v>658</v>
      </c>
      <c r="C660" s="2" t="n">
        <v>0</v>
      </c>
      <c r="D660" s="2" t="n">
        <v>0</v>
      </c>
      <c r="E660" s="2" t="n">
        <v>0</v>
      </c>
    </row>
    <row r="661" customFormat="false" ht="13.8" hidden="false" customHeight="false" outlineLevel="0" collapsed="false">
      <c r="B661" s="2" t="n">
        <v>659</v>
      </c>
      <c r="C661" s="2" t="n">
        <v>0</v>
      </c>
      <c r="D661" s="2" t="n">
        <v>0</v>
      </c>
      <c r="E661" s="2" t="n">
        <v>0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0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0</v>
      </c>
    </row>
    <row r="664" customFormat="false" ht="13.8" hidden="false" customHeight="false" outlineLevel="0" collapsed="false">
      <c r="B664" s="2" t="n">
        <v>662</v>
      </c>
      <c r="C664" s="2" t="n">
        <v>0</v>
      </c>
      <c r="D664" s="2" t="n">
        <v>0</v>
      </c>
      <c r="E664" s="2" t="n">
        <v>0</v>
      </c>
    </row>
    <row r="665" customFormat="false" ht="13.8" hidden="false" customHeight="false" outlineLevel="0" collapsed="false">
      <c r="B665" s="2" t="n">
        <v>663</v>
      </c>
      <c r="C665" s="2" t="n">
        <v>0</v>
      </c>
      <c r="D665" s="2" t="n">
        <v>0</v>
      </c>
      <c r="E665" s="2" t="n">
        <v>0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0</v>
      </c>
      <c r="E667" s="2" t="n">
        <v>0</v>
      </c>
    </row>
    <row r="668" customFormat="false" ht="13.8" hidden="false" customHeight="false" outlineLevel="0" collapsed="false">
      <c r="B668" s="2" t="n">
        <v>666</v>
      </c>
      <c r="C668" s="2" t="n">
        <v>0</v>
      </c>
      <c r="D668" s="2" t="n">
        <v>0</v>
      </c>
      <c r="E668" s="2" t="n">
        <v>0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</v>
      </c>
      <c r="E669" s="2" t="n">
        <v>0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4.65661287307778E-018</v>
      </c>
      <c r="D674" s="2" t="n">
        <v>5.23868948221256E-018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1" sqref="B13:E16 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0</v>
      </c>
      <c r="D24" s="2" t="n">
        <v>0</v>
      </c>
      <c r="E24" s="2" t="n">
        <v>0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0</v>
      </c>
      <c r="D26" s="2" t="n">
        <v>0</v>
      </c>
      <c r="E26" s="2" t="n">
        <v>0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0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0</v>
      </c>
      <c r="D30" s="2" t="n">
        <v>0</v>
      </c>
      <c r="E30" s="2" t="n">
        <v>0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8.21885101920295E-016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4.47033748529598E-016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2.00234272955328E-016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2.56113701851736E-017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1.44354987172088E-016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5.35510468082952E-017</v>
      </c>
      <c r="E58" s="2" t="n">
        <v>4.90107351182963E-016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8.00936632563761E-016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5.90225397303532E-016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3.88827082117882E-016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0</v>
      </c>
      <c r="E62" s="2" t="n">
        <v>1.76951273781271E-016</v>
      </c>
    </row>
    <row r="63" customFormat="false" ht="13.8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0</v>
      </c>
      <c r="D64" s="2" t="n">
        <v>0</v>
      </c>
      <c r="E64" s="2" t="n">
        <v>0</v>
      </c>
    </row>
    <row r="65" customFormat="false" ht="13.8" hidden="false" customHeight="false" outlineLevel="0" collapsed="false">
      <c r="B65" s="2" t="n">
        <v>63</v>
      </c>
      <c r="C65" s="2" t="n">
        <v>0</v>
      </c>
      <c r="D65" s="2" t="n">
        <v>0</v>
      </c>
      <c r="E65" s="2" t="n">
        <v>0</v>
      </c>
    </row>
    <row r="66" customFormat="false" ht="13.8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0</v>
      </c>
    </row>
    <row r="67" customFormat="false" ht="13.8" hidden="false" customHeight="false" outlineLevel="0" collapsed="false">
      <c r="B67" s="2" t="n">
        <v>65</v>
      </c>
      <c r="C67" s="2" t="n">
        <v>0</v>
      </c>
      <c r="D67" s="2" t="n">
        <v>0</v>
      </c>
      <c r="E67" s="2" t="n">
        <v>0</v>
      </c>
    </row>
    <row r="68" customFormat="false" ht="13.8" hidden="false" customHeight="false" outlineLevel="0" collapsed="false">
      <c r="B68" s="2" t="n">
        <v>66</v>
      </c>
      <c r="C68" s="2" t="n">
        <v>0</v>
      </c>
      <c r="D68" s="2" t="n">
        <v>0</v>
      </c>
      <c r="E68" s="2" t="n">
        <v>0</v>
      </c>
    </row>
    <row r="69" customFormat="false" ht="13.8" hidden="false" customHeight="false" outlineLevel="0" collapsed="false">
      <c r="B69" s="2" t="n">
        <v>67</v>
      </c>
      <c r="C69" s="2" t="n">
        <v>0</v>
      </c>
      <c r="D69" s="2" t="n">
        <v>0</v>
      </c>
      <c r="E69" s="2" t="n">
        <v>0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1.07567757367162E-015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0</v>
      </c>
      <c r="D71" s="2" t="n">
        <v>9.49949026100568E-016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0</v>
      </c>
      <c r="D72" s="2" t="n">
        <v>8.17235559219739E-016</v>
      </c>
      <c r="E72" s="2" t="n">
        <v>0</v>
      </c>
    </row>
    <row r="73" customFormat="false" ht="13.8" hidden="false" customHeight="false" outlineLevel="0" collapsed="false">
      <c r="B73" s="2" t="n">
        <v>71</v>
      </c>
      <c r="C73" s="2" t="n">
        <v>0</v>
      </c>
      <c r="D73" s="2" t="n">
        <v>6.91507011648167E-016</v>
      </c>
      <c r="E73" s="2" t="n">
        <v>0</v>
      </c>
    </row>
    <row r="74" customFormat="false" ht="13.8" hidden="false" customHeight="false" outlineLevel="0" collapsed="false">
      <c r="B74" s="2" t="n">
        <v>72</v>
      </c>
      <c r="C74" s="2" t="n">
        <v>0</v>
      </c>
      <c r="D74" s="2" t="n">
        <v>5.61121851203307E-016</v>
      </c>
      <c r="E74" s="2" t="n">
        <v>0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4.3539330363122E-016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3.02679836749298E-016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1.72294676303626E-016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4.42378222942196E-017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0</v>
      </c>
      <c r="E123" s="2" t="n">
        <v>0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1.86264514923068E-017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3.49245819471169E-018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0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0</v>
      </c>
      <c r="D151" s="2" t="n">
        <v>0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0</v>
      </c>
      <c r="D152" s="2" t="n">
        <v>0</v>
      </c>
      <c r="E152" s="2" t="n">
        <v>0</v>
      </c>
    </row>
    <row r="153" customFormat="false" ht="13.8" hidden="false" customHeight="false" outlineLevel="0" collapsed="false">
      <c r="B153" s="2" t="n">
        <v>151</v>
      </c>
      <c r="C153" s="2" t="n">
        <v>0</v>
      </c>
      <c r="D153" s="2" t="n">
        <v>0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0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0</v>
      </c>
      <c r="D155" s="2" t="n">
        <v>0</v>
      </c>
      <c r="E155" s="2" t="n">
        <v>0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0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0</v>
      </c>
      <c r="D158" s="2" t="n">
        <v>0</v>
      </c>
      <c r="E158" s="2" t="n">
        <v>0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0</v>
      </c>
      <c r="E159" s="2" t="n">
        <v>0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0</v>
      </c>
      <c r="E160" s="2" t="n">
        <v>0</v>
      </c>
    </row>
    <row r="161" customFormat="false" ht="13.8" hidden="false" customHeight="false" outlineLevel="0" collapsed="false">
      <c r="B161" s="2" t="n">
        <v>159</v>
      </c>
      <c r="C161" s="2" t="n">
        <v>0</v>
      </c>
      <c r="D161" s="2" t="n">
        <v>0</v>
      </c>
      <c r="E161" s="2" t="n">
        <v>0</v>
      </c>
    </row>
    <row r="162" customFormat="false" ht="13.8" hidden="false" customHeight="false" outlineLevel="0" collapsed="false">
      <c r="B162" s="2" t="n">
        <v>160</v>
      </c>
      <c r="C162" s="2" t="n">
        <v>0</v>
      </c>
      <c r="D162" s="2" t="n">
        <v>0</v>
      </c>
      <c r="E162" s="2" t="n">
        <v>0</v>
      </c>
    </row>
    <row r="163" customFormat="false" ht="13.8" hidden="false" customHeight="false" outlineLevel="0" collapsed="false">
      <c r="B163" s="2" t="n">
        <v>161</v>
      </c>
      <c r="C163" s="2" t="n">
        <v>0</v>
      </c>
      <c r="D163" s="2" t="n">
        <v>0</v>
      </c>
      <c r="E163" s="2" t="n">
        <v>0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0</v>
      </c>
      <c r="E164" s="2" t="n">
        <v>0</v>
      </c>
    </row>
    <row r="165" customFormat="false" ht="13.8" hidden="false" customHeight="false" outlineLevel="0" collapsed="false">
      <c r="B165" s="2" t="n">
        <v>163</v>
      </c>
      <c r="C165" s="2" t="n">
        <v>0</v>
      </c>
      <c r="D165" s="2" t="n">
        <v>0</v>
      </c>
      <c r="E165" s="2" t="n">
        <v>0</v>
      </c>
    </row>
    <row r="166" customFormat="false" ht="13.8" hidden="false" customHeight="false" outlineLevel="0" collapsed="false">
      <c r="B166" s="2" t="n">
        <v>164</v>
      </c>
      <c r="C166" s="2" t="n">
        <v>0</v>
      </c>
      <c r="D166" s="2" t="n">
        <v>0</v>
      </c>
      <c r="E166" s="2" t="n">
        <v>0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</v>
      </c>
      <c r="E167" s="2" t="n">
        <v>0</v>
      </c>
    </row>
    <row r="168" customFormat="false" ht="13.8" hidden="false" customHeight="false" outlineLevel="0" collapsed="false">
      <c r="B168" s="2" t="n">
        <v>166</v>
      </c>
      <c r="C168" s="2" t="n">
        <v>0</v>
      </c>
      <c r="D168" s="2" t="n">
        <v>0</v>
      </c>
      <c r="E168" s="2" t="n">
        <v>0</v>
      </c>
    </row>
    <row r="169" customFormat="false" ht="13.8" hidden="false" customHeight="false" outlineLevel="0" collapsed="false">
      <c r="B169" s="2" t="n">
        <v>167</v>
      </c>
      <c r="C169" s="2" t="n">
        <v>0</v>
      </c>
      <c r="D169" s="2" t="n">
        <v>0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0</v>
      </c>
      <c r="D170" s="2" t="n">
        <v>0</v>
      </c>
      <c r="E170" s="2" t="n">
        <v>0</v>
      </c>
    </row>
    <row r="171" customFormat="false" ht="13.8" hidden="false" customHeight="false" outlineLevel="0" collapsed="false">
      <c r="B171" s="2" t="n">
        <v>169</v>
      </c>
      <c r="C171" s="2" t="n">
        <v>0</v>
      </c>
      <c r="D171" s="2" t="n">
        <v>0</v>
      </c>
      <c r="E171" s="2" t="n">
        <v>0</v>
      </c>
    </row>
    <row r="172" customFormat="false" ht="13.8" hidden="false" customHeight="false" outlineLevel="0" collapsed="false">
      <c r="B172" s="2" t="n">
        <v>170</v>
      </c>
      <c r="C172" s="2" t="n">
        <v>0</v>
      </c>
      <c r="D172" s="2" t="n">
        <v>0</v>
      </c>
      <c r="E172" s="2" t="n">
        <v>0</v>
      </c>
    </row>
    <row r="173" customFormat="false" ht="13.8" hidden="false" customHeight="false" outlineLevel="0" collapsed="false">
      <c r="B173" s="2" t="n">
        <v>171</v>
      </c>
      <c r="C173" s="2" t="n">
        <v>0</v>
      </c>
      <c r="D173" s="2" t="n">
        <v>0</v>
      </c>
      <c r="E173" s="2" t="n">
        <v>0</v>
      </c>
    </row>
    <row r="174" customFormat="false" ht="13.8" hidden="false" customHeight="false" outlineLevel="0" collapsed="false">
      <c r="B174" s="2" t="n">
        <v>172</v>
      </c>
      <c r="C174" s="2" t="n">
        <v>0</v>
      </c>
      <c r="D174" s="2" t="n">
        <v>0</v>
      </c>
      <c r="E174" s="2" t="n">
        <v>0</v>
      </c>
    </row>
    <row r="175" customFormat="false" ht="13.8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</v>
      </c>
    </row>
    <row r="179" customFormat="false" ht="13.8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0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</v>
      </c>
    </row>
    <row r="191" customFormat="false" ht="13.8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</v>
      </c>
    </row>
    <row r="202" customFormat="false" ht="13.8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0</v>
      </c>
      <c r="D216" s="2" t="n">
        <v>0</v>
      </c>
      <c r="E216" s="2" t="n">
        <v>0</v>
      </c>
    </row>
    <row r="217" customFormat="false" ht="13.8" hidden="false" customHeight="false" outlineLevel="0" collapsed="false">
      <c r="B217" s="2" t="n">
        <v>215</v>
      </c>
      <c r="C217" s="2" t="n">
        <v>0</v>
      </c>
      <c r="D217" s="2" t="n">
        <v>0</v>
      </c>
      <c r="E217" s="2" t="n">
        <v>0</v>
      </c>
    </row>
    <row r="218" customFormat="false" ht="13.8" hidden="false" customHeight="false" outlineLevel="0" collapsed="false">
      <c r="B218" s="2" t="n">
        <v>216</v>
      </c>
      <c r="C218" s="2" t="n">
        <v>0</v>
      </c>
      <c r="D218" s="2" t="n">
        <v>0</v>
      </c>
      <c r="E218" s="2" t="n">
        <v>0</v>
      </c>
    </row>
    <row r="219" customFormat="false" ht="13.8" hidden="false" customHeight="false" outlineLevel="0" collapsed="false">
      <c r="B219" s="2" t="n">
        <v>217</v>
      </c>
      <c r="C219" s="2" t="n">
        <v>0</v>
      </c>
      <c r="D219" s="2" t="n">
        <v>0</v>
      </c>
      <c r="E219" s="2" t="n">
        <v>0</v>
      </c>
    </row>
    <row r="220" customFormat="false" ht="13.8" hidden="false" customHeight="false" outlineLevel="0" collapsed="false">
      <c r="B220" s="2" t="n">
        <v>218</v>
      </c>
      <c r="C220" s="2" t="n">
        <v>0</v>
      </c>
      <c r="D220" s="2" t="n">
        <v>0</v>
      </c>
      <c r="E220" s="2" t="n">
        <v>0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4.65661248139055E-018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1.16415320959134E-018</v>
      </c>
      <c r="E242" s="2" t="n">
        <v>0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0</v>
      </c>
      <c r="E243" s="2" t="n">
        <v>0</v>
      </c>
    </row>
    <row r="244" customFormat="false" ht="13.8" hidden="false" customHeight="false" outlineLevel="0" collapsed="false">
      <c r="B244" s="2" t="n">
        <v>242</v>
      </c>
      <c r="C244" s="2" t="n">
        <v>8.14907228561353E-018</v>
      </c>
      <c r="D244" s="2" t="n">
        <v>3.49245964487534E-018</v>
      </c>
      <c r="E244" s="2" t="n">
        <v>0</v>
      </c>
    </row>
    <row r="245" customFormat="false" ht="13.8" hidden="false" customHeight="false" outlineLevel="0" collapsed="false">
      <c r="B245" s="2" t="n">
        <v>243</v>
      </c>
      <c r="C245" s="2" t="n">
        <v>6.28642702199038E-017</v>
      </c>
      <c r="D245" s="2" t="n">
        <v>0</v>
      </c>
      <c r="E245" s="2" t="n">
        <v>0</v>
      </c>
    </row>
    <row r="246" customFormat="false" ht="13.8" hidden="false" customHeight="false" outlineLevel="0" collapsed="false">
      <c r="B246" s="2" t="n">
        <v>244</v>
      </c>
      <c r="C246" s="2" t="n">
        <v>8.03265681916708E-017</v>
      </c>
      <c r="D246" s="2" t="n">
        <v>0</v>
      </c>
      <c r="E246" s="2" t="n">
        <v>0</v>
      </c>
    </row>
    <row r="247" customFormat="false" ht="13.8" hidden="false" customHeight="false" outlineLevel="0" collapsed="false">
      <c r="B247" s="2" t="n">
        <v>245</v>
      </c>
      <c r="C247" s="2" t="n">
        <v>1.02445478495954E-016</v>
      </c>
      <c r="D247" s="2" t="n">
        <v>0</v>
      </c>
      <c r="E247" s="2" t="n">
        <v>0</v>
      </c>
    </row>
    <row r="248" customFormat="false" ht="13.8" hidden="false" customHeight="false" outlineLevel="0" collapsed="false">
      <c r="B248" s="2" t="n">
        <v>246</v>
      </c>
      <c r="C248" s="2" t="n">
        <v>9.89530200396374E-017</v>
      </c>
      <c r="D248" s="2" t="n">
        <v>0</v>
      </c>
      <c r="E248" s="2" t="n">
        <v>0</v>
      </c>
    </row>
    <row r="249" customFormat="false" ht="13.8" hidden="false" customHeight="false" outlineLevel="0" collapsed="false">
      <c r="B249" s="2" t="n">
        <v>247</v>
      </c>
      <c r="C249" s="2" t="n">
        <v>1.11758705221798E-016</v>
      </c>
      <c r="D249" s="2" t="n">
        <v>0</v>
      </c>
      <c r="E249" s="2" t="n">
        <v>0</v>
      </c>
    </row>
    <row r="250" customFormat="false" ht="13.8" hidden="false" customHeight="false" outlineLevel="0" collapsed="false">
      <c r="B250" s="2" t="n">
        <v>248</v>
      </c>
      <c r="C250" s="2" t="n">
        <v>1.10594552604415E-016</v>
      </c>
      <c r="D250" s="2" t="n">
        <v>0</v>
      </c>
      <c r="E250" s="2" t="n">
        <v>0</v>
      </c>
    </row>
    <row r="251" customFormat="false" ht="13.8" hidden="false" customHeight="false" outlineLevel="0" collapsed="false">
      <c r="B251" s="2" t="n">
        <v>249</v>
      </c>
      <c r="C251" s="2" t="n">
        <v>1.047737871861E-016</v>
      </c>
      <c r="D251" s="2" t="n">
        <v>0</v>
      </c>
      <c r="E251" s="2" t="n">
        <v>0</v>
      </c>
    </row>
    <row r="252" customFormat="false" ht="13.8" hidden="false" customHeight="false" outlineLevel="0" collapsed="false">
      <c r="B252" s="2" t="n">
        <v>250</v>
      </c>
      <c r="C252" s="2" t="n">
        <v>9.31322557355567E-017</v>
      </c>
      <c r="D252" s="2" t="n">
        <v>0</v>
      </c>
      <c r="E252" s="2" t="n">
        <v>0</v>
      </c>
    </row>
    <row r="253" customFormat="false" ht="13.8" hidden="false" customHeight="false" outlineLevel="0" collapsed="false">
      <c r="B253" s="2" t="n">
        <v>251</v>
      </c>
      <c r="C253" s="2" t="n">
        <v>9.66247154446068E-017</v>
      </c>
      <c r="D253" s="2" t="n">
        <v>0</v>
      </c>
      <c r="E253" s="2" t="n">
        <v>0</v>
      </c>
    </row>
    <row r="254" customFormat="false" ht="13.8" hidden="false" customHeight="false" outlineLevel="0" collapsed="false">
      <c r="B254" s="2" t="n">
        <v>252</v>
      </c>
      <c r="C254" s="2" t="n">
        <v>7.45058050657685E-017</v>
      </c>
      <c r="D254" s="2" t="n">
        <v>0</v>
      </c>
      <c r="E254" s="2" t="n">
        <v>0</v>
      </c>
    </row>
    <row r="255" customFormat="false" ht="13.8" hidden="false" customHeight="false" outlineLevel="0" collapsed="false">
      <c r="B255" s="2" t="n">
        <v>253</v>
      </c>
      <c r="C255" s="2" t="n">
        <v>5.00585880117757E-017</v>
      </c>
      <c r="D255" s="2" t="n">
        <v>0</v>
      </c>
      <c r="E255" s="2" t="n">
        <v>0</v>
      </c>
    </row>
    <row r="256" customFormat="false" ht="13.8" hidden="false" customHeight="false" outlineLevel="0" collapsed="false">
      <c r="B256" s="2" t="n">
        <v>254</v>
      </c>
      <c r="C256" s="2" t="n">
        <v>1.74622982320561E-017</v>
      </c>
      <c r="D256" s="2" t="n">
        <v>0</v>
      </c>
      <c r="E256" s="2" t="n">
        <v>0</v>
      </c>
    </row>
    <row r="257" customFormat="false" ht="13.8" hidden="false" customHeight="false" outlineLevel="0" collapsed="false">
      <c r="B257" s="2" t="n">
        <v>255</v>
      </c>
      <c r="C257" s="2" t="n">
        <v>0</v>
      </c>
      <c r="D257" s="2" t="n">
        <v>0</v>
      </c>
      <c r="E257" s="2" t="n">
        <v>0</v>
      </c>
    </row>
    <row r="258" customFormat="false" ht="13.8" hidden="false" customHeight="false" outlineLevel="0" collapsed="false">
      <c r="B258" s="2" t="n">
        <v>256</v>
      </c>
      <c r="C258" s="2" t="n">
        <v>0</v>
      </c>
      <c r="D258" s="2" t="n">
        <v>0</v>
      </c>
      <c r="E258" s="2" t="n">
        <v>0</v>
      </c>
    </row>
    <row r="259" customFormat="false" ht="13.8" hidden="false" customHeight="false" outlineLevel="0" collapsed="false">
      <c r="B259" s="2" t="n">
        <v>257</v>
      </c>
      <c r="C259" s="2" t="n">
        <v>0</v>
      </c>
      <c r="D259" s="2" t="n">
        <v>0</v>
      </c>
      <c r="E259" s="2" t="n">
        <v>0</v>
      </c>
    </row>
    <row r="260" customFormat="false" ht="13.8" hidden="false" customHeight="false" outlineLevel="0" collapsed="false">
      <c r="B260" s="2" t="n">
        <v>258</v>
      </c>
      <c r="C260" s="2" t="n">
        <v>0</v>
      </c>
      <c r="D260" s="2" t="n">
        <v>0</v>
      </c>
      <c r="E260" s="2" t="n">
        <v>0</v>
      </c>
    </row>
    <row r="261" customFormat="false" ht="13.8" hidden="false" customHeight="false" outlineLevel="0" collapsed="false">
      <c r="B261" s="2" t="n">
        <v>259</v>
      </c>
      <c r="C261" s="2" t="n">
        <v>0</v>
      </c>
      <c r="D261" s="2" t="n">
        <v>0</v>
      </c>
      <c r="E261" s="2" t="n">
        <v>0</v>
      </c>
    </row>
    <row r="262" customFormat="false" ht="13.8" hidden="false" customHeight="false" outlineLevel="0" collapsed="false">
      <c r="B262" s="2" t="n">
        <v>260</v>
      </c>
      <c r="C262" s="2" t="n">
        <v>0</v>
      </c>
      <c r="D262" s="2" t="n">
        <v>0</v>
      </c>
      <c r="E262" s="2" t="n">
        <v>0</v>
      </c>
    </row>
    <row r="263" customFormat="false" ht="13.8" hidden="false" customHeight="false" outlineLevel="0" collapsed="false">
      <c r="B263" s="2" t="n">
        <v>261</v>
      </c>
      <c r="C263" s="2" t="n">
        <v>0</v>
      </c>
      <c r="D263" s="2" t="n">
        <v>0</v>
      </c>
      <c r="E263" s="2" t="n">
        <v>0</v>
      </c>
    </row>
    <row r="264" customFormat="false" ht="13.8" hidden="false" customHeight="false" outlineLevel="0" collapsed="false">
      <c r="B264" s="2" t="n">
        <v>262</v>
      </c>
      <c r="C264" s="2" t="n">
        <v>0</v>
      </c>
      <c r="D264" s="2" t="n">
        <v>0</v>
      </c>
      <c r="E264" s="2" t="n">
        <v>0</v>
      </c>
    </row>
    <row r="265" customFormat="false" ht="13.8" hidden="false" customHeight="false" outlineLevel="0" collapsed="false">
      <c r="B265" s="2" t="n">
        <v>263</v>
      </c>
      <c r="C265" s="2" t="n">
        <v>0</v>
      </c>
      <c r="D265" s="2" t="n">
        <v>0</v>
      </c>
      <c r="E265" s="2" t="n">
        <v>0</v>
      </c>
    </row>
    <row r="266" customFormat="false" ht="13.8" hidden="false" customHeight="false" outlineLevel="0" collapsed="false">
      <c r="B266" s="2" t="n">
        <v>264</v>
      </c>
      <c r="C266" s="2" t="n">
        <v>0</v>
      </c>
      <c r="D266" s="2" t="n">
        <v>0</v>
      </c>
      <c r="E266" s="2" t="n">
        <v>0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0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</v>
      </c>
      <c r="D312" s="2" t="n">
        <v>0</v>
      </c>
      <c r="E312" s="2" t="n">
        <v>0</v>
      </c>
    </row>
    <row r="313" customFormat="false" ht="13.8" hidden="false" customHeight="false" outlineLevel="0" collapsed="false">
      <c r="B313" s="2" t="n">
        <v>311</v>
      </c>
      <c r="C313" s="2" t="n">
        <v>0</v>
      </c>
      <c r="D313" s="2" t="n">
        <v>0</v>
      </c>
      <c r="E313" s="2" t="n">
        <v>0</v>
      </c>
    </row>
    <row r="314" customFormat="false" ht="13.8" hidden="false" customHeight="false" outlineLevel="0" collapsed="false">
      <c r="B314" s="2" t="n">
        <v>312</v>
      </c>
      <c r="C314" s="2" t="n">
        <v>0</v>
      </c>
      <c r="D314" s="2" t="n">
        <v>0</v>
      </c>
      <c r="E314" s="2" t="n">
        <v>0</v>
      </c>
    </row>
    <row r="315" customFormat="false" ht="13.8" hidden="false" customHeight="false" outlineLevel="0" collapsed="false">
      <c r="B315" s="2" t="n">
        <v>313</v>
      </c>
      <c r="C315" s="2" t="n">
        <v>0</v>
      </c>
      <c r="D315" s="2" t="n">
        <v>0</v>
      </c>
      <c r="E315" s="2" t="n">
        <v>0</v>
      </c>
    </row>
    <row r="316" customFormat="false" ht="13.8" hidden="false" customHeight="false" outlineLevel="0" collapsed="false">
      <c r="B316" s="2" t="n">
        <v>314</v>
      </c>
      <c r="C316" s="2" t="n">
        <v>0</v>
      </c>
      <c r="D316" s="2" t="n">
        <v>0</v>
      </c>
      <c r="E316" s="2" t="n">
        <v>0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0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4.65661143726572E-018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2.32830636481197E-018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0</v>
      </c>
      <c r="D335" s="2" t="n">
        <v>1.16415321013788E-018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0</v>
      </c>
      <c r="D336" s="2" t="n">
        <v>4.65661280641074E-018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0</v>
      </c>
      <c r="D337" s="2" t="n">
        <v>0</v>
      </c>
      <c r="E337" s="2" t="n">
        <v>0</v>
      </c>
    </row>
    <row r="338" customFormat="false" ht="13.8" hidden="false" customHeight="false" outlineLevel="0" collapsed="false">
      <c r="B338" s="2" t="n">
        <v>336</v>
      </c>
      <c r="C338" s="2" t="n">
        <v>0</v>
      </c>
      <c r="D338" s="2" t="n">
        <v>0</v>
      </c>
      <c r="E338" s="2" t="n">
        <v>0</v>
      </c>
    </row>
    <row r="339" customFormat="false" ht="13.8" hidden="false" customHeight="false" outlineLevel="0" collapsed="false">
      <c r="B339" s="2" t="n">
        <v>337</v>
      </c>
      <c r="C339" s="2" t="n">
        <v>0</v>
      </c>
      <c r="D339" s="2" t="n">
        <v>0</v>
      </c>
      <c r="E339" s="2" t="n">
        <v>0</v>
      </c>
    </row>
    <row r="340" customFormat="false" ht="13.8" hidden="false" customHeight="false" outlineLevel="0" collapsed="false">
      <c r="B340" s="2" t="n">
        <v>338</v>
      </c>
      <c r="C340" s="2" t="n">
        <v>0</v>
      </c>
      <c r="D340" s="2" t="n">
        <v>0</v>
      </c>
      <c r="E340" s="2" t="n">
        <v>0</v>
      </c>
    </row>
    <row r="341" customFormat="false" ht="13.8" hidden="false" customHeight="false" outlineLevel="0" collapsed="false">
      <c r="B341" s="2" t="n">
        <v>339</v>
      </c>
      <c r="C341" s="2" t="n">
        <v>0</v>
      </c>
      <c r="D341" s="2" t="n">
        <v>0</v>
      </c>
      <c r="E341" s="2" t="n">
        <v>0</v>
      </c>
    </row>
    <row r="342" customFormat="false" ht="13.8" hidden="false" customHeight="false" outlineLevel="0" collapsed="false">
      <c r="B342" s="2" t="n">
        <v>340</v>
      </c>
      <c r="C342" s="2" t="n">
        <v>0</v>
      </c>
      <c r="D342" s="2" t="n">
        <v>0</v>
      </c>
      <c r="E342" s="2" t="n">
        <v>0</v>
      </c>
    </row>
    <row r="343" customFormat="false" ht="13.8" hidden="false" customHeight="false" outlineLevel="0" collapsed="false">
      <c r="B343" s="2" t="n">
        <v>341</v>
      </c>
      <c r="C343" s="2" t="n">
        <v>0</v>
      </c>
      <c r="D343" s="2" t="n">
        <v>0</v>
      </c>
      <c r="E343" s="2" t="n">
        <v>0</v>
      </c>
    </row>
    <row r="344" customFormat="false" ht="13.8" hidden="false" customHeight="false" outlineLevel="0" collapsed="false">
      <c r="B344" s="2" t="n">
        <v>342</v>
      </c>
      <c r="C344" s="2" t="n">
        <v>0</v>
      </c>
      <c r="D344" s="2" t="n">
        <v>0</v>
      </c>
      <c r="E344" s="2" t="n">
        <v>0</v>
      </c>
    </row>
    <row r="345" customFormat="false" ht="13.8" hidden="false" customHeight="false" outlineLevel="0" collapsed="false">
      <c r="B345" s="2" t="n">
        <v>343</v>
      </c>
      <c r="C345" s="2" t="n">
        <v>0</v>
      </c>
      <c r="D345" s="2" t="n">
        <v>0</v>
      </c>
      <c r="E345" s="2" t="n">
        <v>0</v>
      </c>
    </row>
    <row r="346" customFormat="false" ht="13.8" hidden="false" customHeight="false" outlineLevel="0" collapsed="false">
      <c r="B346" s="2" t="n">
        <v>344</v>
      </c>
      <c r="C346" s="2" t="n">
        <v>0</v>
      </c>
      <c r="D346" s="2" t="n">
        <v>0</v>
      </c>
      <c r="E346" s="2" t="n">
        <v>0</v>
      </c>
    </row>
    <row r="347" customFormat="false" ht="13.8" hidden="false" customHeight="false" outlineLevel="0" collapsed="false">
      <c r="B347" s="2" t="n">
        <v>345</v>
      </c>
      <c r="C347" s="2" t="n">
        <v>0</v>
      </c>
      <c r="D347" s="2" t="n">
        <v>0</v>
      </c>
      <c r="E347" s="2" t="n">
        <v>0</v>
      </c>
    </row>
    <row r="348" customFormat="false" ht="13.8" hidden="false" customHeight="false" outlineLevel="0" collapsed="false">
      <c r="B348" s="2" t="n">
        <v>346</v>
      </c>
      <c r="C348" s="2" t="n">
        <v>0</v>
      </c>
      <c r="D348" s="2" t="n">
        <v>0</v>
      </c>
      <c r="E348" s="2" t="n">
        <v>0</v>
      </c>
    </row>
    <row r="349" customFormat="false" ht="13.8" hidden="false" customHeight="false" outlineLevel="0" collapsed="false">
      <c r="B349" s="2" t="n">
        <v>347</v>
      </c>
      <c r="C349" s="2" t="n">
        <v>0</v>
      </c>
      <c r="D349" s="2" t="n">
        <v>0</v>
      </c>
      <c r="E349" s="2" t="n">
        <v>0</v>
      </c>
    </row>
    <row r="350" customFormat="false" ht="13.8" hidden="false" customHeight="false" outlineLevel="0" collapsed="false">
      <c r="B350" s="2" t="n">
        <v>348</v>
      </c>
      <c r="C350" s="2" t="n">
        <v>0</v>
      </c>
      <c r="D350" s="2" t="n">
        <v>0</v>
      </c>
      <c r="E350" s="2" t="n">
        <v>0</v>
      </c>
    </row>
    <row r="351" customFormat="false" ht="13.8" hidden="false" customHeight="false" outlineLevel="0" collapsed="false">
      <c r="B351" s="2" t="n">
        <v>349</v>
      </c>
      <c r="C351" s="2" t="n">
        <v>0</v>
      </c>
      <c r="D351" s="2" t="n">
        <v>0</v>
      </c>
      <c r="E351" s="2" t="n">
        <v>0</v>
      </c>
    </row>
    <row r="352" customFormat="false" ht="13.8" hidden="false" customHeight="false" outlineLevel="0" collapsed="false">
      <c r="B352" s="2" t="n">
        <v>350</v>
      </c>
      <c r="C352" s="2" t="n">
        <v>0</v>
      </c>
      <c r="D352" s="2" t="n">
        <v>0</v>
      </c>
      <c r="E352" s="2" t="n">
        <v>0</v>
      </c>
    </row>
    <row r="353" customFormat="false" ht="13.8" hidden="false" customHeight="false" outlineLevel="0" collapsed="false">
      <c r="B353" s="2" t="n">
        <v>351</v>
      </c>
      <c r="C353" s="2" t="n">
        <v>0</v>
      </c>
      <c r="D353" s="2" t="n">
        <v>0</v>
      </c>
      <c r="E353" s="2" t="n">
        <v>0</v>
      </c>
    </row>
    <row r="354" customFormat="false" ht="13.8" hidden="false" customHeight="false" outlineLevel="0" collapsed="false">
      <c r="B354" s="2" t="n">
        <v>352</v>
      </c>
      <c r="C354" s="2" t="n">
        <v>0</v>
      </c>
      <c r="D354" s="2" t="n">
        <v>0</v>
      </c>
      <c r="E354" s="2" t="n">
        <v>0</v>
      </c>
    </row>
    <row r="355" customFormat="false" ht="13.8" hidden="false" customHeight="false" outlineLevel="0" collapsed="false">
      <c r="B355" s="2" t="n">
        <v>353</v>
      </c>
      <c r="C355" s="2" t="n">
        <v>0</v>
      </c>
      <c r="D355" s="2" t="n">
        <v>0</v>
      </c>
      <c r="E355" s="2" t="n">
        <v>0</v>
      </c>
    </row>
    <row r="356" customFormat="false" ht="13.8" hidden="false" customHeight="false" outlineLevel="0" collapsed="false">
      <c r="B356" s="2" t="n">
        <v>354</v>
      </c>
      <c r="C356" s="2" t="n">
        <v>0</v>
      </c>
      <c r="D356" s="2" t="n">
        <v>0</v>
      </c>
      <c r="E356" s="2" t="n">
        <v>0</v>
      </c>
    </row>
    <row r="357" customFormat="false" ht="13.8" hidden="false" customHeight="false" outlineLevel="0" collapsed="false">
      <c r="B357" s="2" t="n">
        <v>355</v>
      </c>
      <c r="C357" s="2" t="n">
        <v>0</v>
      </c>
      <c r="D357" s="2" t="n">
        <v>0</v>
      </c>
      <c r="E357" s="2" t="n">
        <v>0</v>
      </c>
    </row>
    <row r="358" customFormat="false" ht="13.8" hidden="false" customHeight="false" outlineLevel="0" collapsed="false">
      <c r="B358" s="2" t="n">
        <v>356</v>
      </c>
      <c r="C358" s="2" t="n">
        <v>0</v>
      </c>
      <c r="D358" s="2" t="n">
        <v>0</v>
      </c>
      <c r="E358" s="2" t="n">
        <v>0</v>
      </c>
    </row>
    <row r="359" customFormat="false" ht="13.8" hidden="false" customHeight="false" outlineLevel="0" collapsed="false">
      <c r="B359" s="2" t="n">
        <v>357</v>
      </c>
      <c r="C359" s="2" t="n">
        <v>0</v>
      </c>
      <c r="D359" s="2" t="n">
        <v>0</v>
      </c>
      <c r="E359" s="2" t="n">
        <v>0</v>
      </c>
    </row>
    <row r="360" customFormat="false" ht="13.8" hidden="false" customHeight="false" outlineLevel="0" collapsed="false">
      <c r="B360" s="2" t="n">
        <v>358</v>
      </c>
      <c r="C360" s="2" t="n">
        <v>0</v>
      </c>
      <c r="D360" s="2" t="n">
        <v>0</v>
      </c>
      <c r="E360" s="2" t="n">
        <v>0</v>
      </c>
    </row>
    <row r="361" customFormat="false" ht="13.8" hidden="false" customHeight="false" outlineLevel="0" collapsed="false">
      <c r="B361" s="2" t="n">
        <v>359</v>
      </c>
      <c r="C361" s="2" t="n">
        <v>0</v>
      </c>
      <c r="D361" s="2" t="n">
        <v>0</v>
      </c>
      <c r="E361" s="2" t="n">
        <v>0</v>
      </c>
    </row>
    <row r="362" customFormat="false" ht="13.8" hidden="false" customHeight="false" outlineLevel="0" collapsed="false">
      <c r="B362" s="2" t="n">
        <v>360</v>
      </c>
      <c r="C362" s="2" t="n">
        <v>0</v>
      </c>
      <c r="D362" s="2" t="n">
        <v>0</v>
      </c>
      <c r="E362" s="2" t="n">
        <v>0</v>
      </c>
    </row>
    <row r="363" customFormat="false" ht="13.8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</v>
      </c>
      <c r="D408" s="2" t="n">
        <v>0</v>
      </c>
      <c r="E408" s="2" t="n">
        <v>0</v>
      </c>
    </row>
    <row r="409" customFormat="false" ht="13.8" hidden="false" customHeight="false" outlineLevel="0" collapsed="false">
      <c r="B409" s="2" t="n">
        <v>407</v>
      </c>
      <c r="C409" s="2" t="n">
        <v>0</v>
      </c>
      <c r="D409" s="2" t="n">
        <v>0</v>
      </c>
      <c r="E409" s="2" t="n">
        <v>0</v>
      </c>
    </row>
    <row r="410" customFormat="false" ht="13.8" hidden="false" customHeight="false" outlineLevel="0" collapsed="false">
      <c r="B410" s="2" t="n">
        <v>408</v>
      </c>
      <c r="C410" s="2" t="n">
        <v>0</v>
      </c>
      <c r="D410" s="2" t="n">
        <v>0</v>
      </c>
      <c r="E410" s="2" t="n">
        <v>0</v>
      </c>
    </row>
    <row r="411" customFormat="false" ht="13.8" hidden="false" customHeight="false" outlineLevel="0" collapsed="false">
      <c r="B411" s="2" t="n">
        <v>409</v>
      </c>
      <c r="C411" s="2" t="n">
        <v>0</v>
      </c>
      <c r="D411" s="2" t="n">
        <v>0</v>
      </c>
      <c r="E411" s="2" t="n">
        <v>0</v>
      </c>
    </row>
    <row r="412" customFormat="false" ht="13.8" hidden="false" customHeight="false" outlineLevel="0" collapsed="false">
      <c r="B412" s="2" t="n">
        <v>410</v>
      </c>
      <c r="C412" s="2" t="n">
        <v>0</v>
      </c>
      <c r="D412" s="2" t="n">
        <v>0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3.25962668295687E-017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4.88944188176979E-017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7.91623983648979E-017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3.1199297997704E-016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4.43542263556052E-016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2.79396732721133E-017</v>
      </c>
      <c r="D431" s="2" t="n">
        <v>5.56465104546922E-016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4.65661284202335E-018</v>
      </c>
      <c r="D432" s="2" t="n">
        <v>6.84521929756296E-016</v>
      </c>
      <c r="E432" s="2" t="n">
        <v>0</v>
      </c>
    </row>
    <row r="433" customFormat="false" ht="13.8" hidden="false" customHeight="false" outlineLevel="0" collapsed="false">
      <c r="B433" s="2" t="n">
        <v>431</v>
      </c>
      <c r="C433" s="2" t="n">
        <v>1.25728536362005E-016</v>
      </c>
      <c r="D433" s="2" t="n">
        <v>8.03265533548252E-016</v>
      </c>
      <c r="E433" s="2" t="n">
        <v>0</v>
      </c>
    </row>
    <row r="434" customFormat="false" ht="13.8" hidden="false" customHeight="false" outlineLevel="0" collapsed="false">
      <c r="B434" s="2" t="n">
        <v>432</v>
      </c>
      <c r="C434" s="2" t="n">
        <v>3.60887431779266E-016</v>
      </c>
      <c r="D434" s="2" t="n">
        <v>9.15024221116869E-016</v>
      </c>
      <c r="E434" s="2" t="n">
        <v>0</v>
      </c>
    </row>
    <row r="435" customFormat="false" ht="13.8" hidden="false" customHeight="false" outlineLevel="0" collapsed="false">
      <c r="B435" s="2" t="n">
        <v>433</v>
      </c>
      <c r="C435" s="2" t="n">
        <v>4.74974424358741E-016</v>
      </c>
      <c r="D435" s="2" t="n">
        <v>1.02678290852871E-015</v>
      </c>
      <c r="E435" s="2" t="n">
        <v>0</v>
      </c>
    </row>
    <row r="436" customFormat="false" ht="13.8" hidden="false" customHeight="false" outlineLevel="0" collapsed="false">
      <c r="B436" s="2" t="n">
        <v>434</v>
      </c>
      <c r="C436" s="2" t="n">
        <v>3.16649643131821E-016</v>
      </c>
      <c r="D436" s="2" t="n">
        <v>1.1187509997965E-015</v>
      </c>
      <c r="E436" s="2" t="n">
        <v>0</v>
      </c>
    </row>
    <row r="437" customFormat="false" ht="13.8" hidden="false" customHeight="false" outlineLevel="0" collapsed="false">
      <c r="B437" s="2" t="n">
        <v>435</v>
      </c>
      <c r="C437" s="2" t="n">
        <v>3.63215768220817E-016</v>
      </c>
      <c r="D437" s="2" t="n">
        <v>1.20606247977437E-015</v>
      </c>
      <c r="E437" s="2" t="n">
        <v>0</v>
      </c>
    </row>
    <row r="438" customFormat="false" ht="13.8" hidden="false" customHeight="false" outlineLevel="0" collapsed="false">
      <c r="B438" s="2" t="n">
        <v>436</v>
      </c>
      <c r="C438" s="2" t="n">
        <v>7.88131582393705E-016</v>
      </c>
      <c r="D438" s="2" t="n">
        <v>1.28406073745442E-015</v>
      </c>
      <c r="E438" s="2" t="n">
        <v>0</v>
      </c>
    </row>
    <row r="439" customFormat="false" ht="13.8" hidden="false" customHeight="false" outlineLevel="0" collapsed="false">
      <c r="B439" s="2" t="n">
        <v>437</v>
      </c>
      <c r="C439" s="2" t="n">
        <v>8.84756283147402E-016</v>
      </c>
      <c r="D439" s="2" t="n">
        <v>1.38068543871101E-015</v>
      </c>
      <c r="E439" s="2" t="n">
        <v>0</v>
      </c>
    </row>
    <row r="440" customFormat="false" ht="13.8" hidden="false" customHeight="false" outlineLevel="0" collapsed="false">
      <c r="B440" s="2" t="n">
        <v>438</v>
      </c>
      <c r="C440" s="2" t="n">
        <v>9.63918691919031E-016</v>
      </c>
      <c r="D440" s="2" t="n">
        <v>1.44238555706812E-015</v>
      </c>
      <c r="E440" s="2" t="n">
        <v>0</v>
      </c>
    </row>
    <row r="441" customFormat="false" ht="13.8" hidden="false" customHeight="false" outlineLevel="0" collapsed="false">
      <c r="B441" s="2" t="n">
        <v>439</v>
      </c>
      <c r="C441" s="2" t="n">
        <v>1.04773771173576E-015</v>
      </c>
      <c r="D441" s="2" t="n">
        <v>1.50757813312338E-015</v>
      </c>
      <c r="E441" s="2" t="n">
        <v>0</v>
      </c>
    </row>
    <row r="442" customFormat="false" ht="13.8" hidden="false" customHeight="false" outlineLevel="0" collapsed="false">
      <c r="B442" s="2" t="n">
        <v>440</v>
      </c>
      <c r="C442" s="2" t="n">
        <v>1.13272088427763E-015</v>
      </c>
      <c r="D442" s="2" t="n">
        <v>1.57859147268436E-015</v>
      </c>
      <c r="E442" s="2" t="n">
        <v>0</v>
      </c>
    </row>
    <row r="443" customFormat="false" ht="13.8" hidden="false" customHeight="false" outlineLevel="0" collapsed="false">
      <c r="B443" s="2" t="n">
        <v>441</v>
      </c>
      <c r="C443" s="2" t="n">
        <v>1.21071913984937E-015</v>
      </c>
      <c r="D443" s="2" t="n">
        <v>1.63912743679215E-015</v>
      </c>
      <c r="E443" s="2" t="n">
        <v>0</v>
      </c>
    </row>
    <row r="444" customFormat="false" ht="13.8" hidden="false" customHeight="false" outlineLevel="0" collapsed="false">
      <c r="B444" s="2" t="n">
        <v>442</v>
      </c>
      <c r="C444" s="2" t="n">
        <v>1.28988154814485E-015</v>
      </c>
      <c r="D444" s="2" t="n">
        <v>1.70432001176037E-015</v>
      </c>
      <c r="E444" s="2" t="n">
        <v>0</v>
      </c>
    </row>
    <row r="445" customFormat="false" ht="13.8" hidden="false" customHeight="false" outlineLevel="0" collapsed="false">
      <c r="B445" s="2" t="n">
        <v>443</v>
      </c>
      <c r="C445" s="2" t="n">
        <v>1.36438734504639E-015</v>
      </c>
      <c r="D445" s="2" t="n">
        <v>1.75787105830193E-015</v>
      </c>
      <c r="E445" s="2" t="n">
        <v>0</v>
      </c>
    </row>
    <row r="446" customFormat="false" ht="13.8" hidden="false" customHeight="false" outlineLevel="0" collapsed="false">
      <c r="B446" s="2" t="n">
        <v>444</v>
      </c>
      <c r="C446" s="2" t="n">
        <v>1.43656483617957E-015</v>
      </c>
      <c r="D446" s="2" t="n">
        <v>1.82073532709139E-015</v>
      </c>
      <c r="E446" s="2" t="n">
        <v>0</v>
      </c>
    </row>
    <row r="447" customFormat="false" ht="13.8" hidden="false" customHeight="false" outlineLevel="0" collapsed="false">
      <c r="B447" s="2" t="n">
        <v>445</v>
      </c>
      <c r="C447" s="2" t="n">
        <v>1.51339893858247E-015</v>
      </c>
      <c r="D447" s="2" t="n">
        <v>1.87428637301075E-015</v>
      </c>
      <c r="E447" s="2" t="n">
        <v>0</v>
      </c>
    </row>
    <row r="448" customFormat="false" ht="13.8" hidden="false" customHeight="false" outlineLevel="0" collapsed="false">
      <c r="B448" s="2" t="n">
        <v>446</v>
      </c>
      <c r="C448" s="2" t="n">
        <v>1.58441227671066E-015</v>
      </c>
      <c r="D448" s="2" t="n">
        <v>1.92783741865144E-015</v>
      </c>
      <c r="E448" s="2" t="n">
        <v>0</v>
      </c>
    </row>
    <row r="449" customFormat="false" ht="13.8" hidden="false" customHeight="false" outlineLevel="0" collapsed="false">
      <c r="B449" s="2" t="n">
        <v>447</v>
      </c>
      <c r="C449" s="2" t="n">
        <v>1.65076900335778E-015</v>
      </c>
      <c r="D449" s="2" t="n">
        <v>1.97906015835106E-015</v>
      </c>
      <c r="E449" s="2" t="n">
        <v>0</v>
      </c>
    </row>
    <row r="450" customFormat="false" ht="13.8" hidden="false" customHeight="false" outlineLevel="0" collapsed="false">
      <c r="B450" s="2" t="n">
        <v>448</v>
      </c>
      <c r="C450" s="2" t="n">
        <v>1.71945403561606E-015</v>
      </c>
      <c r="D450" s="2" t="n">
        <v>2.0279545920999E-015</v>
      </c>
      <c r="E450" s="2" t="n">
        <v>0</v>
      </c>
    </row>
    <row r="451" customFormat="false" ht="13.8" hidden="false" customHeight="false" outlineLevel="0" collapsed="false">
      <c r="B451" s="2" t="n">
        <v>449</v>
      </c>
      <c r="C451" s="2" t="n">
        <v>1.78115415064313E-015</v>
      </c>
      <c r="D451" s="2" t="n">
        <v>2.10828115286387E-015</v>
      </c>
      <c r="E451" s="2" t="n">
        <v>0</v>
      </c>
    </row>
    <row r="452" customFormat="false" ht="13.8" hidden="false" customHeight="false" outlineLevel="0" collapsed="false">
      <c r="B452" s="2" t="n">
        <v>450</v>
      </c>
      <c r="C452" s="2" t="n">
        <v>1.84634672415675E-015</v>
      </c>
      <c r="D452" s="2" t="n">
        <v>2.54018232221209E-015</v>
      </c>
      <c r="E452" s="2" t="n">
        <v>0</v>
      </c>
    </row>
    <row r="453" customFormat="false" ht="13.8" hidden="false" customHeight="false" outlineLevel="0" collapsed="false">
      <c r="B453" s="2" t="n">
        <v>451</v>
      </c>
      <c r="C453" s="2" t="n">
        <v>2.35158950085984E-015</v>
      </c>
      <c r="D453" s="2" t="n">
        <v>2.11177363671529E-015</v>
      </c>
      <c r="E453" s="2" t="n">
        <v>0</v>
      </c>
    </row>
    <row r="454" customFormat="false" ht="13.8" hidden="false" customHeight="false" outlineLevel="0" collapsed="false">
      <c r="B454" s="2" t="n">
        <v>452</v>
      </c>
      <c r="C454" s="2" t="n">
        <v>2.03377536168486E-015</v>
      </c>
      <c r="D454" s="2" t="n">
        <v>0</v>
      </c>
      <c r="E454" s="2" t="n">
        <v>0</v>
      </c>
    </row>
    <row r="455" customFormat="false" ht="13.8" hidden="false" customHeight="false" outlineLevel="0" collapsed="false">
      <c r="B455" s="2" t="n">
        <v>453</v>
      </c>
      <c r="C455" s="2" t="n">
        <v>0</v>
      </c>
      <c r="D455" s="2" t="n">
        <v>0</v>
      </c>
      <c r="E455" s="2" t="n">
        <v>1.55589543277921E-012</v>
      </c>
    </row>
    <row r="456" customFormat="false" ht="13.8" hidden="false" customHeight="false" outlineLevel="0" collapsed="false">
      <c r="B456" s="2" t="n">
        <v>454</v>
      </c>
      <c r="C456" s="2" t="n">
        <v>0</v>
      </c>
      <c r="D456" s="2" t="n">
        <v>0</v>
      </c>
      <c r="E456" s="2" t="n">
        <v>1.55576504761878E-012</v>
      </c>
    </row>
    <row r="457" customFormat="false" ht="13.8" hidden="false" customHeight="false" outlineLevel="0" collapsed="false">
      <c r="B457" s="2" t="n">
        <v>455</v>
      </c>
      <c r="C457" s="2" t="n">
        <v>0</v>
      </c>
      <c r="D457" s="2" t="n">
        <v>0</v>
      </c>
      <c r="E457" s="2" t="n">
        <v>1.55567657197419E-012</v>
      </c>
    </row>
    <row r="458" customFormat="false" ht="13.8" hidden="false" customHeight="false" outlineLevel="0" collapsed="false">
      <c r="B458" s="2" t="n">
        <v>456</v>
      </c>
      <c r="C458" s="2" t="n">
        <v>0</v>
      </c>
      <c r="D458" s="2" t="n">
        <v>0</v>
      </c>
      <c r="E458" s="2" t="n">
        <v>1.55558809632961E-012</v>
      </c>
    </row>
    <row r="459" customFormat="false" ht="13.8" hidden="false" customHeight="false" outlineLevel="0" collapsed="false">
      <c r="B459" s="2" t="n">
        <v>457</v>
      </c>
      <c r="C459" s="2" t="n">
        <v>0</v>
      </c>
      <c r="D459" s="2" t="n">
        <v>0</v>
      </c>
      <c r="E459" s="2" t="n">
        <v>1.55549496407216E-012</v>
      </c>
    </row>
    <row r="460" customFormat="false" ht="13.8" hidden="false" customHeight="false" outlineLevel="0" collapsed="false">
      <c r="B460" s="2" t="n">
        <v>458</v>
      </c>
      <c r="C460" s="2" t="n">
        <v>0</v>
      </c>
      <c r="D460" s="2" t="n">
        <v>0</v>
      </c>
      <c r="E460" s="2" t="n">
        <v>1.55540765258079E-012</v>
      </c>
    </row>
    <row r="461" customFormat="false" ht="13.8" hidden="false" customHeight="false" outlineLevel="0" collapsed="false">
      <c r="B461" s="2" t="n">
        <v>459</v>
      </c>
      <c r="C461" s="2" t="n">
        <v>0</v>
      </c>
      <c r="D461" s="2" t="n">
        <v>0</v>
      </c>
      <c r="E461" s="2" t="n">
        <v>1.55531801278299E-012</v>
      </c>
    </row>
    <row r="462" customFormat="false" ht="13.8" hidden="false" customHeight="false" outlineLevel="0" collapsed="false">
      <c r="B462" s="2" t="n">
        <v>460</v>
      </c>
      <c r="C462" s="2" t="n">
        <v>0</v>
      </c>
      <c r="D462" s="2" t="n">
        <v>0</v>
      </c>
      <c r="E462" s="2" t="n">
        <v>1.55522488052554E-012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1.55513640488095E-012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1.55503861601063E-012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1.55495246867248E-012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1.55486632133433E-012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1.55477551738332E-012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1.55468704173873E-012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1.55459623778772E-012</v>
      </c>
    </row>
    <row r="470" customFormat="false" ht="13.8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1.55450310553026E-012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1.55441230157924E-012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1.55432382593466E-012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1.55423535029008E-012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1.55414221803262E-012</v>
      </c>
    </row>
    <row r="475" customFormat="false" ht="13.8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1.5540514140816E-012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1.55396293843702E-012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1.553872134486E-012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1.55378133053498E-012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1.55369052658397E-012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1.55359972263295E-012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1.55351066491176E-012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1.55342160719057E-012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1.55333196739276E-012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1.55324058136514E-012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1.55314803118429E-012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1.55305955553971E-012</v>
      </c>
    </row>
    <row r="487" customFormat="false" ht="13.8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1.55296875158869E-012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1.55287794763767E-012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1.55278830783987E-012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1.55269750388885E-012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1.55260902824427E-012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1.55251938844647E-012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1.55242742034223E-012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1.55233661639121E-012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1.55224697659341E-012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1.5521561726424E-012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1.55206769699781E-012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1.55197572889358E-012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1.55188376078934E-012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1.55179528514476E-012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1.55170448119374E-012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1.55161484139594E-012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1.55152752990457E-012</v>
      </c>
    </row>
    <row r="504" customFormat="false" ht="13.8" hidden="false" customHeight="false" outlineLevel="0" collapsed="false">
      <c r="B504" s="2" t="n">
        <v>502</v>
      </c>
      <c r="C504" s="2" t="n">
        <v>0</v>
      </c>
      <c r="D504" s="2" t="n">
        <v>0</v>
      </c>
      <c r="E504" s="2" t="n">
        <v>1.55143090518746E-012</v>
      </c>
    </row>
    <row r="505" customFormat="false" ht="13.8" hidden="false" customHeight="false" outlineLevel="0" collapsed="false">
      <c r="B505" s="2" t="n">
        <v>503</v>
      </c>
      <c r="C505" s="2" t="n">
        <v>0</v>
      </c>
      <c r="D505" s="2" t="n">
        <v>0</v>
      </c>
      <c r="E505" s="2" t="n">
        <v>1.5512923709545E-012</v>
      </c>
    </row>
    <row r="506" customFormat="false" ht="13.8" hidden="false" customHeight="false" outlineLevel="0" collapsed="false">
      <c r="B506" s="2" t="n">
        <v>504</v>
      </c>
      <c r="C506" s="2" t="n">
        <v>0</v>
      </c>
      <c r="D506" s="2" t="n">
        <v>0</v>
      </c>
      <c r="E506" s="2" t="n">
        <v>1.55130983325277E-012</v>
      </c>
    </row>
    <row r="507" customFormat="false" ht="13.8" hidden="false" customHeight="false" outlineLevel="0" collapsed="false">
      <c r="B507" s="2" t="n">
        <v>505</v>
      </c>
      <c r="C507" s="2" t="n">
        <v>0</v>
      </c>
      <c r="D507" s="2" t="n">
        <v>0</v>
      </c>
      <c r="E507" s="2" t="n">
        <v>1.55135057861541E-012</v>
      </c>
    </row>
    <row r="508" customFormat="false" ht="13.8" hidden="false" customHeight="false" outlineLevel="0" collapsed="false">
      <c r="B508" s="2" t="n">
        <v>506</v>
      </c>
      <c r="C508" s="2" t="n">
        <v>0</v>
      </c>
      <c r="D508" s="2" t="n">
        <v>0</v>
      </c>
      <c r="E508" s="2" t="n">
        <v>1.55136571260725E-012</v>
      </c>
    </row>
    <row r="509" customFormat="false" ht="13.8" hidden="false" customHeight="false" outlineLevel="0" collapsed="false">
      <c r="B509" s="2" t="n">
        <v>507</v>
      </c>
      <c r="C509" s="2" t="n">
        <v>0</v>
      </c>
      <c r="D509" s="2" t="n">
        <v>0</v>
      </c>
      <c r="E509" s="2" t="n">
        <v>1.55138317490552E-012</v>
      </c>
    </row>
    <row r="510" customFormat="false" ht="13.8" hidden="false" customHeight="false" outlineLevel="0" collapsed="false">
      <c r="B510" s="2" t="n">
        <v>508</v>
      </c>
      <c r="C510" s="2" t="n">
        <v>0</v>
      </c>
      <c r="D510" s="2" t="n">
        <v>0</v>
      </c>
      <c r="E510" s="2" t="n">
        <v>1.55139598059092E-012</v>
      </c>
    </row>
    <row r="511" customFormat="false" ht="13.8" hidden="false" customHeight="false" outlineLevel="0" collapsed="false">
      <c r="B511" s="2" t="n">
        <v>509</v>
      </c>
      <c r="C511" s="2" t="n">
        <v>0</v>
      </c>
      <c r="D511" s="2" t="n">
        <v>0</v>
      </c>
      <c r="E511" s="2" t="n">
        <v>1.5514134428892E-012</v>
      </c>
    </row>
    <row r="512" customFormat="false" ht="13.8" hidden="false" customHeight="false" outlineLevel="0" collapsed="false">
      <c r="B512" s="2" t="n">
        <v>510</v>
      </c>
      <c r="C512" s="2" t="n">
        <v>0</v>
      </c>
      <c r="D512" s="2" t="n">
        <v>0</v>
      </c>
      <c r="E512" s="2" t="n">
        <v>1.55142741272781E-012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0</v>
      </c>
      <c r="E513" s="2" t="n">
        <v>1.55144603917931E-012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0</v>
      </c>
      <c r="E514" s="2" t="n">
        <v>0</v>
      </c>
    </row>
    <row r="515" customFormat="false" ht="13.8" hidden="false" customHeight="false" outlineLevel="0" collapsed="false">
      <c r="B515" s="2" t="n">
        <v>513</v>
      </c>
      <c r="C515" s="2" t="n">
        <v>0</v>
      </c>
      <c r="D515" s="2" t="n">
        <v>0</v>
      </c>
      <c r="E515" s="2" t="n">
        <v>0</v>
      </c>
    </row>
    <row r="516" customFormat="false" ht="13.8" hidden="false" customHeight="false" outlineLevel="0" collapsed="false">
      <c r="B516" s="2" t="n">
        <v>514</v>
      </c>
      <c r="C516" s="2" t="n">
        <v>0</v>
      </c>
      <c r="D516" s="2" t="n">
        <v>0</v>
      </c>
      <c r="E516" s="2" t="n">
        <v>0</v>
      </c>
    </row>
    <row r="517" customFormat="false" ht="13.8" hidden="false" customHeight="false" outlineLevel="0" collapsed="false">
      <c r="B517" s="2" t="n">
        <v>515</v>
      </c>
      <c r="C517" s="2" t="n">
        <v>0</v>
      </c>
      <c r="D517" s="2" t="n">
        <v>0</v>
      </c>
      <c r="E517" s="2" t="n">
        <v>0</v>
      </c>
    </row>
    <row r="518" customFormat="false" ht="13.8" hidden="false" customHeight="false" outlineLevel="0" collapsed="false">
      <c r="B518" s="2" t="n">
        <v>516</v>
      </c>
      <c r="C518" s="2" t="n">
        <v>0</v>
      </c>
      <c r="D518" s="2" t="n">
        <v>0</v>
      </c>
      <c r="E518" s="2" t="n">
        <v>0</v>
      </c>
    </row>
    <row r="519" customFormat="false" ht="13.8" hidden="false" customHeight="false" outlineLevel="0" collapsed="false">
      <c r="B519" s="2" t="n">
        <v>517</v>
      </c>
      <c r="C519" s="2" t="n">
        <v>0</v>
      </c>
      <c r="D519" s="2" t="n">
        <v>0</v>
      </c>
      <c r="E519" s="2" t="n">
        <v>0</v>
      </c>
    </row>
    <row r="520" customFormat="false" ht="13.8" hidden="false" customHeight="false" outlineLevel="0" collapsed="false">
      <c r="B520" s="2" t="n">
        <v>518</v>
      </c>
      <c r="C520" s="2" t="n">
        <v>0</v>
      </c>
      <c r="D520" s="2" t="n">
        <v>0</v>
      </c>
      <c r="E520" s="2" t="n">
        <v>0</v>
      </c>
    </row>
    <row r="521" customFormat="false" ht="13.8" hidden="false" customHeight="false" outlineLevel="0" collapsed="false">
      <c r="B521" s="2" t="n">
        <v>519</v>
      </c>
      <c r="C521" s="2" t="n">
        <v>0</v>
      </c>
      <c r="D521" s="2" t="n">
        <v>0</v>
      </c>
      <c r="E521" s="2" t="n">
        <v>0</v>
      </c>
    </row>
    <row r="522" customFormat="false" ht="13.8" hidden="false" customHeight="false" outlineLevel="0" collapsed="false">
      <c r="B522" s="2" t="n">
        <v>520</v>
      </c>
      <c r="C522" s="2" t="n">
        <v>0</v>
      </c>
      <c r="D522" s="2" t="n">
        <v>0</v>
      </c>
      <c r="E522" s="2" t="n">
        <v>0</v>
      </c>
    </row>
    <row r="523" customFormat="false" ht="13.8" hidden="false" customHeight="false" outlineLevel="0" collapsed="false">
      <c r="B523" s="2" t="n">
        <v>521</v>
      </c>
      <c r="C523" s="2" t="n">
        <v>0</v>
      </c>
      <c r="D523" s="2" t="n">
        <v>0</v>
      </c>
      <c r="E523" s="2" t="n">
        <v>0</v>
      </c>
    </row>
    <row r="524" customFormat="false" ht="13.8" hidden="false" customHeight="false" outlineLevel="0" collapsed="false">
      <c r="B524" s="2" t="n">
        <v>522</v>
      </c>
      <c r="C524" s="2" t="n">
        <v>0</v>
      </c>
      <c r="D524" s="2" t="n">
        <v>0</v>
      </c>
      <c r="E524" s="2" t="n">
        <v>0</v>
      </c>
    </row>
    <row r="525" customFormat="false" ht="13.8" hidden="false" customHeight="false" outlineLevel="0" collapsed="false">
      <c r="B525" s="2" t="n">
        <v>523</v>
      </c>
      <c r="C525" s="2" t="n">
        <v>0</v>
      </c>
      <c r="D525" s="2" t="n">
        <v>0</v>
      </c>
      <c r="E525" s="2" t="n">
        <v>0</v>
      </c>
    </row>
    <row r="526" customFormat="false" ht="13.8" hidden="false" customHeight="false" outlineLevel="0" collapsed="false">
      <c r="B526" s="2" t="n">
        <v>524</v>
      </c>
      <c r="C526" s="2" t="n">
        <v>0</v>
      </c>
      <c r="D526" s="2" t="n">
        <v>0</v>
      </c>
      <c r="E526" s="2" t="n">
        <v>0</v>
      </c>
    </row>
    <row r="527" customFormat="false" ht="13.8" hidden="false" customHeight="false" outlineLevel="0" collapsed="false">
      <c r="B527" s="2" t="n">
        <v>525</v>
      </c>
      <c r="C527" s="2" t="n">
        <v>0</v>
      </c>
      <c r="D527" s="2" t="n">
        <v>0</v>
      </c>
      <c r="E527" s="2" t="n">
        <v>0</v>
      </c>
    </row>
    <row r="528" customFormat="false" ht="13.8" hidden="false" customHeight="false" outlineLevel="0" collapsed="false">
      <c r="B528" s="2" t="n">
        <v>526</v>
      </c>
      <c r="C528" s="2" t="n">
        <v>0</v>
      </c>
      <c r="D528" s="2" t="n">
        <v>0</v>
      </c>
      <c r="E528" s="2" t="n">
        <v>0</v>
      </c>
    </row>
    <row r="529" customFormat="false" ht="13.8" hidden="false" customHeight="false" outlineLevel="0" collapsed="false">
      <c r="B529" s="2" t="n">
        <v>527</v>
      </c>
      <c r="C529" s="2" t="n">
        <v>0</v>
      </c>
      <c r="D529" s="2" t="n">
        <v>0</v>
      </c>
      <c r="E529" s="2" t="n">
        <v>0</v>
      </c>
    </row>
    <row r="530" customFormat="false" ht="13.8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0</v>
      </c>
    </row>
    <row r="531" customFormat="false" ht="13.8" hidden="false" customHeight="false" outlineLevel="0" collapsed="false">
      <c r="B531" s="2" t="n">
        <v>529</v>
      </c>
      <c r="C531" s="2" t="n">
        <v>0</v>
      </c>
      <c r="D531" s="2" t="n">
        <v>0</v>
      </c>
      <c r="E531" s="2" t="n">
        <v>0</v>
      </c>
    </row>
    <row r="532" customFormat="false" ht="13.8" hidden="false" customHeight="false" outlineLevel="0" collapsed="false">
      <c r="B532" s="2" t="n">
        <v>530</v>
      </c>
      <c r="C532" s="2" t="n">
        <v>0</v>
      </c>
      <c r="D532" s="2" t="n">
        <v>0</v>
      </c>
      <c r="E532" s="2" t="n">
        <v>0</v>
      </c>
    </row>
    <row r="533" customFormat="false" ht="13.8" hidden="false" customHeight="false" outlineLevel="0" collapsed="false">
      <c r="B533" s="2" t="n">
        <v>531</v>
      </c>
      <c r="C533" s="2" t="n">
        <v>0</v>
      </c>
      <c r="D533" s="2" t="n">
        <v>0</v>
      </c>
      <c r="E533" s="2" t="n">
        <v>0</v>
      </c>
    </row>
    <row r="534" customFormat="false" ht="13.8" hidden="false" customHeight="false" outlineLevel="0" collapsed="false">
      <c r="B534" s="2" t="n">
        <v>532</v>
      </c>
      <c r="C534" s="2" t="n">
        <v>0</v>
      </c>
      <c r="D534" s="2" t="n">
        <v>0</v>
      </c>
      <c r="E534" s="2" t="n">
        <v>0</v>
      </c>
    </row>
    <row r="535" customFormat="false" ht="13.8" hidden="false" customHeight="false" outlineLevel="0" collapsed="false">
      <c r="B535" s="2" t="n">
        <v>533</v>
      </c>
      <c r="C535" s="2" t="n">
        <v>0</v>
      </c>
      <c r="D535" s="2" t="n">
        <v>0</v>
      </c>
      <c r="E535" s="2" t="n">
        <v>0</v>
      </c>
    </row>
    <row r="536" customFormat="false" ht="13.8" hidden="false" customHeight="false" outlineLevel="0" collapsed="false">
      <c r="B536" s="2" t="n">
        <v>534</v>
      </c>
      <c r="C536" s="2" t="n">
        <v>0</v>
      </c>
      <c r="D536" s="2" t="n">
        <v>0</v>
      </c>
      <c r="E536" s="2" t="n">
        <v>0</v>
      </c>
    </row>
    <row r="537" customFormat="false" ht="13.8" hidden="false" customHeight="false" outlineLevel="0" collapsed="false">
      <c r="B537" s="2" t="n">
        <v>535</v>
      </c>
      <c r="C537" s="2" t="n">
        <v>0</v>
      </c>
      <c r="D537" s="2" t="n">
        <v>0</v>
      </c>
      <c r="E537" s="2" t="n">
        <v>0</v>
      </c>
    </row>
    <row r="538" customFormat="false" ht="13.8" hidden="false" customHeight="false" outlineLevel="0" collapsed="false">
      <c r="B538" s="2" t="n">
        <v>536</v>
      </c>
      <c r="C538" s="2" t="n">
        <v>0</v>
      </c>
      <c r="D538" s="2" t="n">
        <v>0</v>
      </c>
      <c r="E538" s="2" t="n">
        <v>0</v>
      </c>
    </row>
    <row r="539" customFormat="false" ht="13.8" hidden="false" customHeight="false" outlineLevel="0" collapsed="false">
      <c r="B539" s="2" t="n">
        <v>537</v>
      </c>
      <c r="C539" s="2" t="n">
        <v>0</v>
      </c>
      <c r="D539" s="2" t="n">
        <v>0</v>
      </c>
      <c r="E539" s="2" t="n">
        <v>0</v>
      </c>
    </row>
    <row r="540" customFormat="false" ht="13.8" hidden="false" customHeight="false" outlineLevel="0" collapsed="false">
      <c r="B540" s="2" t="n">
        <v>538</v>
      </c>
      <c r="C540" s="2" t="n">
        <v>0</v>
      </c>
      <c r="D540" s="2" t="n">
        <v>0</v>
      </c>
      <c r="E540" s="2" t="n">
        <v>0</v>
      </c>
    </row>
    <row r="541" customFormat="false" ht="13.8" hidden="false" customHeight="false" outlineLevel="0" collapsed="false">
      <c r="B541" s="2" t="n">
        <v>539</v>
      </c>
      <c r="C541" s="2" t="n">
        <v>6.89151231100187E-012</v>
      </c>
      <c r="D541" s="2" t="n">
        <v>3.06747388074987E-012</v>
      </c>
      <c r="E541" s="2" t="n">
        <v>0</v>
      </c>
    </row>
    <row r="542" customFormat="false" ht="13.8" hidden="false" customHeight="false" outlineLevel="0" collapsed="false">
      <c r="B542" s="2" t="n">
        <v>540</v>
      </c>
      <c r="C542" s="2" t="n">
        <v>6.89158565265461E-012</v>
      </c>
      <c r="D542" s="2" t="n">
        <v>3.0672445425659E-012</v>
      </c>
      <c r="E542" s="2" t="n">
        <v>0</v>
      </c>
    </row>
    <row r="543" customFormat="false" ht="13.8" hidden="false" customHeight="false" outlineLevel="0" collapsed="false">
      <c r="B543" s="2" t="n">
        <v>541</v>
      </c>
      <c r="C543" s="2" t="n">
        <v>6.89165957638396E-012</v>
      </c>
      <c r="D543" s="2" t="n">
        <v>3.06720612550971E-012</v>
      </c>
      <c r="E543" s="2" t="n">
        <v>0</v>
      </c>
    </row>
    <row r="544" customFormat="false" ht="13.8" hidden="false" customHeight="false" outlineLevel="0" collapsed="false">
      <c r="B544" s="2" t="n">
        <v>542</v>
      </c>
      <c r="C544" s="2" t="n">
        <v>6.89173350011331E-012</v>
      </c>
      <c r="D544" s="2" t="n">
        <v>3.06742149385506E-012</v>
      </c>
      <c r="E544" s="2" t="n">
        <v>0</v>
      </c>
    </row>
    <row r="545" customFormat="false" ht="13.8" hidden="false" customHeight="false" outlineLevel="0" collapsed="false">
      <c r="B545" s="2" t="n">
        <v>543</v>
      </c>
      <c r="C545" s="2" t="n">
        <v>6.89180334930639E-012</v>
      </c>
      <c r="D545" s="2" t="n">
        <v>3.06744826937908E-012</v>
      </c>
      <c r="E545" s="2" t="n">
        <v>0</v>
      </c>
    </row>
    <row r="546" customFormat="false" ht="13.8" hidden="false" customHeight="false" outlineLevel="0" collapsed="false">
      <c r="B546" s="2" t="n">
        <v>544</v>
      </c>
      <c r="C546" s="2" t="n">
        <v>6.89187785511235E-012</v>
      </c>
      <c r="D546" s="2" t="n">
        <v>3.06734815220232E-012</v>
      </c>
      <c r="E546" s="2" t="n">
        <v>0</v>
      </c>
    </row>
    <row r="547" customFormat="false" ht="13.8" hidden="false" customHeight="false" outlineLevel="0" collapsed="false">
      <c r="B547" s="2" t="n">
        <v>545</v>
      </c>
      <c r="C547" s="2" t="n">
        <v>6.89195003261188E-012</v>
      </c>
      <c r="D547" s="2" t="n">
        <v>3.06727364639637E-012</v>
      </c>
      <c r="E547" s="2" t="n">
        <v>0</v>
      </c>
    </row>
    <row r="548" customFormat="false" ht="13.8" hidden="false" customHeight="false" outlineLevel="0" collapsed="false">
      <c r="B548" s="2" t="n">
        <v>546</v>
      </c>
      <c r="C548" s="2" t="n">
        <v>6.89202453841783E-012</v>
      </c>
      <c r="D548" s="2" t="n">
        <v>3.06750880534643E-012</v>
      </c>
      <c r="E548" s="2" t="n">
        <v>0</v>
      </c>
    </row>
    <row r="549" customFormat="false" ht="13.8" hidden="false" customHeight="false" outlineLevel="0" collapsed="false">
      <c r="B549" s="2" t="n">
        <v>547</v>
      </c>
      <c r="C549" s="2" t="n">
        <v>6.89209438761092E-012</v>
      </c>
      <c r="D549" s="2" t="n">
        <v>3.06754605824941E-012</v>
      </c>
      <c r="E549" s="2" t="n">
        <v>0</v>
      </c>
    </row>
    <row r="550" customFormat="false" ht="13.8" hidden="false" customHeight="false" outlineLevel="0" collapsed="false">
      <c r="B550" s="2" t="n">
        <v>548</v>
      </c>
      <c r="C550" s="2" t="n">
        <v>6.892164236804E-012</v>
      </c>
      <c r="D550" s="2" t="n">
        <v>3.0675774903863E-012</v>
      </c>
      <c r="E550" s="2" t="n">
        <v>0</v>
      </c>
    </row>
    <row r="551" customFormat="false" ht="13.8" hidden="false" customHeight="false" outlineLevel="0" collapsed="false">
      <c r="B551" s="2" t="n">
        <v>549</v>
      </c>
      <c r="C551" s="2" t="n">
        <v>6.89223641430352E-012</v>
      </c>
      <c r="D551" s="2" t="n">
        <v>3.06761125082963E-012</v>
      </c>
      <c r="E551" s="2" t="n">
        <v>0</v>
      </c>
    </row>
    <row r="552" customFormat="false" ht="13.8" hidden="false" customHeight="false" outlineLevel="0" collapsed="false">
      <c r="B552" s="2" t="n">
        <v>550</v>
      </c>
      <c r="C552" s="2" t="n">
        <v>6.89230626349661E-012</v>
      </c>
      <c r="D552" s="2" t="n">
        <v>3.06764268296652E-012</v>
      </c>
      <c r="E552" s="2" t="n">
        <v>0</v>
      </c>
    </row>
    <row r="553" customFormat="false" ht="13.8" hidden="false" customHeight="false" outlineLevel="0" collapsed="false">
      <c r="B553" s="2" t="n">
        <v>551</v>
      </c>
      <c r="C553" s="2" t="n">
        <v>6.89238076930257E-012</v>
      </c>
      <c r="D553" s="2" t="n">
        <v>3.06767644340985E-012</v>
      </c>
      <c r="E553" s="2" t="n">
        <v>0</v>
      </c>
    </row>
    <row r="554" customFormat="false" ht="13.8" hidden="false" customHeight="false" outlineLevel="0" collapsed="false">
      <c r="B554" s="2" t="n">
        <v>552</v>
      </c>
      <c r="C554" s="2" t="n">
        <v>6.89245061849566E-012</v>
      </c>
      <c r="D554" s="2" t="n">
        <v>3.06771253215961E-012</v>
      </c>
      <c r="E554" s="2" t="n">
        <v>0</v>
      </c>
    </row>
    <row r="555" customFormat="false" ht="13.8" hidden="false" customHeight="false" outlineLevel="0" collapsed="false">
      <c r="B555" s="2" t="n">
        <v>553</v>
      </c>
      <c r="C555" s="2" t="n">
        <v>6.89252279599518E-012</v>
      </c>
      <c r="D555" s="2" t="n">
        <v>3.0677439642965E-012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6.89259264518826E-012</v>
      </c>
      <c r="D556" s="2" t="n">
        <v>3.06777656058661E-012</v>
      </c>
      <c r="E556" s="2" t="n">
        <v>0</v>
      </c>
    </row>
    <row r="557" customFormat="false" ht="13.8" hidden="false" customHeight="false" outlineLevel="0" collapsed="false">
      <c r="B557" s="2" t="n">
        <v>555</v>
      </c>
      <c r="C557" s="2" t="n">
        <v>6.89266482268779E-012</v>
      </c>
      <c r="D557" s="2" t="n">
        <v>3.06781148518316E-012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6.89273700018731E-012</v>
      </c>
      <c r="D558" s="2" t="n">
        <v>3.06784408147327E-012</v>
      </c>
      <c r="E558" s="2" t="n">
        <v>0</v>
      </c>
    </row>
    <row r="559" customFormat="false" ht="13.8" hidden="false" customHeight="false" outlineLevel="0" collapsed="false">
      <c r="B559" s="2" t="n">
        <v>557</v>
      </c>
      <c r="C559" s="2" t="n">
        <v>6.89280452107396E-012</v>
      </c>
      <c r="D559" s="2" t="n">
        <v>3.06787434945694E-012</v>
      </c>
      <c r="E559" s="2" t="n">
        <v>0</v>
      </c>
    </row>
    <row r="560" customFormat="false" ht="13.8" hidden="false" customHeight="false" outlineLevel="0" collapsed="false">
      <c r="B560" s="2" t="n">
        <v>558</v>
      </c>
      <c r="C560" s="2" t="n">
        <v>6.89287902687991E-012</v>
      </c>
      <c r="D560" s="2" t="n">
        <v>3.06790810990027E-012</v>
      </c>
      <c r="E560" s="2" t="n">
        <v>0</v>
      </c>
    </row>
    <row r="561" customFormat="false" ht="13.8" hidden="false" customHeight="false" outlineLevel="0" collapsed="false">
      <c r="B561" s="2" t="n">
        <v>559</v>
      </c>
      <c r="C561" s="2" t="n">
        <v>6.89294654776657E-012</v>
      </c>
      <c r="D561" s="2" t="n">
        <v>3.0679418703436E-012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6.89301872526609E-012</v>
      </c>
      <c r="D562" s="2" t="n">
        <v>3.0679744666337E-012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6.89308857445917E-012</v>
      </c>
      <c r="D563" s="2" t="n">
        <v>3.06800706292381E-012</v>
      </c>
      <c r="E563" s="2" t="n">
        <v>0</v>
      </c>
    </row>
    <row r="564" customFormat="false" ht="13.8" hidden="false" customHeight="false" outlineLevel="0" collapsed="false">
      <c r="B564" s="2" t="n">
        <v>562</v>
      </c>
      <c r="C564" s="2" t="n">
        <v>6.89316075195869E-012</v>
      </c>
      <c r="D564" s="2" t="n">
        <v>3.06804198752036E-012</v>
      </c>
      <c r="E564" s="2" t="n">
        <v>0</v>
      </c>
    </row>
    <row r="565" customFormat="false" ht="13.8" hidden="false" customHeight="false" outlineLevel="0" collapsed="false">
      <c r="B565" s="2" t="n">
        <v>563</v>
      </c>
      <c r="C565" s="2" t="n">
        <v>6.89323292945822E-012</v>
      </c>
      <c r="D565" s="2" t="n">
        <v>3.06807458381047E-012</v>
      </c>
      <c r="E565" s="2" t="n">
        <v>0</v>
      </c>
    </row>
    <row r="566" customFormat="false" ht="13.8" hidden="false" customHeight="false" outlineLevel="0" collapsed="false">
      <c r="B566" s="2" t="n">
        <v>564</v>
      </c>
      <c r="C566" s="2" t="n">
        <v>6.89330510695774E-012</v>
      </c>
      <c r="D566" s="2" t="n">
        <v>3.06810718010058E-012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6.89337495615083E-012</v>
      </c>
      <c r="D567" s="2" t="n">
        <v>3.06814210469712E-012</v>
      </c>
      <c r="E567" s="2" t="n">
        <v>0</v>
      </c>
    </row>
    <row r="568" customFormat="false" ht="13.8" hidden="false" customHeight="false" outlineLevel="0" collapsed="false">
      <c r="B568" s="2" t="n">
        <v>566</v>
      </c>
      <c r="C568" s="2" t="n">
        <v>6.89344480534391E-012</v>
      </c>
      <c r="D568" s="2" t="n">
        <v>3.06817470098723E-012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6.89351931114987E-012</v>
      </c>
      <c r="D569" s="2" t="n">
        <v>3.06820729727734E-012</v>
      </c>
      <c r="E569" s="2" t="n">
        <v>0</v>
      </c>
    </row>
    <row r="570" customFormat="false" ht="13.8" hidden="false" customHeight="false" outlineLevel="0" collapsed="false">
      <c r="B570" s="2" t="n">
        <v>568</v>
      </c>
      <c r="C570" s="2" t="n">
        <v>6.89358683203652E-012</v>
      </c>
      <c r="D570" s="2" t="n">
        <v>3.06824222187389E-012</v>
      </c>
      <c r="E570" s="2" t="n">
        <v>0</v>
      </c>
    </row>
    <row r="571" customFormat="false" ht="13.8" hidden="false" customHeight="false" outlineLevel="0" collapsed="false">
      <c r="B571" s="2" t="n">
        <v>569</v>
      </c>
      <c r="C571" s="2" t="n">
        <v>6.8936566812296E-012</v>
      </c>
      <c r="D571" s="2" t="n">
        <v>3.06827248985756E-012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6.89373118703556E-012</v>
      </c>
      <c r="D572" s="2" t="n">
        <v>3.06830508614767E-012</v>
      </c>
      <c r="E572" s="2" t="n">
        <v>0</v>
      </c>
    </row>
    <row r="573" customFormat="false" ht="13.8" hidden="false" customHeight="false" outlineLevel="0" collapsed="false">
      <c r="B573" s="2" t="n">
        <v>571</v>
      </c>
      <c r="C573" s="2" t="n">
        <v>6.89380103622865E-012</v>
      </c>
      <c r="D573" s="2" t="n">
        <v>3.06833768243778E-012</v>
      </c>
      <c r="E573" s="2" t="n">
        <v>0</v>
      </c>
    </row>
    <row r="574" customFormat="false" ht="13.8" hidden="false" customHeight="false" outlineLevel="0" collapsed="false">
      <c r="B574" s="2" t="n">
        <v>572</v>
      </c>
      <c r="C574" s="2" t="n">
        <v>6.89387088542173E-012</v>
      </c>
      <c r="D574" s="2" t="n">
        <v>3.06837144288111E-012</v>
      </c>
      <c r="E574" s="2" t="n">
        <v>0</v>
      </c>
    </row>
    <row r="575" customFormat="false" ht="13.8" hidden="false" customHeight="false" outlineLevel="0" collapsed="false">
      <c r="B575" s="2" t="n">
        <v>573</v>
      </c>
      <c r="C575" s="2" t="n">
        <v>6.89394306292126E-012</v>
      </c>
      <c r="D575" s="2" t="n">
        <v>3.06840462124783E-012</v>
      </c>
      <c r="E575" s="2" t="n">
        <v>0</v>
      </c>
    </row>
    <row r="576" customFormat="false" ht="13.8" hidden="false" customHeight="false" outlineLevel="0" collapsed="false">
      <c r="B576" s="2" t="n">
        <v>574</v>
      </c>
      <c r="C576" s="2" t="n">
        <v>6.89401407626756E-012</v>
      </c>
      <c r="D576" s="2" t="n">
        <v>3.06843779961454E-012</v>
      </c>
      <c r="E576" s="2" t="n">
        <v>0</v>
      </c>
    </row>
    <row r="577" customFormat="false" ht="13.8" hidden="false" customHeight="false" outlineLevel="0" collapsed="false">
      <c r="B577" s="2" t="n">
        <v>575</v>
      </c>
      <c r="C577" s="2" t="n">
        <v>6.89408392546064E-012</v>
      </c>
      <c r="D577" s="2" t="n">
        <v>3.06847272421109E-012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6.89415493880695E-012</v>
      </c>
      <c r="D578" s="2" t="n">
        <v>3.06850415634798E-012</v>
      </c>
      <c r="E578" s="2" t="n">
        <v>0</v>
      </c>
    </row>
    <row r="579" customFormat="false" ht="13.8" hidden="false" customHeight="false" outlineLevel="0" collapsed="false">
      <c r="B579" s="2" t="n">
        <v>577</v>
      </c>
      <c r="C579" s="2" t="n">
        <v>6.89422828045969E-012</v>
      </c>
      <c r="D579" s="2" t="n">
        <v>3.06853558848487E-012</v>
      </c>
      <c r="E579" s="2" t="n">
        <v>0</v>
      </c>
    </row>
    <row r="580" customFormat="false" ht="13.8" hidden="false" customHeight="false" outlineLevel="0" collapsed="false">
      <c r="B580" s="2" t="n">
        <v>578</v>
      </c>
      <c r="C580" s="2" t="n">
        <v>6.89429871172938E-012</v>
      </c>
      <c r="D580" s="2" t="n">
        <v>3.06857051308142E-012</v>
      </c>
      <c r="E580" s="2" t="n">
        <v>0</v>
      </c>
    </row>
    <row r="581" customFormat="false" ht="13.8" hidden="false" customHeight="false" outlineLevel="0" collapsed="false">
      <c r="B581" s="2" t="n">
        <v>579</v>
      </c>
      <c r="C581" s="2" t="n">
        <v>6.89436914299908E-012</v>
      </c>
      <c r="D581" s="2" t="n">
        <v>3.06860078106509E-012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6.89444073842199E-012</v>
      </c>
      <c r="D582" s="2" t="n">
        <v>3.06863686981485E-012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6.89451116969168E-012</v>
      </c>
      <c r="D583" s="2" t="n">
        <v>3.06866830195175E-012</v>
      </c>
      <c r="E583" s="2" t="n">
        <v>0</v>
      </c>
    </row>
    <row r="584" customFormat="false" ht="13.8" hidden="false" customHeight="false" outlineLevel="0" collapsed="false">
      <c r="B584" s="2" t="n">
        <v>582</v>
      </c>
      <c r="C584" s="2" t="n">
        <v>6.89458334719121E-012</v>
      </c>
      <c r="D584" s="2" t="n">
        <v>3.06870206239507E-012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6.89465319638429E-012</v>
      </c>
      <c r="D585" s="2" t="n">
        <v>3.0687358228384E-012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6.89472537388382E-012</v>
      </c>
      <c r="D586" s="2" t="n">
        <v>3.06876841912851E-012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6.89479638723012E-012</v>
      </c>
      <c r="D587" s="2" t="n">
        <v>3.06880217957184E-012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6.89486740057642E-012</v>
      </c>
      <c r="D588" s="2" t="n">
        <v>3.06883477586195E-012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6.89493957807594E-012</v>
      </c>
      <c r="D589" s="2" t="n">
        <v>3.06886620799884E-012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6.89500942726903E-012</v>
      </c>
      <c r="D590" s="2" t="n">
        <v>3.0689022967486E-012</v>
      </c>
      <c r="E590" s="2" t="n">
        <v>0</v>
      </c>
    </row>
    <row r="591" customFormat="false" ht="13.8" hidden="false" customHeight="false" outlineLevel="0" collapsed="false">
      <c r="B591" s="2" t="n">
        <v>589</v>
      </c>
      <c r="C591" s="2" t="n">
        <v>6.89508044061533E-012</v>
      </c>
      <c r="D591" s="2" t="n">
        <v>3.06893372888549E-012</v>
      </c>
      <c r="E591" s="2" t="n">
        <v>0</v>
      </c>
    </row>
    <row r="592" customFormat="false" ht="13.8" hidden="false" customHeight="false" outlineLevel="0" collapsed="false">
      <c r="B592" s="2" t="n">
        <v>590</v>
      </c>
      <c r="C592" s="2" t="n">
        <v>6.89515145396164E-012</v>
      </c>
      <c r="D592" s="2" t="n">
        <v>3.0689663251756E-012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6.89522363146116E-012</v>
      </c>
      <c r="D593" s="2" t="n">
        <v>3.06900008561893E-012</v>
      </c>
      <c r="E593" s="2" t="n">
        <v>0</v>
      </c>
    </row>
    <row r="594" customFormat="false" ht="13.8" hidden="false" customHeight="false" outlineLevel="0" collapsed="false">
      <c r="B594" s="2" t="n">
        <v>592</v>
      </c>
      <c r="C594" s="2" t="n">
        <v>6.89529464480746E-012</v>
      </c>
      <c r="D594" s="2" t="n">
        <v>3.06903268190904E-012</v>
      </c>
      <c r="E594" s="2" t="n">
        <v>0</v>
      </c>
    </row>
    <row r="595" customFormat="false" ht="13.8" hidden="false" customHeight="false" outlineLevel="0" collapsed="false">
      <c r="B595" s="2" t="n">
        <v>593</v>
      </c>
      <c r="C595" s="2" t="n">
        <v>6.89536449400055E-012</v>
      </c>
      <c r="D595" s="2" t="n">
        <v>3.06906527819915E-012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6.89543550734685E-012</v>
      </c>
      <c r="D596" s="2" t="n">
        <v>3.06909903864247E-012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6.89550652069316E-012</v>
      </c>
      <c r="D597" s="2" t="n">
        <v>3.06913396323902E-012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6.89557811611607E-012</v>
      </c>
      <c r="D598" s="2" t="n">
        <v>3.06916539537591E-012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6.89564854738577E-012</v>
      </c>
      <c r="D599" s="2" t="n">
        <v>3.06919915581924E-012</v>
      </c>
      <c r="E599" s="2" t="n">
        <v>0</v>
      </c>
    </row>
    <row r="600" customFormat="false" ht="13.8" hidden="false" customHeight="false" outlineLevel="0" collapsed="false">
      <c r="B600" s="2" t="n">
        <v>598</v>
      </c>
      <c r="C600" s="2" t="n">
        <v>6.89572014280868E-012</v>
      </c>
      <c r="D600" s="2" t="n">
        <v>3.06923175210935E-012</v>
      </c>
      <c r="E600" s="2" t="n">
        <v>0</v>
      </c>
    </row>
    <row r="601" customFormat="false" ht="13.8" hidden="false" customHeight="false" outlineLevel="0" collapsed="false">
      <c r="B601" s="2" t="n">
        <v>599</v>
      </c>
      <c r="C601" s="2" t="n">
        <v>6.89579173823159E-012</v>
      </c>
      <c r="D601" s="2" t="n">
        <v>3.06926551255268E-012</v>
      </c>
      <c r="E601" s="2" t="n">
        <v>0</v>
      </c>
    </row>
    <row r="602" customFormat="false" ht="13.8" hidden="false" customHeight="false" outlineLevel="0" collapsed="false">
      <c r="B602" s="2" t="n">
        <v>600</v>
      </c>
      <c r="C602" s="2" t="n">
        <v>6.89586158742468E-012</v>
      </c>
      <c r="D602" s="2" t="n">
        <v>3.06929578053635E-012</v>
      </c>
      <c r="E602" s="2" t="n">
        <v>0</v>
      </c>
    </row>
    <row r="603" customFormat="false" ht="13.8" hidden="false" customHeight="false" outlineLevel="0" collapsed="false">
      <c r="B603" s="2" t="n">
        <v>601</v>
      </c>
      <c r="C603" s="2" t="n">
        <v>6.8959337649242E-012</v>
      </c>
      <c r="D603" s="2" t="n">
        <v>3.06933186928611E-012</v>
      </c>
      <c r="E603" s="2" t="n">
        <v>0</v>
      </c>
    </row>
    <row r="604" customFormat="false" ht="13.8" hidden="false" customHeight="false" outlineLevel="0" collapsed="false">
      <c r="B604" s="2" t="n">
        <v>602</v>
      </c>
      <c r="C604" s="2" t="n">
        <v>6.8960047782705E-012</v>
      </c>
      <c r="D604" s="2" t="n">
        <v>3.06936446557622E-012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6.89607811992324E-012</v>
      </c>
      <c r="D605" s="2" t="n">
        <v>3.0693947335599E-012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1.51339870878406E-017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0</v>
      </c>
      <c r="D624" s="2" t="n">
        <v>1.86264491171645E-017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3.14321333515867E-017</v>
      </c>
      <c r="D625" s="2" t="n">
        <v>3.37604395692841E-017</v>
      </c>
      <c r="E625" s="2" t="n">
        <v>2.61934363618506E-017</v>
      </c>
    </row>
    <row r="626" customFormat="false" ht="13.8" hidden="false" customHeight="false" outlineLevel="0" collapsed="false">
      <c r="B626" s="2" t="n">
        <v>624</v>
      </c>
      <c r="C626" s="2" t="n">
        <v>1.1175869777828E-016</v>
      </c>
      <c r="D626" s="2" t="n">
        <v>1.28056839942652E-016</v>
      </c>
      <c r="E626" s="2" t="n">
        <v>5.355102938459E-017</v>
      </c>
    </row>
    <row r="627" customFormat="false" ht="13.8" hidden="false" customHeight="false" outlineLevel="0" collapsed="false">
      <c r="B627" s="2" t="n">
        <v>625</v>
      </c>
      <c r="C627" s="2" t="n">
        <v>1.5366821073242E-016</v>
      </c>
      <c r="D627" s="2" t="n">
        <v>1.81607882933232E-016</v>
      </c>
      <c r="E627" s="2" t="n">
        <v>8.49831614545289E-017</v>
      </c>
    </row>
    <row r="628" customFormat="false" ht="13.8" hidden="false" customHeight="false" outlineLevel="0" collapsed="false">
      <c r="B628" s="2" t="n">
        <v>626</v>
      </c>
      <c r="C628" s="2" t="n">
        <v>1.74622969107897E-016</v>
      </c>
      <c r="D628" s="2" t="n">
        <v>2.18860784069468E-016</v>
      </c>
      <c r="E628" s="2" t="n">
        <v>3.35276030958501E-016</v>
      </c>
    </row>
    <row r="629" customFormat="false" ht="13.8" hidden="false" customHeight="false" outlineLevel="0" collapsed="false">
      <c r="B629" s="2" t="n">
        <v>627</v>
      </c>
      <c r="C629" s="2" t="n">
        <v>2.09547563585748E-016</v>
      </c>
      <c r="D629" s="2" t="n">
        <v>2.54949531947778E-016</v>
      </c>
      <c r="E629" s="2" t="n">
        <v>4.85451755721981E-016</v>
      </c>
    </row>
    <row r="630" customFormat="false" ht="13.8" hidden="false" customHeight="false" outlineLevel="0" collapsed="false">
      <c r="B630" s="2" t="n">
        <v>628</v>
      </c>
      <c r="C630" s="2" t="n">
        <v>2.37487239720435E-016</v>
      </c>
      <c r="D630" s="2" t="n">
        <v>2.79396749449715E-016</v>
      </c>
      <c r="E630" s="2" t="n">
        <v>6.40284090710473E-016</v>
      </c>
    </row>
    <row r="631" customFormat="false" ht="13.8" hidden="false" customHeight="false" outlineLevel="0" collapsed="false">
      <c r="B631" s="2" t="n">
        <v>629</v>
      </c>
      <c r="C631" s="2" t="n">
        <v>2.66591068831819E-016</v>
      </c>
      <c r="D631" s="2" t="n">
        <v>3.06172272751179E-016</v>
      </c>
      <c r="E631" s="2" t="n">
        <v>7.97444730830413E-016</v>
      </c>
    </row>
    <row r="632" customFormat="false" ht="13.8" hidden="false" customHeight="false" outlineLevel="0" collapsed="false">
      <c r="B632" s="2" t="n">
        <v>630</v>
      </c>
      <c r="C632" s="2" t="n">
        <v>2.91038285638485E-016</v>
      </c>
      <c r="D632" s="2" t="n">
        <v>3.35276102005889E-016</v>
      </c>
      <c r="E632" s="2" t="n">
        <v>9.49948760685628E-016</v>
      </c>
    </row>
    <row r="633" customFormat="false" ht="13.8" hidden="false" customHeight="false" outlineLevel="0" collapsed="false">
      <c r="B633" s="2" t="n">
        <v>631</v>
      </c>
      <c r="C633" s="2" t="n">
        <v>3.06754354322499E-016</v>
      </c>
      <c r="D633" s="2" t="n">
        <v>3.5681293634694E-016</v>
      </c>
      <c r="E633" s="2" t="n">
        <v>1.10478109567317E-015</v>
      </c>
    </row>
    <row r="634" customFormat="false" ht="13.8" hidden="false" customHeight="false" outlineLevel="0" collapsed="false">
      <c r="B634" s="2" t="n">
        <v>632</v>
      </c>
      <c r="C634" s="2" t="n">
        <v>3.27127035202972E-016</v>
      </c>
      <c r="D634" s="2" t="n">
        <v>3.79513923624437E-016</v>
      </c>
      <c r="E634" s="2" t="n">
        <v>1.25961343066092E-015</v>
      </c>
    </row>
    <row r="635" customFormat="false" ht="13.8" hidden="false" customHeight="false" outlineLevel="0" collapsed="false">
      <c r="B635" s="2" t="n">
        <v>633</v>
      </c>
      <c r="C635" s="2" t="n">
        <v>3.46917639484918E-016</v>
      </c>
      <c r="D635" s="2" t="n">
        <v>3.91737533199178E-016</v>
      </c>
      <c r="E635" s="2" t="n">
        <v>1.41677407078549E-015</v>
      </c>
    </row>
    <row r="636" customFormat="false" ht="13.8" hidden="false" customHeight="false" outlineLevel="0" collapsed="false">
      <c r="B636" s="2" t="n">
        <v>634</v>
      </c>
      <c r="C636" s="2" t="n">
        <v>3.53902559695319E-016</v>
      </c>
      <c r="D636" s="2" t="n">
        <v>4.10946061067714E-016</v>
      </c>
      <c r="E636" s="2" t="n">
        <v>1.6205008132008E-015</v>
      </c>
    </row>
    <row r="637" customFormat="false" ht="13.8" hidden="false" customHeight="false" outlineLevel="0" collapsed="false">
      <c r="B637" s="2" t="n">
        <v>635</v>
      </c>
      <c r="C637" s="2" t="n">
        <v>3.5972332665077E-016</v>
      </c>
      <c r="D637" s="2" t="n">
        <v>4.21423440749801E-016</v>
      </c>
      <c r="E637" s="2" t="n">
        <v>1.6880217057754E-015</v>
      </c>
    </row>
    <row r="638" customFormat="false" ht="13.8" hidden="false" customHeight="false" outlineLevel="0" collapsed="false">
      <c r="B638" s="2" t="n">
        <v>636</v>
      </c>
      <c r="C638" s="2" t="n">
        <v>3.72529012125412E-016</v>
      </c>
      <c r="D638" s="2" t="n">
        <v>4.28408361028638E-016</v>
      </c>
      <c r="E638" s="2" t="n">
        <v>1.7974520897853E-015</v>
      </c>
    </row>
    <row r="639" customFormat="false" ht="13.8" hidden="false" customHeight="false" outlineLevel="0" collapsed="false">
      <c r="B639" s="2" t="n">
        <v>637</v>
      </c>
      <c r="C639" s="2" t="n">
        <v>3.77185625763794E-016</v>
      </c>
      <c r="D639" s="2" t="n">
        <v>4.38885740460352E-016</v>
      </c>
      <c r="E639" s="2" t="n">
        <v>6.9150694613762E-016</v>
      </c>
    </row>
    <row r="640" customFormat="false" ht="13.8" hidden="false" customHeight="false" outlineLevel="0" collapsed="false">
      <c r="B640" s="2" t="n">
        <v>638</v>
      </c>
      <c r="C640" s="2" t="n">
        <v>3.81842239301648E-016</v>
      </c>
      <c r="D640" s="2" t="n">
        <v>4.42378201192202E-016</v>
      </c>
      <c r="E640" s="2" t="n">
        <v>7.75325966836154E-016</v>
      </c>
    </row>
    <row r="641" customFormat="false" ht="13.8" hidden="false" customHeight="false" outlineLevel="0" collapsed="false">
      <c r="B641" s="2" t="n">
        <v>639</v>
      </c>
      <c r="C641" s="2" t="n">
        <v>3.85334699632945E-016</v>
      </c>
      <c r="D641" s="2" t="n">
        <v>4.4237820246521E-016</v>
      </c>
      <c r="E641" s="2" t="n">
        <v>2.16066781816063E-015</v>
      </c>
    </row>
    <row r="642" customFormat="false" ht="13.8" hidden="false" customHeight="false" outlineLevel="0" collapsed="false">
      <c r="B642" s="2" t="n">
        <v>640</v>
      </c>
      <c r="C642" s="2" t="n">
        <v>4.79631125925131E-016</v>
      </c>
      <c r="D642" s="2" t="n">
        <v>5.51808625457235E-016</v>
      </c>
      <c r="E642" s="2" t="n">
        <v>2.5890767573774E-015</v>
      </c>
    </row>
    <row r="643" customFormat="false" ht="13.8" hidden="false" customHeight="false" outlineLevel="0" collapsed="false">
      <c r="B643" s="2" t="n">
        <v>641</v>
      </c>
      <c r="C643" s="2" t="n">
        <v>4.79631125925131E-016</v>
      </c>
      <c r="D643" s="2" t="n">
        <v>5.51808625457235E-016</v>
      </c>
      <c r="E643" s="2" t="n">
        <v>2.5948975234685E-015</v>
      </c>
    </row>
    <row r="644" customFormat="false" ht="13.8" hidden="false" customHeight="false" outlineLevel="0" collapsed="false">
      <c r="B644" s="2" t="n">
        <v>642</v>
      </c>
      <c r="C644" s="2" t="n">
        <v>4.80795279143392E-016</v>
      </c>
      <c r="D644" s="2" t="n">
        <v>5.54136931893753E-016</v>
      </c>
      <c r="E644" s="2" t="n">
        <v>2.57510691875874E-015</v>
      </c>
    </row>
    <row r="645" customFormat="false" ht="13.8" hidden="false" customHeight="false" outlineLevel="0" collapsed="false">
      <c r="B645" s="2" t="n">
        <v>643</v>
      </c>
      <c r="C645" s="2" t="n">
        <v>4.84287738798173E-016</v>
      </c>
      <c r="D645" s="2" t="n">
        <v>5.50644472238976E-016</v>
      </c>
      <c r="E645" s="2" t="n">
        <v>2.57743522519519E-015</v>
      </c>
    </row>
    <row r="646" customFormat="false" ht="13.8" hidden="false" customHeight="false" outlineLevel="0" collapsed="false">
      <c r="B646" s="2" t="n">
        <v>644</v>
      </c>
      <c r="C646" s="2" t="n">
        <v>4.84287738798173E-016</v>
      </c>
      <c r="D646" s="2" t="n">
        <v>5.47152012584199E-016</v>
      </c>
      <c r="E646" s="2" t="n">
        <v>2.57743522519519E-015</v>
      </c>
    </row>
    <row r="647" customFormat="false" ht="13.8" hidden="false" customHeight="false" outlineLevel="0" collapsed="false">
      <c r="B647" s="2" t="n">
        <v>645</v>
      </c>
      <c r="C647" s="2" t="n">
        <v>4.81959432361652E-016</v>
      </c>
      <c r="D647" s="2" t="n">
        <v>5.2619725465553E-016</v>
      </c>
      <c r="E647" s="2" t="n">
        <v>2.57743522519519E-015</v>
      </c>
    </row>
    <row r="648" customFormat="false" ht="13.8" hidden="false" customHeight="false" outlineLevel="0" collapsed="false">
      <c r="B648" s="2" t="n">
        <v>646</v>
      </c>
      <c r="C648" s="2" t="n">
        <v>4.84287738798173E-016</v>
      </c>
      <c r="D648" s="2" t="n">
        <v>5.56465238330271E-016</v>
      </c>
      <c r="E648" s="2" t="n">
        <v>2.57976353163163E-015</v>
      </c>
    </row>
    <row r="649" customFormat="false" ht="13.8" hidden="false" customHeight="false" outlineLevel="0" collapsed="false">
      <c r="B649" s="2" t="n">
        <v>647</v>
      </c>
      <c r="C649" s="2" t="n">
        <v>4.84287738798173E-016</v>
      </c>
      <c r="D649" s="2" t="n">
        <v>5.02332113681205E-016</v>
      </c>
      <c r="E649" s="2" t="n">
        <v>2.57743522519519E-015</v>
      </c>
    </row>
    <row r="650" customFormat="false" ht="13.8" hidden="false" customHeight="false" outlineLevel="0" collapsed="false">
      <c r="B650" s="2" t="n">
        <v>648</v>
      </c>
      <c r="C650" s="2" t="n">
        <v>4.33064997194697E-016</v>
      </c>
      <c r="D650" s="2" t="n">
        <v>5.58793544766789E-016</v>
      </c>
      <c r="E650" s="2" t="n">
        <v>2.5727786123223E-015</v>
      </c>
    </row>
    <row r="651" customFormat="false" ht="13.8" hidden="false" customHeight="false" outlineLevel="0" collapsed="false">
      <c r="B651" s="2" t="n">
        <v>649</v>
      </c>
      <c r="C651" s="2" t="n">
        <v>4.84287738798173E-016</v>
      </c>
      <c r="D651" s="2" t="n">
        <v>5.61121851203307E-016</v>
      </c>
      <c r="E651" s="2" t="n">
        <v>2.57976353163163E-015</v>
      </c>
    </row>
    <row r="652" customFormat="false" ht="13.8" hidden="false" customHeight="false" outlineLevel="0" collapsed="false">
      <c r="B652" s="2" t="n">
        <v>650</v>
      </c>
      <c r="C652" s="2" t="n">
        <v>4.84287738798173E-016</v>
      </c>
      <c r="D652" s="2" t="n">
        <v>5.56465238330271E-016</v>
      </c>
      <c r="E652" s="2" t="n">
        <v>2.57743522519519E-015</v>
      </c>
    </row>
    <row r="653" customFormat="false" ht="13.8" hidden="false" customHeight="false" outlineLevel="0" collapsed="false">
      <c r="B653" s="2" t="n">
        <v>651</v>
      </c>
      <c r="C653" s="2" t="n">
        <v>4.84287738798173E-016</v>
      </c>
      <c r="D653" s="2" t="n">
        <v>5.56465238330271E-016</v>
      </c>
      <c r="E653" s="2" t="n">
        <v>2.57859937841341E-015</v>
      </c>
    </row>
    <row r="654" customFormat="false" ht="13.8" hidden="false" customHeight="false" outlineLevel="0" collapsed="false">
      <c r="B654" s="2" t="n">
        <v>652</v>
      </c>
      <c r="C654" s="2" t="n">
        <v>4.84287738798173E-016</v>
      </c>
      <c r="D654" s="2" t="n">
        <v>5.58793544766789E-016</v>
      </c>
      <c r="E654" s="2" t="n">
        <v>2.57743522519519E-015</v>
      </c>
    </row>
    <row r="655" customFormat="false" ht="13.8" hidden="false" customHeight="false" outlineLevel="0" collapsed="false">
      <c r="B655" s="2" t="n">
        <v>653</v>
      </c>
      <c r="C655" s="2" t="n">
        <v>4.86616045234693E-016</v>
      </c>
      <c r="D655" s="2" t="n">
        <v>5.56465238330272E-016</v>
      </c>
      <c r="E655" s="2" t="n">
        <v>2.57743522519519E-015</v>
      </c>
    </row>
    <row r="656" customFormat="false" ht="13.8" hidden="false" customHeight="false" outlineLevel="0" collapsed="false">
      <c r="B656" s="2" t="n">
        <v>654</v>
      </c>
      <c r="C656" s="2" t="n">
        <v>4.81959432361652E-016</v>
      </c>
      <c r="D656" s="2" t="n">
        <v>5.5879354476679E-016</v>
      </c>
      <c r="E656" s="2" t="n">
        <v>2.57743522519519E-015</v>
      </c>
    </row>
    <row r="657" customFormat="false" ht="13.8" hidden="false" customHeight="false" outlineLevel="0" collapsed="false">
      <c r="B657" s="2" t="n">
        <v>655</v>
      </c>
      <c r="C657" s="2" t="n">
        <v>4.86616045234694E-016</v>
      </c>
      <c r="D657" s="2" t="n">
        <v>5.56465238330272E-016</v>
      </c>
      <c r="E657" s="2" t="n">
        <v>2.57976353163163E-015</v>
      </c>
    </row>
    <row r="658" customFormat="false" ht="13.8" hidden="false" customHeight="false" outlineLevel="0" collapsed="false">
      <c r="B658" s="2" t="n">
        <v>656</v>
      </c>
      <c r="C658" s="2" t="n">
        <v>4.86616045234693E-016</v>
      </c>
      <c r="D658" s="2" t="n">
        <v>5.56465238330272E-016</v>
      </c>
      <c r="E658" s="2" t="n">
        <v>2.57743522519519E-015</v>
      </c>
    </row>
    <row r="659" customFormat="false" ht="13.8" hidden="false" customHeight="false" outlineLevel="0" collapsed="false">
      <c r="B659" s="2" t="n">
        <v>657</v>
      </c>
      <c r="C659" s="2" t="n">
        <v>4.84287738798173E-016</v>
      </c>
      <c r="D659" s="2" t="n">
        <v>5.56465238330271E-016</v>
      </c>
      <c r="E659" s="2" t="n">
        <v>2.57743522519519E-015</v>
      </c>
    </row>
    <row r="660" customFormat="false" ht="13.8" hidden="false" customHeight="false" outlineLevel="0" collapsed="false">
      <c r="B660" s="2" t="n">
        <v>658</v>
      </c>
      <c r="C660" s="2" t="n">
        <v>4.84287738798173E-016</v>
      </c>
      <c r="D660" s="2" t="n">
        <v>5.5879354476679E-016</v>
      </c>
      <c r="E660" s="2" t="n">
        <v>2.57743522519519E-015</v>
      </c>
    </row>
    <row r="661" customFormat="false" ht="13.8" hidden="false" customHeight="false" outlineLevel="0" collapsed="false">
      <c r="B661" s="2" t="n">
        <v>659</v>
      </c>
      <c r="C661" s="2" t="n">
        <v>4.86616045234693E-016</v>
      </c>
      <c r="D661" s="2" t="n">
        <v>5.61121851203307E-016</v>
      </c>
      <c r="E661" s="2" t="n">
        <v>2.57743522519519E-015</v>
      </c>
    </row>
    <row r="662" customFormat="false" ht="13.8" hidden="false" customHeight="false" outlineLevel="0" collapsed="false">
      <c r="B662" s="2" t="n">
        <v>660</v>
      </c>
      <c r="C662" s="2" t="n">
        <v>4.86616045234693E-016</v>
      </c>
      <c r="D662" s="2" t="n">
        <v>5.57629391548531E-016</v>
      </c>
      <c r="E662" s="2" t="n">
        <v>2.57743522519519E-015</v>
      </c>
    </row>
    <row r="663" customFormat="false" ht="13.8" hidden="false" customHeight="false" outlineLevel="0" collapsed="false">
      <c r="B663" s="2" t="n">
        <v>661</v>
      </c>
      <c r="C663" s="2" t="n">
        <v>4.86616045234693E-016</v>
      </c>
      <c r="D663" s="2" t="n">
        <v>5.58793544766789E-016</v>
      </c>
      <c r="E663" s="2" t="n">
        <v>2.57743522519519E-015</v>
      </c>
    </row>
    <row r="664" customFormat="false" ht="13.8" hidden="false" customHeight="false" outlineLevel="0" collapsed="false">
      <c r="B664" s="2" t="n">
        <v>662</v>
      </c>
      <c r="C664" s="2" t="n">
        <v>4.84287738798173E-016</v>
      </c>
      <c r="D664" s="2" t="n">
        <v>5.56465238330272E-016</v>
      </c>
      <c r="E664" s="2" t="n">
        <v>2.57859937841341E-015</v>
      </c>
    </row>
    <row r="665" customFormat="false" ht="13.8" hidden="false" customHeight="false" outlineLevel="0" collapsed="false">
      <c r="B665" s="2" t="n">
        <v>663</v>
      </c>
      <c r="C665" s="2" t="n">
        <v>4.84287738798173E-016</v>
      </c>
      <c r="D665" s="2" t="n">
        <v>5.5879354476679E-016</v>
      </c>
      <c r="E665" s="2" t="n">
        <v>2.57976353163163E-015</v>
      </c>
    </row>
    <row r="666" customFormat="false" ht="13.8" hidden="false" customHeight="false" outlineLevel="0" collapsed="false">
      <c r="B666" s="2" t="n">
        <v>664</v>
      </c>
      <c r="C666" s="2" t="n">
        <v>4.84287738798173E-016</v>
      </c>
      <c r="D666" s="2" t="n">
        <v>5.56465238330272E-016</v>
      </c>
      <c r="E666" s="2" t="n">
        <v>2.57976353163163E-015</v>
      </c>
    </row>
    <row r="667" customFormat="false" ht="13.8" hidden="false" customHeight="false" outlineLevel="0" collapsed="false">
      <c r="B667" s="2" t="n">
        <v>665</v>
      </c>
      <c r="C667" s="2" t="n">
        <v>4.84287738798173E-016</v>
      </c>
      <c r="D667" s="2" t="n">
        <v>5.5879354476679E-016</v>
      </c>
      <c r="E667" s="2" t="n">
        <v>2.57743522519519E-015</v>
      </c>
    </row>
    <row r="668" customFormat="false" ht="13.8" hidden="false" customHeight="false" outlineLevel="0" collapsed="false">
      <c r="B668" s="2" t="n">
        <v>666</v>
      </c>
      <c r="C668" s="2" t="n">
        <v>4.84287738798173E-016</v>
      </c>
      <c r="D668" s="2" t="n">
        <v>5.57629391548531E-016</v>
      </c>
      <c r="E668" s="2" t="n">
        <v>2.57743522519519E-015</v>
      </c>
    </row>
    <row r="669" customFormat="false" ht="13.8" hidden="false" customHeight="false" outlineLevel="0" collapsed="false">
      <c r="B669" s="2" t="n">
        <v>667</v>
      </c>
      <c r="C669" s="2" t="n">
        <v>4.86616045234694E-016</v>
      </c>
      <c r="D669" s="2" t="n">
        <v>5.56465238330272E-016</v>
      </c>
      <c r="E669" s="2" t="n">
        <v>2.57743522519519E-015</v>
      </c>
    </row>
    <row r="670" customFormat="false" ht="13.8" hidden="false" customHeight="false" outlineLevel="0" collapsed="false">
      <c r="B670" s="2" t="n">
        <v>668</v>
      </c>
      <c r="C670" s="2" t="n">
        <v>4.86616045234694E-016</v>
      </c>
      <c r="D670" s="2" t="n">
        <v>5.56465238330272E-016</v>
      </c>
      <c r="E670" s="2" t="n">
        <v>2.57743522519519E-015</v>
      </c>
    </row>
    <row r="671" customFormat="false" ht="13.8" hidden="false" customHeight="false" outlineLevel="0" collapsed="false">
      <c r="B671" s="2" t="n">
        <v>669</v>
      </c>
      <c r="C671" s="2" t="n">
        <v>4.84287738798173E-016</v>
      </c>
      <c r="D671" s="2" t="n">
        <v>5.61121851203307E-016</v>
      </c>
      <c r="E671" s="2" t="n">
        <v>2.57976353163164E-015</v>
      </c>
    </row>
    <row r="672" customFormat="false" ht="13.8" hidden="false" customHeight="false" outlineLevel="0" collapsed="false">
      <c r="B672" s="2" t="n">
        <v>670</v>
      </c>
      <c r="C672" s="2" t="n">
        <v>4.86616045234694E-016</v>
      </c>
      <c r="D672" s="2" t="n">
        <v>5.56465238330272E-016</v>
      </c>
      <c r="E672" s="2" t="n">
        <v>2.57743522519519E-015</v>
      </c>
    </row>
    <row r="673" customFormat="false" ht="13.8" hidden="false" customHeight="false" outlineLevel="0" collapsed="false">
      <c r="B673" s="2" t="n">
        <v>671</v>
      </c>
      <c r="C673" s="2" t="n">
        <v>4.84287738798173E-016</v>
      </c>
      <c r="D673" s="2" t="n">
        <v>5.5879354476679E-016</v>
      </c>
      <c r="E673" s="2" t="n">
        <v>2.57859937841341E-015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7.45058059691391E-017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B13:E16 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0</v>
      </c>
      <c r="D24" s="2" t="n">
        <v>0</v>
      </c>
      <c r="E24" s="2" t="n">
        <v>0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0</v>
      </c>
      <c r="D26" s="2" t="n">
        <v>0</v>
      </c>
      <c r="E26" s="2" t="n">
        <v>0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0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0</v>
      </c>
      <c r="D30" s="2" t="n">
        <v>0</v>
      </c>
      <c r="E30" s="2" t="n">
        <v>0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0.0154276828934355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0.00578039690950918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0.0285967060402093</v>
      </c>
      <c r="E35" s="2" t="n">
        <v>0.0333646574926078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0.00250899534814636</v>
      </c>
      <c r="E36" s="2" t="n">
        <v>0.000972808234640429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2.70477386722632E-010</v>
      </c>
      <c r="E42" s="2" t="n">
        <v>3.53730100076064E-010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7.8274380095536E-010</v>
      </c>
      <c r="E43" s="2" t="n">
        <v>7.73636044839805E-010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1.29502708360815E-009</v>
      </c>
      <c r="E44" s="2" t="n">
        <v>1.19355875648034E-009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1.80732688017452E-009</v>
      </c>
      <c r="E45" s="2" t="n">
        <v>1.61349797878211E-009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2.31964354015509E-009</v>
      </c>
      <c r="E46" s="2" t="n">
        <v>2.03345395869838E-009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2.83197670889786E-009</v>
      </c>
      <c r="E47" s="2" t="n">
        <v>2.45342654063279E-009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3.34432690517861E-009</v>
      </c>
      <c r="E48" s="2" t="n">
        <v>2.87341590433789E-009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3.85973434391781E-009</v>
      </c>
      <c r="E49" s="2" t="n">
        <v>3.2934217935981E-009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4.37815256382601E-009</v>
      </c>
      <c r="E50" s="2" t="n">
        <v>3.71344452238555E-009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4.34609439617634E-009</v>
      </c>
      <c r="E51" s="2" t="n">
        <v>4.13348390161264E-009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0.127261798807948</v>
      </c>
      <c r="E52" s="2" t="n">
        <v>4.55354011095915E-009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0.238476731825127</v>
      </c>
      <c r="E53" s="2" t="n">
        <v>4.97377975777636E-009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0.278587744484955</v>
      </c>
      <c r="E54" s="2" t="n">
        <v>5.39737225318823E-009</v>
      </c>
    </row>
    <row r="55" customFormat="false" ht="13.8" hidden="false" customHeight="false" outlineLevel="0" collapsed="false">
      <c r="B55" s="2" t="n">
        <v>53</v>
      </c>
      <c r="C55" s="2" t="n">
        <v>0.147531432037331</v>
      </c>
      <c r="D55" s="2" t="n">
        <v>0.289764664322394</v>
      </c>
      <c r="E55" s="2" t="n">
        <v>5.44459658796405E-009</v>
      </c>
    </row>
    <row r="56" customFormat="false" ht="13.8" hidden="false" customHeight="false" outlineLevel="0" collapsed="false">
      <c r="B56" s="2" t="n">
        <v>54</v>
      </c>
      <c r="C56" s="2" t="n">
        <v>0.264378184911352</v>
      </c>
      <c r="D56" s="2" t="n">
        <v>0.280114837908314</v>
      </c>
      <c r="E56" s="2" t="n">
        <v>0.135189523802028</v>
      </c>
    </row>
    <row r="57" customFormat="false" ht="13.8" hidden="false" customHeight="false" outlineLevel="0" collapsed="false">
      <c r="B57" s="2" t="n">
        <v>55</v>
      </c>
      <c r="C57" s="2" t="n">
        <v>0.304981166518891</v>
      </c>
      <c r="D57" s="2" t="n">
        <v>0.266798778160898</v>
      </c>
      <c r="E57" s="2" t="n">
        <v>0.212441002047792</v>
      </c>
    </row>
    <row r="58" customFormat="false" ht="13.8" hidden="false" customHeight="false" outlineLevel="0" collapsed="false">
      <c r="B58" s="2" t="n">
        <v>56</v>
      </c>
      <c r="C58" s="2" t="n">
        <v>0.303231250602167</v>
      </c>
      <c r="D58" s="2" t="n">
        <v>0.255765901746818</v>
      </c>
      <c r="E58" s="2" t="n">
        <v>0.319093204938407</v>
      </c>
    </row>
    <row r="59" customFormat="false" ht="13.8" hidden="false" customHeight="false" outlineLevel="0" collapsed="false">
      <c r="B59" s="2" t="n">
        <v>57</v>
      </c>
      <c r="C59" s="2" t="n">
        <v>0.303367748345522</v>
      </c>
      <c r="D59" s="2" t="n">
        <v>0.246250375332738</v>
      </c>
      <c r="E59" s="2" t="n">
        <v>0.28121287794529</v>
      </c>
    </row>
    <row r="60" customFormat="false" ht="13.8" hidden="false" customHeight="false" outlineLevel="0" collapsed="false">
      <c r="B60" s="2" t="n">
        <v>58</v>
      </c>
      <c r="C60" s="2" t="n">
        <v>0.242632263119308</v>
      </c>
      <c r="D60" s="2" t="n">
        <v>0.214482289690664</v>
      </c>
      <c r="E60" s="2" t="n">
        <v>0.287547522940245</v>
      </c>
    </row>
    <row r="61" customFormat="false" ht="13.8" hidden="false" customHeight="false" outlineLevel="0" collapsed="false">
      <c r="B61" s="2" t="n">
        <v>59</v>
      </c>
      <c r="C61" s="2" t="n">
        <v>0.218313511226427</v>
      </c>
      <c r="D61" s="2" t="n">
        <v>0.184580737381924</v>
      </c>
      <c r="E61" s="2" t="n">
        <v>0.226215451268535</v>
      </c>
    </row>
    <row r="62" customFormat="false" ht="13.8" hidden="false" customHeight="false" outlineLevel="0" collapsed="false">
      <c r="B62" s="2" t="n">
        <v>60</v>
      </c>
      <c r="C62" s="2" t="n">
        <v>0.167994659333545</v>
      </c>
      <c r="D62" s="2" t="n">
        <v>0.191345351739849</v>
      </c>
      <c r="E62" s="2" t="n">
        <v>0.176717012930157</v>
      </c>
    </row>
    <row r="63" customFormat="false" ht="13.8" hidden="false" customHeight="false" outlineLevel="0" collapsed="false">
      <c r="B63" s="2" t="n">
        <v>61</v>
      </c>
      <c r="C63" s="2" t="n">
        <v>0.143675324107331</v>
      </c>
      <c r="D63" s="2" t="n">
        <v>0.0822770494311077</v>
      </c>
      <c r="E63" s="2" t="n">
        <v>0.157051557925113</v>
      </c>
    </row>
    <row r="64" customFormat="false" ht="13.8" hidden="false" customHeight="false" outlineLevel="0" collapsed="false">
      <c r="B64" s="2" t="n">
        <v>62</v>
      </c>
      <c r="C64" s="2" t="n">
        <v>0.110708728561285</v>
      </c>
      <c r="D64" s="2" t="n">
        <v>0.130311739893658</v>
      </c>
      <c r="E64" s="2" t="n">
        <v>0.117559052391918</v>
      </c>
    </row>
    <row r="65" customFormat="false" ht="13.8" hidden="false" customHeight="false" outlineLevel="0" collapsed="false">
      <c r="B65" s="2" t="n">
        <v>63</v>
      </c>
      <c r="C65" s="2" t="n">
        <v>0.104325433015238</v>
      </c>
      <c r="D65" s="2" t="n">
        <v>0.0916795470228735</v>
      </c>
      <c r="E65" s="2" t="n">
        <v>0.117066546858719</v>
      </c>
    </row>
    <row r="66" customFormat="false" ht="13.8" hidden="false" customHeight="false" outlineLevel="0" collapsed="false">
      <c r="B66" s="2" t="n">
        <v>64</v>
      </c>
      <c r="C66" s="2" t="n">
        <v>0.0722754041358582</v>
      </c>
      <c r="D66" s="2" t="n">
        <v>0.0635477041520894</v>
      </c>
      <c r="E66" s="2" t="n">
        <v>0.0775740413255216</v>
      </c>
    </row>
    <row r="67" customFormat="false" ht="13.8" hidden="false" customHeight="false" outlineLevel="0" collapsed="false">
      <c r="B67" s="2" t="n">
        <v>65</v>
      </c>
      <c r="C67" s="2" t="n">
        <v>0.0662253752564789</v>
      </c>
      <c r="D67" s="2" t="n">
        <v>0.0468322446146384</v>
      </c>
      <c r="E67" s="2" t="n">
        <v>0.0770815357923245</v>
      </c>
    </row>
    <row r="68" customFormat="false" ht="13.8" hidden="false" customHeight="false" outlineLevel="0" collapsed="false">
      <c r="B68" s="2" t="n">
        <v>66</v>
      </c>
      <c r="C68" s="2" t="n">
        <v>0.0350720916706075</v>
      </c>
      <c r="D68" s="2" t="n">
        <v>0.0296358777262743</v>
      </c>
      <c r="E68" s="2" t="n">
        <v>0.0347184777473755</v>
      </c>
    </row>
    <row r="69" customFormat="false" ht="13.8" hidden="false" customHeight="false" outlineLevel="0" collapsed="false">
      <c r="B69" s="2" t="n">
        <v>67</v>
      </c>
      <c r="C69" s="2" t="n">
        <v>0.0286690580847348</v>
      </c>
      <c r="D69" s="2" t="n">
        <v>0.0108562941712425</v>
      </c>
      <c r="E69" s="2" t="n">
        <v>0.042772169702426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2.01445072888402E-015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0</v>
      </c>
      <c r="D71" s="2" t="n">
        <v>1.62050127982371E-015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0</v>
      </c>
      <c r="D72" s="2" t="n">
        <v>1.48778781294288E-015</v>
      </c>
      <c r="E72" s="2" t="n">
        <v>0</v>
      </c>
    </row>
    <row r="73" customFormat="false" ht="13.8" hidden="false" customHeight="false" outlineLevel="0" collapsed="false">
      <c r="B73" s="2" t="n">
        <v>71</v>
      </c>
      <c r="C73" s="2" t="n">
        <v>0</v>
      </c>
      <c r="D73" s="2" t="n">
        <v>1.22794881462668E-015</v>
      </c>
      <c r="E73" s="2" t="n">
        <v>0</v>
      </c>
    </row>
    <row r="74" customFormat="false" ht="13.8" hidden="false" customHeight="false" outlineLevel="0" collapsed="false">
      <c r="B74" s="2" t="n">
        <v>72</v>
      </c>
      <c r="C74" s="2" t="n">
        <v>0</v>
      </c>
      <c r="D74" s="2" t="n">
        <v>1.09756365418182E-015</v>
      </c>
      <c r="E74" s="2" t="n">
        <v>0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8.37724655865107E-016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5.70900738238556E-016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3.7346035242057E-016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1.78348273038849E-016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2.27056443691159E-015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6.80796802037978E-016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</v>
      </c>
    </row>
    <row r="123" customFormat="false" ht="13.8" hidden="false" customHeight="false" outlineLevel="0" collapsed="false">
      <c r="B123" s="2" t="n">
        <v>121</v>
      </c>
      <c r="C123" s="2" t="n">
        <v>0.00776943171905091</v>
      </c>
      <c r="D123" s="2" t="n">
        <v>0</v>
      </c>
      <c r="E123" s="2" t="n">
        <v>0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0.0125250826819932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3.32947820425006E-017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1.35603990291746E-015</v>
      </c>
      <c r="D127" s="2" t="n">
        <v>1.24271946179879E-015</v>
      </c>
      <c r="E127" s="2" t="n">
        <v>2.35742837692702E-015</v>
      </c>
    </row>
    <row r="128" customFormat="false" ht="13.8" hidden="false" customHeight="false" outlineLevel="0" collapsed="false">
      <c r="B128" s="2" t="n">
        <v>126</v>
      </c>
      <c r="C128" s="2" t="n">
        <v>1.31202938468395E-015</v>
      </c>
      <c r="D128" s="2" t="n">
        <v>1.13437439225639E-015</v>
      </c>
      <c r="E128" s="2" t="n">
        <v>1.07231234262811E-015</v>
      </c>
    </row>
    <row r="129" customFormat="false" ht="13.8" hidden="false" customHeight="false" outlineLevel="0" collapsed="false">
      <c r="B129" s="2" t="n">
        <v>127</v>
      </c>
      <c r="C129" s="2" t="n">
        <v>1.24553941329685E-015</v>
      </c>
      <c r="D129" s="2" t="n">
        <v>1.0483678068484E-015</v>
      </c>
      <c r="E129" s="2" t="n">
        <v>1.00136902093462E-015</v>
      </c>
    </row>
    <row r="130" customFormat="false" ht="13.8" hidden="false" customHeight="false" outlineLevel="0" collapsed="false">
      <c r="B130" s="2" t="n">
        <v>128</v>
      </c>
      <c r="C130" s="2" t="n">
        <v>1.17749938595467E-015</v>
      </c>
      <c r="D130" s="2" t="n">
        <v>9.72517133307563E-016</v>
      </c>
      <c r="E130" s="2" t="n">
        <v>9.30452831722332E-016</v>
      </c>
    </row>
    <row r="131" customFormat="false" ht="13.8" hidden="false" customHeight="false" outlineLevel="0" collapsed="false">
      <c r="B131" s="2" t="n">
        <v>129</v>
      </c>
      <c r="C131" s="2" t="n">
        <v>1.10945752936593E-015</v>
      </c>
      <c r="D131" s="2" t="n">
        <v>9.02161575465492E-016</v>
      </c>
      <c r="E131" s="2" t="n">
        <v>8.59509258718244E-016</v>
      </c>
    </row>
    <row r="132" customFormat="false" ht="13.8" hidden="false" customHeight="false" outlineLevel="0" collapsed="false">
      <c r="B132" s="2" t="n">
        <v>130</v>
      </c>
      <c r="C132" s="2" t="n">
        <v>1.04141725076237E-015</v>
      </c>
      <c r="D132" s="2" t="n">
        <v>8.31792262933776E-016</v>
      </c>
      <c r="E132" s="2" t="n">
        <v>7.88565560077695E-016</v>
      </c>
    </row>
    <row r="133" customFormat="false" ht="13.8" hidden="false" customHeight="false" outlineLevel="0" collapsed="false">
      <c r="B133" s="2" t="n">
        <v>131</v>
      </c>
      <c r="C133" s="2" t="n">
        <v>9.73375142915526E-016</v>
      </c>
      <c r="D133" s="2" t="n">
        <v>7.61450082898878E-016</v>
      </c>
      <c r="E133" s="2" t="n">
        <v>7.17635364826306E-016</v>
      </c>
    </row>
    <row r="134" customFormat="false" ht="13.8" hidden="false" customHeight="false" outlineLevel="0" collapsed="false">
      <c r="B134" s="2" t="n">
        <v>132</v>
      </c>
      <c r="C134" s="2" t="n">
        <v>9.05336316663163E-016</v>
      </c>
      <c r="D134" s="2" t="n">
        <v>6.910532608569E-016</v>
      </c>
      <c r="E134" s="2" t="n">
        <v>6.46677785789239E-016</v>
      </c>
    </row>
    <row r="135" customFormat="false" ht="13.8" hidden="false" customHeight="false" outlineLevel="0" collapsed="false">
      <c r="B135" s="2" t="n">
        <v>133</v>
      </c>
      <c r="C135" s="2" t="n">
        <v>8.37295661125397E-016</v>
      </c>
      <c r="D135" s="2" t="n">
        <v>6.20724458555035E-016</v>
      </c>
      <c r="E135" s="2" t="n">
        <v>5.75747339184826E-016</v>
      </c>
    </row>
    <row r="136" customFormat="false" ht="13.8" hidden="false" customHeight="false" outlineLevel="0" collapsed="false">
      <c r="B136" s="2" t="n">
        <v>134</v>
      </c>
      <c r="C136" s="2" t="n">
        <v>7.69256583573016E-016</v>
      </c>
      <c r="D136" s="2" t="n">
        <v>5.5080771848338E-016</v>
      </c>
      <c r="E136" s="2" t="n">
        <v>5.04803137802784E-016</v>
      </c>
    </row>
    <row r="137" customFormat="false" ht="13.8" hidden="false" customHeight="false" outlineLevel="0" collapsed="false">
      <c r="B137" s="2" t="n">
        <v>135</v>
      </c>
      <c r="C137" s="2" t="n">
        <v>7.01204448883937E-016</v>
      </c>
      <c r="D137" s="2" t="n">
        <v>4.81145066514118E-016</v>
      </c>
      <c r="E137" s="2" t="n">
        <v>4.3389969799773E-016</v>
      </c>
    </row>
    <row r="138" customFormat="false" ht="13.8" hidden="false" customHeight="false" outlineLevel="0" collapsed="false">
      <c r="B138" s="2" t="n">
        <v>136</v>
      </c>
      <c r="C138" s="2" t="n">
        <v>6.31442112946558E-016</v>
      </c>
      <c r="D138" s="2" t="n">
        <v>4.11753317855756E-016</v>
      </c>
      <c r="E138" s="2" t="n">
        <v>3.62955245253797E-016</v>
      </c>
    </row>
    <row r="139" customFormat="false" ht="13.8" hidden="false" customHeight="false" outlineLevel="0" collapsed="false">
      <c r="B139" s="2" t="n">
        <v>137</v>
      </c>
      <c r="C139" s="2" t="n">
        <v>5.61670127023671E-016</v>
      </c>
      <c r="D139" s="2" t="n">
        <v>3.42574214952684E-016</v>
      </c>
      <c r="E139" s="2" t="n">
        <v>2.92010666789365E-016</v>
      </c>
    </row>
    <row r="140" customFormat="false" ht="13.8" hidden="false" customHeight="false" outlineLevel="0" collapsed="false">
      <c r="B140" s="2" t="n">
        <v>138</v>
      </c>
      <c r="C140" s="2" t="n">
        <v>4.91658199240114E-016</v>
      </c>
      <c r="D140" s="2" t="n">
        <v>2.7360629225296E-016</v>
      </c>
      <c r="E140" s="2" t="n">
        <v>2.21065962625882E-016</v>
      </c>
    </row>
    <row r="141" customFormat="false" ht="13.8" hidden="false" customHeight="false" outlineLevel="0" collapsed="false">
      <c r="B141" s="2" t="n">
        <v>139</v>
      </c>
      <c r="C141" s="2" t="n">
        <v>4.21652960229955E-016</v>
      </c>
      <c r="D141" s="2" t="n">
        <v>2.05107298105908E-016</v>
      </c>
      <c r="E141" s="2" t="n">
        <v>1.50134761835813E-016</v>
      </c>
    </row>
    <row r="142" customFormat="false" ht="13.8" hidden="false" customHeight="false" outlineLevel="0" collapsed="false">
      <c r="B142" s="2" t="n">
        <v>140</v>
      </c>
      <c r="C142" s="2" t="n">
        <v>3.52002418720216E-016</v>
      </c>
      <c r="D142" s="2" t="n">
        <v>1.3738879184917E-016</v>
      </c>
      <c r="E142" s="2" t="n">
        <v>8.08844188783939E-017</v>
      </c>
    </row>
    <row r="143" customFormat="false" ht="13.8" hidden="false" customHeight="false" outlineLevel="0" collapsed="false">
      <c r="B143" s="2" t="n">
        <v>141</v>
      </c>
      <c r="C143" s="2" t="n">
        <v>2.82465568927396E-016</v>
      </c>
      <c r="D143" s="2" t="n">
        <v>7.26134333050752E-017</v>
      </c>
      <c r="E143" s="2" t="n">
        <v>0.0195038376342957</v>
      </c>
    </row>
    <row r="144" customFormat="false" ht="13.8" hidden="false" customHeight="false" outlineLevel="0" collapsed="false">
      <c r="B144" s="2" t="n">
        <v>142</v>
      </c>
      <c r="C144" s="2" t="n">
        <v>2.14540390314889E-016</v>
      </c>
      <c r="D144" s="2" t="n">
        <v>0.0104917099603963</v>
      </c>
      <c r="E144" s="2" t="n">
        <v>0.0699141233866173</v>
      </c>
    </row>
    <row r="145" customFormat="false" ht="13.8" hidden="false" customHeight="false" outlineLevel="0" collapsed="false">
      <c r="B145" s="2" t="n">
        <v>143</v>
      </c>
      <c r="C145" s="2" t="n">
        <v>1.46905767739467E-016</v>
      </c>
      <c r="D145" s="2" t="n">
        <v>0.0454746569474402</v>
      </c>
      <c r="E145" s="2" t="n">
        <v>0.125681601283801</v>
      </c>
    </row>
    <row r="146" customFormat="false" ht="13.8" hidden="false" customHeight="false" outlineLevel="0" collapsed="false">
      <c r="B146" s="2" t="n">
        <v>144</v>
      </c>
      <c r="C146" s="2" t="n">
        <v>7.99809358877894E-017</v>
      </c>
      <c r="D146" s="2" t="n">
        <v>0.0898613764141913</v>
      </c>
      <c r="E146" s="2" t="n">
        <v>0.157409792423745</v>
      </c>
    </row>
    <row r="147" customFormat="false" ht="13.8" hidden="false" customHeight="false" outlineLevel="0" collapsed="false">
      <c r="B147" s="2" t="n">
        <v>145</v>
      </c>
      <c r="C147" s="2" t="n">
        <v>0.023432301894071</v>
      </c>
      <c r="D147" s="2" t="n">
        <v>0.173461006663519</v>
      </c>
      <c r="E147" s="2" t="n">
        <v>0.0757930138646076</v>
      </c>
    </row>
    <row r="148" customFormat="false" ht="13.8" hidden="false" customHeight="false" outlineLevel="0" collapsed="false">
      <c r="B148" s="2" t="n">
        <v>146</v>
      </c>
      <c r="C148" s="2" t="n">
        <v>0.089891995193411</v>
      </c>
      <c r="D148" s="2" t="n">
        <v>0.302937911553735</v>
      </c>
      <c r="E148" s="2" t="n">
        <v>0.049053332364447</v>
      </c>
    </row>
    <row r="149" customFormat="false" ht="13.8" hidden="false" customHeight="false" outlineLevel="0" collapsed="false">
      <c r="B149" s="2" t="n">
        <v>147</v>
      </c>
      <c r="C149" s="2" t="n">
        <v>0.200655157492016</v>
      </c>
      <c r="D149" s="2" t="n">
        <v>0.336990971837027</v>
      </c>
      <c r="E149" s="2" t="n">
        <v>0.083850186563508</v>
      </c>
    </row>
    <row r="150" customFormat="false" ht="13.8" hidden="false" customHeight="false" outlineLevel="0" collapsed="false">
      <c r="B150" s="2" t="n">
        <v>148</v>
      </c>
      <c r="C150" s="2" t="n">
        <v>0.328681423009398</v>
      </c>
      <c r="D150" s="2" t="n">
        <v>0.289844548786987</v>
      </c>
      <c r="E150" s="2" t="n">
        <v>0.122366192714952</v>
      </c>
    </row>
    <row r="151" customFormat="false" ht="13.8" hidden="false" customHeight="false" outlineLevel="0" collapsed="false">
      <c r="B151" s="2" t="n">
        <v>149</v>
      </c>
      <c r="C151" s="2" t="n">
        <v>0.367147562021392</v>
      </c>
      <c r="D151" s="2" t="n">
        <v>0.346331909070279</v>
      </c>
      <c r="E151" s="2" t="n">
        <v>0.227163968089596</v>
      </c>
    </row>
    <row r="152" customFormat="false" ht="13.8" hidden="false" customHeight="false" outlineLevel="0" collapsed="false">
      <c r="B152" s="2" t="n">
        <v>150</v>
      </c>
      <c r="C152" s="2" t="n">
        <v>0.306480951755574</v>
      </c>
      <c r="D152" s="2" t="n">
        <v>0.257173463122183</v>
      </c>
      <c r="E152" s="2" t="n">
        <v>0.382539377751655</v>
      </c>
    </row>
    <row r="153" customFormat="false" ht="13.8" hidden="false" customHeight="false" outlineLevel="0" collapsed="false">
      <c r="B153" s="2" t="n">
        <v>151</v>
      </c>
      <c r="C153" s="2" t="n">
        <v>0.340314358156424</v>
      </c>
      <c r="D153" s="2" t="n">
        <v>0.306131250507421</v>
      </c>
      <c r="E153" s="2" t="n">
        <v>0.332115989161486</v>
      </c>
    </row>
    <row r="154" customFormat="false" ht="13.8" hidden="false" customHeight="false" outlineLevel="0" collapsed="false">
      <c r="B154" s="2" t="n">
        <v>152</v>
      </c>
      <c r="C154" s="2" t="n">
        <v>0.271598214557274</v>
      </c>
      <c r="D154" s="2" t="n">
        <v>0.257422671225992</v>
      </c>
      <c r="E154" s="2" t="n">
        <v>0.324892467237985</v>
      </c>
    </row>
    <row r="155" customFormat="false" ht="13.8" hidden="false" customHeight="false" outlineLevel="0" collapsed="false">
      <c r="B155" s="2" t="n">
        <v>153</v>
      </c>
      <c r="C155" s="2" t="n">
        <v>0.32501533762479</v>
      </c>
      <c r="D155" s="2" t="n">
        <v>0.256797475277897</v>
      </c>
      <c r="E155" s="2" t="n">
        <v>0.321785795314482</v>
      </c>
    </row>
    <row r="156" customFormat="false" ht="13.8" hidden="false" customHeight="false" outlineLevel="0" collapsed="false">
      <c r="B156" s="2" t="n">
        <v>154</v>
      </c>
      <c r="C156" s="2" t="n">
        <v>0.263957209361075</v>
      </c>
      <c r="D156" s="2" t="n">
        <v>0.241994629803</v>
      </c>
      <c r="E156" s="2" t="n">
        <v>0.300131382001084</v>
      </c>
    </row>
    <row r="157" customFormat="false" ht="13.8" hidden="false" customHeight="false" outlineLevel="0" collapsed="false">
      <c r="B157" s="2" t="n">
        <v>155</v>
      </c>
      <c r="C157" s="2" t="n">
        <v>0.225899114430694</v>
      </c>
      <c r="D157" s="2" t="n">
        <v>0.245941917661437</v>
      </c>
      <c r="E157" s="2" t="n">
        <v>0.225010502021019</v>
      </c>
    </row>
    <row r="158" customFormat="false" ht="13.8" hidden="false" customHeight="false" outlineLevel="0" collapsed="false">
      <c r="B158" s="2" t="n">
        <v>156</v>
      </c>
      <c r="C158" s="2" t="n">
        <v>0.207174069500312</v>
      </c>
      <c r="D158" s="2" t="n">
        <v>0.145639172186541</v>
      </c>
      <c r="E158" s="2" t="n">
        <v>0.240889722040953</v>
      </c>
    </row>
    <row r="159" customFormat="false" ht="13.8" hidden="false" customHeight="false" outlineLevel="0" collapsed="false">
      <c r="B159" s="2" t="n">
        <v>157</v>
      </c>
      <c r="C159" s="2" t="n">
        <v>0.17319917456993</v>
      </c>
      <c r="D159" s="2" t="n">
        <v>0.179002860044978</v>
      </c>
      <c r="E159" s="2" t="n">
        <v>0.192101525394221</v>
      </c>
    </row>
    <row r="160" customFormat="false" ht="13.8" hidden="false" customHeight="false" outlineLevel="0" collapsed="false">
      <c r="B160" s="2" t="n">
        <v>158</v>
      </c>
      <c r="C160" s="2" t="n">
        <v>0.1274630023433</v>
      </c>
      <c r="D160" s="2" t="n">
        <v>0.102926494516647</v>
      </c>
      <c r="E160" s="2" t="n">
        <v>0.181722147085656</v>
      </c>
    </row>
    <row r="161" customFormat="false" ht="13.8" hidden="false" customHeight="false" outlineLevel="0" collapsed="false">
      <c r="B161" s="2" t="n">
        <v>159</v>
      </c>
      <c r="C161" s="2" t="n">
        <v>0.153643413450002</v>
      </c>
      <c r="D161" s="2" t="n">
        <v>0.144516662321648</v>
      </c>
      <c r="E161" s="2" t="n">
        <v>0.13734306877709</v>
      </c>
    </row>
    <row r="162" customFormat="false" ht="13.8" hidden="false" customHeight="false" outlineLevel="0" collapsed="false">
      <c r="B162" s="2" t="n">
        <v>160</v>
      </c>
      <c r="C162" s="2" t="n">
        <v>0.0944906578900382</v>
      </c>
      <c r="D162" s="2" t="n">
        <v>0.117440246793316</v>
      </c>
      <c r="E162" s="2" t="n">
        <v>0.136130473801858</v>
      </c>
    </row>
    <row r="163" customFormat="false" ht="13.8" hidden="false" customHeight="false" outlineLevel="0" collapsed="false">
      <c r="B163" s="2" t="n">
        <v>161</v>
      </c>
      <c r="C163" s="2" t="n">
        <v>0.126921118996741</v>
      </c>
      <c r="D163" s="2" t="n">
        <v>0.0956971979316514</v>
      </c>
      <c r="E163" s="2" t="n">
        <v>0.0959178788266253</v>
      </c>
    </row>
    <row r="164" customFormat="false" ht="13.8" hidden="false" customHeight="false" outlineLevel="0" collapsed="false">
      <c r="B164" s="2" t="n">
        <v>162</v>
      </c>
      <c r="C164" s="2" t="n">
        <v>0.0838610811876854</v>
      </c>
      <c r="D164" s="2" t="n">
        <v>0.0414825051196277</v>
      </c>
      <c r="E164" s="2" t="n">
        <v>0.089730412026912</v>
      </c>
    </row>
    <row r="165" customFormat="false" ht="13.8" hidden="false" customHeight="false" outlineLevel="0" collapsed="false">
      <c r="B165" s="2" t="n">
        <v>163</v>
      </c>
      <c r="C165" s="2" t="n">
        <v>0.0475513933786303</v>
      </c>
      <c r="D165" s="2" t="n">
        <v>0.0566014289742707</v>
      </c>
      <c r="E165" s="2" t="n">
        <v>0.0448762118938651</v>
      </c>
    </row>
    <row r="166" customFormat="false" ht="13.8" hidden="false" customHeight="false" outlineLevel="0" collapsed="false">
      <c r="B166" s="2" t="n">
        <v>164</v>
      </c>
      <c r="C166" s="2" t="n">
        <v>0.0226581055695753</v>
      </c>
      <c r="D166" s="2" t="n">
        <v>0</v>
      </c>
      <c r="E166" s="2" t="n">
        <v>0.078605228427485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0.0126719100168901</v>
      </c>
      <c r="E167" s="2" t="n">
        <v>0.0197512282944383</v>
      </c>
    </row>
    <row r="168" customFormat="false" ht="13.8" hidden="false" customHeight="false" outlineLevel="0" collapsed="false">
      <c r="B168" s="2" t="n">
        <v>166</v>
      </c>
      <c r="C168" s="2" t="n">
        <v>0</v>
      </c>
      <c r="D168" s="2" t="n">
        <v>0</v>
      </c>
      <c r="E168" s="2" t="n">
        <v>0</v>
      </c>
    </row>
    <row r="169" customFormat="false" ht="13.8" hidden="false" customHeight="false" outlineLevel="0" collapsed="false">
      <c r="B169" s="2" t="n">
        <v>167</v>
      </c>
      <c r="C169" s="2" t="n">
        <v>0</v>
      </c>
      <c r="D169" s="2" t="n">
        <v>0.0215518455673498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0</v>
      </c>
      <c r="D170" s="2" t="n">
        <v>0</v>
      </c>
      <c r="E170" s="2" t="n">
        <v>0</v>
      </c>
    </row>
    <row r="171" customFormat="false" ht="13.8" hidden="false" customHeight="false" outlineLevel="0" collapsed="false">
      <c r="B171" s="2" t="n">
        <v>169</v>
      </c>
      <c r="C171" s="2" t="n">
        <v>0</v>
      </c>
      <c r="D171" s="2" t="n">
        <v>0</v>
      </c>
      <c r="E171" s="2" t="n">
        <v>0</v>
      </c>
    </row>
    <row r="172" customFormat="false" ht="13.8" hidden="false" customHeight="false" outlineLevel="0" collapsed="false">
      <c r="B172" s="2" t="n">
        <v>170</v>
      </c>
      <c r="C172" s="2" t="n">
        <v>0</v>
      </c>
      <c r="D172" s="2" t="n">
        <v>0</v>
      </c>
      <c r="E172" s="2" t="n">
        <v>0</v>
      </c>
    </row>
    <row r="173" customFormat="false" ht="13.8" hidden="false" customHeight="false" outlineLevel="0" collapsed="false">
      <c r="B173" s="2" t="n">
        <v>171</v>
      </c>
      <c r="C173" s="2" t="n">
        <v>0</v>
      </c>
      <c r="D173" s="2" t="n">
        <v>0</v>
      </c>
      <c r="E173" s="2" t="n">
        <v>0</v>
      </c>
    </row>
    <row r="174" customFormat="false" ht="13.8" hidden="false" customHeight="false" outlineLevel="0" collapsed="false">
      <c r="B174" s="2" t="n">
        <v>172</v>
      </c>
      <c r="C174" s="2" t="n">
        <v>0</v>
      </c>
      <c r="D174" s="2" t="n">
        <v>0</v>
      </c>
      <c r="E174" s="2" t="n">
        <v>0</v>
      </c>
    </row>
    <row r="175" customFormat="false" ht="13.8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</v>
      </c>
    </row>
    <row r="179" customFormat="false" ht="13.8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0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</v>
      </c>
    </row>
    <row r="191" customFormat="false" ht="13.8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</v>
      </c>
    </row>
    <row r="202" customFormat="false" ht="13.8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0</v>
      </c>
      <c r="D216" s="2" t="n">
        <v>0</v>
      </c>
      <c r="E216" s="2" t="n">
        <v>0</v>
      </c>
    </row>
    <row r="217" customFormat="false" ht="13.8" hidden="false" customHeight="false" outlineLevel="0" collapsed="false">
      <c r="B217" s="2" t="n">
        <v>215</v>
      </c>
      <c r="C217" s="2" t="n">
        <v>0</v>
      </c>
      <c r="D217" s="2" t="n">
        <v>0</v>
      </c>
      <c r="E217" s="2" t="n">
        <v>0</v>
      </c>
    </row>
    <row r="218" customFormat="false" ht="13.8" hidden="false" customHeight="false" outlineLevel="0" collapsed="false">
      <c r="B218" s="2" t="n">
        <v>216</v>
      </c>
      <c r="C218" s="2" t="n">
        <v>0</v>
      </c>
      <c r="D218" s="2" t="n">
        <v>0</v>
      </c>
      <c r="E218" s="2" t="n">
        <v>0</v>
      </c>
    </row>
    <row r="219" customFormat="false" ht="13.8" hidden="false" customHeight="false" outlineLevel="0" collapsed="false">
      <c r="B219" s="2" t="n">
        <v>217</v>
      </c>
      <c r="C219" s="2" t="n">
        <v>0</v>
      </c>
      <c r="D219" s="2" t="n">
        <v>0</v>
      </c>
      <c r="E219" s="2" t="n">
        <v>0</v>
      </c>
    </row>
    <row r="220" customFormat="false" ht="13.8" hidden="false" customHeight="false" outlineLevel="0" collapsed="false">
      <c r="B220" s="2" t="n">
        <v>218</v>
      </c>
      <c r="C220" s="2" t="n">
        <v>0</v>
      </c>
      <c r="D220" s="2" t="n">
        <v>0</v>
      </c>
      <c r="E220" s="2" t="n">
        <v>0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1.31082228809508E-015</v>
      </c>
      <c r="D222" s="2" t="n">
        <v>1.31062338185204E-015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1.24039529471871E-015</v>
      </c>
      <c r="D223" s="2" t="n">
        <v>1.23242095649144E-015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1.17003632110246E-015</v>
      </c>
      <c r="D224" s="2" t="n">
        <v>1.15421499824033E-015</v>
      </c>
      <c r="E224" s="2" t="n">
        <v>1.45043432537566E-015</v>
      </c>
    </row>
    <row r="225" customFormat="false" ht="13.8" hidden="false" customHeight="false" outlineLevel="0" collapsed="false">
      <c r="B225" s="2" t="n">
        <v>223</v>
      </c>
      <c r="C225" s="2" t="n">
        <v>1.0996227055611E-015</v>
      </c>
      <c r="D225" s="2" t="n">
        <v>1.07600209980456E-015</v>
      </c>
      <c r="E225" s="2" t="n">
        <v>1.0369915277259E-015</v>
      </c>
    </row>
    <row r="226" customFormat="false" ht="13.8" hidden="false" customHeight="false" outlineLevel="0" collapsed="false">
      <c r="B226" s="2" t="n">
        <v>224</v>
      </c>
      <c r="C226" s="2" t="n">
        <v>1.02920896439748E-015</v>
      </c>
      <c r="D226" s="2" t="n">
        <v>9.97806112065234E-016</v>
      </c>
      <c r="E226" s="2" t="n">
        <v>9.69858276411221E-016</v>
      </c>
    </row>
    <row r="227" customFormat="false" ht="13.8" hidden="false" customHeight="false" outlineLevel="0" collapsed="false">
      <c r="B227" s="2" t="n">
        <v>225</v>
      </c>
      <c r="C227" s="2" t="n">
        <v>9.58781468527337E-016</v>
      </c>
      <c r="D227" s="2" t="n">
        <v>9.19596369604236E-016</v>
      </c>
      <c r="E227" s="2" t="n">
        <v>9.02833932065269E-016</v>
      </c>
    </row>
    <row r="228" customFormat="false" ht="13.8" hidden="false" customHeight="false" outlineLevel="0" collapsed="false">
      <c r="B228" s="2" t="n">
        <v>226</v>
      </c>
      <c r="C228" s="2" t="n">
        <v>8.88394734234987E-016</v>
      </c>
      <c r="D228" s="2" t="n">
        <v>8.41389908773434E-016</v>
      </c>
      <c r="E228" s="2" t="n">
        <v>8.35782203864676E-016</v>
      </c>
    </row>
    <row r="229" customFormat="false" ht="13.8" hidden="false" customHeight="false" outlineLevel="0" collapsed="false">
      <c r="B229" s="2" t="n">
        <v>227</v>
      </c>
      <c r="C229" s="2" t="n">
        <v>8.17994245215821E-016</v>
      </c>
      <c r="D229" s="2" t="n">
        <v>7.63186729535402E-016</v>
      </c>
      <c r="E229" s="2" t="n">
        <v>7.68730350022932E-016</v>
      </c>
    </row>
    <row r="230" customFormat="false" ht="13.8" hidden="false" customHeight="false" outlineLevel="0" collapsed="false">
      <c r="B230" s="2" t="n">
        <v>228</v>
      </c>
      <c r="C230" s="2" t="n">
        <v>7.47580001503267E-016</v>
      </c>
      <c r="D230" s="2" t="n">
        <v>6.84986831891751E-016</v>
      </c>
      <c r="E230" s="2" t="n">
        <v>7.01651112447369E-016</v>
      </c>
    </row>
    <row r="231" customFormat="false" ht="13.8" hidden="false" customHeight="false" outlineLevel="0" collapsed="false">
      <c r="B231" s="2" t="n">
        <v>229</v>
      </c>
      <c r="C231" s="2" t="n">
        <v>6.77179261146904E-016</v>
      </c>
      <c r="D231" s="2" t="n">
        <v>6.06773179526412E-016</v>
      </c>
      <c r="E231" s="2" t="n">
        <v>6.34571749097776E-016</v>
      </c>
    </row>
    <row r="232" customFormat="false" ht="13.8" hidden="false" customHeight="false" outlineLevel="0" collapsed="false">
      <c r="B232" s="2" t="n">
        <v>230</v>
      </c>
      <c r="C232" s="2" t="n">
        <v>6.06792024218559E-016</v>
      </c>
      <c r="D232" s="2" t="n">
        <v>5.28569623269933E-016</v>
      </c>
      <c r="E232" s="2" t="n">
        <v>5.67519518245566E-016</v>
      </c>
    </row>
    <row r="233" customFormat="false" ht="13.8" hidden="false" customHeight="false" outlineLevel="0" collapsed="false">
      <c r="B233" s="2" t="n">
        <v>231</v>
      </c>
      <c r="C233" s="2" t="n">
        <v>5.36363774406446E-016</v>
      </c>
      <c r="D233" s="2" t="n">
        <v>4.50359126765107E-016</v>
      </c>
      <c r="E233" s="2" t="n">
        <v>5.00439903605631E-016</v>
      </c>
    </row>
    <row r="234" customFormat="false" ht="13.8" hidden="false" customHeight="false" outlineLevel="0" collapsed="false">
      <c r="B234" s="2" t="n">
        <v>232</v>
      </c>
      <c r="C234" s="2" t="n">
        <v>4.65976286097545E-016</v>
      </c>
      <c r="D234" s="2" t="n">
        <v>3.72158726353888E-016</v>
      </c>
      <c r="E234" s="2" t="n">
        <v>4.33387421372497E-016</v>
      </c>
    </row>
    <row r="235" customFormat="false" ht="13.8" hidden="false" customHeight="false" outlineLevel="0" collapsed="false">
      <c r="B235" s="2" t="n">
        <v>233</v>
      </c>
      <c r="C235" s="2" t="n">
        <v>3.95547784869614E-016</v>
      </c>
      <c r="D235" s="2" t="n">
        <v>2.97332569980368E-016</v>
      </c>
      <c r="E235" s="2" t="n">
        <v>3.66334813534821E-016</v>
      </c>
    </row>
    <row r="236" customFormat="false" ht="13.8" hidden="false" customHeight="false" outlineLevel="0" collapsed="false">
      <c r="B236" s="2" t="n">
        <v>234</v>
      </c>
      <c r="C236" s="2" t="n">
        <v>3.25160045250134E-016</v>
      </c>
      <c r="D236" s="2" t="n">
        <v>2.26002856360453E-016</v>
      </c>
      <c r="E236" s="2" t="n">
        <v>2.99254821715E-016</v>
      </c>
    </row>
    <row r="237" customFormat="false" ht="13.8" hidden="false" customHeight="false" outlineLevel="0" collapsed="false">
      <c r="B237" s="2" t="n">
        <v>235</v>
      </c>
      <c r="C237" s="2" t="n">
        <v>2.54758550762772E-016</v>
      </c>
      <c r="D237" s="2" t="n">
        <v>1.56577124627721E-016</v>
      </c>
      <c r="E237" s="2" t="n">
        <v>2.32174704278754E-016</v>
      </c>
    </row>
    <row r="238" customFormat="false" ht="13.8" hidden="false" customHeight="false" outlineLevel="0" collapsed="false">
      <c r="B238" s="2" t="n">
        <v>236</v>
      </c>
      <c r="C238" s="2" t="n">
        <v>1.84343301495586E-016</v>
      </c>
      <c r="D238" s="2" t="n">
        <v>8.91926476312099E-017</v>
      </c>
      <c r="E238" s="2" t="n">
        <v>1.65207709423609E-016</v>
      </c>
    </row>
    <row r="239" customFormat="false" ht="13.8" hidden="false" customHeight="false" outlineLevel="0" collapsed="false">
      <c r="B239" s="2" t="n">
        <v>237</v>
      </c>
      <c r="C239" s="2" t="n">
        <v>1.15346878512371E-016</v>
      </c>
      <c r="D239" s="2" t="n">
        <v>0.00784269874370328</v>
      </c>
      <c r="E239" s="2" t="n">
        <v>9.82392905255952E-017</v>
      </c>
    </row>
    <row r="240" customFormat="false" ht="13.8" hidden="false" customHeight="false" outlineLevel="0" collapsed="false">
      <c r="B240" s="2" t="n">
        <v>238</v>
      </c>
      <c r="C240" s="2" t="n">
        <v>0.00160726713244051</v>
      </c>
      <c r="D240" s="2" t="n">
        <v>0.0452219589651192</v>
      </c>
      <c r="E240" s="2" t="n">
        <v>4.93951231938582E-017</v>
      </c>
    </row>
    <row r="241" customFormat="false" ht="13.8" hidden="false" customHeight="false" outlineLevel="0" collapsed="false">
      <c r="B241" s="2" t="n">
        <v>239</v>
      </c>
      <c r="C241" s="2" t="n">
        <v>0.0572593918615303</v>
      </c>
      <c r="D241" s="2" t="n">
        <v>0.0917581255384907</v>
      </c>
      <c r="E241" s="2" t="n">
        <v>0.0370682613162289</v>
      </c>
    </row>
    <row r="242" customFormat="false" ht="13.8" hidden="false" customHeight="false" outlineLevel="0" collapsed="false">
      <c r="B242" s="2" t="n">
        <v>240</v>
      </c>
      <c r="C242" s="2" t="n">
        <v>0.159246072029728</v>
      </c>
      <c r="D242" s="2" t="n">
        <v>0.176458991630179</v>
      </c>
      <c r="E242" s="2" t="n">
        <v>0.0723518590624691</v>
      </c>
    </row>
    <row r="243" customFormat="false" ht="13.8" hidden="false" customHeight="false" outlineLevel="0" collapsed="false">
      <c r="B243" s="2" t="n">
        <v>241</v>
      </c>
      <c r="C243" s="2" t="n">
        <v>0.0911111073488798</v>
      </c>
      <c r="D243" s="2" t="n">
        <v>0.334188373061333</v>
      </c>
      <c r="E243" s="2" t="n">
        <v>0.159397817917952</v>
      </c>
    </row>
    <row r="244" customFormat="false" ht="13.8" hidden="false" customHeight="false" outlineLevel="0" collapsed="false">
      <c r="B244" s="2" t="n">
        <v>242</v>
      </c>
      <c r="C244" s="2" t="n">
        <v>0.286510825138383</v>
      </c>
      <c r="D244" s="2" t="n">
        <v>0.354053227066412</v>
      </c>
      <c r="E244" s="2" t="n">
        <v>0.247164906414284</v>
      </c>
    </row>
    <row r="245" customFormat="false" ht="13.8" hidden="false" customHeight="false" outlineLevel="0" collapsed="false">
      <c r="B245" s="2" t="n">
        <v>243</v>
      </c>
      <c r="C245" s="2" t="n">
        <v>0.335151300632048</v>
      </c>
      <c r="D245" s="2" t="n">
        <v>0.308636351898762</v>
      </c>
      <c r="E245" s="2" t="n">
        <v>0.369852245439421</v>
      </c>
    </row>
    <row r="246" customFormat="false" ht="13.8" hidden="false" customHeight="false" outlineLevel="0" collapsed="false">
      <c r="B246" s="2" t="n">
        <v>244</v>
      </c>
      <c r="C246" s="2" t="n">
        <v>0.394778357943582</v>
      </c>
      <c r="D246" s="2" t="n">
        <v>0.318569476731112</v>
      </c>
      <c r="E246" s="2" t="n">
        <v>0.383288672401464</v>
      </c>
    </row>
    <row r="247" customFormat="false" ht="13.8" hidden="false" customHeight="false" outlineLevel="0" collapsed="false">
      <c r="B247" s="2" t="n">
        <v>245</v>
      </c>
      <c r="C247" s="2" t="n">
        <v>0.322605815255116</v>
      </c>
      <c r="D247" s="2" t="n">
        <v>0.300769868230128</v>
      </c>
      <c r="E247" s="2" t="n">
        <v>0.373558666030174</v>
      </c>
    </row>
    <row r="248" customFormat="false" ht="13.8" hidden="false" customHeight="false" outlineLevel="0" collapsed="false">
      <c r="B248" s="2" t="n">
        <v>246</v>
      </c>
      <c r="C248" s="2" t="n">
        <v>0.369267690955423</v>
      </c>
      <c r="D248" s="2" t="n">
        <v>0.302633473486161</v>
      </c>
      <c r="E248" s="2" t="n">
        <v>0.337852192709824</v>
      </c>
    </row>
    <row r="249" customFormat="false" ht="13.8" hidden="false" customHeight="false" outlineLevel="0" collapsed="false">
      <c r="B249" s="2" t="n">
        <v>247</v>
      </c>
      <c r="C249" s="2" t="n">
        <v>0.305730116655731</v>
      </c>
      <c r="D249" s="2" t="n">
        <v>0.278497012075527</v>
      </c>
      <c r="E249" s="2" t="n">
        <v>0.365645302722807</v>
      </c>
    </row>
    <row r="250" customFormat="false" ht="13.8" hidden="false" customHeight="false" outlineLevel="0" collapsed="false">
      <c r="B250" s="2" t="n">
        <v>248</v>
      </c>
      <c r="C250" s="2" t="n">
        <v>0.328809009022705</v>
      </c>
      <c r="D250" s="2" t="n">
        <v>0.279027683998227</v>
      </c>
      <c r="E250" s="2" t="n">
        <v>0.315272096069123</v>
      </c>
    </row>
    <row r="251" customFormat="false" ht="13.8" hidden="false" customHeight="false" outlineLevel="0" collapsed="false">
      <c r="B251" s="2" t="n">
        <v>249</v>
      </c>
      <c r="C251" s="2" t="n">
        <v>0.294971318056347</v>
      </c>
      <c r="D251" s="2" t="n">
        <v>0.289708255920927</v>
      </c>
      <c r="E251" s="2" t="n">
        <v>0.364982056082107</v>
      </c>
    </row>
    <row r="252" customFormat="false" ht="13.8" hidden="false" customHeight="false" outlineLevel="0" collapsed="false">
      <c r="B252" s="2" t="n">
        <v>250</v>
      </c>
      <c r="C252" s="2" t="n">
        <v>0.27754815470517</v>
      </c>
      <c r="D252" s="2" t="n">
        <v>0.266537976750749</v>
      </c>
      <c r="E252" s="2" t="n">
        <v>0.269199558527967</v>
      </c>
    </row>
    <row r="253" customFormat="false" ht="13.8" hidden="false" customHeight="false" outlineLevel="0" collapsed="false">
      <c r="B253" s="2" t="n">
        <v>251</v>
      </c>
      <c r="C253" s="2" t="n">
        <v>0.265675258020659</v>
      </c>
      <c r="D253" s="2" t="n">
        <v>0.213601380913905</v>
      </c>
      <c r="E253" s="2" t="n">
        <v>0.303666294307161</v>
      </c>
    </row>
    <row r="254" customFormat="false" ht="13.8" hidden="false" customHeight="false" outlineLevel="0" collapsed="false">
      <c r="B254" s="2" t="n">
        <v>252</v>
      </c>
      <c r="C254" s="2" t="n">
        <v>0.233735661336148</v>
      </c>
      <c r="D254" s="2" t="n">
        <v>0.23008118507706</v>
      </c>
      <c r="E254" s="2" t="n">
        <v>0.246966246753021</v>
      </c>
    </row>
    <row r="255" customFormat="false" ht="13.8" hidden="false" customHeight="false" outlineLevel="0" collapsed="false">
      <c r="B255" s="2" t="n">
        <v>253</v>
      </c>
      <c r="C255" s="2" t="n">
        <v>0.224879264651638</v>
      </c>
      <c r="D255" s="2" t="n">
        <v>0.181144022573548</v>
      </c>
      <c r="E255" s="2" t="n">
        <v>0.269766115865548</v>
      </c>
    </row>
    <row r="256" customFormat="false" ht="13.8" hidden="false" customHeight="false" outlineLevel="0" collapsed="false">
      <c r="B256" s="2" t="n">
        <v>254</v>
      </c>
      <c r="C256" s="2" t="n">
        <v>0.170418141749363</v>
      </c>
      <c r="D256" s="2" t="n">
        <v>0.132492120352567</v>
      </c>
      <c r="E256" s="2" t="n">
        <v>0.132597951420416</v>
      </c>
    </row>
    <row r="257" customFormat="false" ht="13.8" hidden="false" customHeight="false" outlineLevel="0" collapsed="false">
      <c r="B257" s="2" t="n">
        <v>255</v>
      </c>
      <c r="C257" s="2" t="n">
        <v>0.104957268847086</v>
      </c>
      <c r="D257" s="2" t="n">
        <v>0.0712569681315848</v>
      </c>
      <c r="E257" s="2" t="n">
        <v>0.126596220308617</v>
      </c>
    </row>
    <row r="258" customFormat="false" ht="13.8" hidden="false" customHeight="false" outlineLevel="0" collapsed="false">
      <c r="B258" s="2" t="n">
        <v>256</v>
      </c>
      <c r="C258" s="2" t="n">
        <v>0.0174962459448093</v>
      </c>
      <c r="D258" s="2" t="n">
        <v>0.0435214325772698</v>
      </c>
      <c r="E258" s="2" t="n">
        <v>0.00359448919681747</v>
      </c>
    </row>
    <row r="259" customFormat="false" ht="13.8" hidden="false" customHeight="false" outlineLevel="0" collapsed="false">
      <c r="B259" s="2" t="n">
        <v>257</v>
      </c>
      <c r="C259" s="2" t="n">
        <v>0</v>
      </c>
      <c r="D259" s="2" t="n">
        <v>0</v>
      </c>
      <c r="E259" s="2" t="n">
        <v>0</v>
      </c>
    </row>
    <row r="260" customFormat="false" ht="13.8" hidden="false" customHeight="false" outlineLevel="0" collapsed="false">
      <c r="B260" s="2" t="n">
        <v>258</v>
      </c>
      <c r="C260" s="2" t="n">
        <v>0</v>
      </c>
      <c r="D260" s="2" t="n">
        <v>0</v>
      </c>
      <c r="E260" s="2" t="n">
        <v>0</v>
      </c>
    </row>
    <row r="261" customFormat="false" ht="13.8" hidden="false" customHeight="false" outlineLevel="0" collapsed="false">
      <c r="B261" s="2" t="n">
        <v>259</v>
      </c>
      <c r="C261" s="2" t="n">
        <v>0</v>
      </c>
      <c r="D261" s="2" t="n">
        <v>0</v>
      </c>
      <c r="E261" s="2" t="n">
        <v>0</v>
      </c>
    </row>
    <row r="262" customFormat="false" ht="13.8" hidden="false" customHeight="false" outlineLevel="0" collapsed="false">
      <c r="B262" s="2" t="n">
        <v>260</v>
      </c>
      <c r="C262" s="2" t="n">
        <v>0</v>
      </c>
      <c r="D262" s="2" t="n">
        <v>0</v>
      </c>
      <c r="E262" s="2" t="n">
        <v>0</v>
      </c>
    </row>
    <row r="263" customFormat="false" ht="13.8" hidden="false" customHeight="false" outlineLevel="0" collapsed="false">
      <c r="B263" s="2" t="n">
        <v>261</v>
      </c>
      <c r="C263" s="2" t="n">
        <v>0</v>
      </c>
      <c r="D263" s="2" t="n">
        <v>0</v>
      </c>
      <c r="E263" s="2" t="n">
        <v>0</v>
      </c>
    </row>
    <row r="264" customFormat="false" ht="13.8" hidden="false" customHeight="false" outlineLevel="0" collapsed="false">
      <c r="B264" s="2" t="n">
        <v>262</v>
      </c>
      <c r="C264" s="2" t="n">
        <v>0</v>
      </c>
      <c r="D264" s="2" t="n">
        <v>0</v>
      </c>
      <c r="E264" s="2" t="n">
        <v>0</v>
      </c>
    </row>
    <row r="265" customFormat="false" ht="13.8" hidden="false" customHeight="false" outlineLevel="0" collapsed="false">
      <c r="B265" s="2" t="n">
        <v>263</v>
      </c>
      <c r="C265" s="2" t="n">
        <v>0</v>
      </c>
      <c r="D265" s="2" t="n">
        <v>0</v>
      </c>
      <c r="E265" s="2" t="n">
        <v>0</v>
      </c>
    </row>
    <row r="266" customFormat="false" ht="13.8" hidden="false" customHeight="false" outlineLevel="0" collapsed="false">
      <c r="B266" s="2" t="n">
        <v>264</v>
      </c>
      <c r="C266" s="2" t="n">
        <v>0</v>
      </c>
      <c r="D266" s="2" t="n">
        <v>0</v>
      </c>
      <c r="E266" s="2" t="n">
        <v>0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0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</v>
      </c>
      <c r="D312" s="2" t="n">
        <v>0</v>
      </c>
      <c r="E312" s="2" t="n">
        <v>0</v>
      </c>
    </row>
    <row r="313" customFormat="false" ht="13.8" hidden="false" customHeight="false" outlineLevel="0" collapsed="false">
      <c r="B313" s="2" t="n">
        <v>311</v>
      </c>
      <c r="C313" s="2" t="n">
        <v>0</v>
      </c>
      <c r="D313" s="2" t="n">
        <v>0</v>
      </c>
      <c r="E313" s="2" t="n">
        <v>0</v>
      </c>
    </row>
    <row r="314" customFormat="false" ht="13.8" hidden="false" customHeight="false" outlineLevel="0" collapsed="false">
      <c r="B314" s="2" t="n">
        <v>312</v>
      </c>
      <c r="C314" s="2" t="n">
        <v>0</v>
      </c>
      <c r="D314" s="2" t="n">
        <v>0</v>
      </c>
      <c r="E314" s="2" t="n">
        <v>0</v>
      </c>
    </row>
    <row r="315" customFormat="false" ht="13.8" hidden="false" customHeight="false" outlineLevel="0" collapsed="false">
      <c r="B315" s="2" t="n">
        <v>313</v>
      </c>
      <c r="C315" s="2" t="n">
        <v>0</v>
      </c>
      <c r="D315" s="2" t="n">
        <v>0</v>
      </c>
      <c r="E315" s="2" t="n">
        <v>0</v>
      </c>
    </row>
    <row r="316" customFormat="false" ht="13.8" hidden="false" customHeight="false" outlineLevel="0" collapsed="false">
      <c r="B316" s="2" t="n">
        <v>314</v>
      </c>
      <c r="C316" s="2" t="n">
        <v>0</v>
      </c>
      <c r="D316" s="2" t="n">
        <v>0</v>
      </c>
      <c r="E316" s="2" t="n">
        <v>0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0</v>
      </c>
      <c r="E317" s="2" t="n">
        <v>9.43342535844132E-008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1.34163770285006E-007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1.71040407174251E-015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7.65290372409E-016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6.96574693725465E-016</v>
      </c>
      <c r="D321" s="2" t="n">
        <v>0</v>
      </c>
      <c r="E321" s="2" t="n">
        <v>2.17173988970775E-015</v>
      </c>
    </row>
    <row r="322" customFormat="false" ht="13.8" hidden="false" customHeight="false" outlineLevel="0" collapsed="false">
      <c r="B322" s="2" t="n">
        <v>320</v>
      </c>
      <c r="C322" s="2" t="n">
        <v>6.27852074822203E-016</v>
      </c>
      <c r="D322" s="2" t="n">
        <v>0</v>
      </c>
      <c r="E322" s="2" t="n">
        <v>8.83436750911425E-016</v>
      </c>
    </row>
    <row r="323" customFormat="false" ht="13.8" hidden="false" customHeight="false" outlineLevel="0" collapsed="false">
      <c r="B323" s="2" t="n">
        <v>321</v>
      </c>
      <c r="C323" s="2" t="n">
        <v>5.59129330279285E-016</v>
      </c>
      <c r="D323" s="2" t="n">
        <v>3.75210319980397E-010</v>
      </c>
      <c r="E323" s="2" t="n">
        <v>8.15826536135213E-016</v>
      </c>
    </row>
    <row r="324" customFormat="false" ht="13.8" hidden="false" customHeight="false" outlineLevel="0" collapsed="false">
      <c r="B324" s="2" t="n">
        <v>322</v>
      </c>
      <c r="C324" s="2" t="n">
        <v>4.9040646000475E-016</v>
      </c>
      <c r="D324" s="2" t="n">
        <v>1.34912873705616E-009</v>
      </c>
      <c r="E324" s="2" t="n">
        <v>7.48243453865261E-016</v>
      </c>
    </row>
    <row r="325" customFormat="false" ht="13.8" hidden="false" customHeight="false" outlineLevel="0" collapsed="false">
      <c r="B325" s="2" t="n">
        <v>323</v>
      </c>
      <c r="C325" s="2" t="n">
        <v>4.21690278615586E-016</v>
      </c>
      <c r="D325" s="2" t="n">
        <v>2.3203435207688E-009</v>
      </c>
      <c r="E325" s="2" t="n">
        <v>6.80632987781389E-016</v>
      </c>
    </row>
    <row r="326" customFormat="false" ht="13.8" hidden="false" customHeight="false" outlineLevel="0" collapsed="false">
      <c r="B326" s="2" t="n">
        <v>324</v>
      </c>
      <c r="C326" s="2" t="n">
        <v>3.52967156947195E-016</v>
      </c>
      <c r="D326" s="2" t="n">
        <v>3.28687470264413E-009</v>
      </c>
      <c r="E326" s="2" t="n">
        <v>6.13049654156239E-016</v>
      </c>
    </row>
    <row r="327" customFormat="false" ht="13.8" hidden="false" customHeight="false" outlineLevel="0" collapsed="false">
      <c r="B327" s="2" t="n">
        <v>325</v>
      </c>
      <c r="C327" s="2" t="n">
        <v>2.84243909603062E-016</v>
      </c>
      <c r="D327" s="2" t="n">
        <v>4.24482735885249E-009</v>
      </c>
      <c r="E327" s="2" t="n">
        <v>5.45466194861424E-016</v>
      </c>
    </row>
    <row r="328" customFormat="false" ht="13.8" hidden="false" customHeight="false" outlineLevel="0" collapsed="false">
      <c r="B328" s="2" t="n">
        <v>326</v>
      </c>
      <c r="C328" s="2" t="n">
        <v>2.14997504268229E-016</v>
      </c>
      <c r="D328" s="2" t="n">
        <v>0</v>
      </c>
      <c r="E328" s="2" t="n">
        <v>4.77855351753587E-016</v>
      </c>
    </row>
    <row r="329" customFormat="false" ht="13.8" hidden="false" customHeight="false" outlineLevel="0" collapsed="false">
      <c r="B329" s="2" t="n">
        <v>327</v>
      </c>
      <c r="C329" s="2" t="n">
        <v>1.46055329277899E-016</v>
      </c>
      <c r="D329" s="2" t="n">
        <v>0</v>
      </c>
      <c r="E329" s="2" t="n">
        <v>4.10244382909668E-016</v>
      </c>
    </row>
    <row r="330" customFormat="false" ht="13.8" hidden="false" customHeight="false" outlineLevel="0" collapsed="false">
      <c r="B330" s="2" t="n">
        <v>328</v>
      </c>
      <c r="C330" s="2" t="n">
        <v>8.67287879415174E-017</v>
      </c>
      <c r="D330" s="2" t="n">
        <v>0</v>
      </c>
      <c r="E330" s="2" t="n">
        <v>3.42687804734378E-016</v>
      </c>
    </row>
    <row r="331" customFormat="false" ht="13.8" hidden="false" customHeight="false" outlineLevel="0" collapsed="false">
      <c r="B331" s="2" t="n">
        <v>329</v>
      </c>
      <c r="C331" s="2" t="n">
        <v>0.0366558437706441</v>
      </c>
      <c r="D331" s="2" t="n">
        <v>0</v>
      </c>
      <c r="E331" s="2" t="n">
        <v>2.75076584433532E-016</v>
      </c>
    </row>
    <row r="332" customFormat="false" ht="13.8" hidden="false" customHeight="false" outlineLevel="0" collapsed="false">
      <c r="B332" s="2" t="n">
        <v>330</v>
      </c>
      <c r="C332" s="2" t="n">
        <v>0.0672094256665668</v>
      </c>
      <c r="D332" s="2" t="n">
        <v>0.0131652101706552</v>
      </c>
      <c r="E332" s="2" t="n">
        <v>2.07437980412566E-016</v>
      </c>
    </row>
    <row r="333" customFormat="false" ht="13.8" hidden="false" customHeight="false" outlineLevel="0" collapsed="false">
      <c r="B333" s="2" t="n">
        <v>331</v>
      </c>
      <c r="C333" s="2" t="n">
        <v>1.62322628391849E-010</v>
      </c>
      <c r="D333" s="2" t="n">
        <v>0.0347499323575234</v>
      </c>
      <c r="E333" s="2" t="n">
        <v>1.39853040713093E-016</v>
      </c>
    </row>
    <row r="334" customFormat="false" ht="13.8" hidden="false" customHeight="false" outlineLevel="0" collapsed="false">
      <c r="B334" s="2" t="n">
        <v>332</v>
      </c>
      <c r="C334" s="2" t="n">
        <v>0.0438653441867634</v>
      </c>
      <c r="D334" s="2" t="n">
        <v>0.0750516731849087</v>
      </c>
      <c r="E334" s="2" t="n">
        <v>7.56615047077628E-017</v>
      </c>
    </row>
    <row r="335" customFormat="false" ht="13.8" hidden="false" customHeight="false" outlineLevel="0" collapsed="false">
      <c r="B335" s="2" t="n">
        <v>333</v>
      </c>
      <c r="C335" s="2" t="n">
        <v>0.184840435077708</v>
      </c>
      <c r="D335" s="2" t="n">
        <v>0.145697092451674</v>
      </c>
      <c r="E335" s="2" t="n">
        <v>0.0113623374449727</v>
      </c>
    </row>
    <row r="336" customFormat="false" ht="13.8" hidden="false" customHeight="false" outlineLevel="0" collapsed="false">
      <c r="B336" s="2" t="n">
        <v>334</v>
      </c>
      <c r="C336" s="2" t="n">
        <v>0.319211931249338</v>
      </c>
      <c r="D336" s="2" t="n">
        <v>0.275351379876214</v>
      </c>
      <c r="E336" s="2" t="n">
        <v>0.0586671609902604</v>
      </c>
    </row>
    <row r="337" customFormat="false" ht="13.8" hidden="false" customHeight="false" outlineLevel="0" collapsed="false">
      <c r="B337" s="2" t="n">
        <v>335</v>
      </c>
      <c r="C337" s="2" t="n">
        <v>0.343603008637381</v>
      </c>
      <c r="D337" s="2" t="n">
        <v>0.322588543179215</v>
      </c>
      <c r="E337" s="2" t="n">
        <v>0.136111811165112</v>
      </c>
    </row>
    <row r="338" customFormat="false" ht="13.8" hidden="false" customHeight="false" outlineLevel="0" collapsed="false">
      <c r="B338" s="2" t="n">
        <v>336</v>
      </c>
      <c r="C338" s="2" t="n">
        <v>0.31399505269209</v>
      </c>
      <c r="D338" s="2" t="n">
        <v>0.261472886831873</v>
      </c>
      <c r="E338" s="2" t="n">
        <v>0.221290860851353</v>
      </c>
    </row>
    <row r="339" customFormat="false" ht="13.8" hidden="false" customHeight="false" outlineLevel="0" collapsed="false">
      <c r="B339" s="2" t="n">
        <v>337</v>
      </c>
      <c r="C339" s="2" t="n">
        <v>0.3592200967468</v>
      </c>
      <c r="D339" s="2" t="n">
        <v>0.313991563817864</v>
      </c>
      <c r="E339" s="2" t="n">
        <v>0.384690048960576</v>
      </c>
    </row>
    <row r="340" customFormat="false" ht="13.8" hidden="false" customHeight="false" outlineLevel="0" collapsed="false">
      <c r="B340" s="2" t="n">
        <v>338</v>
      </c>
      <c r="C340" s="2" t="n">
        <v>0.328399426218364</v>
      </c>
      <c r="D340" s="2" t="n">
        <v>0.237149723244085</v>
      </c>
      <c r="E340" s="2" t="n">
        <v>0.371457316264319</v>
      </c>
    </row>
    <row r="341" customFormat="false" ht="13.8" hidden="false" customHeight="false" outlineLevel="0" collapsed="false">
      <c r="B341" s="2" t="n">
        <v>339</v>
      </c>
      <c r="C341" s="2" t="n">
        <v>0.377911805689928</v>
      </c>
      <c r="D341" s="2" t="n">
        <v>0.307040599336973</v>
      </c>
      <c r="E341" s="2" t="n">
        <v>0.380058733568062</v>
      </c>
    </row>
    <row r="342" customFormat="false" ht="13.8" hidden="false" customHeight="false" outlineLevel="0" collapsed="false">
      <c r="B342" s="2" t="n">
        <v>340</v>
      </c>
      <c r="C342" s="2" t="n">
        <v>0.319358468494826</v>
      </c>
      <c r="D342" s="2" t="n">
        <v>0.243964925429861</v>
      </c>
      <c r="E342" s="2" t="n">
        <v>0.304692150871805</v>
      </c>
    </row>
    <row r="343" customFormat="false" ht="13.8" hidden="false" customHeight="false" outlineLevel="0" collapsed="false">
      <c r="B343" s="2" t="n">
        <v>341</v>
      </c>
      <c r="C343" s="2" t="n">
        <v>0.30832194796639</v>
      </c>
      <c r="D343" s="2" t="n">
        <v>0.305872751522748</v>
      </c>
      <c r="E343" s="2" t="n">
        <v>0.367176168175549</v>
      </c>
    </row>
    <row r="344" customFormat="false" ht="13.8" hidden="false" customHeight="false" outlineLevel="0" collapsed="false">
      <c r="B344" s="2" t="n">
        <v>342</v>
      </c>
      <c r="C344" s="2" t="n">
        <v>0.271005958267651</v>
      </c>
      <c r="D344" s="2" t="n">
        <v>0.226165474391063</v>
      </c>
      <c r="E344" s="2" t="n">
        <v>0.307170724188204</v>
      </c>
    </row>
    <row r="345" customFormat="false" ht="13.8" hidden="false" customHeight="false" outlineLevel="0" collapsed="false">
      <c r="B345" s="2" t="n">
        <v>343</v>
      </c>
      <c r="C345" s="2" t="n">
        <v>0.234223451902246</v>
      </c>
      <c r="D345" s="2" t="n">
        <v>0.205758797259377</v>
      </c>
      <c r="E345" s="2" t="n">
        <v>0.261949163534192</v>
      </c>
    </row>
    <row r="346" customFormat="false" ht="13.8" hidden="false" customHeight="false" outlineLevel="0" collapsed="false">
      <c r="B346" s="2" t="n">
        <v>344</v>
      </c>
      <c r="C346" s="2" t="n">
        <v>0.201057362203508</v>
      </c>
      <c r="D346" s="2" t="n">
        <v>0.155634586794359</v>
      </c>
      <c r="E346" s="2" t="n">
        <v>0.20459390288018</v>
      </c>
    </row>
    <row r="347" customFormat="false" ht="13.8" hidden="false" customHeight="false" outlineLevel="0" collapsed="false">
      <c r="B347" s="2" t="n">
        <v>345</v>
      </c>
      <c r="C347" s="2" t="n">
        <v>0.163208005838103</v>
      </c>
      <c r="D347" s="2" t="n">
        <v>0.145960609662671</v>
      </c>
      <c r="E347" s="2" t="n">
        <v>0.184372342226168</v>
      </c>
    </row>
    <row r="348" customFormat="false" ht="13.8" hidden="false" customHeight="false" outlineLevel="0" collapsed="false">
      <c r="B348" s="2" t="n">
        <v>346</v>
      </c>
      <c r="C348" s="2" t="n">
        <v>0.144910775437924</v>
      </c>
      <c r="D348" s="2" t="n">
        <v>0.148021822026758</v>
      </c>
      <c r="E348" s="2" t="n">
        <v>0.146256123751532</v>
      </c>
    </row>
    <row r="349" customFormat="false" ht="13.8" hidden="false" customHeight="false" outlineLevel="0" collapsed="false">
      <c r="B349" s="2" t="n">
        <v>347</v>
      </c>
      <c r="C349" s="2" t="n">
        <v>0.127146761704413</v>
      </c>
      <c r="D349" s="2" t="n">
        <v>0.132832651057514</v>
      </c>
      <c r="E349" s="2" t="n">
        <v>0.187056221943563</v>
      </c>
    </row>
    <row r="350" customFormat="false" ht="13.8" hidden="false" customHeight="false" outlineLevel="0" collapsed="false">
      <c r="B350" s="2" t="n">
        <v>348</v>
      </c>
      <c r="C350" s="2" t="n">
        <v>0.109515814637568</v>
      </c>
      <c r="D350" s="2" t="n">
        <v>0.0933939300882656</v>
      </c>
      <c r="E350" s="2" t="n">
        <v>0.121606586802261</v>
      </c>
    </row>
    <row r="351" customFormat="false" ht="13.8" hidden="false" customHeight="false" outlineLevel="0" collapsed="false">
      <c r="B351" s="2" t="n">
        <v>349</v>
      </c>
      <c r="C351" s="2" t="n">
        <v>0.091618017570723</v>
      </c>
      <c r="D351" s="2" t="n">
        <v>0.0709548591190193</v>
      </c>
      <c r="E351" s="2" t="n">
        <v>0.0994899349942919</v>
      </c>
    </row>
    <row r="352" customFormat="false" ht="13.8" hidden="false" customHeight="false" outlineLevel="0" collapsed="false">
      <c r="B352" s="2" t="n">
        <v>350</v>
      </c>
      <c r="C352" s="2" t="n">
        <v>0.0710471487249037</v>
      </c>
      <c r="D352" s="2" t="n">
        <v>0.0502295248260054</v>
      </c>
      <c r="E352" s="2" t="n">
        <v>0.0806566126381535</v>
      </c>
    </row>
    <row r="353" customFormat="false" ht="13.8" hidden="false" customHeight="false" outlineLevel="0" collapsed="false">
      <c r="B353" s="2" t="n">
        <v>351</v>
      </c>
      <c r="C353" s="2" t="n">
        <v>0.0304763798790843</v>
      </c>
      <c r="D353" s="2" t="n">
        <v>0.0165041905329914</v>
      </c>
      <c r="E353" s="2" t="n">
        <v>0.0580733902820151</v>
      </c>
    </row>
    <row r="354" customFormat="false" ht="13.8" hidden="false" customHeight="false" outlineLevel="0" collapsed="false">
      <c r="B354" s="2" t="n">
        <v>352</v>
      </c>
      <c r="C354" s="2" t="n">
        <v>0</v>
      </c>
      <c r="D354" s="2" t="n">
        <v>0</v>
      </c>
      <c r="E354" s="2" t="n">
        <v>0</v>
      </c>
    </row>
    <row r="355" customFormat="false" ht="13.8" hidden="false" customHeight="false" outlineLevel="0" collapsed="false">
      <c r="B355" s="2" t="n">
        <v>353</v>
      </c>
      <c r="C355" s="2" t="n">
        <v>0</v>
      </c>
      <c r="D355" s="2" t="n">
        <v>0</v>
      </c>
      <c r="E355" s="2" t="n">
        <v>0</v>
      </c>
    </row>
    <row r="356" customFormat="false" ht="13.8" hidden="false" customHeight="false" outlineLevel="0" collapsed="false">
      <c r="B356" s="2" t="n">
        <v>354</v>
      </c>
      <c r="C356" s="2" t="n">
        <v>0</v>
      </c>
      <c r="D356" s="2" t="n">
        <v>0</v>
      </c>
      <c r="E356" s="2" t="n">
        <v>0</v>
      </c>
    </row>
    <row r="357" customFormat="false" ht="13.8" hidden="false" customHeight="false" outlineLevel="0" collapsed="false">
      <c r="B357" s="2" t="n">
        <v>355</v>
      </c>
      <c r="C357" s="2" t="n">
        <v>0</v>
      </c>
      <c r="D357" s="2" t="n">
        <v>0</v>
      </c>
      <c r="E357" s="2" t="n">
        <v>0</v>
      </c>
    </row>
    <row r="358" customFormat="false" ht="13.8" hidden="false" customHeight="false" outlineLevel="0" collapsed="false">
      <c r="B358" s="2" t="n">
        <v>356</v>
      </c>
      <c r="C358" s="2" t="n">
        <v>0</v>
      </c>
      <c r="D358" s="2" t="n">
        <v>0</v>
      </c>
      <c r="E358" s="2" t="n">
        <v>0</v>
      </c>
    </row>
    <row r="359" customFormat="false" ht="13.8" hidden="false" customHeight="false" outlineLevel="0" collapsed="false">
      <c r="B359" s="2" t="n">
        <v>357</v>
      </c>
      <c r="C359" s="2" t="n">
        <v>0</v>
      </c>
      <c r="D359" s="2" t="n">
        <v>0</v>
      </c>
      <c r="E359" s="2" t="n">
        <v>0</v>
      </c>
    </row>
    <row r="360" customFormat="false" ht="13.8" hidden="false" customHeight="false" outlineLevel="0" collapsed="false">
      <c r="B360" s="2" t="n">
        <v>358</v>
      </c>
      <c r="C360" s="2" t="n">
        <v>0</v>
      </c>
      <c r="D360" s="2" t="n">
        <v>0</v>
      </c>
      <c r="E360" s="2" t="n">
        <v>0</v>
      </c>
    </row>
    <row r="361" customFormat="false" ht="13.8" hidden="false" customHeight="false" outlineLevel="0" collapsed="false">
      <c r="B361" s="2" t="n">
        <v>359</v>
      </c>
      <c r="C361" s="2" t="n">
        <v>0</v>
      </c>
      <c r="D361" s="2" t="n">
        <v>0</v>
      </c>
      <c r="E361" s="2" t="n">
        <v>0</v>
      </c>
    </row>
    <row r="362" customFormat="false" ht="13.8" hidden="false" customHeight="false" outlineLevel="0" collapsed="false">
      <c r="B362" s="2" t="n">
        <v>360</v>
      </c>
      <c r="C362" s="2" t="n">
        <v>0</v>
      </c>
      <c r="D362" s="2" t="n">
        <v>0</v>
      </c>
      <c r="E362" s="2" t="n">
        <v>0</v>
      </c>
    </row>
    <row r="363" customFormat="false" ht="13.8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</v>
      </c>
      <c r="D408" s="2" t="n">
        <v>0</v>
      </c>
      <c r="E408" s="2" t="n">
        <v>0</v>
      </c>
    </row>
    <row r="409" customFormat="false" ht="13.8" hidden="false" customHeight="false" outlineLevel="0" collapsed="false">
      <c r="B409" s="2" t="n">
        <v>407</v>
      </c>
      <c r="C409" s="2" t="n">
        <v>0</v>
      </c>
      <c r="D409" s="2" t="n">
        <v>0</v>
      </c>
      <c r="E409" s="2" t="n">
        <v>0</v>
      </c>
    </row>
    <row r="410" customFormat="false" ht="13.8" hidden="false" customHeight="false" outlineLevel="0" collapsed="false">
      <c r="B410" s="2" t="n">
        <v>408</v>
      </c>
      <c r="C410" s="2" t="n">
        <v>0</v>
      </c>
      <c r="D410" s="2" t="n">
        <v>0</v>
      </c>
      <c r="E410" s="2" t="n">
        <v>8.77486910906519E-008</v>
      </c>
    </row>
    <row r="411" customFormat="false" ht="13.8" hidden="false" customHeight="false" outlineLevel="0" collapsed="false">
      <c r="B411" s="2" t="n">
        <v>409</v>
      </c>
      <c r="C411" s="2" t="n">
        <v>0</v>
      </c>
      <c r="D411" s="2" t="n">
        <v>0</v>
      </c>
      <c r="E411" s="2" t="n">
        <v>0</v>
      </c>
    </row>
    <row r="412" customFormat="false" ht="13.8" hidden="false" customHeight="false" outlineLevel="0" collapsed="false">
      <c r="B412" s="2" t="n">
        <v>410</v>
      </c>
      <c r="C412" s="2" t="n">
        <v>0</v>
      </c>
      <c r="D412" s="2" t="n">
        <v>0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1.62972062114218E-015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2.02148744716911E-015</v>
      </c>
      <c r="D415" s="2" t="n">
        <v>6.95724627003196E-016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9.03707977519126E-016</v>
      </c>
      <c r="D416" s="2" t="n">
        <v>6.16299809374117E-016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8.3233580026974E-016</v>
      </c>
      <c r="D417" s="2" t="n">
        <v>5.3687231061627E-016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7.60963497347124E-016</v>
      </c>
      <c r="D418" s="2" t="n">
        <v>4.57446389811668E-016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6.89618326929439E-016</v>
      </c>
      <c r="D419" s="2" t="n">
        <v>3.81837449532625E-016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6.18245772708591E-016</v>
      </c>
      <c r="D420" s="2" t="n">
        <v>3.09984206438713E-016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5.46879907287404E-016</v>
      </c>
      <c r="D421" s="2" t="n">
        <v>2.39586287880584E-016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4.76302502207777E-016</v>
      </c>
      <c r="D422" s="2" t="n">
        <v>1.7244059369206E-016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4.06136747386192E-016</v>
      </c>
      <c r="D423" s="2" t="n">
        <v>1.08390940768243E-016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3.37224196229592E-016</v>
      </c>
      <c r="D424" s="2" t="n">
        <v>0.00177241042269648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2.68609785680298E-016</v>
      </c>
      <c r="D425" s="2" t="n">
        <v>0.0358418038384622</v>
      </c>
      <c r="E425" s="2" t="n">
        <v>0.0325469314219887</v>
      </c>
    </row>
    <row r="426" customFormat="false" ht="13.8" hidden="false" customHeight="false" outlineLevel="0" collapsed="false">
      <c r="B426" s="2" t="n">
        <v>424</v>
      </c>
      <c r="C426" s="2" t="n">
        <v>2.00612257652483E-016</v>
      </c>
      <c r="D426" s="2" t="n">
        <v>0.0772553322629597</v>
      </c>
      <c r="E426" s="2" t="n">
        <v>0.0741317231893174</v>
      </c>
    </row>
    <row r="427" customFormat="false" ht="13.8" hidden="false" customHeight="false" outlineLevel="0" collapsed="false">
      <c r="B427" s="2" t="n">
        <v>425</v>
      </c>
      <c r="C427" s="2" t="n">
        <v>1.340192273311E-016</v>
      </c>
      <c r="D427" s="2" t="n">
        <v>0.149942838728008</v>
      </c>
      <c r="E427" s="2" t="n">
        <v>0.149139104932292</v>
      </c>
    </row>
    <row r="428" customFormat="false" ht="13.8" hidden="false" customHeight="false" outlineLevel="0" collapsed="false">
      <c r="B428" s="2" t="n">
        <v>426</v>
      </c>
      <c r="C428" s="2" t="n">
        <v>7.06277024623964E-017</v>
      </c>
      <c r="D428" s="2" t="n">
        <v>0.284416532272587</v>
      </c>
      <c r="E428" s="2" t="n">
        <v>0.183805720444648</v>
      </c>
    </row>
    <row r="429" customFormat="false" ht="13.8" hidden="false" customHeight="false" outlineLevel="0" collapsed="false">
      <c r="B429" s="2" t="n">
        <v>427</v>
      </c>
      <c r="C429" s="2" t="n">
        <v>0.0309254839512053</v>
      </c>
      <c r="D429" s="2" t="n">
        <v>0.295698523366305</v>
      </c>
      <c r="E429" s="2" t="n">
        <v>0.0660615874681826</v>
      </c>
    </row>
    <row r="430" customFormat="false" ht="13.8" hidden="false" customHeight="false" outlineLevel="0" collapsed="false">
      <c r="B430" s="2" t="n">
        <v>428</v>
      </c>
      <c r="C430" s="2" t="n">
        <v>0.11033835455649</v>
      </c>
      <c r="D430" s="2" t="n">
        <v>0.301017705329416</v>
      </c>
      <c r="E430" s="2" t="n">
        <v>0.0753622036049505</v>
      </c>
    </row>
    <row r="431" customFormat="false" ht="13.8" hidden="false" customHeight="false" outlineLevel="0" collapsed="false">
      <c r="B431" s="2" t="n">
        <v>429</v>
      </c>
      <c r="C431" s="2" t="n">
        <v>0.203784838102084</v>
      </c>
      <c r="D431" s="2" t="n">
        <v>0.273420253959193</v>
      </c>
      <c r="E431" s="2" t="n">
        <v>0.0626383225835464</v>
      </c>
    </row>
    <row r="432" customFormat="false" ht="13.8" hidden="false" customHeight="false" outlineLevel="0" collapsed="false">
      <c r="B432" s="2" t="n">
        <v>430</v>
      </c>
      <c r="C432" s="2" t="n">
        <v>0.362087180984628</v>
      </c>
      <c r="D432" s="2" t="n">
        <v>0.306454684255949</v>
      </c>
      <c r="E432" s="2" t="n">
        <v>0.112580079321929</v>
      </c>
    </row>
    <row r="433" customFormat="false" ht="13.8" hidden="false" customHeight="false" outlineLevel="0" collapsed="false">
      <c r="B433" s="2" t="n">
        <v>431</v>
      </c>
      <c r="C433" s="2" t="n">
        <v>0.334911497727075</v>
      </c>
      <c r="D433" s="2" t="n">
        <v>0.282822481219371</v>
      </c>
      <c r="E433" s="2" t="n">
        <v>0.26430556186992</v>
      </c>
    </row>
    <row r="434" customFormat="false" ht="13.8" hidden="false" customHeight="false" outlineLevel="0" collapsed="false">
      <c r="B434" s="2" t="n">
        <v>432</v>
      </c>
      <c r="C434" s="2" t="n">
        <v>0.383618931136189</v>
      </c>
      <c r="D434" s="2" t="n">
        <v>0.32585679484946</v>
      </c>
      <c r="E434" s="2" t="n">
        <v>0.368567912660524</v>
      </c>
    </row>
    <row r="435" customFormat="false" ht="13.8" hidden="false" customHeight="false" outlineLevel="0" collapsed="false">
      <c r="B435" s="2" t="n">
        <v>433</v>
      </c>
      <c r="C435" s="2" t="n">
        <v>0.379209297878637</v>
      </c>
      <c r="D435" s="2" t="n">
        <v>0.308891175146215</v>
      </c>
      <c r="E435" s="2" t="n">
        <v>0.388434663598086</v>
      </c>
    </row>
    <row r="436" customFormat="false" ht="13.8" hidden="false" customHeight="false" outlineLevel="0" collapsed="false">
      <c r="B436" s="2" t="n">
        <v>434</v>
      </c>
      <c r="C436" s="2" t="n">
        <v>0.368189347750553</v>
      </c>
      <c r="D436" s="2" t="n">
        <v>0.338941945393153</v>
      </c>
      <c r="E436" s="2" t="n">
        <v>0.378796892172216</v>
      </c>
    </row>
    <row r="437" customFormat="false" ht="13.8" hidden="false" customHeight="false" outlineLevel="0" collapsed="false">
      <c r="B437" s="2" t="n">
        <v>435</v>
      </c>
      <c r="C437" s="2" t="n">
        <v>0.3598525309558</v>
      </c>
      <c r="D437" s="2" t="n">
        <v>0.301692948973425</v>
      </c>
      <c r="E437" s="2" t="n">
        <v>0.391209837413012</v>
      </c>
    </row>
    <row r="438" customFormat="false" ht="13.8" hidden="false" customHeight="false" outlineLevel="0" collapsed="false">
      <c r="B438" s="2" t="n">
        <v>436</v>
      </c>
      <c r="C438" s="2" t="n">
        <v>0.370665964161046</v>
      </c>
      <c r="D438" s="2" t="n">
        <v>0.33019388588703</v>
      </c>
      <c r="E438" s="2" t="n">
        <v>0.391889282653809</v>
      </c>
    </row>
    <row r="439" customFormat="false" ht="13.8" hidden="false" customHeight="false" outlineLevel="0" collapsed="false">
      <c r="B439" s="2" t="n">
        <v>437</v>
      </c>
      <c r="C439" s="2" t="n">
        <v>0.354279564032961</v>
      </c>
      <c r="D439" s="2" t="n">
        <v>0.293661606133968</v>
      </c>
      <c r="E439" s="2" t="n">
        <v>0.369218927894606</v>
      </c>
    </row>
    <row r="440" customFormat="false" ht="13.8" hidden="false" customHeight="false" outlineLevel="0" collapsed="false">
      <c r="B440" s="2" t="n">
        <v>438</v>
      </c>
      <c r="C440" s="2" t="n">
        <v>0.290027802471994</v>
      </c>
      <c r="D440" s="2" t="n">
        <v>0.261290481177104</v>
      </c>
      <c r="E440" s="2" t="n">
        <v>0.305844557567175</v>
      </c>
    </row>
    <row r="441" customFormat="false" ht="13.8" hidden="false" customHeight="false" outlineLevel="0" collapsed="false">
      <c r="B441" s="2" t="n">
        <v>439</v>
      </c>
      <c r="C441" s="2" t="n">
        <v>0.199510274244361</v>
      </c>
      <c r="D441" s="2" t="n">
        <v>0.194252822886905</v>
      </c>
      <c r="E441" s="2" t="n">
        <v>0.21472050390641</v>
      </c>
    </row>
    <row r="442" customFormat="false" ht="13.8" hidden="false" customHeight="false" outlineLevel="0" collapsed="false">
      <c r="B442" s="2" t="n">
        <v>440</v>
      </c>
      <c r="C442" s="2" t="n">
        <v>0.137524979350061</v>
      </c>
      <c r="D442" s="2" t="n">
        <v>0.112548931263374</v>
      </c>
      <c r="E442" s="2" t="n">
        <v>0.174513316912313</v>
      </c>
    </row>
    <row r="443" customFormat="false" ht="13.8" hidden="false" customHeight="false" outlineLevel="0" collapsed="false">
      <c r="B443" s="2" t="n">
        <v>441</v>
      </c>
      <c r="C443" s="2" t="n">
        <v>0.0461900844557613</v>
      </c>
      <c r="D443" s="2" t="n">
        <v>0.0378449063065101</v>
      </c>
      <c r="E443" s="2" t="n">
        <v>0.0543061132515516</v>
      </c>
    </row>
    <row r="444" customFormat="false" ht="13.8" hidden="false" customHeight="false" outlineLevel="0" collapsed="false">
      <c r="B444" s="2" t="n">
        <v>442</v>
      </c>
      <c r="C444" s="2" t="n">
        <v>0.071572915791176</v>
      </c>
      <c r="D444" s="2" t="n">
        <v>0.0846545137898146</v>
      </c>
      <c r="E444" s="2" t="n">
        <v>0.0832362102805108</v>
      </c>
    </row>
    <row r="445" customFormat="false" ht="13.8" hidden="false" customHeight="false" outlineLevel="0" collapsed="false">
      <c r="B445" s="2" t="n">
        <v>443</v>
      </c>
      <c r="C445" s="2" t="n">
        <v>0.0794224637932563</v>
      </c>
      <c r="D445" s="2" t="n">
        <v>0.0757814046064528</v>
      </c>
      <c r="E445" s="2" t="n">
        <v>0.0767496239761394</v>
      </c>
    </row>
    <row r="446" customFormat="false" ht="13.8" hidden="false" customHeight="false" outlineLevel="0" collapsed="false">
      <c r="B446" s="2" t="n">
        <v>444</v>
      </c>
      <c r="C446" s="2" t="n">
        <v>0.118555445128671</v>
      </c>
      <c r="D446" s="2" t="n">
        <v>0.0613073454230905</v>
      </c>
      <c r="E446" s="2" t="n">
        <v>0.0903458543384348</v>
      </c>
    </row>
    <row r="447" customFormat="false" ht="13.8" hidden="false" customHeight="false" outlineLevel="0" collapsed="false">
      <c r="B447" s="2" t="n">
        <v>445</v>
      </c>
      <c r="C447" s="2" t="n">
        <v>0.0808720597974188</v>
      </c>
      <c r="D447" s="2" t="n">
        <v>0.100266552906395</v>
      </c>
      <c r="E447" s="2" t="n">
        <v>0.162192051367397</v>
      </c>
    </row>
    <row r="448" customFormat="false" ht="13.8" hidden="false" customHeight="false" outlineLevel="0" collapsed="false">
      <c r="B448" s="2" t="n">
        <v>446</v>
      </c>
      <c r="C448" s="2" t="n">
        <v>0.11153761728315</v>
      </c>
      <c r="D448" s="2" t="n">
        <v>0.0529345899390891</v>
      </c>
      <c r="E448" s="2" t="n">
        <v>0.106853233182897</v>
      </c>
    </row>
    <row r="449" customFormat="false" ht="13.8" hidden="false" customHeight="false" outlineLevel="0" collapsed="false">
      <c r="B449" s="2" t="n">
        <v>447</v>
      </c>
      <c r="C449" s="2" t="n">
        <v>0.0499534247688794</v>
      </c>
      <c r="D449" s="2" t="n">
        <v>0.0708526103051161</v>
      </c>
      <c r="E449" s="2" t="n">
        <v>0.0643477816650632</v>
      </c>
    </row>
    <row r="450" customFormat="false" ht="13.8" hidden="false" customHeight="false" outlineLevel="0" collapsed="false">
      <c r="B450" s="2" t="n">
        <v>448</v>
      </c>
      <c r="C450" s="2" t="n">
        <v>0.0937022989212764</v>
      </c>
      <c r="D450" s="2" t="n">
        <v>0.0245205806711431</v>
      </c>
      <c r="E450" s="2" t="n">
        <v>0.11059213014723</v>
      </c>
    </row>
    <row r="451" customFormat="false" ht="13.8" hidden="false" customHeight="false" outlineLevel="0" collapsed="false">
      <c r="B451" s="2" t="n">
        <v>449</v>
      </c>
      <c r="C451" s="2" t="n">
        <v>0.0192847397403403</v>
      </c>
      <c r="D451" s="2" t="n">
        <v>0.0434385010371697</v>
      </c>
      <c r="E451" s="2" t="n">
        <v>0.0322533619627294</v>
      </c>
    </row>
    <row r="452" customFormat="false" ht="13.8" hidden="false" customHeight="false" outlineLevel="0" collapsed="false">
      <c r="B452" s="2" t="n">
        <v>450</v>
      </c>
      <c r="C452" s="2" t="n">
        <v>0.0446914996353541</v>
      </c>
      <c r="D452" s="2" t="n">
        <v>4.55183908338153E-015</v>
      </c>
      <c r="E452" s="2" t="n">
        <v>0.0504878929495895</v>
      </c>
    </row>
    <row r="453" customFormat="false" ht="13.8" hidden="false" customHeight="false" outlineLevel="0" collapsed="false">
      <c r="B453" s="2" t="n">
        <v>451</v>
      </c>
      <c r="C453" s="2" t="n">
        <v>4.36324626202927E-015</v>
      </c>
      <c r="D453" s="2" t="n">
        <v>0.0152276022373997</v>
      </c>
      <c r="E453" s="2" t="n">
        <v>0.00322220726978255</v>
      </c>
    </row>
    <row r="454" customFormat="false" ht="13.8" hidden="false" customHeight="false" outlineLevel="0" collapsed="false">
      <c r="B454" s="2" t="n">
        <v>452</v>
      </c>
      <c r="C454" s="2" t="n">
        <v>0.0250053694253808</v>
      </c>
      <c r="D454" s="2" t="n">
        <v>0</v>
      </c>
      <c r="E454" s="2" t="n">
        <v>0.0167902049233099</v>
      </c>
    </row>
    <row r="455" customFormat="false" ht="13.8" hidden="false" customHeight="false" outlineLevel="0" collapsed="false">
      <c r="B455" s="2" t="n">
        <v>453</v>
      </c>
      <c r="C455" s="2" t="n">
        <v>0</v>
      </c>
      <c r="D455" s="2" t="n">
        <v>0</v>
      </c>
      <c r="E455" s="2" t="n">
        <v>2.81613133842649E-012</v>
      </c>
    </row>
    <row r="456" customFormat="false" ht="13.8" hidden="false" customHeight="false" outlineLevel="0" collapsed="false">
      <c r="B456" s="2" t="n">
        <v>454</v>
      </c>
      <c r="C456" s="2" t="n">
        <v>0</v>
      </c>
      <c r="D456" s="2" t="n">
        <v>0</v>
      </c>
      <c r="E456" s="2" t="n">
        <v>2.8161350637168E-012</v>
      </c>
    </row>
    <row r="457" customFormat="false" ht="13.8" hidden="false" customHeight="false" outlineLevel="0" collapsed="false">
      <c r="B457" s="2" t="n">
        <v>455</v>
      </c>
      <c r="C457" s="2" t="n">
        <v>0</v>
      </c>
      <c r="D457" s="2" t="n">
        <v>0</v>
      </c>
      <c r="E457" s="2" t="n">
        <v>2.81577836717073E-012</v>
      </c>
    </row>
    <row r="458" customFormat="false" ht="13.8" hidden="false" customHeight="false" outlineLevel="0" collapsed="false">
      <c r="B458" s="2" t="n">
        <v>456</v>
      </c>
      <c r="C458" s="2" t="n">
        <v>0</v>
      </c>
      <c r="D458" s="2" t="n">
        <v>0</v>
      </c>
      <c r="E458" s="2" t="n">
        <v>2.81582400197689E-012</v>
      </c>
    </row>
    <row r="459" customFormat="false" ht="13.8" hidden="false" customHeight="false" outlineLevel="0" collapsed="false">
      <c r="B459" s="2" t="n">
        <v>457</v>
      </c>
      <c r="C459" s="2" t="n">
        <v>0</v>
      </c>
      <c r="D459" s="2" t="n">
        <v>0</v>
      </c>
      <c r="E459" s="2" t="n">
        <v>2.81546264881795E-012</v>
      </c>
    </row>
    <row r="460" customFormat="false" ht="13.8" hidden="false" customHeight="false" outlineLevel="0" collapsed="false">
      <c r="B460" s="2" t="n">
        <v>458</v>
      </c>
      <c r="C460" s="2" t="n">
        <v>0</v>
      </c>
      <c r="D460" s="2" t="n">
        <v>0</v>
      </c>
      <c r="E460" s="2" t="n">
        <v>2.81524122687584E-012</v>
      </c>
    </row>
    <row r="461" customFormat="false" ht="13.8" hidden="false" customHeight="false" outlineLevel="0" collapsed="false">
      <c r="B461" s="2" t="n">
        <v>459</v>
      </c>
      <c r="C461" s="2" t="n">
        <v>0</v>
      </c>
      <c r="D461" s="2" t="n">
        <v>0</v>
      </c>
      <c r="E461" s="2" t="n">
        <v>2.81508453185266E-012</v>
      </c>
    </row>
    <row r="462" customFormat="false" ht="13.8" hidden="false" customHeight="false" outlineLevel="0" collapsed="false">
      <c r="B462" s="2" t="n">
        <v>460</v>
      </c>
      <c r="C462" s="2" t="n">
        <v>0</v>
      </c>
      <c r="D462" s="2" t="n">
        <v>0</v>
      </c>
      <c r="E462" s="2" t="n">
        <v>2.81472317869372E-012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2.81483586872526E-012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2.81467102462955E-012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2.81445076684066E-012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2.81429756427715E-012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2.81420676032613E-012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2.81391711900543E-012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2.81382631505441E-012</v>
      </c>
    </row>
    <row r="470" customFormat="false" ht="13.8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2.81366612757158E-012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2.81350826839519E-012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2.81328568229987E-012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2.81319720665528E-012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2.81471339980676E-012</v>
      </c>
    </row>
    <row r="475" customFormat="false" ht="13.8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2.81287915999606E-012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2.81258951867537E-012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2.81256576994972E-012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2.81237438316064E-012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2.81214946875888E-012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2.81205866480786E-012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2.81186902424861E-012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2.81167938368936E-012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2.81303143123707E-012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2.8113307198005E-012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2.81120464200697E-012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2.8110826387497E-012</v>
      </c>
    </row>
    <row r="487" customFormat="false" ht="13.8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2.81089125196062E-012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2.81069986517155E-012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2.81161605375433E-012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2.81038531097198E-012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2.81022978010203E-012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2.81010661269154E-012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2.81078577967909E-012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2.80975620257286E-012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2.80958274374334E-012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2.80939135695426E-012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2.80988961453169E-012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2.8090768027547E-012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2.80890101561875E-012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2.80876224855514E-012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2.80860438937875E-012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2.80843093054923E-012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2.80826818192932E-012</v>
      </c>
    </row>
    <row r="504" customFormat="false" ht="13.8" hidden="false" customHeight="false" outlineLevel="0" collapsed="false">
      <c r="B504" s="2" t="n">
        <v>502</v>
      </c>
      <c r="C504" s="2" t="n">
        <v>0</v>
      </c>
      <c r="D504" s="2" t="n">
        <v>0</v>
      </c>
      <c r="E504" s="2" t="n">
        <v>2.80812126579318E-012</v>
      </c>
    </row>
    <row r="505" customFormat="false" ht="13.8" hidden="false" customHeight="false" outlineLevel="0" collapsed="false">
      <c r="B505" s="2" t="n">
        <v>503</v>
      </c>
      <c r="C505" s="2" t="n">
        <v>0</v>
      </c>
      <c r="D505" s="2" t="n">
        <v>0</v>
      </c>
      <c r="E505" s="2" t="n">
        <v>2.80788214872216E-012</v>
      </c>
    </row>
    <row r="506" customFormat="false" ht="13.8" hidden="false" customHeight="false" outlineLevel="0" collapsed="false">
      <c r="B506" s="2" t="n">
        <v>504</v>
      </c>
      <c r="C506" s="2" t="n">
        <v>0</v>
      </c>
      <c r="D506" s="2" t="n">
        <v>0</v>
      </c>
      <c r="E506" s="2" t="n">
        <v>2.80789122911726E-012</v>
      </c>
    </row>
    <row r="507" customFormat="false" ht="13.8" hidden="false" customHeight="false" outlineLevel="0" collapsed="false">
      <c r="B507" s="2" t="n">
        <v>505</v>
      </c>
      <c r="C507" s="2" t="n">
        <v>0</v>
      </c>
      <c r="D507" s="2" t="n">
        <v>0</v>
      </c>
      <c r="E507" s="2" t="n">
        <v>2.80794873828624E-012</v>
      </c>
    </row>
    <row r="508" customFormat="false" ht="13.8" hidden="false" customHeight="false" outlineLevel="0" collapsed="false">
      <c r="B508" s="2" t="n">
        <v>506</v>
      </c>
      <c r="C508" s="2" t="n">
        <v>0</v>
      </c>
      <c r="D508" s="2" t="n">
        <v>0</v>
      </c>
      <c r="E508" s="2" t="n">
        <v>2.80796806322966E-012</v>
      </c>
    </row>
    <row r="509" customFormat="false" ht="13.8" hidden="false" customHeight="false" outlineLevel="0" collapsed="false">
      <c r="B509" s="2" t="n">
        <v>507</v>
      </c>
      <c r="C509" s="2" t="n">
        <v>0</v>
      </c>
      <c r="D509" s="2" t="n">
        <v>0</v>
      </c>
      <c r="E509" s="2" t="n">
        <v>2.80800228933428E-012</v>
      </c>
    </row>
    <row r="510" customFormat="false" ht="13.8" hidden="false" customHeight="false" outlineLevel="0" collapsed="false">
      <c r="B510" s="2" t="n">
        <v>508</v>
      </c>
      <c r="C510" s="2" t="n">
        <v>0</v>
      </c>
      <c r="D510" s="2" t="n">
        <v>0</v>
      </c>
      <c r="E510" s="2" t="n">
        <v>2.80802557239865E-012</v>
      </c>
    </row>
    <row r="511" customFormat="false" ht="13.8" hidden="false" customHeight="false" outlineLevel="0" collapsed="false">
      <c r="B511" s="2" t="n">
        <v>509</v>
      </c>
      <c r="C511" s="2" t="n">
        <v>0</v>
      </c>
      <c r="D511" s="2" t="n">
        <v>0</v>
      </c>
      <c r="E511" s="2" t="n">
        <v>2.80806294171695E-012</v>
      </c>
    </row>
    <row r="512" customFormat="false" ht="13.8" hidden="false" customHeight="false" outlineLevel="0" collapsed="false">
      <c r="B512" s="2" t="n">
        <v>510</v>
      </c>
      <c r="C512" s="2" t="n">
        <v>0</v>
      </c>
      <c r="D512" s="2" t="n">
        <v>0</v>
      </c>
      <c r="E512" s="2" t="n">
        <v>2.80808686506559E-012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0.0148714043398062</v>
      </c>
      <c r="E513" s="2" t="n">
        <v>2.80811518309262E-012</v>
      </c>
    </row>
    <row r="514" customFormat="false" ht="13.8" hidden="false" customHeight="false" outlineLevel="0" collapsed="false">
      <c r="B514" s="2" t="n">
        <v>512</v>
      </c>
      <c r="C514" s="2" t="n">
        <v>0.0510389378308754</v>
      </c>
      <c r="D514" s="2" t="n">
        <v>0.028489879476106</v>
      </c>
      <c r="E514" s="2" t="n">
        <v>0.0592802965564987</v>
      </c>
    </row>
    <row r="515" customFormat="false" ht="13.8" hidden="false" customHeight="false" outlineLevel="0" collapsed="false">
      <c r="B515" s="2" t="n">
        <v>513</v>
      </c>
      <c r="C515" s="2" t="n">
        <v>0.0165276210559728</v>
      </c>
      <c r="D515" s="2" t="n">
        <v>0.0762250212790724</v>
      </c>
      <c r="E515" s="2" t="n">
        <v>0.0211115207730921</v>
      </c>
    </row>
    <row r="516" customFormat="false" ht="13.8" hidden="false" customHeight="false" outlineLevel="0" collapsed="false">
      <c r="B516" s="2" t="n">
        <v>514</v>
      </c>
      <c r="C516" s="2" t="n">
        <v>0.10109621250756</v>
      </c>
      <c r="D516" s="2" t="n">
        <v>0.0898697449104073</v>
      </c>
      <c r="E516" s="2" t="n">
        <v>0.105959581207546</v>
      </c>
    </row>
    <row r="517" customFormat="false" ht="13.8" hidden="false" customHeight="false" outlineLevel="0" collapsed="false">
      <c r="B517" s="2" t="n">
        <v>515</v>
      </c>
      <c r="C517" s="2" t="n">
        <v>0.0632477539591464</v>
      </c>
      <c r="D517" s="2" t="n">
        <v>0.069547335208409</v>
      </c>
      <c r="E517" s="2" t="n">
        <v>0.0680908749753341</v>
      </c>
    </row>
    <row r="518" customFormat="false" ht="13.8" hidden="false" customHeight="false" outlineLevel="0" collapsed="false">
      <c r="B518" s="2" t="n">
        <v>516</v>
      </c>
      <c r="C518" s="2" t="n">
        <v>0.1491494120774</v>
      </c>
      <c r="D518" s="2" t="n">
        <v>0.0867915921730771</v>
      </c>
      <c r="E518" s="2" t="n">
        <v>0.172171885409788</v>
      </c>
    </row>
    <row r="519" customFormat="false" ht="13.8" hidden="false" customHeight="false" outlineLevel="0" collapsed="false">
      <c r="B519" s="2" t="n">
        <v>517</v>
      </c>
      <c r="C519" s="2" t="n">
        <v>0.15498518686232</v>
      </c>
      <c r="D519" s="2" t="n">
        <v>0.113686165804412</v>
      </c>
      <c r="E519" s="2" t="n">
        <v>0.160553512510909</v>
      </c>
    </row>
    <row r="520" customFormat="false" ht="13.8" hidden="false" customHeight="false" outlineLevel="0" collapsed="false">
      <c r="B520" s="2" t="n">
        <v>518</v>
      </c>
      <c r="C520" s="2" t="n">
        <v>0.128996753923701</v>
      </c>
      <c r="D520" s="2" t="n">
        <v>0.113063458288189</v>
      </c>
      <c r="E520" s="2" t="n">
        <v>0.154219490886182</v>
      </c>
    </row>
    <row r="521" customFormat="false" ht="13.8" hidden="false" customHeight="false" outlineLevel="0" collapsed="false">
      <c r="B521" s="2" t="n">
        <v>519</v>
      </c>
      <c r="C521" s="2" t="n">
        <v>0.158708220985082</v>
      </c>
      <c r="D521" s="2" t="n">
        <v>0.127440734105299</v>
      </c>
      <c r="E521" s="2" t="n">
        <v>0.177835585928122</v>
      </c>
    </row>
    <row r="522" customFormat="false" ht="13.8" hidden="false" customHeight="false" outlineLevel="0" collapsed="false">
      <c r="B522" s="2" t="n">
        <v>520</v>
      </c>
      <c r="C522" s="2" t="n">
        <v>0.155586421379796</v>
      </c>
      <c r="D522" s="2" t="n">
        <v>0.128567809922409</v>
      </c>
      <c r="E522" s="2" t="n">
        <v>0.179784747636728</v>
      </c>
    </row>
    <row r="523" customFormat="false" ht="13.8" hidden="false" customHeight="false" outlineLevel="0" collapsed="false">
      <c r="B523" s="2" t="n">
        <v>521</v>
      </c>
      <c r="C523" s="2" t="n">
        <v>0.170931621774511</v>
      </c>
      <c r="D523" s="2" t="n">
        <v>0.142478402406186</v>
      </c>
      <c r="E523" s="2" t="n">
        <v>0.170150626012001</v>
      </c>
    </row>
    <row r="524" customFormat="false" ht="13.8" hidden="false" customHeight="false" outlineLevel="0" collapsed="false">
      <c r="B524" s="2" t="n">
        <v>522</v>
      </c>
      <c r="C524" s="2" t="n">
        <v>0.194595983685581</v>
      </c>
      <c r="D524" s="2" t="n">
        <v>0.164058380254714</v>
      </c>
      <c r="E524" s="2" t="n">
        <v>0.246307597496021</v>
      </c>
    </row>
    <row r="525" customFormat="false" ht="13.8" hidden="false" customHeight="false" outlineLevel="0" collapsed="false">
      <c r="B525" s="2" t="n">
        <v>523</v>
      </c>
      <c r="C525" s="2" t="n">
        <v>0.231260512263319</v>
      </c>
      <c r="D525" s="2" t="n">
        <v>0.198921624769909</v>
      </c>
      <c r="E525" s="2" t="n">
        <v>0.227881168980042</v>
      </c>
    </row>
    <row r="526" customFormat="false" ht="13.8" hidden="false" customHeight="false" outlineLevel="0" collapsed="false">
      <c r="B526" s="2" t="n">
        <v>524</v>
      </c>
      <c r="C526" s="2" t="n">
        <v>0.252675090841056</v>
      </c>
      <c r="D526" s="2" t="n">
        <v>0.234201752618437</v>
      </c>
      <c r="E526" s="2" t="n">
        <v>0.306787590464062</v>
      </c>
    </row>
    <row r="527" customFormat="false" ht="13.8" hidden="false" customHeight="false" outlineLevel="0" collapsed="false">
      <c r="B527" s="2" t="n">
        <v>525</v>
      </c>
      <c r="C527" s="2" t="n">
        <v>0.287839869418793</v>
      </c>
      <c r="D527" s="2" t="n">
        <v>0.280648747133632</v>
      </c>
      <c r="E527" s="2" t="n">
        <v>0.272610561948083</v>
      </c>
    </row>
    <row r="528" customFormat="false" ht="13.8" hidden="false" customHeight="false" outlineLevel="0" collapsed="false">
      <c r="B528" s="2" t="n">
        <v>526</v>
      </c>
      <c r="C528" s="2" t="n">
        <v>0.265729884934615</v>
      </c>
      <c r="D528" s="2" t="n">
        <v>0.267801843482863</v>
      </c>
      <c r="E528" s="2" t="n">
        <v>0.315620479139031</v>
      </c>
    </row>
    <row r="529" customFormat="false" ht="13.8" hidden="false" customHeight="false" outlineLevel="0" collapsed="false">
      <c r="B529" s="2" t="n">
        <v>527</v>
      </c>
      <c r="C529" s="2" t="n">
        <v>0.255619800450438</v>
      </c>
      <c r="D529" s="2" t="n">
        <v>0.248488289832094</v>
      </c>
      <c r="E529" s="2" t="n">
        <v>0.218796912996645</v>
      </c>
    </row>
    <row r="530" customFormat="false" ht="13.8" hidden="false" customHeight="false" outlineLevel="0" collapsed="false">
      <c r="B530" s="2" t="n">
        <v>528</v>
      </c>
      <c r="C530" s="2" t="n">
        <v>0.22800951596626</v>
      </c>
      <c r="D530" s="2" t="n">
        <v>0.175107952847991</v>
      </c>
      <c r="E530" s="2" t="n">
        <v>0.296206180187593</v>
      </c>
    </row>
    <row r="531" customFormat="false" ht="13.8" hidden="false" customHeight="false" outlineLevel="0" collapsed="false">
      <c r="B531" s="2" t="n">
        <v>529</v>
      </c>
      <c r="C531" s="2" t="n">
        <v>0.223565898148749</v>
      </c>
      <c r="D531" s="2" t="n">
        <v>0.241360565863889</v>
      </c>
      <c r="E531" s="2" t="n">
        <v>0.240715914045208</v>
      </c>
    </row>
    <row r="532" customFormat="false" ht="13.8" hidden="false" customHeight="false" outlineLevel="0" collapsed="false">
      <c r="B532" s="2" t="n">
        <v>530</v>
      </c>
      <c r="C532" s="2" t="n">
        <v>0.249020909193327</v>
      </c>
      <c r="D532" s="2" t="n">
        <v>0.202304491252474</v>
      </c>
      <c r="E532" s="2" t="n">
        <v>0.224038326714155</v>
      </c>
    </row>
    <row r="533" customFormat="false" ht="13.8" hidden="false" customHeight="false" outlineLevel="0" collapsed="false">
      <c r="B533" s="2" t="n">
        <v>531</v>
      </c>
      <c r="C533" s="2" t="n">
        <v>0.182626270237906</v>
      </c>
      <c r="D533" s="2" t="n">
        <v>0.218199199974392</v>
      </c>
      <c r="E533" s="2" t="n">
        <v>0.220827272716435</v>
      </c>
    </row>
    <row r="534" customFormat="false" ht="13.8" hidden="false" customHeight="false" outlineLevel="0" collapsed="false">
      <c r="B534" s="2" t="n">
        <v>532</v>
      </c>
      <c r="C534" s="2" t="n">
        <v>0.225714497949151</v>
      </c>
      <c r="D534" s="2" t="n">
        <v>0.192227192029644</v>
      </c>
      <c r="E534" s="2" t="n">
        <v>0.256082885385382</v>
      </c>
    </row>
    <row r="535" customFormat="false" ht="13.8" hidden="false" customHeight="false" outlineLevel="0" collapsed="false">
      <c r="B535" s="2" t="n">
        <v>533</v>
      </c>
      <c r="C535" s="2" t="n">
        <v>0.192652775660397</v>
      </c>
      <c r="D535" s="2" t="n">
        <v>0.180104834084895</v>
      </c>
      <c r="E535" s="2" t="n">
        <v>0.218255614720995</v>
      </c>
    </row>
    <row r="536" customFormat="false" ht="13.8" hidden="false" customHeight="false" outlineLevel="0" collapsed="false">
      <c r="B536" s="2" t="n">
        <v>534</v>
      </c>
      <c r="C536" s="2" t="n">
        <v>0.14216381951231</v>
      </c>
      <c r="D536" s="2" t="n">
        <v>0.144597719247562</v>
      </c>
      <c r="E536" s="2" t="n">
        <v>0.160310599771385</v>
      </c>
    </row>
    <row r="537" customFormat="false" ht="13.8" hidden="false" customHeight="false" outlineLevel="0" collapsed="false">
      <c r="B537" s="2" t="n">
        <v>535</v>
      </c>
      <c r="C537" s="2" t="n">
        <v>0.157174596697556</v>
      </c>
      <c r="D537" s="2" t="n">
        <v>0.0665906210768956</v>
      </c>
      <c r="E537" s="2" t="n">
        <v>0.113232851488441</v>
      </c>
    </row>
    <row r="538" customFormat="false" ht="13.8" hidden="false" customHeight="false" outlineLevel="0" collapsed="false">
      <c r="B538" s="2" t="n">
        <v>536</v>
      </c>
      <c r="C538" s="2" t="n">
        <v>0.062685990549469</v>
      </c>
      <c r="D538" s="2" t="n">
        <v>0.0680836229062291</v>
      </c>
      <c r="E538" s="2" t="n">
        <v>0.111538019872165</v>
      </c>
    </row>
    <row r="539" customFormat="false" ht="13.8" hidden="false" customHeight="false" outlineLevel="0" collapsed="false">
      <c r="B539" s="2" t="n">
        <v>537</v>
      </c>
      <c r="C539" s="2" t="n">
        <v>0.0258134844013819</v>
      </c>
      <c r="D539" s="2" t="n">
        <v>0.00907642473556277</v>
      </c>
      <c r="E539" s="2" t="n">
        <v>0.00190965492255397</v>
      </c>
    </row>
    <row r="540" customFormat="false" ht="13.8" hidden="false" customHeight="false" outlineLevel="0" collapsed="false">
      <c r="B540" s="2" t="n">
        <v>538</v>
      </c>
      <c r="C540" s="2" t="n">
        <v>0.00145492990537777</v>
      </c>
      <c r="D540" s="2" t="n">
        <v>0.0301348024054988</v>
      </c>
      <c r="E540" s="2" t="n">
        <v>0.0455068354909995</v>
      </c>
    </row>
    <row r="541" customFormat="false" ht="13.8" hidden="false" customHeight="false" outlineLevel="0" collapsed="false">
      <c r="B541" s="2" t="n">
        <v>539</v>
      </c>
      <c r="C541" s="2" t="n">
        <v>1.24737257127963E-011</v>
      </c>
      <c r="D541" s="2" t="n">
        <v>5.55200409124487E-012</v>
      </c>
      <c r="E541" s="2" t="n">
        <v>0</v>
      </c>
    </row>
    <row r="542" customFormat="false" ht="13.8" hidden="false" customHeight="false" outlineLevel="0" collapsed="false">
      <c r="B542" s="2" t="n">
        <v>540</v>
      </c>
      <c r="C542" s="2" t="n">
        <v>1.2473799054449E-011</v>
      </c>
      <c r="D542" s="2" t="n">
        <v>5.5517747530609E-012</v>
      </c>
      <c r="E542" s="2" t="n">
        <v>0</v>
      </c>
    </row>
    <row r="543" customFormat="false" ht="13.8" hidden="false" customHeight="false" outlineLevel="0" collapsed="false">
      <c r="B543" s="2" t="n">
        <v>541</v>
      </c>
      <c r="C543" s="2" t="n">
        <v>1.24737388677277E-011</v>
      </c>
      <c r="D543" s="2" t="n">
        <v>5.5517363360047E-012</v>
      </c>
      <c r="E543" s="2" t="n">
        <v>0.00821581052966959</v>
      </c>
    </row>
    <row r="544" customFormat="false" ht="13.8" hidden="false" customHeight="false" outlineLevel="0" collapsed="false">
      <c r="B544" s="2" t="n">
        <v>542</v>
      </c>
      <c r="C544" s="2" t="n">
        <v>1.24739469019077E-011</v>
      </c>
      <c r="D544" s="2" t="n">
        <v>5.55195170435006E-012</v>
      </c>
      <c r="E544" s="2" t="n">
        <v>0</v>
      </c>
    </row>
    <row r="545" customFormat="false" ht="13.8" hidden="false" customHeight="false" outlineLevel="0" collapsed="false">
      <c r="B545" s="2" t="n">
        <v>543</v>
      </c>
      <c r="C545" s="2" t="n">
        <v>1.24741508615516E-011</v>
      </c>
      <c r="D545" s="2" t="n">
        <v>5.55211259032482E-012</v>
      </c>
      <c r="E545" s="2" t="n">
        <v>0</v>
      </c>
    </row>
    <row r="546" customFormat="false" ht="13.8" hidden="false" customHeight="false" outlineLevel="0" collapsed="false">
      <c r="B546" s="2" t="n">
        <v>544</v>
      </c>
      <c r="C546" s="2" t="n">
        <v>1.24743594778083E-011</v>
      </c>
      <c r="D546" s="2" t="n">
        <v>5.55187836269732E-012</v>
      </c>
      <c r="E546" s="2" t="n">
        <v>0</v>
      </c>
    </row>
    <row r="547" customFormat="false" ht="13.8" hidden="false" customHeight="false" outlineLevel="0" collapsed="false">
      <c r="B547" s="2" t="n">
        <v>545</v>
      </c>
      <c r="C547" s="2" t="n">
        <v>1.24746998762093E-011</v>
      </c>
      <c r="D547" s="2" t="n">
        <v>5.55193796734211E-012</v>
      </c>
      <c r="E547" s="2" t="n">
        <v>0</v>
      </c>
    </row>
    <row r="548" customFormat="false" ht="13.8" hidden="false" customHeight="false" outlineLevel="0" collapsed="false">
      <c r="B548" s="2" t="n">
        <v>546</v>
      </c>
      <c r="C548" s="2" t="n">
        <v>1.24745061611138E-011</v>
      </c>
      <c r="D548" s="2" t="n">
        <v>5.55217312629217E-012</v>
      </c>
      <c r="E548" s="2" t="n">
        <v>0</v>
      </c>
    </row>
    <row r="549" customFormat="false" ht="13.8" hidden="false" customHeight="false" outlineLevel="0" collapsed="false">
      <c r="B549" s="2" t="n">
        <v>547</v>
      </c>
      <c r="C549" s="2" t="n">
        <v>1.24747101207576E-011</v>
      </c>
      <c r="D549" s="2" t="n">
        <v>5.55221037919515E-012</v>
      </c>
      <c r="E549" s="2" t="n">
        <v>0</v>
      </c>
    </row>
    <row r="550" customFormat="false" ht="13.8" hidden="false" customHeight="false" outlineLevel="0" collapsed="false">
      <c r="B550" s="2" t="n">
        <v>548</v>
      </c>
      <c r="C550" s="2" t="n">
        <v>1.2474847025176E-011</v>
      </c>
      <c r="D550" s="2" t="n">
        <v>5.55230886655742E-012</v>
      </c>
      <c r="E550" s="2" t="n">
        <v>0</v>
      </c>
    </row>
    <row r="551" customFormat="false" ht="13.8" hidden="false" customHeight="false" outlineLevel="0" collapsed="false">
      <c r="B551" s="2" t="n">
        <v>549</v>
      </c>
      <c r="C551" s="2" t="n">
        <v>1.24749192026756E-011</v>
      </c>
      <c r="D551" s="2" t="n">
        <v>5.55240968222612E-012</v>
      </c>
      <c r="E551" s="2" t="n">
        <v>0</v>
      </c>
    </row>
    <row r="552" customFormat="false" ht="13.8" hidden="false" customHeight="false" outlineLevel="0" collapsed="false">
      <c r="B552" s="2" t="n">
        <v>550</v>
      </c>
      <c r="C552" s="2" t="n">
        <v>1.2475056107094E-011</v>
      </c>
      <c r="D552" s="2" t="n">
        <v>5.55244111436301E-012</v>
      </c>
      <c r="E552" s="2" t="n">
        <v>0</v>
      </c>
    </row>
    <row r="553" customFormat="false" ht="13.8" hidden="false" customHeight="false" outlineLevel="0" collapsed="false">
      <c r="B553" s="2" t="n">
        <v>551</v>
      </c>
      <c r="C553" s="2" t="n">
        <v>1.24750635576746E-011</v>
      </c>
      <c r="D553" s="2" t="n">
        <v>5.55254193003171E-012</v>
      </c>
      <c r="E553" s="2" t="n">
        <v>0</v>
      </c>
    </row>
    <row r="554" customFormat="false" ht="13.8" hidden="false" customHeight="false" outlineLevel="0" collapsed="false">
      <c r="B554" s="2" t="n">
        <v>552</v>
      </c>
      <c r="C554" s="2" t="n">
        <v>1.24752675173184E-011</v>
      </c>
      <c r="D554" s="2" t="n">
        <v>5.55257801878147E-012</v>
      </c>
      <c r="E554" s="2" t="n">
        <v>0</v>
      </c>
    </row>
    <row r="555" customFormat="false" ht="13.8" hidden="false" customHeight="false" outlineLevel="0" collapsed="false">
      <c r="B555" s="2" t="n">
        <v>553</v>
      </c>
      <c r="C555" s="2" t="n">
        <v>1.24754738052687E-011</v>
      </c>
      <c r="D555" s="2" t="n">
        <v>5.55267650614373E-012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1.24784270291528E-011</v>
      </c>
      <c r="D556" s="2" t="n">
        <v>5.55264204720847E-012</v>
      </c>
      <c r="E556" s="2" t="n">
        <v>0</v>
      </c>
    </row>
    <row r="557" customFormat="false" ht="13.8" hidden="false" customHeight="false" outlineLevel="0" collapsed="false">
      <c r="B557" s="2" t="n">
        <v>555</v>
      </c>
      <c r="C557" s="2" t="n">
        <v>1.24757499424121E-011</v>
      </c>
      <c r="D557" s="2" t="n">
        <v>5.55281108225576E-012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1.24758221199116E-011</v>
      </c>
      <c r="D558" s="2" t="n">
        <v>5.55284367854587E-012</v>
      </c>
      <c r="E558" s="2" t="n">
        <v>0</v>
      </c>
    </row>
    <row r="559" customFormat="false" ht="13.8" hidden="false" customHeight="false" outlineLevel="0" collapsed="false">
      <c r="B559" s="2" t="n">
        <v>557</v>
      </c>
      <c r="C559" s="2" t="n">
        <v>1.2476023751249E-011</v>
      </c>
      <c r="D559" s="2" t="n">
        <v>5.55569026599518E-012</v>
      </c>
      <c r="E559" s="2" t="n">
        <v>0</v>
      </c>
    </row>
    <row r="560" customFormat="false" ht="13.8" hidden="false" customHeight="false" outlineLevel="0" collapsed="false">
      <c r="B560" s="2" t="n">
        <v>558</v>
      </c>
      <c r="C560" s="2" t="n">
        <v>1.24785122451683E-011</v>
      </c>
      <c r="D560" s="2" t="n">
        <v>5.5528406517475E-012</v>
      </c>
      <c r="E560" s="2" t="n">
        <v>0</v>
      </c>
    </row>
    <row r="561" customFormat="false" ht="13.8" hidden="false" customHeight="false" outlineLevel="0" collapsed="false">
      <c r="B561" s="2" t="n">
        <v>559</v>
      </c>
      <c r="C561" s="2" t="n">
        <v>1.2476232833167E-011</v>
      </c>
      <c r="D561" s="2" t="n">
        <v>5.5529414674162E-012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1.24763050106665E-011</v>
      </c>
      <c r="D562" s="2" t="n">
        <v>5.55310817415705E-012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1.24765089703103E-011</v>
      </c>
      <c r="D563" s="2" t="n">
        <v>5.55340899134865E-012</v>
      </c>
      <c r="E563" s="2" t="n">
        <v>0</v>
      </c>
    </row>
    <row r="564" customFormat="false" ht="13.8" hidden="false" customHeight="false" outlineLevel="0" collapsed="false">
      <c r="B564" s="2" t="n">
        <v>562</v>
      </c>
      <c r="C564" s="2" t="n">
        <v>1.24766482030352E-011</v>
      </c>
      <c r="D564" s="2" t="n">
        <v>5.55310863981834E-012</v>
      </c>
      <c r="E564" s="2" t="n">
        <v>0</v>
      </c>
    </row>
    <row r="565" customFormat="false" ht="13.8" hidden="false" customHeight="false" outlineLevel="0" collapsed="false">
      <c r="B565" s="2" t="n">
        <v>563</v>
      </c>
      <c r="C565" s="2" t="n">
        <v>1.24767203805347E-011</v>
      </c>
      <c r="D565" s="2" t="n">
        <v>5.55320829133382E-012</v>
      </c>
      <c r="E565" s="2" t="n">
        <v>0</v>
      </c>
    </row>
    <row r="566" customFormat="false" ht="13.8" hidden="false" customHeight="false" outlineLevel="0" collapsed="false">
      <c r="B566" s="2" t="n">
        <v>564</v>
      </c>
      <c r="C566" s="2" t="n">
        <v>1.24767925580343E-011</v>
      </c>
      <c r="D566" s="2" t="n">
        <v>5.55518548915972E-012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1.24770635729035E-011</v>
      </c>
      <c r="D567" s="2" t="n">
        <v>5.55334286744584E-012</v>
      </c>
      <c r="E567" s="2" t="n">
        <v>0</v>
      </c>
    </row>
    <row r="568" customFormat="false" ht="13.8" hidden="false" customHeight="false" outlineLevel="0" collapsed="false">
      <c r="B568" s="2" t="n">
        <v>566</v>
      </c>
      <c r="C568" s="2" t="n">
        <v>1.24771334220965E-011</v>
      </c>
      <c r="D568" s="2" t="n">
        <v>5.55357662941207E-012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1.24772749831279E-011</v>
      </c>
      <c r="D569" s="2" t="n">
        <v>5.55334100480069E-012</v>
      </c>
      <c r="E569" s="2" t="n">
        <v>0</v>
      </c>
    </row>
    <row r="570" customFormat="false" ht="13.8" hidden="false" customHeight="false" outlineLevel="0" collapsed="false">
      <c r="B570" s="2" t="n">
        <v>568</v>
      </c>
      <c r="C570" s="2" t="n">
        <v>1.24774095592399E-011</v>
      </c>
      <c r="D570" s="2" t="n">
        <v>5.55525347570766E-012</v>
      </c>
      <c r="E570" s="2" t="n">
        <v>0</v>
      </c>
    </row>
    <row r="571" customFormat="false" ht="13.8" hidden="false" customHeight="false" outlineLevel="0" collapsed="false">
      <c r="B571" s="2" t="n">
        <v>569</v>
      </c>
      <c r="C571" s="2" t="n">
        <v>1.24775129360457E-011</v>
      </c>
      <c r="D571" s="2" t="n">
        <v>5.55360736305703E-012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1.24776880246897E-011</v>
      </c>
      <c r="D572" s="2" t="n">
        <v>5.55367348695982E-012</v>
      </c>
      <c r="E572" s="2" t="n">
        <v>0</v>
      </c>
    </row>
    <row r="573" customFormat="false" ht="13.8" hidden="false" customHeight="false" outlineLevel="0" collapsed="false">
      <c r="B573" s="2" t="n">
        <v>571</v>
      </c>
      <c r="C573" s="2" t="n">
        <v>1.24777578738828E-011</v>
      </c>
      <c r="D573" s="2" t="n">
        <v>5.55370608324993E-012</v>
      </c>
      <c r="E573" s="2" t="n">
        <v>0</v>
      </c>
    </row>
    <row r="574" customFormat="false" ht="13.8" hidden="false" customHeight="false" outlineLevel="0" collapsed="false">
      <c r="B574" s="2" t="n">
        <v>572</v>
      </c>
      <c r="C574" s="2" t="n">
        <v>1.24779283059139E-011</v>
      </c>
      <c r="D574" s="2" t="n">
        <v>5.55370631608057E-012</v>
      </c>
      <c r="E574" s="2" t="n">
        <v>0</v>
      </c>
    </row>
    <row r="575" customFormat="false" ht="13.8" hidden="false" customHeight="false" outlineLevel="0" collapsed="false">
      <c r="B575" s="2" t="n">
        <v>573</v>
      </c>
      <c r="C575" s="2" t="n">
        <v>1.24780340110261E-011</v>
      </c>
      <c r="D575" s="2" t="n">
        <v>5.55384007728535E-012</v>
      </c>
      <c r="E575" s="2" t="n">
        <v>0</v>
      </c>
    </row>
    <row r="576" customFormat="false" ht="13.8" hidden="false" customHeight="false" outlineLevel="0" collapsed="false">
      <c r="B576" s="2" t="n">
        <v>574</v>
      </c>
      <c r="C576" s="2" t="n">
        <v>1.24781720795978E-011</v>
      </c>
      <c r="D576" s="2" t="n">
        <v>5.55383972803938E-012</v>
      </c>
      <c r="E576" s="2" t="n">
        <v>0</v>
      </c>
    </row>
    <row r="577" customFormat="false" ht="13.8" hidden="false" customHeight="false" outlineLevel="0" collapsed="false">
      <c r="B577" s="2" t="n">
        <v>575</v>
      </c>
      <c r="C577" s="2" t="n">
        <v>1.24782754564036E-011</v>
      </c>
      <c r="D577" s="2" t="n">
        <v>5.55400876308667E-012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1.24784135249752E-011</v>
      </c>
      <c r="D578" s="2" t="n">
        <v>5.55397313999819E-012</v>
      </c>
      <c r="E578" s="2" t="n">
        <v>0</v>
      </c>
    </row>
    <row r="579" customFormat="false" ht="13.8" hidden="false" customHeight="false" outlineLevel="0" collapsed="false">
      <c r="B579" s="2" t="n">
        <v>577</v>
      </c>
      <c r="C579" s="2" t="n">
        <v>1.24785539218534E-011</v>
      </c>
      <c r="D579" s="2" t="n">
        <v>5.55403809974777E-012</v>
      </c>
      <c r="E579" s="2" t="n">
        <v>0</v>
      </c>
    </row>
    <row r="580" customFormat="false" ht="13.8" hidden="false" customHeight="false" outlineLevel="0" collapsed="false">
      <c r="B580" s="2" t="n">
        <v>578</v>
      </c>
      <c r="C580" s="2" t="n">
        <v>1.24786578807357E-011</v>
      </c>
      <c r="D580" s="2" t="n">
        <v>5.5553135460137E-012</v>
      </c>
      <c r="E580" s="2" t="n">
        <v>0</v>
      </c>
    </row>
    <row r="581" customFormat="false" ht="13.8" hidden="false" customHeight="false" outlineLevel="0" collapsed="false">
      <c r="B581" s="2" t="n">
        <v>579</v>
      </c>
      <c r="C581" s="2" t="n">
        <v>1.24788288948435E-011</v>
      </c>
      <c r="D581" s="2" t="n">
        <v>5.55417034755336E-012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1.24790010731045E-011</v>
      </c>
      <c r="D582" s="2" t="n">
        <v>5.55427349152849E-012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1.24790547405678E-011</v>
      </c>
      <c r="D583" s="2" t="n">
        <v>5.5542713960527E-012</v>
      </c>
      <c r="E583" s="2" t="n">
        <v>0</v>
      </c>
    </row>
    <row r="584" customFormat="false" ht="13.8" hidden="false" customHeight="false" outlineLevel="0" collapsed="false">
      <c r="B584" s="2" t="n">
        <v>582</v>
      </c>
      <c r="C584" s="2" t="n">
        <v>1.24791939732927E-011</v>
      </c>
      <c r="D584" s="2" t="n">
        <v>5.5553445124893E-012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1.24793979329365E-011</v>
      </c>
      <c r="D585" s="2" t="n">
        <v>5.55443949977741E-012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1.24794365828234E-011</v>
      </c>
      <c r="D586" s="2" t="n">
        <v>5.55447209606752E-012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1.24796081790077E-011</v>
      </c>
      <c r="D587" s="2" t="n">
        <v>5.55452262031719E-012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1.2480265925576E-011</v>
      </c>
      <c r="D588" s="2" t="n">
        <v>5.55535987931177E-012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1.24798519526916E-011</v>
      </c>
      <c r="D589" s="2" t="n">
        <v>5.55463694016322E-012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1.24799720933037E-011</v>
      </c>
      <c r="D590" s="2" t="n">
        <v>5.55472332033202E-012</v>
      </c>
      <c r="E590" s="2" t="n">
        <v>0</v>
      </c>
    </row>
    <row r="591" customFormat="false" ht="13.8" hidden="false" customHeight="false" outlineLevel="0" collapsed="false">
      <c r="B591" s="2" t="n">
        <v>589</v>
      </c>
      <c r="C591" s="2" t="n">
        <v>1.24801101618754E-011</v>
      </c>
      <c r="D591" s="2" t="n">
        <v>5.55478828008159E-012</v>
      </c>
      <c r="E591" s="2" t="n">
        <v>0</v>
      </c>
    </row>
    <row r="592" customFormat="false" ht="13.8" hidden="false" customHeight="false" outlineLevel="0" collapsed="false">
      <c r="B592" s="2" t="n">
        <v>590</v>
      </c>
      <c r="C592" s="2" t="n">
        <v>1.24802314666407E-011</v>
      </c>
      <c r="D592" s="2" t="n">
        <v>5.55532379056199E-012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1.24807227392988E-011</v>
      </c>
      <c r="D593" s="2" t="n">
        <v>5.5549216920404E-012</v>
      </c>
      <c r="E593" s="2" t="n">
        <v>0</v>
      </c>
    </row>
    <row r="594" customFormat="false" ht="13.8" hidden="false" customHeight="false" outlineLevel="0" collapsed="false">
      <c r="B594" s="2" t="n">
        <v>592</v>
      </c>
      <c r="C594" s="2" t="n">
        <v>1.24804752403246E-011</v>
      </c>
      <c r="D594" s="2" t="n">
        <v>5.55495428833051E-012</v>
      </c>
      <c r="E594" s="2" t="n">
        <v>0</v>
      </c>
    </row>
    <row r="595" customFormat="false" ht="13.8" hidden="false" customHeight="false" outlineLevel="0" collapsed="false">
      <c r="B595" s="2" t="n">
        <v>593</v>
      </c>
      <c r="C595" s="2" t="n">
        <v>1.24806037628399E-011</v>
      </c>
      <c r="D595" s="2" t="n">
        <v>5.55502041223331E-012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1.24807418314116E-011</v>
      </c>
      <c r="D596" s="2" t="n">
        <v>5.5550625545798E-012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1.2481064301853E-011</v>
      </c>
      <c r="D597" s="2" t="n">
        <v>5.55513938869221E-012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1.2480993404922E-011</v>
      </c>
      <c r="D598" s="2" t="n">
        <v>5.55518758463544E-012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1.24811225095139E-011</v>
      </c>
      <c r="D599" s="2" t="n">
        <v>5.55524649078829E-012</v>
      </c>
      <c r="E599" s="2" t="n">
        <v>0</v>
      </c>
    </row>
    <row r="600" customFormat="false" ht="13.8" hidden="false" customHeight="false" outlineLevel="0" collapsed="false">
      <c r="B600" s="2" t="n">
        <v>598</v>
      </c>
      <c r="C600" s="2" t="n">
        <v>1.24812779239686E-011</v>
      </c>
      <c r="D600" s="2" t="n">
        <v>5.55533356944901E-012</v>
      </c>
      <c r="E600" s="2" t="n">
        <v>0</v>
      </c>
    </row>
    <row r="601" customFormat="false" ht="13.8" hidden="false" customHeight="false" outlineLevel="0" collapsed="false">
      <c r="B601" s="2" t="n">
        <v>599</v>
      </c>
      <c r="C601" s="2" t="n">
        <v>1.24814878207938E-011</v>
      </c>
      <c r="D601" s="2" t="n">
        <v>5.55535475703758E-012</v>
      </c>
      <c r="E601" s="2" t="n">
        <v>0</v>
      </c>
    </row>
    <row r="602" customFormat="false" ht="13.8" hidden="false" customHeight="false" outlineLevel="0" collapsed="false">
      <c r="B602" s="2" t="n">
        <v>600</v>
      </c>
      <c r="C602" s="2" t="n">
        <v>1.24815073785679E-011</v>
      </c>
      <c r="D602" s="2" t="n">
        <v>5.5554290300129E-012</v>
      </c>
      <c r="E602" s="2" t="n">
        <v>0</v>
      </c>
    </row>
    <row r="603" customFormat="false" ht="13.8" hidden="false" customHeight="false" outlineLevel="0" collapsed="false">
      <c r="B603" s="2" t="n">
        <v>601</v>
      </c>
      <c r="C603" s="2" t="n">
        <v>1.24816403248654E-011</v>
      </c>
      <c r="D603" s="2" t="n">
        <v>5.55548816899639E-012</v>
      </c>
      <c r="E603" s="2" t="n">
        <v>0</v>
      </c>
    </row>
    <row r="604" customFormat="false" ht="13.8" hidden="false" customHeight="false" outlineLevel="0" collapsed="false">
      <c r="B604" s="2" t="n">
        <v>602</v>
      </c>
      <c r="C604" s="2" t="n">
        <v>1.24817721070097E-011</v>
      </c>
      <c r="D604" s="2" t="n">
        <v>5.55555691224393E-012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1.24818973116883E-011</v>
      </c>
      <c r="D605" s="2" t="n">
        <v>5.55560394403394E-012</v>
      </c>
      <c r="E605" s="2" t="n">
        <v>0.0270461681230762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0.00528296504389497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1.67356481836421E-015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1.72815729321744E-015</v>
      </c>
      <c r="E609" s="2" t="n">
        <v>7.57923701296319E-016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7.79033255781716E-016</v>
      </c>
      <c r="E610" s="2" t="n">
        <v>7.05412213906955E-016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7.14241638855235E-016</v>
      </c>
      <c r="E611" s="2" t="n">
        <v>6.52862904411368E-016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6.46620066954572E-016</v>
      </c>
      <c r="E612" s="2" t="n">
        <v>6.00237675875528E-016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5.77683069106061E-016</v>
      </c>
      <c r="E613" s="2" t="n">
        <v>5.47727013051775E-016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5.08442011978042E-016</v>
      </c>
      <c r="E614" s="2" t="n">
        <v>4.95140431159311E-016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4.39112975805278E-016</v>
      </c>
      <c r="E615" s="2" t="n">
        <v>4.42592221075045E-016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3.69842261053139E-016</v>
      </c>
      <c r="E616" s="2" t="n">
        <v>3.90082382782032E-016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3.00810956752888E-016</v>
      </c>
      <c r="E617" s="2" t="n">
        <v>3.37496625389675E-016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2.32341097940489E-016</v>
      </c>
      <c r="E618" s="2" t="n">
        <v>2.84987336714552E-016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1.64901649155879E-016</v>
      </c>
      <c r="E619" s="2" t="n">
        <v>2.32402128971706E-016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9.93832427080258E-017</v>
      </c>
      <c r="E620" s="2" t="n">
        <v>1.79855293030237E-016</v>
      </c>
    </row>
    <row r="621" customFormat="false" ht="13.8" hidden="false" customHeight="false" outlineLevel="0" collapsed="false">
      <c r="B621" s="2" t="n">
        <v>619</v>
      </c>
      <c r="C621" s="2" t="n">
        <v>0.0142199596314668</v>
      </c>
      <c r="D621" s="2" t="n">
        <v>0.00201503877302925</v>
      </c>
      <c r="E621" s="2" t="n">
        <v>1.24844898959954E-016</v>
      </c>
    </row>
    <row r="622" customFormat="false" ht="13.8" hidden="false" customHeight="false" outlineLevel="0" collapsed="false">
      <c r="B622" s="2" t="n">
        <v>620</v>
      </c>
      <c r="C622" s="2" t="n">
        <v>0.0578298842459388</v>
      </c>
      <c r="D622" s="2" t="n">
        <v>0.036972351402644</v>
      </c>
      <c r="E622" s="2" t="n">
        <v>7.37844854359697E-017</v>
      </c>
    </row>
    <row r="623" customFormat="false" ht="13.8" hidden="false" customHeight="false" outlineLevel="0" collapsed="false">
      <c r="B623" s="2" t="n">
        <v>621</v>
      </c>
      <c r="C623" s="2" t="n">
        <v>0.17045407474747</v>
      </c>
      <c r="D623" s="2" t="n">
        <v>0.081597299828641</v>
      </c>
      <c r="E623" s="2" t="n">
        <v>0.0107099716073939</v>
      </c>
    </row>
    <row r="624" customFormat="false" ht="13.8" hidden="false" customHeight="false" outlineLevel="0" collapsed="false">
      <c r="B624" s="2" t="n">
        <v>622</v>
      </c>
      <c r="C624" s="2" t="n">
        <v>0.119507620000206</v>
      </c>
      <c r="D624" s="2" t="n">
        <v>0.15168709682327</v>
      </c>
      <c r="E624" s="2" t="n">
        <v>0.0652353864967174</v>
      </c>
    </row>
    <row r="625" customFormat="false" ht="13.8" hidden="false" customHeight="false" outlineLevel="0" collapsed="false">
      <c r="B625" s="2" t="n">
        <v>623</v>
      </c>
      <c r="C625" s="2" t="n">
        <v>0.318390756389008</v>
      </c>
      <c r="D625" s="2" t="n">
        <v>0.289148624344348</v>
      </c>
      <c r="E625" s="2" t="n">
        <v>0.146604250854932</v>
      </c>
    </row>
    <row r="626" customFormat="false" ht="13.8" hidden="false" customHeight="false" outlineLevel="0" collapsed="false">
      <c r="B626" s="2" t="n">
        <v>624</v>
      </c>
      <c r="C626" s="2" t="n">
        <v>0.297653921901034</v>
      </c>
      <c r="D626" s="2" t="n">
        <v>0.287665118299075</v>
      </c>
      <c r="E626" s="2" t="n">
        <v>0.196247189319039</v>
      </c>
    </row>
    <row r="627" customFormat="false" ht="13.8" hidden="false" customHeight="false" outlineLevel="0" collapsed="false">
      <c r="B627" s="2" t="n">
        <v>625</v>
      </c>
      <c r="C627" s="2" t="n">
        <v>0.365004844948268</v>
      </c>
      <c r="D627" s="2" t="n">
        <v>0.30264514283294</v>
      </c>
      <c r="E627" s="2" t="n">
        <v>0.395337189468854</v>
      </c>
    </row>
    <row r="628" customFormat="false" ht="13.8" hidden="false" customHeight="false" outlineLevel="0" collapsed="false">
      <c r="B628" s="2" t="n">
        <v>626</v>
      </c>
      <c r="C628" s="2" t="n">
        <v>0.256237652047185</v>
      </c>
      <c r="D628" s="2" t="n">
        <v>0.229221416215187</v>
      </c>
      <c r="E628" s="2" t="n">
        <v>0.267435454692543</v>
      </c>
    </row>
    <row r="629" customFormat="false" ht="13.8" hidden="false" customHeight="false" outlineLevel="0" collapsed="false">
      <c r="B629" s="2" t="n">
        <v>627</v>
      </c>
      <c r="C629" s="2" t="n">
        <v>0.274053375812769</v>
      </c>
      <c r="D629" s="2" t="n">
        <v>0.235097972930767</v>
      </c>
      <c r="E629" s="2" t="n">
        <v>0.301779486643165</v>
      </c>
    </row>
    <row r="630" customFormat="false" ht="13.8" hidden="false" customHeight="false" outlineLevel="0" collapsed="false">
      <c r="B630" s="2" t="n">
        <v>628</v>
      </c>
      <c r="C630" s="2" t="n">
        <v>0.165336216245019</v>
      </c>
      <c r="D630" s="2" t="n">
        <v>0.140741529646347</v>
      </c>
      <c r="E630" s="2" t="n">
        <v>0.179124185260454</v>
      </c>
    </row>
    <row r="631" customFormat="false" ht="13.8" hidden="false" customHeight="false" outlineLevel="0" collapsed="false">
      <c r="B631" s="2" t="n">
        <v>629</v>
      </c>
      <c r="C631" s="2" t="n">
        <v>0.187668990010602</v>
      </c>
      <c r="D631" s="2" t="n">
        <v>0.155301169695261</v>
      </c>
      <c r="E631" s="2" t="n">
        <v>0.197852467211076</v>
      </c>
    </row>
    <row r="632" customFormat="false" ht="13.8" hidden="false" customHeight="false" outlineLevel="0" collapsed="false">
      <c r="B632" s="2" t="n">
        <v>630</v>
      </c>
      <c r="C632" s="2" t="n">
        <v>0.116841547221162</v>
      </c>
      <c r="D632" s="2" t="n">
        <v>0.106040571566092</v>
      </c>
      <c r="E632" s="2" t="n">
        <v>0.121993188003292</v>
      </c>
    </row>
    <row r="633" customFormat="false" ht="13.8" hidden="false" customHeight="false" outlineLevel="0" collapsed="false">
      <c r="B633" s="2" t="n">
        <v>631</v>
      </c>
      <c r="C633" s="2" t="n">
        <v>0.187347304431722</v>
      </c>
      <c r="D633" s="2" t="n">
        <v>0.160130423436923</v>
      </c>
      <c r="E633" s="2" t="n">
        <v>0.183867158795508</v>
      </c>
    </row>
    <row r="634" customFormat="false" ht="13.8" hidden="false" customHeight="false" outlineLevel="0" collapsed="false">
      <c r="B634" s="2" t="n">
        <v>632</v>
      </c>
      <c r="C634" s="2" t="n">
        <v>0.156520378308948</v>
      </c>
      <c r="D634" s="2" t="n">
        <v>0.0942871419744213</v>
      </c>
      <c r="E634" s="2" t="n">
        <v>0.116524379587723</v>
      </c>
    </row>
    <row r="635" customFormat="false" ht="13.8" hidden="false" customHeight="false" outlineLevel="0" collapsed="false">
      <c r="B635" s="2" t="n">
        <v>633</v>
      </c>
      <c r="C635" s="2" t="n">
        <v>0.170892902186175</v>
      </c>
      <c r="D635" s="2" t="n">
        <v>0.162642977178586</v>
      </c>
      <c r="E635" s="2" t="n">
        <v>0.174581150379939</v>
      </c>
    </row>
    <row r="636" customFormat="false" ht="13.8" hidden="false" customHeight="false" outlineLevel="0" collapsed="false">
      <c r="B636" s="2" t="n">
        <v>634</v>
      </c>
      <c r="C636" s="2" t="n">
        <v>0.0868352304121106</v>
      </c>
      <c r="D636" s="2" t="n">
        <v>0.104306210334874</v>
      </c>
      <c r="E636" s="2" t="n">
        <v>0.0960784990988567</v>
      </c>
    </row>
    <row r="637" customFormat="false" ht="13.8" hidden="false" customHeight="false" outlineLevel="0" collapsed="false">
      <c r="B637" s="2" t="n">
        <v>635</v>
      </c>
      <c r="C637" s="2" t="n">
        <v>0.136110608638046</v>
      </c>
      <c r="D637" s="2" t="n">
        <v>0.0718856601578289</v>
      </c>
      <c r="E637" s="2" t="n">
        <v>0.144576264484443</v>
      </c>
    </row>
    <row r="638" customFormat="false" ht="13.8" hidden="false" customHeight="false" outlineLevel="0" collapsed="false">
      <c r="B638" s="2" t="n">
        <v>636</v>
      </c>
      <c r="C638" s="2" t="n">
        <v>0.055386236863982</v>
      </c>
      <c r="D638" s="2" t="n">
        <v>0.093798359980784</v>
      </c>
      <c r="E638" s="2" t="n">
        <v>0.0764070632033615</v>
      </c>
    </row>
    <row r="639" customFormat="false" ht="13.8" hidden="false" customHeight="false" outlineLevel="0" collapsed="false">
      <c r="B639" s="2" t="n">
        <v>637</v>
      </c>
      <c r="C639" s="2" t="n">
        <v>0.10466149842325</v>
      </c>
      <c r="D639" s="2" t="n">
        <v>0.073127793137071</v>
      </c>
      <c r="E639" s="2" t="n">
        <v>0.0985710785889529</v>
      </c>
    </row>
    <row r="640" customFormat="false" ht="13.8" hidden="false" customHeight="false" outlineLevel="0" collapsed="false">
      <c r="B640" s="2" t="n">
        <v>638</v>
      </c>
      <c r="C640" s="2" t="n">
        <v>0.0307245568164666</v>
      </c>
      <c r="D640" s="2" t="n">
        <v>0.0144122662944646</v>
      </c>
      <c r="E640" s="2" t="n">
        <v>0.0286777981392483</v>
      </c>
    </row>
    <row r="641" customFormat="false" ht="13.8" hidden="false" customHeight="false" outlineLevel="0" collapsed="false">
      <c r="B641" s="2" t="n">
        <v>639</v>
      </c>
      <c r="C641" s="2" t="n">
        <v>0.0212876485430166</v>
      </c>
      <c r="D641" s="2" t="n">
        <v>0.00119673945185812</v>
      </c>
      <c r="E641" s="2" t="n">
        <v>0.00395116768953814</v>
      </c>
    </row>
    <row r="642" customFormat="false" ht="13.8" hidden="false" customHeight="false" outlineLevel="0" collapsed="false">
      <c r="B642" s="2" t="n">
        <v>640</v>
      </c>
      <c r="C642" s="2" t="n">
        <v>1.21723860502059E-015</v>
      </c>
      <c r="D642" s="2" t="n">
        <v>1.08825042843575E-015</v>
      </c>
      <c r="E642" s="2" t="n">
        <v>4.66778874391915E-015</v>
      </c>
    </row>
    <row r="643" customFormat="false" ht="13.8" hidden="false" customHeight="false" outlineLevel="0" collapsed="false">
      <c r="B643" s="2" t="n">
        <v>641</v>
      </c>
      <c r="C643" s="2" t="n">
        <v>8.81962478159018E-016</v>
      </c>
      <c r="D643" s="2" t="n">
        <v>9.54139977691122E-016</v>
      </c>
      <c r="E643" s="2" t="n">
        <v>4.74066473538257E-015</v>
      </c>
    </row>
    <row r="644" customFormat="false" ht="13.8" hidden="false" customHeight="false" outlineLevel="0" collapsed="false">
      <c r="B644" s="2" t="n">
        <v>642</v>
      </c>
      <c r="C644" s="2" t="n">
        <v>8.83126631377279E-016</v>
      </c>
      <c r="D644" s="2" t="n">
        <v>1.15763396024458E-015</v>
      </c>
      <c r="E644" s="2" t="n">
        <v>4.51970845455586E-015</v>
      </c>
    </row>
    <row r="645" customFormat="false" ht="13.8" hidden="false" customHeight="false" outlineLevel="0" collapsed="false">
      <c r="B645" s="2" t="n">
        <v>643</v>
      </c>
      <c r="C645" s="2" t="n">
        <v>9.53674316404374E-016</v>
      </c>
      <c r="D645" s="2" t="n">
        <v>1.02003104984518E-015</v>
      </c>
      <c r="E645" s="2" t="n">
        <v>4.72320243710925E-015</v>
      </c>
    </row>
    <row r="646" customFormat="false" ht="13.8" hidden="false" customHeight="false" outlineLevel="0" collapsed="false">
      <c r="B646" s="2" t="n">
        <v>644</v>
      </c>
      <c r="C646" s="2" t="n">
        <v>8.8661909103206E-016</v>
      </c>
      <c r="D646" s="2" t="n">
        <v>1.0165385901904E-015</v>
      </c>
      <c r="E646" s="2" t="n">
        <v>4.52203676099231E-015</v>
      </c>
    </row>
    <row r="647" customFormat="false" ht="13.8" hidden="false" customHeight="false" outlineLevel="0" collapsed="false">
      <c r="B647" s="2" t="n">
        <v>645</v>
      </c>
      <c r="C647" s="2" t="n">
        <v>8.17235559223225E-016</v>
      </c>
      <c r="D647" s="2" t="n">
        <v>1.26380473375099E-015</v>
      </c>
      <c r="E647" s="2" t="n">
        <v>4.72320243710925E-015</v>
      </c>
    </row>
    <row r="648" customFormat="false" ht="13.8" hidden="false" customHeight="false" outlineLevel="0" collapsed="false">
      <c r="B648" s="2" t="n">
        <v>646</v>
      </c>
      <c r="C648" s="2" t="n">
        <v>8.8661909103206E-016</v>
      </c>
      <c r="D648" s="2" t="n">
        <v>9.58796590564159E-016</v>
      </c>
      <c r="E648" s="2" t="n">
        <v>4.72553074354569E-015</v>
      </c>
    </row>
    <row r="649" customFormat="false" ht="13.8" hidden="false" customHeight="false" outlineLevel="0" collapsed="false">
      <c r="B649" s="2" t="n">
        <v>647</v>
      </c>
      <c r="C649" s="2" t="n">
        <v>8.8661909103206E-016</v>
      </c>
      <c r="D649" s="2" t="n">
        <v>9.04663465915092E-016</v>
      </c>
      <c r="E649" s="2" t="n">
        <v>4.65614721173694E-015</v>
      </c>
    </row>
    <row r="650" customFormat="false" ht="13.8" hidden="false" customHeight="false" outlineLevel="0" collapsed="false">
      <c r="B650" s="2" t="n">
        <v>648</v>
      </c>
      <c r="C650" s="2" t="n">
        <v>7.6834112405627E-016</v>
      </c>
      <c r="D650" s="2" t="n">
        <v>1.02818012237299E-015</v>
      </c>
      <c r="E650" s="2" t="n">
        <v>4.58443537349174E-015</v>
      </c>
    </row>
    <row r="651" customFormat="false" ht="13.8" hidden="false" customHeight="false" outlineLevel="0" collapsed="false">
      <c r="B651" s="2" t="n">
        <v>649</v>
      </c>
      <c r="C651" s="2" t="n">
        <v>9.53674316404374E-016</v>
      </c>
      <c r="D651" s="2" t="n">
        <v>9.96980816123352E-016</v>
      </c>
      <c r="E651" s="2" t="n">
        <v>4.72553074354569E-015</v>
      </c>
    </row>
    <row r="652" customFormat="false" ht="13.8" hidden="false" customHeight="false" outlineLevel="0" collapsed="false">
      <c r="B652" s="2" t="n">
        <v>650</v>
      </c>
      <c r="C652" s="2" t="n">
        <v>8.8661909103206E-016</v>
      </c>
      <c r="D652" s="2" t="n">
        <v>9.92324203250316E-016</v>
      </c>
      <c r="E652" s="2" t="n">
        <v>4.72320243710925E-015</v>
      </c>
    </row>
    <row r="653" customFormat="false" ht="13.8" hidden="false" customHeight="false" outlineLevel="0" collapsed="false">
      <c r="B653" s="2" t="n">
        <v>651</v>
      </c>
      <c r="C653" s="2" t="n">
        <v>7.52508640287431E-016</v>
      </c>
      <c r="D653" s="2" t="n">
        <v>1.05937942862263E-015</v>
      </c>
      <c r="E653" s="2" t="n">
        <v>4.69083897764132E-015</v>
      </c>
    </row>
    <row r="654" customFormat="false" ht="13.8" hidden="false" customHeight="false" outlineLevel="0" collapsed="false">
      <c r="B654" s="2" t="n">
        <v>652</v>
      </c>
      <c r="C654" s="2" t="n">
        <v>9.53674316404374E-016</v>
      </c>
      <c r="D654" s="2" t="n">
        <v>9.94652509686834E-016</v>
      </c>
      <c r="E654" s="2" t="n">
        <v>4.65614721173694E-015</v>
      </c>
    </row>
    <row r="655" customFormat="false" ht="13.8" hidden="false" customHeight="false" outlineLevel="0" collapsed="false">
      <c r="B655" s="2" t="n">
        <v>653</v>
      </c>
      <c r="C655" s="2" t="n">
        <v>9.56002622840895E-016</v>
      </c>
      <c r="D655" s="2" t="n">
        <v>1.02585181593647E-015</v>
      </c>
      <c r="E655" s="2" t="n">
        <v>4.65614721173694E-015</v>
      </c>
    </row>
    <row r="656" customFormat="false" ht="13.8" hidden="false" customHeight="false" outlineLevel="0" collapsed="false">
      <c r="B656" s="2" t="n">
        <v>654</v>
      </c>
      <c r="C656" s="2" t="n">
        <v>8.17235559223225E-016</v>
      </c>
      <c r="D656" s="2" t="n">
        <v>1.02818012237299E-015</v>
      </c>
      <c r="E656" s="2" t="n">
        <v>4.6896748244231E-015</v>
      </c>
    </row>
    <row r="657" customFormat="false" ht="13.8" hidden="false" customHeight="false" outlineLevel="0" collapsed="false">
      <c r="B657" s="2" t="n">
        <v>655</v>
      </c>
      <c r="C657" s="2" t="n">
        <v>9.22475010154738E-016</v>
      </c>
      <c r="D657" s="2" t="n">
        <v>9.92324203250316E-016</v>
      </c>
      <c r="E657" s="2" t="n">
        <v>4.65847551817338E-015</v>
      </c>
    </row>
    <row r="658" customFormat="false" ht="13.8" hidden="false" customHeight="false" outlineLevel="0" collapsed="false">
      <c r="B658" s="2" t="n">
        <v>656</v>
      </c>
      <c r="C658" s="2" t="n">
        <v>8.88947397468581E-016</v>
      </c>
      <c r="D658" s="2" t="n">
        <v>9.58796590564159E-016</v>
      </c>
      <c r="E658" s="2" t="n">
        <v>4.62261959905078E-015</v>
      </c>
    </row>
    <row r="659" customFormat="false" ht="13.8" hidden="false" customHeight="false" outlineLevel="0" collapsed="false">
      <c r="B659" s="2" t="n">
        <v>657</v>
      </c>
      <c r="C659" s="2" t="n">
        <v>8.53091478345903E-016</v>
      </c>
      <c r="D659" s="2" t="n">
        <v>1.05937942862263E-015</v>
      </c>
      <c r="E659" s="2" t="n">
        <v>4.72320243710925E-015</v>
      </c>
    </row>
    <row r="660" customFormat="false" ht="13.8" hidden="false" customHeight="false" outlineLevel="0" collapsed="false">
      <c r="B660" s="2" t="n">
        <v>658</v>
      </c>
      <c r="C660" s="2" t="n">
        <v>9.20146703718217E-016</v>
      </c>
      <c r="D660" s="2" t="n">
        <v>9.27597284314519E-016</v>
      </c>
      <c r="E660" s="2" t="n">
        <v>4.65614721173694E-015</v>
      </c>
    </row>
    <row r="661" customFormat="false" ht="13.8" hidden="false" customHeight="false" outlineLevel="0" collapsed="false">
      <c r="B661" s="2" t="n">
        <v>659</v>
      </c>
      <c r="C661" s="2" t="n">
        <v>8.88947397468581E-016</v>
      </c>
      <c r="D661" s="2" t="n">
        <v>1.03050842880951E-015</v>
      </c>
      <c r="E661" s="2" t="n">
        <v>4.6896748244231E-015</v>
      </c>
    </row>
    <row r="662" customFormat="false" ht="13.8" hidden="false" customHeight="false" outlineLevel="0" collapsed="false">
      <c r="B662" s="2" t="n">
        <v>660</v>
      </c>
      <c r="C662" s="2" t="n">
        <v>9.56002622840895E-016</v>
      </c>
      <c r="D662" s="2" t="n">
        <v>1.02701596915473E-015</v>
      </c>
      <c r="E662" s="2" t="n">
        <v>4.67291101808002E-015</v>
      </c>
    </row>
    <row r="663" customFormat="false" ht="13.8" hidden="false" customHeight="false" outlineLevel="0" collapsed="false">
      <c r="B663" s="2" t="n">
        <v>661</v>
      </c>
      <c r="C663" s="2" t="n">
        <v>8.55419784782423E-016</v>
      </c>
      <c r="D663" s="2" t="n">
        <v>1.01141631602991E-015</v>
      </c>
      <c r="E663" s="2" t="n">
        <v>4.67291101808002E-015</v>
      </c>
    </row>
    <row r="664" customFormat="false" ht="13.8" hidden="false" customHeight="false" outlineLevel="0" collapsed="false">
      <c r="B664" s="2" t="n">
        <v>662</v>
      </c>
      <c r="C664" s="2" t="n">
        <v>8.69855284688981E-016</v>
      </c>
      <c r="D664" s="2" t="n">
        <v>9.92324203250316E-016</v>
      </c>
      <c r="E664" s="2" t="n">
        <v>4.65731136495516E-015</v>
      </c>
    </row>
    <row r="665" customFormat="false" ht="13.8" hidden="false" customHeight="false" outlineLevel="0" collapsed="false">
      <c r="B665" s="2" t="n">
        <v>663</v>
      </c>
      <c r="C665" s="2" t="n">
        <v>8.8661909103206E-016</v>
      </c>
      <c r="D665" s="2" t="n">
        <v>1.04494392871607E-015</v>
      </c>
      <c r="E665" s="2" t="n">
        <v>4.6417117118303E-015</v>
      </c>
    </row>
    <row r="666" customFormat="false" ht="13.8" hidden="false" customHeight="false" outlineLevel="0" collapsed="false">
      <c r="B666" s="2" t="n">
        <v>664</v>
      </c>
      <c r="C666" s="2" t="n">
        <v>8.53091478345903E-016</v>
      </c>
      <c r="D666" s="2" t="n">
        <v>1.00908800959339E-015</v>
      </c>
      <c r="E666" s="2" t="n">
        <v>4.65847551817338E-015</v>
      </c>
    </row>
    <row r="667" customFormat="false" ht="13.8" hidden="false" customHeight="false" outlineLevel="0" collapsed="false">
      <c r="B667" s="2" t="n">
        <v>665</v>
      </c>
      <c r="C667" s="2" t="n">
        <v>9.20146703718217E-016</v>
      </c>
      <c r="D667" s="2" t="n">
        <v>1.02818012237299E-015</v>
      </c>
      <c r="E667" s="2" t="n">
        <v>4.6896748244231E-015</v>
      </c>
    </row>
    <row r="668" customFormat="false" ht="13.8" hidden="false" customHeight="false" outlineLevel="0" collapsed="false">
      <c r="B668" s="2" t="n">
        <v>666</v>
      </c>
      <c r="C668" s="2" t="n">
        <v>9.03382897375139E-016</v>
      </c>
      <c r="D668" s="2" t="n">
        <v>1.01863406598319E-015</v>
      </c>
      <c r="E668" s="2" t="n">
        <v>4.67291101808002E-015</v>
      </c>
    </row>
    <row r="669" customFormat="false" ht="13.8" hidden="false" customHeight="false" outlineLevel="0" collapsed="false">
      <c r="B669" s="2" t="n">
        <v>667</v>
      </c>
      <c r="C669" s="2" t="n">
        <v>8.88947397468581E-016</v>
      </c>
      <c r="D669" s="2" t="n">
        <v>1.00489705800762E-015</v>
      </c>
      <c r="E669" s="2" t="n">
        <v>4.68129292125156E-015</v>
      </c>
    </row>
    <row r="670" customFormat="false" ht="13.8" hidden="false" customHeight="false" outlineLevel="0" collapsed="false">
      <c r="B670" s="2" t="n">
        <v>668</v>
      </c>
      <c r="C670" s="2" t="n">
        <v>8.80565494297041E-016</v>
      </c>
      <c r="D670" s="2" t="n">
        <v>1.00070610642186E-015</v>
      </c>
      <c r="E670" s="2" t="n">
        <v>4.65614721173694E-015</v>
      </c>
    </row>
    <row r="671" customFormat="false" ht="13.8" hidden="false" customHeight="false" outlineLevel="0" collapsed="false">
      <c r="B671" s="2" t="n">
        <v>669</v>
      </c>
      <c r="C671" s="2" t="n">
        <v>8.78237187860521E-016</v>
      </c>
      <c r="D671" s="2" t="n">
        <v>1.01164914667355E-015</v>
      </c>
      <c r="E671" s="2" t="n">
        <v>4.66476194555204E-015</v>
      </c>
    </row>
    <row r="672" customFormat="false" ht="13.8" hidden="false" customHeight="false" outlineLevel="0" collapsed="false">
      <c r="B672" s="2" t="n">
        <v>670</v>
      </c>
      <c r="C672" s="2" t="n">
        <v>8.86851921675696E-016</v>
      </c>
      <c r="D672" s="2" t="n">
        <v>1.00908800959339E-015</v>
      </c>
      <c r="E672" s="2" t="n">
        <v>4.67186328018358E-015</v>
      </c>
    </row>
    <row r="673" customFormat="false" ht="13.8" hidden="false" customHeight="false" outlineLevel="0" collapsed="false">
      <c r="B673" s="2" t="n">
        <v>671</v>
      </c>
      <c r="C673" s="2" t="n">
        <v>8.80332663653405E-016</v>
      </c>
      <c r="D673" s="2" t="n">
        <v>1.01036857813347E-015</v>
      </c>
      <c r="E673" s="2" t="n">
        <v>4.66883648181603E-015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7.45058059691391E-017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B13:E16 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0.0120024666269307</v>
      </c>
      <c r="D3" s="2" t="n">
        <v>0.0503854999822937</v>
      </c>
      <c r="E3" s="2" t="n">
        <v>0.0415023666576915</v>
      </c>
    </row>
    <row r="4" customFormat="false" ht="13.8" hidden="false" customHeight="false" outlineLevel="0" collapsed="false">
      <c r="B4" s="2" t="n">
        <v>2</v>
      </c>
      <c r="C4" s="2" t="n">
        <v>0.0483854832951282</v>
      </c>
      <c r="D4" s="2" t="n">
        <v>0.0395019999830494</v>
      </c>
      <c r="E4" s="2" t="n">
        <v>0.0417854666580201</v>
      </c>
    </row>
    <row r="5" customFormat="false" ht="13.8" hidden="false" customHeight="false" outlineLevel="0" collapsed="false">
      <c r="B5" s="2" t="n">
        <v>3</v>
      </c>
      <c r="C5" s="2" t="n">
        <v>0.0551852666292212</v>
      </c>
      <c r="D5" s="2" t="n">
        <v>0.0484681499834266</v>
      </c>
      <c r="E5" s="2" t="n">
        <v>0.0629179166581828</v>
      </c>
    </row>
    <row r="6" customFormat="false" ht="13.8" hidden="false" customHeight="false" outlineLevel="0" collapsed="false">
      <c r="B6" s="2" t="n">
        <v>4</v>
      </c>
      <c r="C6" s="2" t="n">
        <v>0.0531675999633145</v>
      </c>
      <c r="D6" s="2" t="n">
        <v>0.0632340666504689</v>
      </c>
      <c r="E6" s="2" t="n">
        <v>0.019784349991679</v>
      </c>
    </row>
    <row r="7" customFormat="false" ht="13.8" hidden="false" customHeight="false" outlineLevel="0" collapsed="false">
      <c r="B7" s="2" t="n">
        <v>5</v>
      </c>
      <c r="C7" s="2" t="n">
        <v>0.0542504332974074</v>
      </c>
      <c r="D7" s="2" t="n">
        <v>0.0253500833175082</v>
      </c>
      <c r="E7" s="2" t="n">
        <v>0.0794836666585086</v>
      </c>
    </row>
    <row r="8" customFormat="false" ht="13.8" hidden="false" customHeight="false" outlineLevel="0" collapsed="false">
      <c r="B8" s="2" t="n">
        <v>6</v>
      </c>
      <c r="C8" s="2" t="n">
        <v>0.0397335499648338</v>
      </c>
      <c r="D8" s="2" t="n">
        <v>0.0673667999845538</v>
      </c>
      <c r="E8" s="2" t="n">
        <v>0.0168667833253381</v>
      </c>
    </row>
    <row r="9" customFormat="false" ht="13.8" hidden="false" customHeight="false" outlineLevel="0" collapsed="false">
      <c r="B9" s="2" t="n">
        <v>7</v>
      </c>
      <c r="C9" s="2" t="n">
        <v>0.0540334666322602</v>
      </c>
      <c r="D9" s="2" t="n">
        <v>0.0218001333182626</v>
      </c>
      <c r="E9" s="2" t="n">
        <v>0.0193836833254981</v>
      </c>
    </row>
    <row r="10" customFormat="false" ht="13.8" hidden="false" customHeight="false" outlineLevel="0" collapsed="false">
      <c r="B10" s="2" t="n">
        <v>8</v>
      </c>
      <c r="C10" s="2" t="n">
        <v>0.0411168332996867</v>
      </c>
      <c r="D10" s="2" t="n">
        <v>0.0420004499853053</v>
      </c>
      <c r="E10" s="2" t="n">
        <v>0.0344836166589972</v>
      </c>
    </row>
    <row r="11" customFormat="false" ht="13.8" hidden="false" customHeight="false" outlineLevel="0" collapsed="false">
      <c r="B11" s="2" t="n">
        <v>9</v>
      </c>
      <c r="C11" s="2" t="n">
        <v>0.0552501166337797</v>
      </c>
      <c r="D11" s="2" t="n">
        <v>0.0455836166523475</v>
      </c>
      <c r="E11" s="2" t="n">
        <v>0.0243835166591601</v>
      </c>
    </row>
    <row r="12" customFormat="false" ht="13.8" hidden="false" customHeight="false" outlineLevel="0" collapsed="false">
      <c r="B12" s="2" t="n">
        <v>10</v>
      </c>
      <c r="C12" s="2" t="n">
        <v>0.0400502666345396</v>
      </c>
      <c r="D12" s="2" t="n">
        <v>0.0118668666527204</v>
      </c>
      <c r="E12" s="2" t="n">
        <v>0.067983366659323</v>
      </c>
    </row>
    <row r="13" customFormat="false" ht="13.8" hidden="false" customHeight="false" outlineLevel="0" collapsed="false">
      <c r="B13" s="2" t="n">
        <v>11</v>
      </c>
      <c r="C13" s="2" t="n">
        <v>0.0211667833019646</v>
      </c>
      <c r="D13" s="2" t="n">
        <v>0.0434168499864323</v>
      </c>
      <c r="E13" s="2" t="n">
        <v>0.0376667499928192</v>
      </c>
    </row>
    <row r="14" customFormat="false" ht="13.8" hidden="false" customHeight="false" outlineLevel="0" collapsed="false">
      <c r="B14" s="2" t="n">
        <v>12</v>
      </c>
      <c r="C14" s="2" t="n">
        <v>0.0515999999693923</v>
      </c>
      <c r="D14" s="2" t="n">
        <v>0.063616799986808</v>
      </c>
      <c r="E14" s="2" t="n">
        <v>0.0672499999929822</v>
      </c>
    </row>
    <row r="15" customFormat="false" ht="13.8" hidden="false" customHeight="false" outlineLevel="0" collapsed="false">
      <c r="B15" s="2" t="n">
        <v>13</v>
      </c>
      <c r="C15" s="2" t="n">
        <v>0.0730501166368187</v>
      </c>
      <c r="D15" s="2" t="n">
        <v>0.0259999999871838</v>
      </c>
      <c r="E15" s="2" t="n">
        <v>0.0380833666598117</v>
      </c>
    </row>
    <row r="16" customFormat="false" ht="13.8" hidden="false" customHeight="false" outlineLevel="0" collapsed="false">
      <c r="B16" s="2" t="n">
        <v>14</v>
      </c>
      <c r="C16" s="2" t="n">
        <v>0.0839666833042451</v>
      </c>
      <c r="D16" s="2" t="n">
        <v>0.0641667999875593</v>
      </c>
      <c r="E16" s="2" t="n">
        <v>0.0692666999933079</v>
      </c>
    </row>
    <row r="17" customFormat="false" ht="13.8" hidden="false" customHeight="false" outlineLevel="0" collapsed="false">
      <c r="B17" s="2" t="n">
        <v>15</v>
      </c>
      <c r="C17" s="2" t="n">
        <v>0.0473166833050048</v>
      </c>
      <c r="D17" s="2" t="n">
        <v>0.0110002999879352</v>
      </c>
      <c r="E17" s="2" t="n">
        <v>0.0386667499934707</v>
      </c>
    </row>
    <row r="18" customFormat="false" ht="13.8" hidden="false" customHeight="false" outlineLevel="0" collapsed="false">
      <c r="B18" s="2" t="n">
        <v>16</v>
      </c>
      <c r="C18" s="2" t="n">
        <v>0.0769001333057648</v>
      </c>
      <c r="D18" s="2" t="n">
        <v>0.0792002833216443</v>
      </c>
      <c r="E18" s="2" t="n">
        <v>0.065966833326967</v>
      </c>
    </row>
    <row r="19" customFormat="false" ht="13.8" hidden="false" customHeight="false" outlineLevel="0" collapsed="false">
      <c r="B19" s="2" t="n">
        <v>17</v>
      </c>
      <c r="C19" s="2" t="n">
        <v>0.0432002166398576</v>
      </c>
      <c r="D19" s="2" t="n">
        <v>0.0161834166553507</v>
      </c>
      <c r="E19" s="2" t="n">
        <v>0.0368666999937967</v>
      </c>
    </row>
    <row r="20" customFormat="false" ht="13.8" hidden="false" customHeight="false" outlineLevel="0" collapsed="false">
      <c r="B20" s="2" t="n">
        <v>18</v>
      </c>
      <c r="C20" s="2" t="n">
        <v>0.0728668999739508</v>
      </c>
      <c r="D20" s="2" t="n">
        <v>0.0637669833223956</v>
      </c>
      <c r="E20" s="2" t="n">
        <v>0.0444336666606262</v>
      </c>
    </row>
    <row r="21" customFormat="false" ht="13.8" hidden="false" customHeight="false" outlineLevel="0" collapsed="false">
      <c r="B21" s="2" t="n">
        <v>19</v>
      </c>
      <c r="C21" s="2" t="n">
        <v>0.0409835166413772</v>
      </c>
      <c r="D21" s="2" t="n">
        <v>0.0562833666561047</v>
      </c>
      <c r="E21" s="2" t="n">
        <v>0.0239500833274557</v>
      </c>
    </row>
    <row r="22" customFormat="false" ht="13.8" hidden="false" customHeight="false" outlineLevel="0" collapsed="false">
      <c r="B22" s="2" t="n">
        <v>20</v>
      </c>
      <c r="C22" s="2" t="n">
        <v>0.0536836499754702</v>
      </c>
      <c r="D22" s="2" t="n">
        <v>0.0529833999898137</v>
      </c>
      <c r="E22" s="2" t="n">
        <v>0.0769001499942851</v>
      </c>
    </row>
    <row r="23" customFormat="false" ht="13.8" hidden="false" customHeight="false" outlineLevel="0" collapsed="false">
      <c r="B23" s="2" t="n">
        <v>21</v>
      </c>
      <c r="C23" s="2" t="n">
        <v>0.0643004333095633</v>
      </c>
      <c r="D23" s="2" t="n">
        <v>0.0532499999901895</v>
      </c>
      <c r="E23" s="2" t="n">
        <v>0.0304667666611148</v>
      </c>
    </row>
    <row r="24" customFormat="false" ht="13.8" hidden="false" customHeight="false" outlineLevel="0" collapsed="false">
      <c r="B24" s="2" t="n">
        <v>22</v>
      </c>
      <c r="C24" s="2" t="n">
        <v>0.0701076283352307</v>
      </c>
      <c r="D24" s="2" t="n">
        <v>0.0528935434308173</v>
      </c>
      <c r="E24" s="2" t="n">
        <v>0.0814489339452962</v>
      </c>
    </row>
    <row r="25" customFormat="false" ht="13.8" hidden="false" customHeight="false" outlineLevel="0" collapsed="false">
      <c r="B25" s="2" t="n">
        <v>23</v>
      </c>
      <c r="C25" s="2" t="n">
        <v>0.0377153900633395</v>
      </c>
      <c r="D25" s="2" t="n">
        <v>0.0525370035528771</v>
      </c>
      <c r="E25" s="2" t="n">
        <v>0.0199145345711672</v>
      </c>
    </row>
    <row r="26" customFormat="false" ht="13.8" hidden="false" customHeight="false" outlineLevel="0" collapsed="false">
      <c r="B26" s="2" t="n">
        <v>24</v>
      </c>
      <c r="C26" s="2" t="n">
        <v>0.0951563184581144</v>
      </c>
      <c r="D26" s="2" t="n">
        <v>0.0517804803416035</v>
      </c>
      <c r="E26" s="2" t="n">
        <v>0.0902135018637047</v>
      </c>
    </row>
    <row r="27" customFormat="false" ht="13.8" hidden="false" customHeight="false" outlineLevel="0" collapsed="false">
      <c r="B27" s="2" t="n">
        <v>25</v>
      </c>
      <c r="C27" s="2" t="n">
        <v>0.0369138968528894</v>
      </c>
      <c r="D27" s="2" t="n">
        <v>0.0516240071303297</v>
      </c>
      <c r="E27" s="2" t="n">
        <v>0.0173125524895754</v>
      </c>
    </row>
    <row r="28" customFormat="false" ht="13.8" hidden="false" customHeight="false" outlineLevel="0" collapsed="false">
      <c r="B28" s="2" t="n">
        <v>26</v>
      </c>
      <c r="C28" s="2" t="n">
        <v>0.095544543992942</v>
      </c>
      <c r="D28" s="2" t="n">
        <v>0.0469753365458966</v>
      </c>
      <c r="E28" s="2" t="n">
        <v>0.0803129762911362</v>
      </c>
    </row>
    <row r="29" customFormat="false" ht="13.8" hidden="false" customHeight="false" outlineLevel="0" collapsed="false">
      <c r="B29" s="2" t="n">
        <v>27</v>
      </c>
      <c r="C29" s="2" t="n">
        <v>0.0281752744663279</v>
      </c>
      <c r="D29" s="2" t="n">
        <v>0.07880958262813</v>
      </c>
      <c r="E29" s="2" t="n">
        <v>0.00286341675936329</v>
      </c>
    </row>
    <row r="30" customFormat="false" ht="13.8" hidden="false" customHeight="false" outlineLevel="0" collapsed="false">
      <c r="B30" s="2" t="n">
        <v>28</v>
      </c>
      <c r="C30" s="2" t="n">
        <v>0.0784229882730471</v>
      </c>
      <c r="D30" s="2" t="n">
        <v>0.0308774120436971</v>
      </c>
      <c r="E30" s="2" t="n">
        <v>0.0614136072275911</v>
      </c>
    </row>
    <row r="31" customFormat="false" ht="13.8" hidden="false" customHeight="false" outlineLevel="0" collapsed="false">
      <c r="B31" s="2" t="n">
        <v>29</v>
      </c>
      <c r="C31" s="2" t="n">
        <v>0.00993686874643291</v>
      </c>
      <c r="D31" s="2" t="n">
        <v>0.0644115414592638</v>
      </c>
      <c r="E31" s="2" t="n">
        <v>0.0464134643624854</v>
      </c>
    </row>
    <row r="32" customFormat="false" ht="13.8" hidden="false" customHeight="false" outlineLevel="0" collapsed="false">
      <c r="B32" s="2" t="n">
        <v>30</v>
      </c>
      <c r="C32" s="2" t="n">
        <v>0.046562180029875</v>
      </c>
      <c r="D32" s="2" t="n">
        <v>0.0283188817300336</v>
      </c>
      <c r="E32" s="2" t="n">
        <v>1.03149149152968E-012</v>
      </c>
    </row>
    <row r="33" customFormat="false" ht="13.8" hidden="false" customHeight="false" outlineLevel="0" collapsed="false">
      <c r="B33" s="2" t="n">
        <v>31</v>
      </c>
      <c r="C33" s="2" t="n">
        <v>4.08329069614411E-012</v>
      </c>
      <c r="D33" s="2" t="n">
        <v>0.0027590053341366</v>
      </c>
      <c r="E33" s="2" t="n">
        <v>9.89602671729195E-013</v>
      </c>
    </row>
    <row r="34" customFormat="false" ht="13.8" hidden="false" customHeight="false" outlineLevel="0" collapsed="false">
      <c r="B34" s="2" t="n">
        <v>32</v>
      </c>
      <c r="C34" s="2" t="n">
        <v>3.89147963788775E-012</v>
      </c>
      <c r="D34" s="2" t="n">
        <v>1.43332613839044E-012</v>
      </c>
      <c r="E34" s="2" t="n">
        <v>9.42498445510865E-013</v>
      </c>
    </row>
    <row r="35" customFormat="false" ht="13.8" hidden="false" customHeight="false" outlineLevel="0" collapsed="false">
      <c r="B35" s="2" t="n">
        <v>33</v>
      </c>
      <c r="C35" s="2" t="n">
        <v>3.69966857963139E-012</v>
      </c>
      <c r="D35" s="2" t="n">
        <v>1.33568214045631E-012</v>
      </c>
      <c r="E35" s="2" t="n">
        <v>8.94517071253668E-013</v>
      </c>
    </row>
    <row r="36" customFormat="false" ht="13.8" hidden="false" customHeight="false" outlineLevel="0" collapsed="false">
      <c r="B36" s="2" t="n">
        <v>34</v>
      </c>
      <c r="C36" s="2" t="n">
        <v>3.50765056080289E-012</v>
      </c>
      <c r="D36" s="2" t="n">
        <v>1.23195350170136E-012</v>
      </c>
      <c r="E36" s="2" t="n">
        <v>8.36741593148974E-013</v>
      </c>
    </row>
    <row r="37" customFormat="false" ht="13.8" hidden="false" customHeight="false" outlineLevel="0" collapsed="false">
      <c r="B37" s="2" t="n">
        <v>35</v>
      </c>
      <c r="C37" s="2" t="n">
        <v>3.31596367888981E-012</v>
      </c>
      <c r="D37" s="2" t="n">
        <v>1.12354755401611E-012</v>
      </c>
      <c r="E37" s="2" t="n">
        <v>7.78378711806404E-013</v>
      </c>
    </row>
    <row r="38" customFormat="false" ht="13.8" hidden="false" customHeight="false" outlineLevel="0" collapsed="false">
      <c r="B38" s="2" t="n">
        <v>36</v>
      </c>
      <c r="C38" s="2" t="n">
        <v>3.12402844429016E-012</v>
      </c>
      <c r="D38" s="2" t="n">
        <v>1.01505882210202E-012</v>
      </c>
      <c r="E38" s="2" t="n">
        <v>7.19850262006125E-013</v>
      </c>
    </row>
    <row r="39" customFormat="false" ht="13.8" hidden="false" customHeight="false" outlineLevel="0" collapsed="false">
      <c r="B39" s="2" t="n">
        <v>37</v>
      </c>
      <c r="C39" s="2" t="n">
        <v>2.9322173860338E-012</v>
      </c>
      <c r="D39" s="2" t="n">
        <v>9.06694266531203E-013</v>
      </c>
      <c r="E39" s="2" t="n">
        <v>6.61445988549127E-013</v>
      </c>
    </row>
    <row r="40" customFormat="false" ht="13.8" hidden="false" customHeight="false" outlineLevel="0" collapsed="false">
      <c r="B40" s="2" t="n">
        <v>38</v>
      </c>
      <c r="C40" s="2" t="n">
        <v>2.74036493566301E-012</v>
      </c>
      <c r="D40" s="2" t="n">
        <v>7.98122750388252E-013</v>
      </c>
      <c r="E40" s="2" t="n">
        <v>6.02958930863275E-013</v>
      </c>
    </row>
    <row r="41" customFormat="false" ht="13.8" hidden="false" customHeight="false" outlineLevel="0" collapsed="false">
      <c r="B41" s="2" t="n">
        <v>39</v>
      </c>
      <c r="C41" s="2" t="n">
        <v>2.54851248529223E-012</v>
      </c>
      <c r="D41" s="2" t="n">
        <v>6.8971680270301E-013</v>
      </c>
      <c r="E41" s="2" t="n">
        <v>5.4451326529185E-013</v>
      </c>
    </row>
    <row r="42" customFormat="false" ht="13.8" hidden="false" customHeight="false" outlineLevel="0" collapsed="false">
      <c r="B42" s="2" t="n">
        <v>40</v>
      </c>
      <c r="C42" s="2" t="n">
        <v>2.35666003492144E-012</v>
      </c>
      <c r="D42" s="2" t="n">
        <v>5.81228070788914E-013</v>
      </c>
      <c r="E42" s="2" t="n">
        <v>4.86067599720426E-013</v>
      </c>
    </row>
    <row r="43" customFormat="false" ht="13.8" hidden="false" customHeight="false" outlineLevel="0" collapsed="false">
      <c r="B43" s="2" t="n">
        <v>41</v>
      </c>
      <c r="C43" s="2" t="n">
        <v>2.16480758455065E-012</v>
      </c>
      <c r="D43" s="2" t="n">
        <v>4.72904907332527E-013</v>
      </c>
      <c r="E43" s="2" t="n">
        <v>4.27704718377855E-013</v>
      </c>
    </row>
    <row r="44" customFormat="false" ht="13.8" hidden="false" customHeight="false" outlineLevel="0" collapsed="false">
      <c r="B44" s="2" t="n">
        <v>42</v>
      </c>
      <c r="C44" s="2" t="n">
        <v>1.97295513417986E-012</v>
      </c>
      <c r="D44" s="2" t="n">
        <v>3.64333391189576E-013</v>
      </c>
      <c r="E44" s="2" t="n">
        <v>3.69176268577576E-013</v>
      </c>
    </row>
    <row r="45" customFormat="false" ht="13.8" hidden="false" customHeight="false" outlineLevel="0" collapsed="false">
      <c r="B45" s="2" t="n">
        <v>43</v>
      </c>
      <c r="C45" s="2" t="n">
        <v>1.78110268380907E-012</v>
      </c>
      <c r="D45" s="2" t="n">
        <v>2.55968835618761E-013</v>
      </c>
      <c r="E45" s="2" t="n">
        <v>3.10813387235006E-013</v>
      </c>
    </row>
    <row r="46" customFormat="false" ht="13.8" hidden="false" customHeight="false" outlineLevel="0" collapsed="false">
      <c r="B46" s="2" t="n">
        <v>44</v>
      </c>
      <c r="C46" s="2" t="n">
        <v>1.58925023343828E-012</v>
      </c>
      <c r="D46" s="2" t="n">
        <v>1.4739731947581E-013</v>
      </c>
      <c r="E46" s="2" t="n">
        <v>2.52326329549154E-013</v>
      </c>
    </row>
    <row r="47" customFormat="false" ht="13.8" hidden="false" customHeight="false" outlineLevel="0" collapsed="false">
      <c r="B47" s="2" t="n">
        <v>45</v>
      </c>
      <c r="C47" s="2" t="n">
        <v>1.39739778306749E-012</v>
      </c>
      <c r="D47" s="2" t="n">
        <v>3.90741560194228E-014</v>
      </c>
      <c r="E47" s="2" t="n">
        <v>1.93922056092156E-013</v>
      </c>
    </row>
    <row r="48" customFormat="false" ht="13.8" hidden="false" customHeight="false" outlineLevel="0" collapsed="false">
      <c r="B48" s="2" t="n">
        <v>46</v>
      </c>
      <c r="C48" s="2" t="n">
        <v>1.2055453326967E-012</v>
      </c>
      <c r="D48" s="2" t="n">
        <v>0</v>
      </c>
      <c r="E48" s="2" t="n">
        <v>1.35393606291877E-013</v>
      </c>
    </row>
    <row r="49" customFormat="false" ht="13.8" hidden="false" customHeight="false" outlineLevel="0" collapsed="false">
      <c r="B49" s="2" t="n">
        <v>47</v>
      </c>
      <c r="C49" s="2" t="n">
        <v>1.01361009809706E-012</v>
      </c>
      <c r="D49" s="2" t="n">
        <v>0</v>
      </c>
      <c r="E49" s="2" t="n">
        <v>7.70721170637343E-014</v>
      </c>
    </row>
    <row r="50" customFormat="false" ht="13.8" hidden="false" customHeight="false" outlineLevel="0" collapsed="false">
      <c r="B50" s="2" t="n">
        <v>48</v>
      </c>
      <c r="C50" s="2" t="n">
        <v>8.21840431955126E-013</v>
      </c>
      <c r="D50" s="2" t="n">
        <v>0</v>
      </c>
      <c r="E50" s="2" t="n">
        <v>1.85850593778822E-014</v>
      </c>
    </row>
    <row r="51" customFormat="false" ht="13.8" hidden="false" customHeight="false" outlineLevel="0" collapsed="false">
      <c r="B51" s="2" t="n">
        <v>49</v>
      </c>
      <c r="C51" s="2" t="n">
        <v>6.29987981584338E-013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4.38176923327976E-013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2.48518255021837E-013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1.07040007909139E-013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4.51587968402439E-014</v>
      </c>
      <c r="D55" s="2" t="n">
        <v>0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1.98268228107029E-014</v>
      </c>
      <c r="D56" s="2" t="n">
        <v>0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1.06266492830253E-014</v>
      </c>
      <c r="D57" s="2" t="n">
        <v>0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5.64898883258369E-015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3.0709068646417E-015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2.55311738856814E-015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2.33619683832806E-015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2.79086334750193E-015</v>
      </c>
      <c r="D62" s="2" t="n">
        <v>0</v>
      </c>
      <c r="E62" s="2" t="n">
        <v>0</v>
      </c>
    </row>
    <row r="63" customFormat="false" ht="13.8" hidden="false" customHeight="false" outlineLevel="0" collapsed="false">
      <c r="B63" s="2" t="n">
        <v>61</v>
      </c>
      <c r="C63" s="2" t="n">
        <v>1.67030120176401E-015</v>
      </c>
      <c r="D63" s="2" t="n">
        <v>0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1.6259340313072E-015</v>
      </c>
      <c r="D64" s="2" t="n">
        <v>0</v>
      </c>
      <c r="E64" s="2" t="n">
        <v>0</v>
      </c>
    </row>
    <row r="65" customFormat="false" ht="13.8" hidden="false" customHeight="false" outlineLevel="0" collapsed="false">
      <c r="B65" s="2" t="n">
        <v>63</v>
      </c>
      <c r="C65" s="2" t="n">
        <v>2.39893176864293E-015</v>
      </c>
      <c r="D65" s="2" t="n">
        <v>0</v>
      </c>
      <c r="E65" s="2" t="n">
        <v>0</v>
      </c>
    </row>
    <row r="66" customFormat="false" ht="13.8" hidden="false" customHeight="false" outlineLevel="0" collapsed="false">
      <c r="B66" s="2" t="n">
        <v>64</v>
      </c>
      <c r="C66" s="2" t="n">
        <v>2.68453736041455E-015</v>
      </c>
      <c r="D66" s="2" t="n">
        <v>0</v>
      </c>
      <c r="E66" s="2" t="n">
        <v>1.34524429312503E-016</v>
      </c>
    </row>
    <row r="67" customFormat="false" ht="13.8" hidden="false" customHeight="false" outlineLevel="0" collapsed="false">
      <c r="B67" s="2" t="n">
        <v>65</v>
      </c>
      <c r="C67" s="2" t="n">
        <v>2.4687809654478E-015</v>
      </c>
      <c r="D67" s="2" t="n">
        <v>0</v>
      </c>
      <c r="E67" s="2" t="n">
        <v>4.92307538918143E-016</v>
      </c>
    </row>
    <row r="68" customFormat="false" ht="13.8" hidden="false" customHeight="false" outlineLevel="0" collapsed="false">
      <c r="B68" s="2" t="n">
        <v>66</v>
      </c>
      <c r="C68" s="2" t="n">
        <v>1.67353496857193E-015</v>
      </c>
      <c r="D68" s="2" t="n">
        <v>0</v>
      </c>
      <c r="E68" s="2" t="n">
        <v>1.14500947955435E-015</v>
      </c>
    </row>
    <row r="69" customFormat="false" ht="13.8" hidden="false" customHeight="false" outlineLevel="0" collapsed="false">
      <c r="B69" s="2" t="n">
        <v>67</v>
      </c>
      <c r="C69" s="2" t="n">
        <v>2.53280939544175E-015</v>
      </c>
      <c r="D69" s="2" t="n">
        <v>0</v>
      </c>
      <c r="E69" s="2" t="n">
        <v>1.13440276066287E-015</v>
      </c>
    </row>
    <row r="70" customFormat="false" ht="13.8" hidden="false" customHeight="false" outlineLevel="0" collapsed="false">
      <c r="B70" s="2" t="n">
        <v>68</v>
      </c>
      <c r="C70" s="2" t="n">
        <v>0.00373397550112075</v>
      </c>
      <c r="D70" s="2" t="n">
        <v>0.00867328938380938</v>
      </c>
      <c r="E70" s="2" t="n">
        <v>0.00392407167585703</v>
      </c>
    </row>
    <row r="71" customFormat="false" ht="13.8" hidden="false" customHeight="false" outlineLevel="0" collapsed="false">
      <c r="B71" s="2" t="n">
        <v>69</v>
      </c>
      <c r="C71" s="2" t="n">
        <v>0.0101370090869943</v>
      </c>
      <c r="D71" s="2" t="n">
        <v>0.0269530896055066</v>
      </c>
      <c r="E71" s="2" t="n">
        <v>0.0113703630541398</v>
      </c>
    </row>
    <row r="72" customFormat="false" ht="13.8" hidden="false" customHeight="false" outlineLevel="0" collapsed="false">
      <c r="B72" s="2" t="n">
        <v>70</v>
      </c>
      <c r="C72" s="2" t="n">
        <v>0.0358529026485738</v>
      </c>
      <c r="D72" s="2" t="n">
        <v>0.0395273588707975</v>
      </c>
      <c r="E72" s="2" t="n">
        <v>0.0310486389572678</v>
      </c>
    </row>
    <row r="73" customFormat="false" ht="13.8" hidden="false" customHeight="false" outlineLevel="0" collapsed="false">
      <c r="B73" s="2" t="n">
        <v>71</v>
      </c>
      <c r="C73" s="2" t="n">
        <v>0.0355688795434868</v>
      </c>
      <c r="D73" s="2" t="n">
        <v>0.0526182948027554</v>
      </c>
      <c r="E73" s="2" t="n">
        <v>0.0480602315270631</v>
      </c>
    </row>
    <row r="74" customFormat="false" ht="13.8" hidden="false" customHeight="false" outlineLevel="0" collapsed="false">
      <c r="B74" s="2" t="n">
        <v>72</v>
      </c>
      <c r="C74" s="2" t="n">
        <v>0.0612846897717313</v>
      </c>
      <c r="D74" s="2" t="n">
        <v>0.0640093807347131</v>
      </c>
      <c r="E74" s="2" t="n">
        <v>0.0555220574301912</v>
      </c>
    </row>
    <row r="75" customFormat="false" ht="13.8" hidden="false" customHeight="false" outlineLevel="0" collapsed="false">
      <c r="B75" s="2" t="n">
        <v>73</v>
      </c>
      <c r="C75" s="2" t="n">
        <v>0.0705839166666585</v>
      </c>
      <c r="D75" s="2" t="n">
        <v>0.0750673500000017</v>
      </c>
      <c r="E75" s="2" t="n">
        <v>0.0849337666666611</v>
      </c>
    </row>
    <row r="76" customFormat="false" ht="13.8" hidden="false" customHeight="false" outlineLevel="0" collapsed="false">
      <c r="B76" s="2" t="n">
        <v>74</v>
      </c>
      <c r="C76" s="2" t="n">
        <v>0.0869178166666584</v>
      </c>
      <c r="D76" s="2" t="n">
        <v>0.0816341166666678</v>
      </c>
      <c r="E76" s="2" t="n">
        <v>0.0652670999999943</v>
      </c>
    </row>
    <row r="77" customFormat="false" ht="13.8" hidden="false" customHeight="false" outlineLevel="0" collapsed="false">
      <c r="B77" s="2" t="n">
        <v>75</v>
      </c>
      <c r="C77" s="2" t="n">
        <v>0.0778351833333251</v>
      </c>
      <c r="D77" s="2" t="n">
        <v>0.082884333333334</v>
      </c>
      <c r="E77" s="2" t="n">
        <v>0.0809007833333271</v>
      </c>
    </row>
    <row r="78" customFormat="false" ht="13.8" hidden="false" customHeight="false" outlineLevel="0" collapsed="false">
      <c r="B78" s="2" t="n">
        <v>76</v>
      </c>
      <c r="C78" s="2" t="n">
        <v>0.0454528499999915</v>
      </c>
      <c r="D78" s="2" t="n">
        <v>0.0830847000000001</v>
      </c>
      <c r="E78" s="2" t="n">
        <v>0.0853517666666602</v>
      </c>
    </row>
    <row r="79" customFormat="false" ht="13.8" hidden="false" customHeight="false" outlineLevel="0" collapsed="false">
      <c r="B79" s="2" t="n">
        <v>77</v>
      </c>
      <c r="C79" s="2" t="n">
        <v>0.102569799999992</v>
      </c>
      <c r="D79" s="2" t="n">
        <v>0.0987183666666663</v>
      </c>
      <c r="E79" s="2" t="n">
        <v>0.0808184999999932</v>
      </c>
    </row>
    <row r="80" customFormat="false" ht="13.8" hidden="false" customHeight="false" outlineLevel="0" collapsed="false">
      <c r="B80" s="2" t="n">
        <v>78</v>
      </c>
      <c r="C80" s="2" t="n">
        <v>0.064703033333325</v>
      </c>
      <c r="D80" s="2" t="n">
        <v>0.100919233333333</v>
      </c>
      <c r="E80" s="2" t="n">
        <v>0.0923190666666595</v>
      </c>
    </row>
    <row r="81" customFormat="false" ht="13.8" hidden="false" customHeight="false" outlineLevel="0" collapsed="false">
      <c r="B81" s="2" t="n">
        <v>79</v>
      </c>
      <c r="C81" s="2" t="n">
        <v>0.131503333333325</v>
      </c>
      <c r="D81" s="2" t="n">
        <v>0.125485049999995</v>
      </c>
      <c r="E81" s="2" t="n">
        <v>0.0996853999999925</v>
      </c>
    </row>
    <row r="82" customFormat="false" ht="13.8" hidden="false" customHeight="false" outlineLevel="0" collapsed="false">
      <c r="B82" s="2" t="n">
        <v>80</v>
      </c>
      <c r="C82" s="2" t="n">
        <v>0.05082114999999</v>
      </c>
      <c r="D82" s="2" t="n">
        <v>0.110452733333331</v>
      </c>
      <c r="E82" s="2" t="n">
        <v>0.117368749999992</v>
      </c>
    </row>
    <row r="83" customFormat="false" ht="13.8" hidden="false" customHeight="false" outlineLevel="0" collapsed="false">
      <c r="B83" s="2" t="n">
        <v>81</v>
      </c>
      <c r="C83" s="2" t="n">
        <v>0.107037566666658</v>
      </c>
      <c r="D83" s="2" t="n">
        <v>0.141169033333331</v>
      </c>
      <c r="E83" s="2" t="n">
        <v>0.0982529166666585</v>
      </c>
    </row>
    <row r="84" customFormat="false" ht="13.8" hidden="false" customHeight="false" outlineLevel="0" collapsed="false">
      <c r="B84" s="2" t="n">
        <v>82</v>
      </c>
      <c r="C84" s="2" t="n">
        <v>0.0637206833333246</v>
      </c>
      <c r="D84" s="2" t="n">
        <v>0.132952899999997</v>
      </c>
      <c r="E84" s="2" t="n">
        <v>0.107070049999991</v>
      </c>
    </row>
    <row r="85" customFormat="false" ht="13.8" hidden="false" customHeight="false" outlineLevel="0" collapsed="false">
      <c r="B85" s="2" t="n">
        <v>83</v>
      </c>
      <c r="C85" s="2" t="n">
        <v>0.099553616666658</v>
      </c>
      <c r="D85" s="2" t="n">
        <v>0.134786366666661</v>
      </c>
      <c r="E85" s="2" t="n">
        <v>0.103620049999991</v>
      </c>
    </row>
    <row r="86" customFormat="false" ht="13.8" hidden="false" customHeight="false" outlineLevel="0" collapsed="false">
      <c r="B86" s="2" t="n">
        <v>84</v>
      </c>
      <c r="C86" s="2" t="n">
        <v>0.105836916666658</v>
      </c>
      <c r="D86" s="2" t="n">
        <v>0.150136083333329</v>
      </c>
      <c r="E86" s="2" t="n">
        <v>0.0692206999999907</v>
      </c>
    </row>
    <row r="87" customFormat="false" ht="13.8" hidden="false" customHeight="false" outlineLevel="0" collapsed="false">
      <c r="B87" s="2" t="n">
        <v>85</v>
      </c>
      <c r="C87" s="2" t="n">
        <v>0.0902207333333246</v>
      </c>
      <c r="D87" s="2" t="n">
        <v>0.143453199999995</v>
      </c>
      <c r="E87" s="2" t="n">
        <v>0.129687666666657</v>
      </c>
    </row>
    <row r="88" customFormat="false" ht="13.8" hidden="false" customHeight="false" outlineLevel="0" collapsed="false">
      <c r="B88" s="2" t="n">
        <v>86</v>
      </c>
      <c r="C88" s="2" t="n">
        <v>0.07803729999999</v>
      </c>
      <c r="D88" s="2" t="n">
        <v>0.119336916666662</v>
      </c>
      <c r="E88" s="2" t="n">
        <v>0.0936701833333235</v>
      </c>
    </row>
    <row r="89" customFormat="false" ht="13.8" hidden="false" customHeight="false" outlineLevel="0" collapsed="false">
      <c r="B89" s="2" t="n">
        <v>87</v>
      </c>
      <c r="C89" s="2" t="n">
        <v>0.0721701333333245</v>
      </c>
      <c r="D89" s="2" t="n">
        <v>0.123670466666661</v>
      </c>
      <c r="E89" s="2" t="n">
        <v>0.134653833333323</v>
      </c>
    </row>
    <row r="90" customFormat="false" ht="13.8" hidden="false" customHeight="false" outlineLevel="0" collapsed="false">
      <c r="B90" s="2" t="n">
        <v>88</v>
      </c>
      <c r="C90" s="2" t="n">
        <v>0.0946863999999911</v>
      </c>
      <c r="D90" s="2" t="n">
        <v>0.116620666666661</v>
      </c>
      <c r="E90" s="2" t="n">
        <v>0.0829041333333227</v>
      </c>
    </row>
    <row r="91" customFormat="false" ht="13.8" hidden="false" customHeight="false" outlineLevel="0" collapsed="false">
      <c r="B91" s="2" t="n">
        <v>89</v>
      </c>
      <c r="C91" s="2" t="n">
        <v>0.079019849999991</v>
      </c>
      <c r="D91" s="2" t="n">
        <v>0.0994211166666601</v>
      </c>
      <c r="E91" s="2" t="n">
        <v>0.0869874499999889</v>
      </c>
    </row>
    <row r="92" customFormat="false" ht="13.8" hidden="false" customHeight="false" outlineLevel="0" collapsed="false">
      <c r="B92" s="2" t="n">
        <v>90</v>
      </c>
      <c r="C92" s="2" t="n">
        <v>0.0420206166666577</v>
      </c>
      <c r="D92" s="2" t="n">
        <v>0.0974210333333263</v>
      </c>
      <c r="E92" s="2" t="n">
        <v>0.0691206166666554</v>
      </c>
    </row>
    <row r="93" customFormat="false" ht="13.8" hidden="false" customHeight="false" outlineLevel="0" collapsed="false">
      <c r="B93" s="2" t="n">
        <v>91</v>
      </c>
      <c r="C93" s="2" t="n">
        <v>0.0380035833333243</v>
      </c>
      <c r="D93" s="2" t="n">
        <v>0.0965034666666591</v>
      </c>
      <c r="E93" s="2" t="n">
        <v>0.109503666666655</v>
      </c>
    </row>
    <row r="94" customFormat="false" ht="13.8" hidden="false" customHeight="false" outlineLevel="0" collapsed="false">
      <c r="B94" s="2" t="n">
        <v>92</v>
      </c>
      <c r="C94" s="2" t="n">
        <v>0.099169849999991</v>
      </c>
      <c r="D94" s="2" t="n">
        <v>0.092453199999992</v>
      </c>
      <c r="E94" s="2" t="n">
        <v>0.0504540999999879</v>
      </c>
    </row>
    <row r="95" customFormat="false" ht="13.8" hidden="false" customHeight="false" outlineLevel="0" collapsed="false">
      <c r="B95" s="2" t="n">
        <v>93</v>
      </c>
      <c r="C95" s="2" t="n">
        <v>0.0538019666666576</v>
      </c>
      <c r="D95" s="2" t="n">
        <v>0.0237534999999914</v>
      </c>
      <c r="E95" s="2" t="n">
        <v>0.098987233333321</v>
      </c>
    </row>
    <row r="96" customFormat="false" ht="13.8" hidden="false" customHeight="false" outlineLevel="0" collapsed="false">
      <c r="B96" s="2" t="n">
        <v>94</v>
      </c>
      <c r="C96" s="2" t="n">
        <v>0.110685199999991</v>
      </c>
      <c r="D96" s="2" t="n">
        <v>0.0660531166666576</v>
      </c>
      <c r="E96" s="2" t="n">
        <v>0.0544712999999873</v>
      </c>
    </row>
    <row r="97" customFormat="false" ht="13.8" hidden="false" customHeight="false" outlineLevel="0" collapsed="false">
      <c r="B97" s="2" t="n">
        <v>95</v>
      </c>
      <c r="C97" s="2" t="n">
        <v>0.0400524333333241</v>
      </c>
      <c r="D97" s="2" t="n">
        <v>0.0354191999999904</v>
      </c>
      <c r="E97" s="2" t="n">
        <v>0.0553873833333203</v>
      </c>
    </row>
    <row r="98" customFormat="false" ht="13.8" hidden="false" customHeight="false" outlineLevel="0" collapsed="false">
      <c r="B98" s="2" t="n">
        <v>96</v>
      </c>
      <c r="C98" s="2" t="n">
        <v>0.0354193333333241</v>
      </c>
      <c r="D98" s="2" t="n">
        <v>0.0336530333333232</v>
      </c>
      <c r="E98" s="2" t="n">
        <v>0.0430868499999866</v>
      </c>
    </row>
    <row r="99" customFormat="false" ht="13.8" hidden="false" customHeight="false" outlineLevel="0" collapsed="false">
      <c r="B99" s="2" t="n">
        <v>97</v>
      </c>
      <c r="C99" s="2" t="n">
        <v>0.0310197333333241</v>
      </c>
      <c r="D99" s="2" t="n">
        <v>0.0578195666666561</v>
      </c>
      <c r="E99" s="2" t="n">
        <v>0.0128520666666518</v>
      </c>
    </row>
    <row r="100" customFormat="false" ht="13.8" hidden="false" customHeight="false" outlineLevel="0" collapsed="false">
      <c r="B100" s="2" t="n">
        <v>98</v>
      </c>
      <c r="C100" s="2" t="n">
        <v>0.110584999999991</v>
      </c>
      <c r="D100" s="2" t="n">
        <v>0.0236194999999888</v>
      </c>
      <c r="E100" s="2" t="n">
        <v>0.0658691499999859</v>
      </c>
    </row>
    <row r="101" customFormat="false" ht="13.8" hidden="false" customHeight="false" outlineLevel="0" collapsed="false">
      <c r="B101" s="2" t="n">
        <v>99</v>
      </c>
      <c r="C101" s="2" t="n">
        <v>0.0397513666666573</v>
      </c>
      <c r="D101" s="2" t="n">
        <v>0.0617519666666537</v>
      </c>
      <c r="E101" s="2" t="n">
        <v>0.0180349499999855</v>
      </c>
    </row>
    <row r="102" customFormat="false" ht="13.8" hidden="false" customHeight="false" outlineLevel="0" collapsed="false">
      <c r="B102" s="2" t="n">
        <v>100</v>
      </c>
      <c r="C102" s="2" t="n">
        <v>0.0416178499999906</v>
      </c>
      <c r="D102" s="2" t="n">
        <v>0.0236172666666545</v>
      </c>
      <c r="E102" s="2" t="n">
        <v>0.0460010666666518</v>
      </c>
    </row>
    <row r="103" customFormat="false" ht="13.8" hidden="false" customHeight="false" outlineLevel="0" collapsed="false">
      <c r="B103" s="2" t="n">
        <v>101</v>
      </c>
      <c r="C103" s="2" t="n">
        <v>0.0529834833333239</v>
      </c>
      <c r="D103" s="2" t="n">
        <v>0.0594670999999873</v>
      </c>
      <c r="E103" s="2" t="n">
        <v>0.0317007999999848</v>
      </c>
    </row>
    <row r="104" customFormat="false" ht="13.8" hidden="false" customHeight="false" outlineLevel="0" collapsed="false">
      <c r="B104" s="2" t="n">
        <v>102</v>
      </c>
      <c r="C104" s="2" t="n">
        <v>0.0176836333333239</v>
      </c>
      <c r="D104" s="2" t="n">
        <v>0.0496002333333201</v>
      </c>
      <c r="E104" s="2" t="n">
        <v>0.0184501333333179</v>
      </c>
    </row>
    <row r="105" customFormat="false" ht="13.8" hidden="false" customHeight="false" outlineLevel="0" collapsed="false">
      <c r="B105" s="2" t="n">
        <v>103</v>
      </c>
      <c r="C105" s="2" t="n">
        <v>0.0771333999999905</v>
      </c>
      <c r="D105" s="2" t="n">
        <v>0.0174669333333196</v>
      </c>
      <c r="E105" s="2" t="n">
        <v>0.0711502166666509</v>
      </c>
    </row>
    <row r="106" customFormat="false" ht="13.8" hidden="false" customHeight="false" outlineLevel="0" collapsed="false">
      <c r="B106" s="2" t="n">
        <v>104</v>
      </c>
      <c r="C106" s="2" t="n">
        <v>0.0120501833333238</v>
      </c>
      <c r="D106" s="2" t="n">
        <v>0.0598004166666525</v>
      </c>
      <c r="E106" s="2" t="n">
        <v>0.0217501333333171</v>
      </c>
    </row>
    <row r="107" customFormat="false" ht="13.8" hidden="false" customHeight="false" outlineLevel="0" collapsed="false">
      <c r="B107" s="2" t="n">
        <v>105</v>
      </c>
      <c r="C107" s="2" t="n">
        <v>0.0497503999999904</v>
      </c>
      <c r="D107" s="2" t="n">
        <v>0.0565667833333187</v>
      </c>
      <c r="E107" s="2" t="n">
        <v>0.0604167499999835</v>
      </c>
    </row>
    <row r="108" customFormat="false" ht="13.8" hidden="false" customHeight="false" outlineLevel="0" collapsed="false">
      <c r="B108" s="2" t="n">
        <v>106</v>
      </c>
      <c r="C108" s="2" t="n">
        <v>0.0139166833333237</v>
      </c>
      <c r="D108" s="2" t="n">
        <v>0.0514169999999838</v>
      </c>
      <c r="E108" s="2" t="n">
        <v>0.0349167166666498</v>
      </c>
    </row>
    <row r="109" customFormat="false" ht="13.8" hidden="false" customHeight="false" outlineLevel="0" collapsed="false">
      <c r="B109" s="2" t="n">
        <v>107</v>
      </c>
      <c r="C109" s="2" t="n">
        <v>0.0745501333333237</v>
      </c>
      <c r="D109" s="2" t="n">
        <v>0.0559001333333176</v>
      </c>
      <c r="E109" s="2" t="n">
        <v>0.0424002333333161</v>
      </c>
    </row>
    <row r="110" customFormat="false" ht="13.8" hidden="false" customHeight="false" outlineLevel="0" collapsed="false">
      <c r="B110" s="2" t="n">
        <v>108</v>
      </c>
      <c r="C110" s="2" t="n">
        <v>0.016166966666657</v>
      </c>
      <c r="D110" s="2" t="n">
        <v>0.0514001666666504</v>
      </c>
      <c r="E110" s="2" t="n">
        <v>0.0318001333333158</v>
      </c>
    </row>
    <row r="111" customFormat="false" ht="13.8" hidden="false" customHeight="false" outlineLevel="0" collapsed="false">
      <c r="B111" s="2" t="n">
        <v>109</v>
      </c>
      <c r="C111" s="2" t="n">
        <v>0.0640002499999902</v>
      </c>
      <c r="D111" s="2" t="n">
        <v>0.0562667999999832</v>
      </c>
      <c r="E111" s="2" t="n">
        <v>0.038866699999982</v>
      </c>
    </row>
    <row r="112" customFormat="false" ht="13.8" hidden="false" customHeight="false" outlineLevel="0" collapsed="false">
      <c r="B112" s="2" t="n">
        <v>110</v>
      </c>
      <c r="C112" s="2" t="n">
        <v>0.0313835666666568</v>
      </c>
      <c r="D112" s="2" t="n">
        <v>0.0536501499999827</v>
      </c>
      <c r="E112" s="2" t="n">
        <v>0.0440667833333151</v>
      </c>
    </row>
    <row r="113" customFormat="false" ht="13.8" hidden="false" customHeight="false" outlineLevel="0" collapsed="false">
      <c r="B113" s="2" t="n">
        <v>111</v>
      </c>
      <c r="C113" s="2" t="n">
        <v>0.0448835166666568</v>
      </c>
      <c r="D113" s="2" t="n">
        <v>0.0570667666666482</v>
      </c>
      <c r="E113" s="2" t="n">
        <v>0.0382334499999814</v>
      </c>
    </row>
    <row r="114" customFormat="false" ht="13.8" hidden="false" customHeight="false" outlineLevel="0" collapsed="false">
      <c r="B114" s="2" t="n">
        <v>112</v>
      </c>
      <c r="C114" s="2" t="n">
        <v>0.0407335833333234</v>
      </c>
      <c r="D114" s="2" t="n">
        <v>0.0698667666666483</v>
      </c>
      <c r="E114" s="2" t="n">
        <v>0.050550133333314</v>
      </c>
    </row>
    <row r="115" customFormat="false" ht="13.8" hidden="false" customHeight="false" outlineLevel="0" collapsed="false">
      <c r="B115" s="2" t="n">
        <v>113</v>
      </c>
      <c r="C115" s="2" t="n">
        <v>0.0389999999999901</v>
      </c>
      <c r="D115" s="2" t="n">
        <v>0.0411667166666478</v>
      </c>
      <c r="E115" s="2" t="n">
        <v>0.0255667999999807</v>
      </c>
    </row>
    <row r="116" customFormat="false" ht="13.8" hidden="false" customHeight="false" outlineLevel="0" collapsed="false">
      <c r="B116" s="2" t="n">
        <v>114</v>
      </c>
      <c r="C116" s="2" t="n">
        <v>0.03805014999999</v>
      </c>
      <c r="D116" s="2" t="n">
        <v>0.054916733333314</v>
      </c>
      <c r="E116" s="2" t="n">
        <v>0.0666335499999803</v>
      </c>
    </row>
    <row r="117" customFormat="false" ht="13.8" hidden="false" customHeight="false" outlineLevel="0" collapsed="false">
      <c r="B117" s="2" t="n">
        <v>115</v>
      </c>
      <c r="C117" s="2" t="n">
        <v>0.0548334166666566</v>
      </c>
      <c r="D117" s="2" t="n">
        <v>0.0587167833333134</v>
      </c>
      <c r="E117" s="2" t="n">
        <v>0.01418339999998</v>
      </c>
    </row>
    <row r="118" customFormat="false" ht="13.8" hidden="false" customHeight="false" outlineLevel="0" collapsed="false">
      <c r="B118" s="2" t="n">
        <v>116</v>
      </c>
      <c r="C118" s="2" t="n">
        <v>0.0224167499999899</v>
      </c>
      <c r="D118" s="2" t="n">
        <v>0.0805500999999796</v>
      </c>
      <c r="E118" s="2" t="n">
        <v>0.0956334166666463</v>
      </c>
    </row>
    <row r="119" customFormat="false" ht="13.8" hidden="false" customHeight="false" outlineLevel="0" collapsed="false">
      <c r="B119" s="2" t="n">
        <v>117</v>
      </c>
      <c r="C119" s="2" t="n">
        <v>0.0554500166666566</v>
      </c>
      <c r="D119" s="2" t="n">
        <v>0.0564500833333124</v>
      </c>
      <c r="E119" s="2" t="n">
        <v>0.00771703333331264</v>
      </c>
    </row>
    <row r="120" customFormat="false" ht="13.8" hidden="false" customHeight="false" outlineLevel="0" collapsed="false">
      <c r="B120" s="2" t="n">
        <v>118</v>
      </c>
      <c r="C120" s="2" t="n">
        <v>0.0168246420702171</v>
      </c>
      <c r="D120" s="2" t="n">
        <v>0.069110653380445</v>
      </c>
      <c r="E120" s="2" t="n">
        <v>0.0571379118975081</v>
      </c>
    </row>
    <row r="121" customFormat="false" ht="13.8" hidden="false" customHeight="false" outlineLevel="0" collapsed="false">
      <c r="B121" s="2" t="n">
        <v>119</v>
      </c>
      <c r="C121" s="2" t="n">
        <v>0.0213987841404594</v>
      </c>
      <c r="D121" s="2" t="n">
        <v>0.0412877734276088</v>
      </c>
      <c r="E121" s="2" t="n">
        <v>0.039542423795068</v>
      </c>
    </row>
    <row r="122" customFormat="false" ht="13.8" hidden="false" customHeight="false" outlineLevel="0" collapsed="false">
      <c r="B122" s="2" t="n">
        <v>120</v>
      </c>
      <c r="C122" s="2" t="n">
        <v>0.0583064762107018</v>
      </c>
      <c r="D122" s="2" t="n">
        <v>0.0613480934747728</v>
      </c>
      <c r="E122" s="2" t="n">
        <v>0.0479470190259613</v>
      </c>
    </row>
    <row r="123" customFormat="false" ht="13.8" hidden="false" customHeight="false" outlineLevel="0" collapsed="false">
      <c r="B123" s="2" t="n">
        <v>121</v>
      </c>
      <c r="C123" s="2" t="n">
        <v>4.69234602873948E-015</v>
      </c>
      <c r="D123" s="2" t="n">
        <v>0.0337087801886034</v>
      </c>
      <c r="E123" s="2" t="n">
        <v>0.0302851309235212</v>
      </c>
    </row>
    <row r="124" customFormat="false" ht="13.8" hidden="false" customHeight="false" outlineLevel="0" collapsed="false">
      <c r="B124" s="2" t="n">
        <v>122</v>
      </c>
      <c r="C124" s="2" t="n">
        <v>0.0591521729159246</v>
      </c>
      <c r="D124" s="2" t="n">
        <v>0.0420555434583319</v>
      </c>
      <c r="E124" s="2" t="n">
        <v>0.0316434095346501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0.0105693233947271</v>
      </c>
      <c r="E125" s="2" t="n">
        <v>0.00273510481244553</v>
      </c>
    </row>
    <row r="126" customFormat="false" ht="13.8" hidden="false" customHeight="false" outlineLevel="0" collapsed="false">
      <c r="B126" s="2" t="n">
        <v>124</v>
      </c>
      <c r="C126" s="2" t="n">
        <v>0.0101452155192449</v>
      </c>
      <c r="D126" s="2" t="n">
        <v>0.0154500866644556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1.21589341185183E-017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2.88451300383162E-017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1.45648508154299E-016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2.88451302611781E-017</v>
      </c>
      <c r="D149" s="2" t="n">
        <v>0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9.93410784025503E-017</v>
      </c>
      <c r="D150" s="2" t="n">
        <v>0</v>
      </c>
      <c r="E150" s="2" t="n">
        <v>2.06960572136773E-017</v>
      </c>
    </row>
    <row r="151" customFormat="false" ht="13.8" hidden="false" customHeight="false" outlineLevel="0" collapsed="false">
      <c r="B151" s="2" t="n">
        <v>149</v>
      </c>
      <c r="C151" s="2" t="n">
        <v>1.8962763110828E-016</v>
      </c>
      <c r="D151" s="2" t="n">
        <v>5.78196100965773E-016</v>
      </c>
      <c r="E151" s="2" t="n">
        <v>6.2088171641032E-017</v>
      </c>
    </row>
    <row r="152" customFormat="false" ht="13.8" hidden="false" customHeight="false" outlineLevel="0" collapsed="false">
      <c r="B152" s="2" t="n">
        <v>150</v>
      </c>
      <c r="C152" s="2" t="n">
        <v>8.36379423333493E-016</v>
      </c>
      <c r="D152" s="2" t="n">
        <v>2.35935056180857E-016</v>
      </c>
      <c r="E152" s="2" t="n">
        <v>2.18472769983674E-016</v>
      </c>
    </row>
    <row r="153" customFormat="false" ht="13.8" hidden="false" customHeight="false" outlineLevel="0" collapsed="false">
      <c r="B153" s="2" t="n">
        <v>151</v>
      </c>
      <c r="C153" s="2" t="n">
        <v>1.3323088303179E-016</v>
      </c>
      <c r="D153" s="2" t="n">
        <v>0</v>
      </c>
      <c r="E153" s="2" t="n">
        <v>3.72270356353952E-016</v>
      </c>
    </row>
    <row r="154" customFormat="false" ht="13.8" hidden="false" customHeight="false" outlineLevel="0" collapsed="false">
      <c r="B154" s="2" t="n">
        <v>152</v>
      </c>
      <c r="C154" s="2" t="n">
        <v>2.37487278482147E-016</v>
      </c>
      <c r="D154" s="2" t="n">
        <v>0</v>
      </c>
      <c r="E154" s="2" t="n">
        <v>4.83511676150513E-016</v>
      </c>
    </row>
    <row r="155" customFormat="false" ht="13.8" hidden="false" customHeight="false" outlineLevel="0" collapsed="false">
      <c r="B155" s="2" t="n">
        <v>153</v>
      </c>
      <c r="C155" s="2" t="n">
        <v>2.8405341157391E-016</v>
      </c>
      <c r="D155" s="2" t="n">
        <v>0</v>
      </c>
      <c r="E155" s="2" t="n">
        <v>2.2895013802611E-015</v>
      </c>
    </row>
    <row r="156" customFormat="false" ht="13.8" hidden="false" customHeight="false" outlineLevel="0" collapsed="false">
      <c r="B156" s="2" t="n">
        <v>154</v>
      </c>
      <c r="C156" s="2" t="n">
        <v>3.51574306606547E-016</v>
      </c>
      <c r="D156" s="2" t="n">
        <v>0</v>
      </c>
      <c r="E156" s="2" t="n">
        <v>7.84121930183798E-016</v>
      </c>
    </row>
    <row r="157" customFormat="false" ht="13.8" hidden="false" customHeight="false" outlineLevel="0" collapsed="false">
      <c r="B157" s="2" t="n">
        <v>155</v>
      </c>
      <c r="C157" s="2" t="n">
        <v>2.46541823385402E-016</v>
      </c>
      <c r="D157" s="2" t="n">
        <v>0</v>
      </c>
      <c r="E157" s="2" t="n">
        <v>9.32098749979155E-016</v>
      </c>
    </row>
    <row r="158" customFormat="false" ht="13.8" hidden="false" customHeight="false" outlineLevel="0" collapsed="false">
      <c r="B158" s="2" t="n">
        <v>156</v>
      </c>
      <c r="C158" s="2" t="n">
        <v>5.71728632983002E-016</v>
      </c>
      <c r="D158" s="2" t="n">
        <v>0</v>
      </c>
      <c r="E158" s="2" t="n">
        <v>1.07425480174399E-015</v>
      </c>
    </row>
    <row r="159" customFormat="false" ht="13.8" hidden="false" customHeight="false" outlineLevel="0" collapsed="false">
      <c r="B159" s="2" t="n">
        <v>157</v>
      </c>
      <c r="C159" s="2" t="n">
        <v>6.46234449304895E-016</v>
      </c>
      <c r="D159" s="2" t="n">
        <v>0</v>
      </c>
      <c r="E159" s="2" t="n">
        <v>1.31316492564573E-015</v>
      </c>
    </row>
    <row r="160" customFormat="false" ht="13.8" hidden="false" customHeight="false" outlineLevel="0" collapsed="false">
      <c r="B160" s="2" t="n">
        <v>158</v>
      </c>
      <c r="C160" s="2" t="n">
        <v>6.35627729946886E-016</v>
      </c>
      <c r="D160" s="2" t="n">
        <v>0</v>
      </c>
      <c r="E160" s="2" t="n">
        <v>1.37952167026471E-015</v>
      </c>
    </row>
    <row r="161" customFormat="false" ht="13.8" hidden="false" customHeight="false" outlineLevel="0" collapsed="false">
      <c r="B161" s="2" t="n">
        <v>159</v>
      </c>
      <c r="C161" s="2" t="n">
        <v>9.7129192150917E-016</v>
      </c>
      <c r="D161" s="2" t="n">
        <v>1.22921648684853E-015</v>
      </c>
      <c r="E161" s="2" t="n">
        <v>1.70354433014937E-015</v>
      </c>
    </row>
    <row r="162" customFormat="false" ht="13.8" hidden="false" customHeight="false" outlineLevel="0" collapsed="false">
      <c r="B162" s="2" t="n">
        <v>160</v>
      </c>
      <c r="C162" s="2" t="n">
        <v>8.07922433189986E-016</v>
      </c>
      <c r="D162" s="2" t="n">
        <v>1.3795216090147E-015</v>
      </c>
      <c r="E162" s="2" t="n">
        <v>1.76640861380374E-015</v>
      </c>
    </row>
    <row r="163" customFormat="false" ht="13.8" hidden="false" customHeight="false" outlineLevel="0" collapsed="false">
      <c r="B163" s="2" t="n">
        <v>161</v>
      </c>
      <c r="C163" s="2" t="n">
        <v>1.31148338993662E-015</v>
      </c>
      <c r="D163" s="2" t="n">
        <v>1.61726757376466E-015</v>
      </c>
      <c r="E163" s="2" t="n">
        <v>1.83160120468694E-015</v>
      </c>
    </row>
    <row r="164" customFormat="false" ht="13.8" hidden="false" customHeight="false" outlineLevel="0" collapsed="false">
      <c r="B164" s="2" t="n">
        <v>162</v>
      </c>
      <c r="C164" s="2" t="n">
        <v>1.31018989909923E-015</v>
      </c>
      <c r="D164" s="2" t="n">
        <v>1.7757217700437E-015</v>
      </c>
      <c r="E164" s="2" t="n">
        <v>1.89912210279222E-015</v>
      </c>
    </row>
    <row r="165" customFormat="false" ht="13.8" hidden="false" customHeight="false" outlineLevel="0" collapsed="false">
      <c r="B165" s="2" t="n">
        <v>163</v>
      </c>
      <c r="C165" s="2" t="n">
        <v>1.40215801893574E-015</v>
      </c>
      <c r="D165" s="2" t="n">
        <v>1.93184765970285E-015</v>
      </c>
      <c r="E165" s="2" t="n">
        <v>2.21266738039897E-015</v>
      </c>
    </row>
    <row r="166" customFormat="false" ht="13.8" hidden="false" customHeight="false" outlineLevel="0" collapsed="false">
      <c r="B166" s="2" t="n">
        <v>164</v>
      </c>
      <c r="C166" s="2" t="n">
        <v>1.68414182114313E-015</v>
      </c>
      <c r="D166" s="2" t="n">
        <v>0.0103634638377506</v>
      </c>
      <c r="E166" s="2" t="n">
        <v>2.44692088967791E-015</v>
      </c>
    </row>
    <row r="167" customFormat="false" ht="13.8" hidden="false" customHeight="false" outlineLevel="0" collapsed="false">
      <c r="B167" s="2" t="n">
        <v>165</v>
      </c>
      <c r="C167" s="2" t="n">
        <v>0.00223496557281155</v>
      </c>
      <c r="D167" s="2" t="n">
        <v>2.25574097360555E-015</v>
      </c>
      <c r="E167" s="2" t="n">
        <v>2.5948977092835E-015</v>
      </c>
    </row>
    <row r="168" customFormat="false" ht="13.8" hidden="false" customHeight="false" outlineLevel="0" collapsed="false">
      <c r="B168" s="2" t="n">
        <v>166</v>
      </c>
      <c r="C168" s="2" t="n">
        <v>0.0117551147028963</v>
      </c>
      <c r="D168" s="2" t="n">
        <v>0.0341797638745441</v>
      </c>
      <c r="E168" s="2" t="n">
        <v>0.00818167999113341</v>
      </c>
    </row>
    <row r="169" customFormat="false" ht="13.8" hidden="false" customHeight="false" outlineLevel="0" collapsed="false">
      <c r="B169" s="2" t="n">
        <v>167</v>
      </c>
      <c r="C169" s="2" t="n">
        <v>0.0281088638329811</v>
      </c>
      <c r="D169" s="2" t="n">
        <v>2.66358267040528E-015</v>
      </c>
      <c r="E169" s="2" t="n">
        <v>0.0387816049433749</v>
      </c>
    </row>
    <row r="170" customFormat="false" ht="13.8" hidden="false" customHeight="false" outlineLevel="0" collapsed="false">
      <c r="B170" s="2" t="n">
        <v>168</v>
      </c>
      <c r="C170" s="2" t="n">
        <v>0.0712953462963991</v>
      </c>
      <c r="D170" s="2" t="n">
        <v>0.0866660283240839</v>
      </c>
      <c r="E170" s="2" t="n">
        <v>0.0447147132289494</v>
      </c>
    </row>
    <row r="171" customFormat="false" ht="13.8" hidden="false" customHeight="false" outlineLevel="0" collapsed="false">
      <c r="B171" s="2" t="n">
        <v>169</v>
      </c>
      <c r="C171" s="2" t="n">
        <v>0.0554822287598171</v>
      </c>
      <c r="D171" s="2" t="n">
        <v>0.0483678855488535</v>
      </c>
      <c r="E171" s="2" t="n">
        <v>0.0789810048478565</v>
      </c>
    </row>
    <row r="172" customFormat="false" ht="13.8" hidden="false" customHeight="false" outlineLevel="0" collapsed="false">
      <c r="B172" s="2" t="n">
        <v>170</v>
      </c>
      <c r="C172" s="2" t="n">
        <v>0.0944875632365237</v>
      </c>
      <c r="D172" s="2" t="n">
        <v>0.0754722849930823</v>
      </c>
      <c r="E172" s="2" t="n">
        <v>0.0695692994674542</v>
      </c>
    </row>
    <row r="173" customFormat="false" ht="13.8" hidden="false" customHeight="false" outlineLevel="0" collapsed="false">
      <c r="B173" s="2" t="n">
        <v>171</v>
      </c>
      <c r="C173" s="2" t="n">
        <v>0.0442259643763677</v>
      </c>
      <c r="D173" s="2" t="n">
        <v>0.0944434177662761</v>
      </c>
      <c r="E173" s="2" t="n">
        <v>0.0839912774144045</v>
      </c>
    </row>
    <row r="174" customFormat="false" ht="13.8" hidden="false" customHeight="false" outlineLevel="0" collapsed="false">
      <c r="B174" s="2" t="n">
        <v>172</v>
      </c>
      <c r="C174" s="2" t="n">
        <v>0.0717981404132872</v>
      </c>
      <c r="D174" s="2" t="n">
        <v>0.0517977075513428</v>
      </c>
      <c r="E174" s="2" t="n">
        <v>0.0760466143082337</v>
      </c>
    </row>
    <row r="175" customFormat="false" ht="13.8" hidden="false" customHeight="false" outlineLevel="0" collapsed="false">
      <c r="B175" s="2" t="n">
        <v>173</v>
      </c>
      <c r="C175" s="2" t="n">
        <v>0.0731201999999911</v>
      </c>
      <c r="D175" s="2" t="n">
        <v>0.0786683333333252</v>
      </c>
      <c r="E175" s="2" t="n">
        <v>0.0887188333333251</v>
      </c>
    </row>
    <row r="176" customFormat="false" ht="13.8" hidden="false" customHeight="false" outlineLevel="0" collapsed="false">
      <c r="B176" s="2" t="n">
        <v>174</v>
      </c>
      <c r="C176" s="2" t="n">
        <v>0.102286916666657</v>
      </c>
      <c r="D176" s="2" t="n">
        <v>0.0963523833333249</v>
      </c>
      <c r="E176" s="2" t="n">
        <v>0.0779688166666582</v>
      </c>
    </row>
    <row r="177" customFormat="false" ht="13.8" hidden="false" customHeight="false" outlineLevel="0" collapsed="false">
      <c r="B177" s="2" t="n">
        <v>175</v>
      </c>
      <c r="C177" s="2" t="n">
        <v>0.0757041833333238</v>
      </c>
      <c r="D177" s="2" t="n">
        <v>0.0981361166666579</v>
      </c>
      <c r="E177" s="2" t="n">
        <v>0.0984524999999909</v>
      </c>
    </row>
    <row r="178" customFormat="false" ht="13.8" hidden="false" customHeight="false" outlineLevel="0" collapsed="false">
      <c r="B178" s="2" t="n">
        <v>176</v>
      </c>
      <c r="C178" s="2" t="n">
        <v>0.10713684999999</v>
      </c>
      <c r="D178" s="2" t="n">
        <v>0.0699705499999906</v>
      </c>
      <c r="E178" s="2" t="n">
        <v>0.0924200499999908</v>
      </c>
    </row>
    <row r="179" customFormat="false" ht="13.8" hidden="false" customHeight="false" outlineLevel="0" collapsed="false">
      <c r="B179" s="2" t="n">
        <v>177</v>
      </c>
      <c r="C179" s="2" t="n">
        <v>0.0896874166666565</v>
      </c>
      <c r="D179" s="2" t="n">
        <v>0.0938701499999906</v>
      </c>
      <c r="E179" s="2" t="n">
        <v>0.109870666666657</v>
      </c>
    </row>
    <row r="180" customFormat="false" ht="13.8" hidden="false" customHeight="false" outlineLevel="0" collapsed="false">
      <c r="B180" s="2" t="n">
        <v>178</v>
      </c>
      <c r="C180" s="2" t="n">
        <v>0.108454449999989</v>
      </c>
      <c r="D180" s="2" t="n">
        <v>0.103386216666657</v>
      </c>
      <c r="E180" s="2" t="n">
        <v>0.113986849999988</v>
      </c>
    </row>
    <row r="181" customFormat="false" ht="13.8" hidden="false" customHeight="false" outlineLevel="0" collapsed="false">
      <c r="B181" s="2" t="n">
        <v>179</v>
      </c>
      <c r="C181" s="2" t="n">
        <v>0.0871543666666558</v>
      </c>
      <c r="D181" s="2" t="n">
        <v>0.113619583333323</v>
      </c>
      <c r="E181" s="2" t="n">
        <v>0.11945329999999</v>
      </c>
    </row>
    <row r="182" customFormat="false" ht="13.8" hidden="false" customHeight="false" outlineLevel="0" collapsed="false">
      <c r="B182" s="2" t="n">
        <v>180</v>
      </c>
      <c r="C182" s="2" t="n">
        <v>0.0969210833333199</v>
      </c>
      <c r="D182" s="2" t="n">
        <v>0.0953532333333227</v>
      </c>
      <c r="E182" s="2" t="n">
        <v>0.131636066666656</v>
      </c>
    </row>
    <row r="183" customFormat="false" ht="13.8" hidden="false" customHeight="false" outlineLevel="0" collapsed="false">
      <c r="B183" s="2" t="n">
        <v>181</v>
      </c>
      <c r="C183" s="2" t="n">
        <v>0.0769873666666551</v>
      </c>
      <c r="D183" s="2" t="n">
        <v>0.107020666666656</v>
      </c>
      <c r="E183" s="2" t="n">
        <v>0.147270266666656</v>
      </c>
    </row>
    <row r="184" customFormat="false" ht="13.8" hidden="false" customHeight="false" outlineLevel="0" collapsed="false">
      <c r="B184" s="2" t="n">
        <v>182</v>
      </c>
      <c r="C184" s="2" t="n">
        <v>0.0756705166666547</v>
      </c>
      <c r="D184" s="2" t="n">
        <v>0.0693875833333218</v>
      </c>
      <c r="E184" s="2" t="n">
        <v>0.123470549999989</v>
      </c>
    </row>
    <row r="185" customFormat="false" ht="13.8" hidden="false" customHeight="false" outlineLevel="0" collapsed="false">
      <c r="B185" s="2" t="n">
        <v>183</v>
      </c>
      <c r="C185" s="2" t="n">
        <v>0.0627867166666545</v>
      </c>
      <c r="D185" s="2" t="n">
        <v>0.0659540499999861</v>
      </c>
      <c r="E185" s="2" t="n">
        <v>0.0839875333333219</v>
      </c>
    </row>
    <row r="186" customFormat="false" ht="13.8" hidden="false" customHeight="false" outlineLevel="0" collapsed="false">
      <c r="B186" s="2" t="n">
        <v>184</v>
      </c>
      <c r="C186" s="2" t="n">
        <v>0.0442372999999863</v>
      </c>
      <c r="D186" s="2" t="n">
        <v>0.102954316666654</v>
      </c>
      <c r="E186" s="2" t="n">
        <v>0.0607371999999882</v>
      </c>
    </row>
    <row r="187" customFormat="false" ht="13.8" hidden="false" customHeight="false" outlineLevel="0" collapsed="false">
      <c r="B187" s="2" t="n">
        <v>185</v>
      </c>
      <c r="C187" s="2" t="n">
        <v>0.10797058333332</v>
      </c>
      <c r="D187" s="2" t="n">
        <v>0.0702205166666541</v>
      </c>
      <c r="E187" s="2" t="n">
        <v>0.0499376833333213</v>
      </c>
    </row>
    <row r="188" customFormat="false" ht="13.8" hidden="false" customHeight="false" outlineLevel="0" collapsed="false">
      <c r="B188" s="2" t="n">
        <v>186</v>
      </c>
      <c r="C188" s="2" t="n">
        <v>0.04853753333332</v>
      </c>
      <c r="D188" s="2" t="n">
        <v>0.0825533166666538</v>
      </c>
      <c r="E188" s="2" t="n">
        <v>0.111703766666654</v>
      </c>
    </row>
    <row r="189" customFormat="false" ht="13.8" hidden="false" customHeight="false" outlineLevel="0" collapsed="false">
      <c r="B189" s="2" t="n">
        <v>187</v>
      </c>
      <c r="C189" s="2" t="n">
        <v>0.0737532999999865</v>
      </c>
      <c r="D189" s="2" t="n">
        <v>0.12853608333332</v>
      </c>
      <c r="E189" s="2" t="n">
        <v>0.0683711666666523</v>
      </c>
    </row>
    <row r="190" customFormat="false" ht="13.8" hidden="false" customHeight="false" outlineLevel="0" collapsed="false">
      <c r="B190" s="2" t="n">
        <v>188</v>
      </c>
      <c r="C190" s="2" t="n">
        <v>0.0948363666666527</v>
      </c>
      <c r="D190" s="2" t="n">
        <v>0.0646192999999864</v>
      </c>
      <c r="E190" s="2" t="n">
        <v>0.0822705833333203</v>
      </c>
    </row>
    <row r="191" customFormat="false" ht="13.8" hidden="false" customHeight="false" outlineLevel="0" collapsed="false">
      <c r="B191" s="2" t="n">
        <v>189</v>
      </c>
      <c r="C191" s="2" t="n">
        <v>0.0686530333333192</v>
      </c>
      <c r="D191" s="2" t="n">
        <v>0.108769583333319</v>
      </c>
      <c r="E191" s="2" t="n">
        <v>0.0600361333333199</v>
      </c>
    </row>
    <row r="192" customFormat="false" ht="13.8" hidden="false" customHeight="false" outlineLevel="0" collapsed="false">
      <c r="B192" s="2" t="n">
        <v>190</v>
      </c>
      <c r="C192" s="2" t="n">
        <v>0.0591200499999854</v>
      </c>
      <c r="D192" s="2" t="n">
        <v>0.0495533166666523</v>
      </c>
      <c r="E192" s="2" t="n">
        <v>0.0569186833333197</v>
      </c>
    </row>
    <row r="193" customFormat="false" ht="13.8" hidden="false" customHeight="false" outlineLevel="0" collapsed="false">
      <c r="B193" s="2" t="n">
        <v>191</v>
      </c>
      <c r="C193" s="2" t="n">
        <v>0.0185688333333184</v>
      </c>
      <c r="D193" s="2" t="n">
        <v>0.0573702166666519</v>
      </c>
      <c r="E193" s="2" t="n">
        <v>0.0569024166666515</v>
      </c>
    </row>
    <row r="194" customFormat="false" ht="13.8" hidden="false" customHeight="false" outlineLevel="0" collapsed="false">
      <c r="B194" s="2" t="n">
        <v>192</v>
      </c>
      <c r="C194" s="2" t="n">
        <v>0.0445024833333181</v>
      </c>
      <c r="D194" s="2" t="n">
        <v>0.0197036499999848</v>
      </c>
      <c r="E194" s="2" t="n">
        <v>0.0680028666666523</v>
      </c>
    </row>
    <row r="195" customFormat="false" ht="13.8" hidden="false" customHeight="false" outlineLevel="0" collapsed="false">
      <c r="B195" s="2" t="n">
        <v>193</v>
      </c>
      <c r="C195" s="2" t="n">
        <v>0.00926919999998439</v>
      </c>
      <c r="D195" s="2" t="n">
        <v>0.0158692333333178</v>
      </c>
      <c r="E195" s="2" t="n">
        <v>0.0324852333333186</v>
      </c>
    </row>
    <row r="196" customFormat="false" ht="13.8" hidden="false" customHeight="false" outlineLevel="0" collapsed="false">
      <c r="B196" s="2" t="n">
        <v>194</v>
      </c>
      <c r="C196" s="2" t="n">
        <v>0.0289523833333175</v>
      </c>
      <c r="D196" s="2" t="n">
        <v>0.0939356166666507</v>
      </c>
      <c r="E196" s="2" t="n">
        <v>0.075368849999985</v>
      </c>
    </row>
    <row r="197" customFormat="false" ht="13.8" hidden="false" customHeight="false" outlineLevel="0" collapsed="false">
      <c r="B197" s="2" t="n">
        <v>195</v>
      </c>
      <c r="C197" s="2" t="n">
        <v>0.0817680499999838</v>
      </c>
      <c r="D197" s="2" t="n">
        <v>0.0135350499999837</v>
      </c>
      <c r="E197" s="2" t="n">
        <v>0.0452182499999846</v>
      </c>
    </row>
    <row r="198" customFormat="false" ht="13.8" hidden="false" customHeight="false" outlineLevel="0" collapsed="false">
      <c r="B198" s="2" t="n">
        <v>196</v>
      </c>
      <c r="C198" s="2" t="n">
        <v>0.0132504833333168</v>
      </c>
      <c r="D198" s="2" t="n">
        <v>0.0898175833333167</v>
      </c>
      <c r="E198" s="2" t="n">
        <v>0.0296674999999843</v>
      </c>
    </row>
    <row r="199" customFormat="false" ht="13.8" hidden="false" customHeight="false" outlineLevel="0" collapsed="false">
      <c r="B199" s="2" t="n">
        <v>197</v>
      </c>
      <c r="C199" s="2" t="n">
        <v>0.0776168833333164</v>
      </c>
      <c r="D199" s="2" t="n">
        <v>0.036984399999983</v>
      </c>
      <c r="E199" s="2" t="n">
        <v>0.0593669833333174</v>
      </c>
    </row>
    <row r="200" customFormat="false" ht="13.8" hidden="false" customHeight="false" outlineLevel="0" collapsed="false">
      <c r="B200" s="2" t="n">
        <v>198</v>
      </c>
      <c r="C200" s="2" t="n">
        <v>0.0137501166666495</v>
      </c>
      <c r="D200" s="2" t="n">
        <v>0.0418668499999826</v>
      </c>
      <c r="E200" s="2" t="n">
        <v>0.0142500499999837</v>
      </c>
    </row>
    <row r="201" customFormat="false" ht="13.8" hidden="false" customHeight="false" outlineLevel="0" collapsed="false">
      <c r="B201" s="2" t="n">
        <v>199</v>
      </c>
      <c r="C201" s="2" t="n">
        <v>0.0465835833333158</v>
      </c>
      <c r="D201" s="2" t="n">
        <v>0.0477335666666489</v>
      </c>
      <c r="E201" s="2" t="n">
        <v>0.07231676666665</v>
      </c>
    </row>
    <row r="202" customFormat="false" ht="13.8" hidden="false" customHeight="false" outlineLevel="0" collapsed="false">
      <c r="B202" s="2" t="n">
        <v>200</v>
      </c>
      <c r="C202" s="2" t="n">
        <v>0.015249999999982</v>
      </c>
      <c r="D202" s="2" t="n">
        <v>0.0285836166666485</v>
      </c>
      <c r="E202" s="2" t="n">
        <v>0.0127167333333164</v>
      </c>
    </row>
    <row r="203" customFormat="false" ht="13.8" hidden="false" customHeight="false" outlineLevel="0" collapsed="false">
      <c r="B203" s="2" t="n">
        <v>201</v>
      </c>
      <c r="C203" s="2" t="n">
        <v>0.0799167499999818</v>
      </c>
      <c r="D203" s="2" t="n">
        <v>0.0618834166666481</v>
      </c>
      <c r="E203" s="2" t="n">
        <v>0.0476669333333153</v>
      </c>
    </row>
    <row r="204" customFormat="false" ht="13.8" hidden="false" customHeight="false" outlineLevel="0" collapsed="false">
      <c r="B204" s="2" t="n">
        <v>202</v>
      </c>
      <c r="C204" s="2" t="n">
        <v>0.0146502333333147</v>
      </c>
      <c r="D204" s="2" t="n">
        <v>0.0182000999999811</v>
      </c>
      <c r="E204" s="2" t="n">
        <v>0.0202502999999824</v>
      </c>
    </row>
    <row r="205" customFormat="false" ht="13.8" hidden="false" customHeight="false" outlineLevel="0" collapsed="false">
      <c r="B205" s="2" t="n">
        <v>203</v>
      </c>
      <c r="C205" s="2" t="n">
        <v>0.0142169166666477</v>
      </c>
      <c r="D205" s="2" t="n">
        <v>0.0779166999999807</v>
      </c>
      <c r="E205" s="2" t="n">
        <v>0.0695168499999821</v>
      </c>
    </row>
    <row r="206" customFormat="false" ht="13.8" hidden="false" customHeight="false" outlineLevel="0" collapsed="false">
      <c r="B206" s="2" t="n">
        <v>204</v>
      </c>
      <c r="C206" s="2" t="n">
        <v>0.070000133333314</v>
      </c>
      <c r="D206" s="2" t="n">
        <v>0.015300266666647</v>
      </c>
      <c r="E206" s="2" t="n">
        <v>0.0174668499999817</v>
      </c>
    </row>
    <row r="207" customFormat="false" ht="13.8" hidden="false" customHeight="false" outlineLevel="0" collapsed="false">
      <c r="B207" s="2" t="n">
        <v>205</v>
      </c>
      <c r="C207" s="2" t="n">
        <v>0.021950033333313</v>
      </c>
      <c r="D207" s="2" t="n">
        <v>0.04888344999998</v>
      </c>
      <c r="E207" s="2" t="n">
        <v>0.0731167999999809</v>
      </c>
    </row>
    <row r="208" customFormat="false" ht="13.8" hidden="false" customHeight="false" outlineLevel="0" collapsed="false">
      <c r="B208" s="2" t="n">
        <v>206</v>
      </c>
      <c r="C208" s="2" t="n">
        <v>0.0702501333333134</v>
      </c>
      <c r="D208" s="2" t="n">
        <v>0.0428166999999796</v>
      </c>
      <c r="E208" s="2" t="n">
        <v>0.014183599999981</v>
      </c>
    </row>
    <row r="209" customFormat="false" ht="13.8" hidden="false" customHeight="false" outlineLevel="0" collapsed="false">
      <c r="B209" s="2" t="n">
        <v>207</v>
      </c>
      <c r="C209" s="2" t="n">
        <v>0.0190833999999798</v>
      </c>
      <c r="D209" s="2" t="n">
        <v>0.0490835499999792</v>
      </c>
      <c r="E209" s="2" t="n">
        <v>0.0731501499999807</v>
      </c>
    </row>
    <row r="210" customFormat="false" ht="13.8" hidden="false" customHeight="false" outlineLevel="0" collapsed="false">
      <c r="B210" s="2" t="n">
        <v>208</v>
      </c>
      <c r="C210" s="2" t="n">
        <v>0.0713833999999793</v>
      </c>
      <c r="D210" s="2" t="n">
        <v>0.0400005166666456</v>
      </c>
      <c r="E210" s="2" t="n">
        <v>0.015450116666647</v>
      </c>
    </row>
    <row r="211" customFormat="false" ht="13.8" hidden="false" customHeight="false" outlineLevel="0" collapsed="false">
      <c r="B211" s="2" t="n">
        <v>209</v>
      </c>
      <c r="C211" s="2" t="n">
        <v>0.0185337166666457</v>
      </c>
      <c r="D211" s="2" t="n">
        <v>0.0497338166666452</v>
      </c>
      <c r="E211" s="2" t="n">
        <v>0.0737499999999801</v>
      </c>
    </row>
    <row r="212" customFormat="false" ht="13.8" hidden="false" customHeight="false" outlineLevel="0" collapsed="false">
      <c r="B212" s="2" t="n">
        <v>210</v>
      </c>
      <c r="C212" s="2" t="n">
        <v>0.0441835833333117</v>
      </c>
      <c r="D212" s="2" t="n">
        <v>0.0562834999999781</v>
      </c>
      <c r="E212" s="2" t="n">
        <v>0.0137669333333131</v>
      </c>
    </row>
    <row r="213" customFormat="false" ht="13.8" hidden="false" customHeight="false" outlineLevel="0" collapsed="false">
      <c r="B213" s="2" t="n">
        <v>211</v>
      </c>
      <c r="C213" s="2" t="n">
        <v>0.0410000499999784</v>
      </c>
      <c r="D213" s="2" t="n">
        <v>0.0450006333333111</v>
      </c>
      <c r="E213" s="2" t="n">
        <v>0.0393001833333127</v>
      </c>
    </row>
    <row r="214" customFormat="false" ht="13.8" hidden="false" customHeight="false" outlineLevel="0" collapsed="false">
      <c r="B214" s="2" t="n">
        <v>212</v>
      </c>
      <c r="C214" s="2" t="n">
        <v>0.0671666833333114</v>
      </c>
      <c r="D214" s="2" t="n">
        <v>0.0315335499999774</v>
      </c>
      <c r="E214" s="2" t="n">
        <v>0.0511834666666457</v>
      </c>
    </row>
    <row r="215" customFormat="false" ht="13.8" hidden="false" customHeight="false" outlineLevel="0" collapsed="false">
      <c r="B215" s="2" t="n">
        <v>213</v>
      </c>
      <c r="C215" s="2" t="n">
        <v>0.0834999999999777</v>
      </c>
      <c r="D215" s="2" t="n">
        <v>0.0694834833333103</v>
      </c>
      <c r="E215" s="2" t="n">
        <v>0.0257333999999788</v>
      </c>
    </row>
    <row r="216" customFormat="false" ht="13.8" hidden="false" customHeight="false" outlineLevel="0" collapsed="false">
      <c r="B216" s="2" t="n">
        <v>214</v>
      </c>
      <c r="C216" s="2" t="n">
        <v>0.0536173467926891</v>
      </c>
      <c r="D216" s="2" t="n">
        <v>0.0533186373671526</v>
      </c>
      <c r="E216" s="2" t="n">
        <v>0.0905693233374927</v>
      </c>
    </row>
    <row r="217" customFormat="false" ht="13.8" hidden="false" customHeight="false" outlineLevel="0" collapsed="false">
      <c r="B217" s="2" t="n">
        <v>215</v>
      </c>
      <c r="C217" s="2" t="n">
        <v>0.0692514269187672</v>
      </c>
      <c r="D217" s="2" t="n">
        <v>0.0647705747343628</v>
      </c>
      <c r="E217" s="2" t="n">
        <v>0.0140052633417052</v>
      </c>
    </row>
    <row r="218" customFormat="false" ht="13.8" hidden="false" customHeight="false" outlineLevel="0" collapsed="false">
      <c r="B218" s="2" t="n">
        <v>216</v>
      </c>
      <c r="C218" s="2" t="n">
        <v>0.0424852070448454</v>
      </c>
      <c r="D218" s="2" t="n">
        <v>0.0468389621015729</v>
      </c>
      <c r="E218" s="2" t="n">
        <v>0.0774577533459178</v>
      </c>
    </row>
    <row r="219" customFormat="false" ht="13.8" hidden="false" customHeight="false" outlineLevel="0" collapsed="false">
      <c r="B219" s="2" t="n">
        <v>217</v>
      </c>
      <c r="C219" s="2" t="n">
        <v>0.0601527538375903</v>
      </c>
      <c r="D219" s="2" t="n">
        <v>0.0553073994687831</v>
      </c>
      <c r="E219" s="2" t="n">
        <v>0.00224376001679706</v>
      </c>
    </row>
    <row r="220" customFormat="false" ht="13.8" hidden="false" customHeight="false" outlineLevel="0" collapsed="false">
      <c r="B220" s="2" t="n">
        <v>218</v>
      </c>
      <c r="C220" s="2" t="n">
        <v>0.0155499460973998</v>
      </c>
      <c r="D220" s="2" t="n">
        <v>0.0221642814209419</v>
      </c>
      <c r="E220" s="2" t="n">
        <v>0.00404171013256484</v>
      </c>
    </row>
    <row r="221" customFormat="false" ht="13.8" hidden="false" customHeight="false" outlineLevel="0" collapsed="false">
      <c r="B221" s="2" t="n">
        <v>219</v>
      </c>
      <c r="C221" s="2" t="n">
        <v>0.021897005023876</v>
      </c>
      <c r="D221" s="2" t="n">
        <v>0.00812203003976733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0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0</v>
      </c>
      <c r="E242" s="2" t="n">
        <v>7.76102145512899E-018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1.16415322250142E-018</v>
      </c>
      <c r="E243" s="2" t="n">
        <v>5.3033648019481E-017</v>
      </c>
    </row>
    <row r="244" customFormat="false" ht="13.8" hidden="false" customHeight="false" outlineLevel="0" collapsed="false">
      <c r="B244" s="2" t="n">
        <v>242</v>
      </c>
      <c r="C244" s="2" t="n">
        <v>0</v>
      </c>
      <c r="D244" s="2" t="n">
        <v>1.7203597568802E-017</v>
      </c>
      <c r="E244" s="2" t="n">
        <v>1.2805685972587E-016</v>
      </c>
    </row>
    <row r="245" customFormat="false" ht="13.8" hidden="false" customHeight="false" outlineLevel="0" collapsed="false">
      <c r="B245" s="2" t="n">
        <v>243</v>
      </c>
      <c r="C245" s="2" t="n">
        <v>0</v>
      </c>
      <c r="D245" s="2" t="n">
        <v>0</v>
      </c>
      <c r="E245" s="2" t="n">
        <v>3.4200236732075E-016</v>
      </c>
    </row>
    <row r="246" customFormat="false" ht="13.8" hidden="false" customHeight="false" outlineLevel="0" collapsed="false">
      <c r="B246" s="2" t="n">
        <v>244</v>
      </c>
      <c r="C246" s="2" t="n">
        <v>0</v>
      </c>
      <c r="D246" s="2" t="n">
        <v>0</v>
      </c>
      <c r="E246" s="2" t="n">
        <v>4.92307494024456E-016</v>
      </c>
    </row>
    <row r="247" customFormat="false" ht="13.8" hidden="false" customHeight="false" outlineLevel="0" collapsed="false">
      <c r="B247" s="2" t="n">
        <v>245</v>
      </c>
      <c r="C247" s="2" t="n">
        <v>0</v>
      </c>
      <c r="D247" s="2" t="n">
        <v>0</v>
      </c>
      <c r="E247" s="2" t="n">
        <v>5.98892199106571E-016</v>
      </c>
    </row>
    <row r="248" customFormat="false" ht="13.8" hidden="false" customHeight="false" outlineLevel="0" collapsed="false">
      <c r="B248" s="2" t="n">
        <v>246</v>
      </c>
      <c r="C248" s="2" t="n">
        <v>0</v>
      </c>
      <c r="D248" s="2" t="n">
        <v>0</v>
      </c>
      <c r="E248" s="2" t="n">
        <v>6.3433421135414E-016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0</v>
      </c>
      <c r="E249" s="2" t="n">
        <v>8.21374838117774E-016</v>
      </c>
    </row>
    <row r="250" customFormat="false" ht="13.8" hidden="false" customHeight="false" outlineLevel="0" collapsed="false">
      <c r="B250" s="2" t="n">
        <v>248</v>
      </c>
      <c r="C250" s="2" t="n">
        <v>0</v>
      </c>
      <c r="D250" s="2" t="n">
        <v>0</v>
      </c>
      <c r="E250" s="2" t="n">
        <v>1.05446419358459E-015</v>
      </c>
    </row>
    <row r="251" customFormat="false" ht="13.8" hidden="false" customHeight="false" outlineLevel="0" collapsed="false">
      <c r="B251" s="2" t="n">
        <v>249</v>
      </c>
      <c r="C251" s="2" t="n">
        <v>0</v>
      </c>
      <c r="D251" s="2" t="n">
        <v>0</v>
      </c>
      <c r="E251" s="2" t="n">
        <v>9.65147785732442E-016</v>
      </c>
    </row>
    <row r="252" customFormat="false" ht="13.8" hidden="false" customHeight="false" outlineLevel="0" collapsed="false">
      <c r="B252" s="2" t="n">
        <v>250</v>
      </c>
      <c r="C252" s="2" t="n">
        <v>0</v>
      </c>
      <c r="D252" s="2" t="n">
        <v>0</v>
      </c>
      <c r="E252" s="2" t="n">
        <v>1.35274613970844E-015</v>
      </c>
    </row>
    <row r="253" customFormat="false" ht="13.8" hidden="false" customHeight="false" outlineLevel="0" collapsed="false">
      <c r="B253" s="2" t="n">
        <v>251</v>
      </c>
      <c r="C253" s="2" t="n">
        <v>0</v>
      </c>
      <c r="D253" s="2" t="n">
        <v>0</v>
      </c>
      <c r="E253" s="2" t="n">
        <v>1.16492942935468E-015</v>
      </c>
    </row>
    <row r="254" customFormat="false" ht="13.8" hidden="false" customHeight="false" outlineLevel="0" collapsed="false">
      <c r="B254" s="2" t="n">
        <v>252</v>
      </c>
      <c r="C254" s="2" t="n">
        <v>0</v>
      </c>
      <c r="D254" s="2" t="n">
        <v>0</v>
      </c>
      <c r="E254" s="2" t="n">
        <v>1.65801300744888E-015</v>
      </c>
    </row>
    <row r="255" customFormat="false" ht="13.8" hidden="false" customHeight="false" outlineLevel="0" collapsed="false">
      <c r="B255" s="2" t="n">
        <v>253</v>
      </c>
      <c r="C255" s="2" t="n">
        <v>0</v>
      </c>
      <c r="D255" s="2" t="n">
        <v>9.39083621515275E-016</v>
      </c>
      <c r="E255" s="2" t="n">
        <v>1.72029521414042E-015</v>
      </c>
    </row>
    <row r="256" customFormat="false" ht="13.8" hidden="false" customHeight="false" outlineLevel="0" collapsed="false">
      <c r="B256" s="2" t="n">
        <v>254</v>
      </c>
      <c r="C256" s="2" t="n">
        <v>0</v>
      </c>
      <c r="D256" s="2" t="n">
        <v>1.17450127856907E-015</v>
      </c>
      <c r="E256" s="2" t="n">
        <v>1.7860698813742E-015</v>
      </c>
    </row>
    <row r="257" customFormat="false" ht="13.8" hidden="false" customHeight="false" outlineLevel="0" collapsed="false">
      <c r="B257" s="2" t="n">
        <v>255</v>
      </c>
      <c r="C257" s="2" t="n">
        <v>1.04773789784576E-017</v>
      </c>
      <c r="D257" s="2" t="n">
        <v>1.41923216287398E-015</v>
      </c>
      <c r="E257" s="2" t="n">
        <v>1.9410316226477E-015</v>
      </c>
    </row>
    <row r="258" customFormat="false" ht="13.8" hidden="false" customHeight="false" outlineLevel="0" collapsed="false">
      <c r="B258" s="2" t="n">
        <v>256</v>
      </c>
      <c r="C258" s="2" t="n">
        <v>2.879338961722E-016</v>
      </c>
      <c r="D258" s="2" t="n">
        <v>1.32933367197303E-015</v>
      </c>
      <c r="E258" s="2" t="n">
        <v>2.08900844179932E-015</v>
      </c>
    </row>
    <row r="259" customFormat="false" ht="13.8" hidden="false" customHeight="false" outlineLevel="0" collapsed="false">
      <c r="B259" s="2" t="n">
        <v>257</v>
      </c>
      <c r="C259" s="2" t="n">
        <v>0.0179647769574664</v>
      </c>
      <c r="D259" s="2" t="n">
        <v>0.00538020297704371</v>
      </c>
      <c r="E259" s="2" t="n">
        <v>0.00240729191497929</v>
      </c>
    </row>
    <row r="260" customFormat="false" ht="13.8" hidden="false" customHeight="false" outlineLevel="0" collapsed="false">
      <c r="B260" s="2" t="n">
        <v>258</v>
      </c>
      <c r="C260" s="2" t="n">
        <v>0.0493166227675834</v>
      </c>
      <c r="D260" s="2" t="n">
        <v>0.0583125341872802</v>
      </c>
      <c r="E260" s="2" t="n">
        <v>0.0696903521436481</v>
      </c>
    </row>
    <row r="261" customFormat="false" ht="13.8" hidden="false" customHeight="false" outlineLevel="0" collapsed="false">
      <c r="B261" s="2" t="n">
        <v>259</v>
      </c>
      <c r="C261" s="2" t="n">
        <v>0.0286682519110331</v>
      </c>
      <c r="D261" s="2" t="n">
        <v>0.0339951487308502</v>
      </c>
      <c r="E261" s="2" t="n">
        <v>0.0169734123723165</v>
      </c>
    </row>
    <row r="262" customFormat="false" ht="13.8" hidden="false" customHeight="false" outlineLevel="0" collapsed="false">
      <c r="B262" s="2" t="n">
        <v>260</v>
      </c>
      <c r="C262" s="2" t="n">
        <v>0.0531865977211503</v>
      </c>
      <c r="D262" s="2" t="n">
        <v>0.0784278632744204</v>
      </c>
      <c r="E262" s="2" t="n">
        <v>0.0827563726009852</v>
      </c>
    </row>
    <row r="263" customFormat="false" ht="13.8" hidden="false" customHeight="false" outlineLevel="0" collapsed="false">
      <c r="B263" s="2" t="n">
        <v>261</v>
      </c>
      <c r="C263" s="2" t="n">
        <v>0.0328714768646005</v>
      </c>
      <c r="D263" s="2" t="n">
        <v>0.0475272611513238</v>
      </c>
      <c r="E263" s="2" t="n">
        <v>0.0282061661629874</v>
      </c>
    </row>
    <row r="264" customFormat="false" ht="13.8" hidden="false" customHeight="false" outlineLevel="0" collapsed="false">
      <c r="B264" s="2" t="n">
        <v>262</v>
      </c>
      <c r="C264" s="2" t="n">
        <v>0.0756538201484494</v>
      </c>
      <c r="D264" s="2" t="n">
        <v>0.0803122708634886</v>
      </c>
      <c r="E264" s="2" t="n">
        <v>0.090342228788902</v>
      </c>
    </row>
    <row r="265" customFormat="false" ht="13.8" hidden="false" customHeight="false" outlineLevel="0" collapsed="false">
      <c r="B265" s="2" t="n">
        <v>263</v>
      </c>
      <c r="C265" s="2" t="n">
        <v>0.0504359967656314</v>
      </c>
      <c r="D265" s="2" t="n">
        <v>0.0529304139089867</v>
      </c>
      <c r="E265" s="2" t="n">
        <v>0.0336450747481504</v>
      </c>
    </row>
    <row r="266" customFormat="false" ht="13.8" hidden="false" customHeight="false" outlineLevel="0" collapsed="false">
      <c r="B266" s="2" t="n">
        <v>264</v>
      </c>
      <c r="C266" s="2" t="n">
        <v>0.0863517233828138</v>
      </c>
      <c r="D266" s="2" t="n">
        <v>0.0892156736211516</v>
      </c>
      <c r="E266" s="2" t="n">
        <v>0.0493315040407317</v>
      </c>
    </row>
    <row r="267" customFormat="false" ht="13.8" hidden="false" customHeight="false" outlineLevel="0" collapsed="false">
      <c r="B267" s="2" t="n">
        <v>265</v>
      </c>
      <c r="C267" s="2" t="n">
        <v>0.0500848166666651</v>
      </c>
      <c r="D267" s="2" t="n">
        <v>0.06288466666666</v>
      </c>
      <c r="E267" s="2" t="n">
        <v>0.0302012999999921</v>
      </c>
    </row>
    <row r="268" customFormat="false" ht="13.8" hidden="false" customHeight="false" outlineLevel="0" collapsed="false">
      <c r="B268" s="2" t="n">
        <v>266</v>
      </c>
      <c r="C268" s="2" t="n">
        <v>0.0928853999999983</v>
      </c>
      <c r="D268" s="2" t="n">
        <v>0.0624514166666596</v>
      </c>
      <c r="E268" s="2" t="n">
        <v>0.118167983333325</v>
      </c>
    </row>
    <row r="269" customFormat="false" ht="13.8" hidden="false" customHeight="false" outlineLevel="0" collapsed="false">
      <c r="B269" s="2" t="n">
        <v>267</v>
      </c>
      <c r="C269" s="2" t="n">
        <v>0.055402949999998</v>
      </c>
      <c r="D269" s="2" t="n">
        <v>0.0978021499999925</v>
      </c>
      <c r="E269" s="2" t="n">
        <v>0.0523357999999913</v>
      </c>
    </row>
    <row r="270" customFormat="false" ht="13.8" hidden="false" customHeight="false" outlineLevel="0" collapsed="false">
      <c r="B270" s="2" t="n">
        <v>268</v>
      </c>
      <c r="C270" s="2" t="n">
        <v>0.106236566666665</v>
      </c>
      <c r="D270" s="2" t="n">
        <v>0.0608192499999922</v>
      </c>
      <c r="E270" s="2" t="n">
        <v>0.0690872333333244</v>
      </c>
    </row>
    <row r="271" customFormat="false" ht="13.8" hidden="false" customHeight="false" outlineLevel="0" collapsed="false">
      <c r="B271" s="2" t="n">
        <v>269</v>
      </c>
      <c r="C271" s="2" t="n">
        <v>0.0822527333333311</v>
      </c>
      <c r="D271" s="2" t="n">
        <v>0.0678863333333252</v>
      </c>
      <c r="E271" s="2" t="n">
        <v>0.0869865833333241</v>
      </c>
    </row>
    <row r="272" customFormat="false" ht="13.8" hidden="false" customHeight="false" outlineLevel="0" collapsed="false">
      <c r="B272" s="2" t="n">
        <v>270</v>
      </c>
      <c r="C272" s="2" t="n">
        <v>0.135585333333331</v>
      </c>
      <c r="D272" s="2" t="n">
        <v>0.108603066666658</v>
      </c>
      <c r="E272" s="2" t="n">
        <v>0.0392535666666572</v>
      </c>
    </row>
    <row r="273" customFormat="false" ht="13.8" hidden="false" customHeight="false" outlineLevel="0" collapsed="false">
      <c r="B273" s="2" t="n">
        <v>271</v>
      </c>
      <c r="C273" s="2" t="n">
        <v>0.0749529833333308</v>
      </c>
      <c r="D273" s="2" t="n">
        <v>0.0837364666666576</v>
      </c>
      <c r="E273" s="2" t="n">
        <v>0.0789701166666567</v>
      </c>
    </row>
    <row r="274" customFormat="false" ht="13.8" hidden="false" customHeight="false" outlineLevel="0" collapsed="false">
      <c r="B274" s="2" t="n">
        <v>272</v>
      </c>
      <c r="C274" s="2" t="n">
        <v>0.129270249999997</v>
      </c>
      <c r="D274" s="2" t="n">
        <v>0.0955699999999906</v>
      </c>
      <c r="E274" s="2" t="n">
        <v>0.0795534499999898</v>
      </c>
    </row>
    <row r="275" customFormat="false" ht="13.8" hidden="false" customHeight="false" outlineLevel="0" collapsed="false">
      <c r="B275" s="2" t="n">
        <v>273</v>
      </c>
      <c r="C275" s="2" t="n">
        <v>0.0980539833333306</v>
      </c>
      <c r="D275" s="2" t="n">
        <v>0.0800534499999902</v>
      </c>
      <c r="E275" s="2" t="n">
        <v>0.0783711999999895</v>
      </c>
    </row>
    <row r="276" customFormat="false" ht="13.8" hidden="false" customHeight="false" outlineLevel="0" collapsed="false">
      <c r="B276" s="2" t="n">
        <v>274</v>
      </c>
      <c r="C276" s="2" t="n">
        <v>0.131586949999997</v>
      </c>
      <c r="D276" s="2" t="n">
        <v>0.106054016666657</v>
      </c>
      <c r="E276" s="2" t="n">
        <v>0.052154249999989</v>
      </c>
    </row>
    <row r="277" customFormat="false" ht="13.8" hidden="false" customHeight="false" outlineLevel="0" collapsed="false">
      <c r="B277" s="2" t="n">
        <v>275</v>
      </c>
      <c r="C277" s="2" t="n">
        <v>0.0836371166666635</v>
      </c>
      <c r="D277" s="2" t="n">
        <v>0.0783046833333229</v>
      </c>
      <c r="E277" s="2" t="n">
        <v>0.0866036499999887</v>
      </c>
    </row>
    <row r="278" customFormat="false" ht="13.8" hidden="false" customHeight="false" outlineLevel="0" collapsed="false">
      <c r="B278" s="2" t="n">
        <v>276</v>
      </c>
      <c r="C278" s="2" t="n">
        <v>0.109820216666663</v>
      </c>
      <c r="D278" s="2" t="n">
        <v>0.0882707999999891</v>
      </c>
      <c r="E278" s="2" t="n">
        <v>0.0837706999999884</v>
      </c>
    </row>
    <row r="279" customFormat="false" ht="13.8" hidden="false" customHeight="false" outlineLevel="0" collapsed="false">
      <c r="B279" s="2" t="n">
        <v>277</v>
      </c>
      <c r="C279" s="2" t="n">
        <v>0.111920716666663</v>
      </c>
      <c r="D279" s="2" t="n">
        <v>0.100820116666655</v>
      </c>
      <c r="E279" s="2" t="n">
        <v>0.0948878166666545</v>
      </c>
    </row>
    <row r="280" customFormat="false" ht="13.8" hidden="false" customHeight="false" outlineLevel="0" collapsed="false">
      <c r="B280" s="2" t="n">
        <v>278</v>
      </c>
      <c r="C280" s="2" t="n">
        <v>0.123286749999996</v>
      </c>
      <c r="D280" s="2" t="n">
        <v>0.138620116666655</v>
      </c>
      <c r="E280" s="2" t="n">
        <v>0.0509046999999878</v>
      </c>
    </row>
    <row r="281" customFormat="false" ht="13.8" hidden="false" customHeight="false" outlineLevel="0" collapsed="false">
      <c r="B281" s="2" t="n">
        <v>279</v>
      </c>
      <c r="C281" s="2" t="n">
        <v>0.125603033333329</v>
      </c>
      <c r="D281" s="2" t="n">
        <v>0.097453649999988</v>
      </c>
      <c r="E281" s="2" t="n">
        <v>0.120421049999987</v>
      </c>
    </row>
    <row r="282" customFormat="false" ht="13.8" hidden="false" customHeight="false" outlineLevel="0" collapsed="false">
      <c r="B282" s="2" t="n">
        <v>280</v>
      </c>
      <c r="C282" s="2" t="n">
        <v>0.127503033333329</v>
      </c>
      <c r="D282" s="2" t="n">
        <v>0.0974038833333209</v>
      </c>
      <c r="E282" s="2" t="n">
        <v>0.0666373833333205</v>
      </c>
    </row>
    <row r="283" customFormat="false" ht="13.8" hidden="false" customHeight="false" outlineLevel="0" collapsed="false">
      <c r="B283" s="2" t="n">
        <v>281</v>
      </c>
      <c r="C283" s="2" t="n">
        <v>0.100237033333329</v>
      </c>
      <c r="D283" s="2" t="n">
        <v>0.0944533666666538</v>
      </c>
      <c r="E283" s="2" t="n">
        <v>0.13187053333332</v>
      </c>
    </row>
    <row r="284" customFormat="false" ht="13.8" hidden="false" customHeight="false" outlineLevel="0" collapsed="false">
      <c r="B284" s="2" t="n">
        <v>282</v>
      </c>
      <c r="C284" s="2" t="n">
        <v>0.0824708333333291</v>
      </c>
      <c r="D284" s="2" t="n">
        <v>0.0652367166666535</v>
      </c>
      <c r="E284" s="2" t="n">
        <v>0.0606706333333198</v>
      </c>
    </row>
    <row r="285" customFormat="false" ht="13.8" hidden="false" customHeight="false" outlineLevel="0" collapsed="false">
      <c r="B285" s="2" t="n">
        <v>283</v>
      </c>
      <c r="C285" s="2" t="n">
        <v>0.0292544666666609</v>
      </c>
      <c r="D285" s="2" t="n">
        <v>0.0776366833333198</v>
      </c>
      <c r="E285" s="2" t="n">
        <v>0.0793537166666528</v>
      </c>
    </row>
    <row r="286" customFormat="false" ht="13.8" hidden="false" customHeight="false" outlineLevel="0" collapsed="false">
      <c r="B286" s="2" t="n">
        <v>284</v>
      </c>
      <c r="C286" s="2" t="n">
        <v>0.0412705833333287</v>
      </c>
      <c r="D286" s="2" t="n">
        <v>0.0642703333333194</v>
      </c>
      <c r="E286" s="2" t="n">
        <v>0.0728696833333191</v>
      </c>
    </row>
    <row r="287" customFormat="false" ht="13.8" hidden="false" customHeight="false" outlineLevel="0" collapsed="false">
      <c r="B287" s="2" t="n">
        <v>285</v>
      </c>
      <c r="C287" s="2" t="n">
        <v>0.0563370499999953</v>
      </c>
      <c r="D287" s="2" t="n">
        <v>0.046936133333319</v>
      </c>
      <c r="E287" s="2" t="n">
        <v>0.0668525666666521</v>
      </c>
    </row>
    <row r="288" customFormat="false" ht="13.8" hidden="false" customHeight="false" outlineLevel="0" collapsed="false">
      <c r="B288" s="2" t="n">
        <v>286</v>
      </c>
      <c r="C288" s="2" t="n">
        <v>0.0514531666666617</v>
      </c>
      <c r="D288" s="2" t="n">
        <v>0.0286697999999853</v>
      </c>
      <c r="E288" s="2" t="n">
        <v>0.0742526666666518</v>
      </c>
    </row>
    <row r="289" customFormat="false" ht="13.8" hidden="false" customHeight="false" outlineLevel="0" collapsed="false">
      <c r="B289" s="2" t="n">
        <v>287</v>
      </c>
      <c r="C289" s="2" t="n">
        <v>0.0474855666666616</v>
      </c>
      <c r="D289" s="2" t="n">
        <v>0.0735031833333182</v>
      </c>
      <c r="E289" s="2" t="n">
        <v>0.0384192333333182</v>
      </c>
    </row>
    <row r="290" customFormat="false" ht="13.8" hidden="false" customHeight="false" outlineLevel="0" collapsed="false">
      <c r="B290" s="2" t="n">
        <v>288</v>
      </c>
      <c r="C290" s="2" t="n">
        <v>0.0842696833333281</v>
      </c>
      <c r="D290" s="2" t="n">
        <v>0.0173530666666511</v>
      </c>
      <c r="E290" s="2" t="n">
        <v>0.0205527999999845</v>
      </c>
    </row>
    <row r="291" customFormat="false" ht="13.8" hidden="false" customHeight="false" outlineLevel="0" collapsed="false">
      <c r="B291" s="2" t="n">
        <v>289</v>
      </c>
      <c r="C291" s="2" t="n">
        <v>0.0143861999999946</v>
      </c>
      <c r="D291" s="2" t="n">
        <v>0.0104525999999841</v>
      </c>
      <c r="E291" s="2" t="n">
        <v>0.0272854333333174</v>
      </c>
    </row>
    <row r="292" customFormat="false" ht="13.8" hidden="false" customHeight="false" outlineLevel="0" collapsed="false">
      <c r="B292" s="2" t="n">
        <v>290</v>
      </c>
      <c r="C292" s="2" t="n">
        <v>0.0266354999999944</v>
      </c>
      <c r="D292" s="2" t="n">
        <v>0.0585187166666504</v>
      </c>
      <c r="E292" s="2" t="n">
        <v>0.0519858666666505</v>
      </c>
    </row>
    <row r="293" customFormat="false" ht="13.8" hidden="false" customHeight="false" outlineLevel="0" collapsed="false">
      <c r="B293" s="2" t="n">
        <v>291</v>
      </c>
      <c r="C293" s="2" t="n">
        <v>0.0496180499999942</v>
      </c>
      <c r="D293" s="2" t="n">
        <v>0.0785011999999834</v>
      </c>
      <c r="E293" s="2" t="n">
        <v>0.0605847833333169</v>
      </c>
    </row>
    <row r="294" customFormat="false" ht="13.8" hidden="false" customHeight="false" outlineLevel="0" collapsed="false">
      <c r="B294" s="2" t="n">
        <v>292</v>
      </c>
      <c r="C294" s="2" t="n">
        <v>0.0402171499999941</v>
      </c>
      <c r="D294" s="2" t="n">
        <v>0.039200899999983</v>
      </c>
      <c r="E294" s="2" t="n">
        <v>0.0785010499999831</v>
      </c>
    </row>
    <row r="295" customFormat="false" ht="13.8" hidden="false" customHeight="false" outlineLevel="0" collapsed="false">
      <c r="B295" s="2" t="n">
        <v>293</v>
      </c>
      <c r="C295" s="2" t="n">
        <v>0.0418501666666606</v>
      </c>
      <c r="D295" s="2" t="n">
        <v>0.0152837833333159</v>
      </c>
      <c r="E295" s="2" t="n">
        <v>0.0425001666666495</v>
      </c>
    </row>
    <row r="296" customFormat="false" ht="13.8" hidden="false" customHeight="false" outlineLevel="0" collapsed="false">
      <c r="B296" s="2" t="n">
        <v>294</v>
      </c>
      <c r="C296" s="2" t="n">
        <v>0.0441502499999937</v>
      </c>
      <c r="D296" s="2" t="n">
        <v>0.0591336166666488</v>
      </c>
      <c r="E296" s="2" t="n">
        <v>0.0685000499999825</v>
      </c>
    </row>
    <row r="297" customFormat="false" ht="13.8" hidden="false" customHeight="false" outlineLevel="0" collapsed="false">
      <c r="B297" s="2" t="n">
        <v>295</v>
      </c>
      <c r="C297" s="2" t="n">
        <v>0.0246004166666603</v>
      </c>
      <c r="D297" s="2" t="n">
        <v>0.0283334333333152</v>
      </c>
      <c r="E297" s="2" t="n">
        <v>0.0218671666666488</v>
      </c>
    </row>
    <row r="298" customFormat="false" ht="13.8" hidden="false" customHeight="false" outlineLevel="0" collapsed="false">
      <c r="B298" s="2" t="n">
        <v>296</v>
      </c>
      <c r="C298" s="2" t="n">
        <v>0.0369003499999935</v>
      </c>
      <c r="D298" s="2" t="n">
        <v>0.0620166999999814</v>
      </c>
      <c r="E298" s="2" t="n">
        <v>0.0916001166666484</v>
      </c>
    </row>
    <row r="299" customFormat="false" ht="13.8" hidden="false" customHeight="false" outlineLevel="0" collapsed="false">
      <c r="B299" s="2" t="n">
        <v>297</v>
      </c>
      <c r="C299" s="2" t="n">
        <v>0.0247333999999933</v>
      </c>
      <c r="D299" s="2" t="n">
        <v>0.0284834833333144</v>
      </c>
      <c r="E299" s="2" t="n">
        <v>0.0276167499999816</v>
      </c>
    </row>
    <row r="300" customFormat="false" ht="13.8" hidden="false" customHeight="false" outlineLevel="0" collapsed="false">
      <c r="B300" s="2" t="n">
        <v>298</v>
      </c>
      <c r="C300" s="2" t="n">
        <v>0.0483001666666598</v>
      </c>
      <c r="D300" s="2" t="n">
        <v>0.0611833999999807</v>
      </c>
      <c r="E300" s="2" t="n">
        <v>0.0946334666666479</v>
      </c>
    </row>
    <row r="301" customFormat="false" ht="13.8" hidden="false" customHeight="false" outlineLevel="0" collapsed="false">
      <c r="B301" s="2" t="n">
        <v>299</v>
      </c>
      <c r="C301" s="2" t="n">
        <v>0.013633599999993</v>
      </c>
      <c r="D301" s="2" t="n">
        <v>0.0287834833333136</v>
      </c>
      <c r="E301" s="2" t="n">
        <v>0.0319667333333141</v>
      </c>
    </row>
    <row r="302" customFormat="false" ht="13.8" hidden="false" customHeight="false" outlineLevel="0" collapsed="false">
      <c r="B302" s="2" t="n">
        <v>300</v>
      </c>
      <c r="C302" s="2" t="n">
        <v>0.0416837499999928</v>
      </c>
      <c r="D302" s="2" t="n">
        <v>0.0382835833333133</v>
      </c>
      <c r="E302" s="2" t="n">
        <v>0.0968335499999805</v>
      </c>
    </row>
    <row r="303" customFormat="false" ht="13.8" hidden="false" customHeight="false" outlineLevel="0" collapsed="false">
      <c r="B303" s="2" t="n">
        <v>301</v>
      </c>
      <c r="C303" s="2" t="n">
        <v>0.0121502666666593</v>
      </c>
      <c r="D303" s="2" t="n">
        <v>0.0191000499999795</v>
      </c>
      <c r="E303" s="2" t="n">
        <v>0.0324167999999794</v>
      </c>
    </row>
    <row r="304" customFormat="false" ht="13.8" hidden="false" customHeight="false" outlineLevel="0" collapsed="false">
      <c r="B304" s="2" t="n">
        <v>302</v>
      </c>
      <c r="C304" s="2" t="n">
        <v>0.027916749999992</v>
      </c>
      <c r="D304" s="2" t="n">
        <v>0.0707834499999792</v>
      </c>
      <c r="E304" s="2" t="n">
        <v>0.0976002166666465</v>
      </c>
    </row>
    <row r="305" customFormat="false" ht="13.8" hidden="false" customHeight="false" outlineLevel="0" collapsed="false">
      <c r="B305" s="2" t="n">
        <v>303</v>
      </c>
      <c r="C305" s="2" t="n">
        <v>0.0476166999999923</v>
      </c>
      <c r="D305" s="2" t="n">
        <v>0.0126834999999787</v>
      </c>
      <c r="E305" s="2" t="n">
        <v>0.0304000666666462</v>
      </c>
    </row>
    <row r="306" customFormat="false" ht="13.8" hidden="false" customHeight="false" outlineLevel="0" collapsed="false">
      <c r="B306" s="2" t="n">
        <v>304</v>
      </c>
      <c r="C306" s="2" t="n">
        <v>0.0382335999999922</v>
      </c>
      <c r="D306" s="2" t="n">
        <v>0.0519999999999784</v>
      </c>
      <c r="E306" s="2" t="n">
        <v>0.0910835166666458</v>
      </c>
    </row>
    <row r="307" customFormat="false" ht="13.8" hidden="false" customHeight="false" outlineLevel="0" collapsed="false">
      <c r="B307" s="2" t="n">
        <v>305</v>
      </c>
      <c r="C307" s="2" t="n">
        <v>0.049366749999992</v>
      </c>
      <c r="D307" s="2" t="n">
        <v>0.0453333666666447</v>
      </c>
      <c r="E307" s="2" t="n">
        <v>0.0264835166666455</v>
      </c>
    </row>
    <row r="308" customFormat="false" ht="13.8" hidden="false" customHeight="false" outlineLevel="0" collapsed="false">
      <c r="B308" s="2" t="n">
        <v>306</v>
      </c>
      <c r="C308" s="2" t="n">
        <v>0.0385835499999916</v>
      </c>
      <c r="D308" s="2" t="n">
        <v>0.035316883333311</v>
      </c>
      <c r="E308" s="2" t="n">
        <v>0.0934999999999785</v>
      </c>
    </row>
    <row r="309" customFormat="false" ht="13.8" hidden="false" customHeight="false" outlineLevel="0" collapsed="false">
      <c r="B309" s="2" t="n">
        <v>307</v>
      </c>
      <c r="C309" s="2" t="n">
        <v>0.044383533333325</v>
      </c>
      <c r="D309" s="2" t="n">
        <v>0.0212835499999772</v>
      </c>
      <c r="E309" s="2" t="n">
        <v>0.0284999999999782</v>
      </c>
    </row>
    <row r="310" customFormat="false" ht="13.8" hidden="false" customHeight="false" outlineLevel="0" collapsed="false">
      <c r="B310" s="2" t="n">
        <v>308</v>
      </c>
      <c r="C310" s="2" t="n">
        <v>0.0379999999999916</v>
      </c>
      <c r="D310" s="2" t="n">
        <v>0.0669667999999769</v>
      </c>
      <c r="E310" s="2" t="n">
        <v>0.0864000666666445</v>
      </c>
    </row>
    <row r="311" customFormat="false" ht="13.8" hidden="false" customHeight="false" outlineLevel="0" collapsed="false">
      <c r="B311" s="2" t="n">
        <v>309</v>
      </c>
      <c r="C311" s="2" t="n">
        <v>0.046016766666658</v>
      </c>
      <c r="D311" s="2" t="n">
        <v>0.0227167333333098</v>
      </c>
      <c r="E311" s="2" t="n">
        <v>0.0257335999999775</v>
      </c>
    </row>
    <row r="312" customFormat="false" ht="13.8" hidden="false" customHeight="false" outlineLevel="0" collapsed="false">
      <c r="B312" s="2" t="n">
        <v>310</v>
      </c>
      <c r="C312" s="2" t="n">
        <v>0.00710370228608673</v>
      </c>
      <c r="D312" s="2" t="n">
        <v>0.0555099719610225</v>
      </c>
      <c r="E312" s="2" t="n">
        <v>0.0948167970125228</v>
      </c>
    </row>
    <row r="313" customFormat="false" ht="13.8" hidden="false" customHeight="false" outlineLevel="0" collapsed="false">
      <c r="B313" s="2" t="n">
        <v>311</v>
      </c>
      <c r="C313" s="2" t="n">
        <v>0.0294567545721954</v>
      </c>
      <c r="D313" s="2" t="n">
        <v>0.0414363439221036</v>
      </c>
      <c r="E313" s="2" t="n">
        <v>0.0217168606917688</v>
      </c>
    </row>
    <row r="314" customFormat="false" ht="13.8" hidden="false" customHeight="false" outlineLevel="0" collapsed="false">
      <c r="B314" s="2" t="n">
        <v>312</v>
      </c>
      <c r="C314" s="2" t="n">
        <v>0.0288931568583038</v>
      </c>
      <c r="D314" s="2" t="n">
        <v>0.0519125158831849</v>
      </c>
      <c r="E314" s="2" t="n">
        <v>0.083650557704348</v>
      </c>
    </row>
    <row r="315" customFormat="false" ht="13.8" hidden="false" customHeight="false" outlineLevel="0" collapsed="false">
      <c r="B315" s="2" t="n">
        <v>313</v>
      </c>
      <c r="C315" s="2" t="n">
        <v>0.0508798591444123</v>
      </c>
      <c r="D315" s="2" t="n">
        <v>0.000139021177599515</v>
      </c>
      <c r="E315" s="2" t="n">
        <v>0.00770070471692718</v>
      </c>
    </row>
    <row r="316" customFormat="false" ht="13.8" hidden="false" customHeight="false" outlineLevel="0" collapsed="false">
      <c r="B316" s="2" t="n">
        <v>314</v>
      </c>
      <c r="C316" s="2" t="n">
        <v>0.021355683280799</v>
      </c>
      <c r="D316" s="2" t="n">
        <v>0.0364965982411601</v>
      </c>
      <c r="E316" s="2" t="n">
        <v>0.015434627604192</v>
      </c>
    </row>
    <row r="317" customFormat="false" ht="13.8" hidden="false" customHeight="false" outlineLevel="0" collapsed="false">
      <c r="B317" s="2" t="n">
        <v>315</v>
      </c>
      <c r="C317" s="2" t="n">
        <v>0.0226817074171856</v>
      </c>
      <c r="D317" s="2" t="n">
        <v>0.0367043253047207</v>
      </c>
      <c r="E317" s="2" t="n">
        <v>6.17841983007061E-015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6.62387012400562E-015</v>
      </c>
      <c r="E318" s="2" t="n">
        <v>0.00970194004538815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0.00438714609850854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1.03480286068387E-017</v>
      </c>
      <c r="D334" s="2" t="n">
        <v>0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3.1173436716864E-017</v>
      </c>
      <c r="D335" s="2" t="n">
        <v>0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1.22624144739794E-016</v>
      </c>
      <c r="D336" s="2" t="n">
        <v>5.69141580042792E-018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0</v>
      </c>
      <c r="D337" s="2" t="n">
        <v>0</v>
      </c>
      <c r="E337" s="2" t="n">
        <v>4.38497732085802E-017</v>
      </c>
    </row>
    <row r="338" customFormat="false" ht="13.8" hidden="false" customHeight="false" outlineLevel="0" collapsed="false">
      <c r="B338" s="2" t="n">
        <v>336</v>
      </c>
      <c r="C338" s="2" t="n">
        <v>1.98682152140353E-016</v>
      </c>
      <c r="D338" s="2" t="n">
        <v>0</v>
      </c>
      <c r="E338" s="2" t="n">
        <v>1.15380524352978E-016</v>
      </c>
    </row>
    <row r="339" customFormat="false" ht="13.8" hidden="false" customHeight="false" outlineLevel="0" collapsed="false">
      <c r="B339" s="2" t="n">
        <v>337</v>
      </c>
      <c r="C339" s="2" t="n">
        <v>0</v>
      </c>
      <c r="D339" s="2" t="n">
        <v>0</v>
      </c>
      <c r="E339" s="2" t="n">
        <v>2.93625332643164E-016</v>
      </c>
    </row>
    <row r="340" customFormat="false" ht="13.8" hidden="false" customHeight="false" outlineLevel="0" collapsed="false">
      <c r="B340" s="2" t="n">
        <v>338</v>
      </c>
      <c r="C340" s="2" t="n">
        <v>0</v>
      </c>
      <c r="D340" s="2" t="n">
        <v>0</v>
      </c>
      <c r="E340" s="2" t="n">
        <v>4.00210038208565E-016</v>
      </c>
    </row>
    <row r="341" customFormat="false" ht="13.8" hidden="false" customHeight="false" outlineLevel="0" collapsed="false">
      <c r="B341" s="2" t="n">
        <v>339</v>
      </c>
      <c r="C341" s="2" t="n">
        <v>0</v>
      </c>
      <c r="D341" s="2" t="n">
        <v>0</v>
      </c>
      <c r="E341" s="2" t="n">
        <v>5.87250665427293E-016</v>
      </c>
    </row>
    <row r="342" customFormat="false" ht="13.8" hidden="false" customHeight="false" outlineLevel="0" collapsed="false">
      <c r="B342" s="2" t="n">
        <v>340</v>
      </c>
      <c r="C342" s="2" t="n">
        <v>0</v>
      </c>
      <c r="D342" s="2" t="n">
        <v>0</v>
      </c>
      <c r="E342" s="2" t="n">
        <v>6.96163678198972E-016</v>
      </c>
    </row>
    <row r="343" customFormat="false" ht="13.8" hidden="false" customHeight="false" outlineLevel="0" collapsed="false">
      <c r="B343" s="2" t="n">
        <v>341</v>
      </c>
      <c r="C343" s="2" t="n">
        <v>0</v>
      </c>
      <c r="D343" s="2" t="n">
        <v>2.5158645154677E-016</v>
      </c>
      <c r="E343" s="2" t="n">
        <v>8.75055230274458E-016</v>
      </c>
    </row>
    <row r="344" customFormat="false" ht="13.8" hidden="false" customHeight="false" outlineLevel="0" collapsed="false">
      <c r="B344" s="2" t="n">
        <v>342</v>
      </c>
      <c r="C344" s="2" t="n">
        <v>6.86333011514793E-016</v>
      </c>
      <c r="D344" s="2" t="n">
        <v>0</v>
      </c>
      <c r="E344" s="2" t="n">
        <v>1.04515096866725E-015</v>
      </c>
    </row>
    <row r="345" customFormat="false" ht="13.8" hidden="false" customHeight="false" outlineLevel="0" collapsed="false">
      <c r="B345" s="2" t="n">
        <v>343</v>
      </c>
      <c r="C345" s="2" t="n">
        <v>7.49197290545484E-016</v>
      </c>
      <c r="D345" s="2" t="n">
        <v>0</v>
      </c>
      <c r="E345" s="2" t="n">
        <v>1.18963532777016E-015</v>
      </c>
    </row>
    <row r="346" customFormat="false" ht="13.8" hidden="false" customHeight="false" outlineLevel="0" collapsed="false">
      <c r="B346" s="2" t="n">
        <v>344</v>
      </c>
      <c r="C346" s="2" t="n">
        <v>0</v>
      </c>
      <c r="D346" s="2" t="n">
        <v>0</v>
      </c>
      <c r="E346" s="2" t="n">
        <v>1.41923222295857E-015</v>
      </c>
    </row>
    <row r="347" customFormat="false" ht="13.8" hidden="false" customHeight="false" outlineLevel="0" collapsed="false">
      <c r="B347" s="2" t="n">
        <v>345</v>
      </c>
      <c r="C347" s="2" t="n">
        <v>1.02885277351268E-015</v>
      </c>
      <c r="D347" s="2" t="n">
        <v>8.66906116010408E-016</v>
      </c>
      <c r="E347" s="2" t="n">
        <v>1.49140973571963E-015</v>
      </c>
    </row>
    <row r="348" customFormat="false" ht="13.8" hidden="false" customHeight="false" outlineLevel="0" collapsed="false">
      <c r="B348" s="2" t="n">
        <v>346</v>
      </c>
      <c r="C348" s="2" t="n">
        <v>1.18148620237212E-015</v>
      </c>
      <c r="D348" s="2" t="n">
        <v>9.29770394940643E-016</v>
      </c>
      <c r="E348" s="2" t="n">
        <v>1.63705824843624E-015</v>
      </c>
    </row>
    <row r="349" customFormat="false" ht="13.8" hidden="false" customHeight="false" outlineLevel="0" collapsed="false">
      <c r="B349" s="2" t="n">
        <v>347</v>
      </c>
      <c r="C349" s="2" t="n">
        <v>1.23736556199015E-015</v>
      </c>
      <c r="D349" s="2" t="n">
        <v>0</v>
      </c>
      <c r="E349" s="2" t="n">
        <v>1.69701214835424E-015</v>
      </c>
    </row>
    <row r="350" customFormat="false" ht="13.8" hidden="false" customHeight="false" outlineLevel="0" collapsed="false">
      <c r="B350" s="2" t="n">
        <v>348</v>
      </c>
      <c r="C350" s="2" t="n">
        <v>1.47976814045405E-015</v>
      </c>
      <c r="D350" s="2" t="n">
        <v>1.31083656022876E-015</v>
      </c>
      <c r="E350" s="2" t="n">
        <v>2.18136457482544E-015</v>
      </c>
    </row>
    <row r="351" customFormat="false" ht="13.8" hidden="false" customHeight="false" outlineLevel="0" collapsed="false">
      <c r="B351" s="2" t="n">
        <v>349</v>
      </c>
      <c r="C351" s="2" t="n">
        <v>1.71285749197373E-015</v>
      </c>
      <c r="D351" s="2" t="n">
        <v>1.46812660239024E-015</v>
      </c>
      <c r="E351" s="2" t="n">
        <v>1.99820447928873E-015</v>
      </c>
    </row>
    <row r="352" customFormat="false" ht="13.8" hidden="false" customHeight="false" outlineLevel="0" collapsed="false">
      <c r="B352" s="2" t="n">
        <v>350</v>
      </c>
      <c r="C352" s="2" t="n">
        <v>1.69992246387102E-015</v>
      </c>
      <c r="D352" s="2" t="n">
        <v>1.53331918887984E-015</v>
      </c>
      <c r="E352" s="2" t="n">
        <v>2.14850960657097E-015</v>
      </c>
    </row>
    <row r="353" customFormat="false" ht="13.8" hidden="false" customHeight="false" outlineLevel="0" collapsed="false">
      <c r="B353" s="2" t="n">
        <v>351</v>
      </c>
      <c r="C353" s="2" t="n">
        <v>1.85255589360419E-015</v>
      </c>
      <c r="D353" s="2" t="n">
        <v>1.85617768916825E-015</v>
      </c>
      <c r="E353" s="2" t="n">
        <v>2.21603050466164E-015</v>
      </c>
    </row>
    <row r="354" customFormat="false" ht="13.8" hidden="false" customHeight="false" outlineLevel="0" collapsed="false">
      <c r="B354" s="2" t="n">
        <v>352</v>
      </c>
      <c r="C354" s="2" t="n">
        <v>9.44389667327774E-005</v>
      </c>
      <c r="D354" s="2" t="n">
        <v>0.00747111042668709</v>
      </c>
      <c r="E354" s="2" t="n">
        <v>0.0195098820741208</v>
      </c>
    </row>
    <row r="355" customFormat="false" ht="13.8" hidden="false" customHeight="false" outlineLevel="0" collapsed="false">
      <c r="B355" s="2" t="n">
        <v>353</v>
      </c>
      <c r="C355" s="2" t="n">
        <v>0.0306652911458851</v>
      </c>
      <c r="D355" s="2" t="n">
        <v>0.0426964780530339</v>
      </c>
      <c r="E355" s="2" t="n">
        <v>0.00609315443025914</v>
      </c>
    </row>
    <row r="356" customFormat="false" ht="13.8" hidden="false" customHeight="false" outlineLevel="0" collapsed="false">
      <c r="B356" s="2" t="n">
        <v>354</v>
      </c>
      <c r="C356" s="2" t="n">
        <v>0.0378677647639505</v>
      </c>
      <c r="D356" s="2" t="n">
        <v>0.00478433806446761</v>
      </c>
      <c r="E356" s="2" t="n">
        <v>0.0574901897940934</v>
      </c>
    </row>
    <row r="357" customFormat="false" ht="13.8" hidden="false" customHeight="false" outlineLevel="0" collapsed="false">
      <c r="B357" s="2" t="n">
        <v>355</v>
      </c>
      <c r="C357" s="2" t="n">
        <v>0.0289035883820157</v>
      </c>
      <c r="D357" s="2" t="n">
        <v>0.0678715314092345</v>
      </c>
      <c r="E357" s="2" t="n">
        <v>0.0178872251579278</v>
      </c>
    </row>
    <row r="358" customFormat="false" ht="13.8" hidden="false" customHeight="false" outlineLevel="0" collapsed="false">
      <c r="B358" s="2" t="n">
        <v>356</v>
      </c>
      <c r="C358" s="2" t="n">
        <v>0.0603559953334147</v>
      </c>
      <c r="D358" s="2" t="n">
        <v>0.0492088580873349</v>
      </c>
      <c r="E358" s="2" t="n">
        <v>0.0265343605217622</v>
      </c>
    </row>
    <row r="359" customFormat="false" ht="13.8" hidden="false" customHeight="false" outlineLevel="0" collapsed="false">
      <c r="B359" s="2" t="n">
        <v>357</v>
      </c>
      <c r="C359" s="2" t="n">
        <v>0.033841702284813</v>
      </c>
      <c r="D359" s="2" t="n">
        <v>0.0778797680987685</v>
      </c>
      <c r="E359" s="2" t="n">
        <v>0.0355316125522632</v>
      </c>
    </row>
    <row r="360" customFormat="false" ht="13.8" hidden="false" customHeight="false" outlineLevel="0" collapsed="false">
      <c r="B360" s="2" t="n">
        <v>358</v>
      </c>
      <c r="C360" s="2" t="n">
        <v>0.0768980642136046</v>
      </c>
      <c r="D360" s="2" t="n">
        <v>0.048493534407405</v>
      </c>
      <c r="E360" s="2" t="n">
        <v>0.0366821177475254</v>
      </c>
    </row>
    <row r="361" customFormat="false" ht="13.8" hidden="false" customHeight="false" outlineLevel="0" collapsed="false">
      <c r="B361" s="2" t="n">
        <v>359</v>
      </c>
      <c r="C361" s="2" t="n">
        <v>0.0473209261423964</v>
      </c>
      <c r="D361" s="2" t="n">
        <v>0.0597903840493747</v>
      </c>
      <c r="E361" s="2" t="n">
        <v>0.049899106276121</v>
      </c>
    </row>
    <row r="362" customFormat="false" ht="13.8" hidden="false" customHeight="false" outlineLevel="0" collapsed="false">
      <c r="B362" s="2" t="n">
        <v>360</v>
      </c>
      <c r="C362" s="2" t="n">
        <v>0.0897439380711882</v>
      </c>
      <c r="D362" s="2" t="n">
        <v>0.0639033836913441</v>
      </c>
      <c r="E362" s="2" t="n">
        <v>0.0579829614713833</v>
      </c>
    </row>
    <row r="363" customFormat="false" ht="13.8" hidden="false" customHeight="false" outlineLevel="0" collapsed="false">
      <c r="B363" s="2" t="n">
        <v>361</v>
      </c>
      <c r="C363" s="2" t="n">
        <v>0.0510006999999921</v>
      </c>
      <c r="D363" s="2" t="n">
        <v>0.0537338833333257</v>
      </c>
      <c r="E363" s="2" t="n">
        <v>0.0646168333333249</v>
      </c>
    </row>
    <row r="364" customFormat="false" ht="13.8" hidden="false" customHeight="false" outlineLevel="0" collapsed="false">
      <c r="B364" s="2" t="n">
        <v>362</v>
      </c>
      <c r="C364" s="2" t="n">
        <v>0.0900011999999916</v>
      </c>
      <c r="D364" s="2" t="n">
        <v>0.0550845499999895</v>
      </c>
      <c r="E364" s="2" t="n">
        <v>0.0536673166666547</v>
      </c>
    </row>
    <row r="365" customFormat="false" ht="13.8" hidden="false" customHeight="false" outlineLevel="0" collapsed="false">
      <c r="B365" s="2" t="n">
        <v>363</v>
      </c>
      <c r="C365" s="2" t="n">
        <v>0.0630181499999914</v>
      </c>
      <c r="D365" s="2" t="n">
        <v>0.101985399999992</v>
      </c>
      <c r="E365" s="2" t="n">
        <v>0.0392008666666577</v>
      </c>
    </row>
    <row r="366" customFormat="false" ht="13.8" hidden="false" customHeight="false" outlineLevel="0" collapsed="false">
      <c r="B366" s="2" t="n">
        <v>364</v>
      </c>
      <c r="C366" s="2" t="n">
        <v>0.117152066666657</v>
      </c>
      <c r="D366" s="2" t="n">
        <v>0.0605531499999912</v>
      </c>
      <c r="E366" s="2" t="n">
        <v>0.0818682833333239</v>
      </c>
    </row>
    <row r="367" customFormat="false" ht="13.8" hidden="false" customHeight="false" outlineLevel="0" collapsed="false">
      <c r="B367" s="2" t="n">
        <v>365</v>
      </c>
      <c r="C367" s="2" t="n">
        <v>0.0912363499999904</v>
      </c>
      <c r="D367" s="2" t="n">
        <v>0.102053849999991</v>
      </c>
      <c r="E367" s="2" t="n">
        <v>0.0547185833333236</v>
      </c>
    </row>
    <row r="368" customFormat="false" ht="13.8" hidden="false" customHeight="false" outlineLevel="0" collapsed="false">
      <c r="B368" s="2" t="n">
        <v>366</v>
      </c>
      <c r="C368" s="2" t="n">
        <v>0.12375414999999</v>
      </c>
      <c r="D368" s="2" t="n">
        <v>0.0374549166666571</v>
      </c>
      <c r="E368" s="2" t="n">
        <v>0.0804861499999898</v>
      </c>
    </row>
    <row r="369" customFormat="false" ht="13.8" hidden="false" customHeight="false" outlineLevel="0" collapsed="false">
      <c r="B369" s="2" t="n">
        <v>367</v>
      </c>
      <c r="C369" s="2" t="n">
        <v>0.0910207166666565</v>
      </c>
      <c r="D369" s="2" t="n">
        <v>0.0468045833333234</v>
      </c>
      <c r="E369" s="2" t="n">
        <v>0.0154201999999896</v>
      </c>
    </row>
    <row r="370" customFormat="false" ht="13.8" hidden="false" customHeight="false" outlineLevel="0" collapsed="false">
      <c r="B370" s="2" t="n">
        <v>368</v>
      </c>
      <c r="C370" s="2" t="n">
        <v>0.132520883333323</v>
      </c>
      <c r="D370" s="2" t="n">
        <v>0.0495872666666564</v>
      </c>
      <c r="E370" s="2" t="n">
        <v>0.0859705333333226</v>
      </c>
    </row>
    <row r="371" customFormat="false" ht="13.8" hidden="false" customHeight="false" outlineLevel="0" collapsed="false">
      <c r="B371" s="2" t="n">
        <v>369</v>
      </c>
      <c r="C371" s="2" t="n">
        <v>0.107003866666656</v>
      </c>
      <c r="D371" s="2" t="n">
        <v>0.0757035499999893</v>
      </c>
      <c r="E371" s="2" t="n">
        <v>0.0488203833333196</v>
      </c>
    </row>
    <row r="372" customFormat="false" ht="13.8" hidden="false" customHeight="false" outlineLevel="0" collapsed="false">
      <c r="B372" s="2" t="n">
        <v>370</v>
      </c>
      <c r="C372" s="2" t="n">
        <v>0.150203283333322</v>
      </c>
      <c r="D372" s="2" t="n">
        <v>0.0832358333333222</v>
      </c>
      <c r="E372" s="2" t="n">
        <v>0.0631712333333219</v>
      </c>
    </row>
    <row r="373" customFormat="false" ht="13.8" hidden="false" customHeight="false" outlineLevel="0" collapsed="false">
      <c r="B373" s="2" t="n">
        <v>371</v>
      </c>
      <c r="C373" s="2" t="n">
        <v>0.110736633333321</v>
      </c>
      <c r="D373" s="2" t="n">
        <v>0.0814535833333219</v>
      </c>
      <c r="E373" s="2" t="n">
        <v>0.0694038833333216</v>
      </c>
    </row>
    <row r="374" customFormat="false" ht="13.8" hidden="false" customHeight="false" outlineLevel="0" collapsed="false">
      <c r="B374" s="2" t="n">
        <v>372</v>
      </c>
      <c r="C374" s="2" t="n">
        <v>0.145737283333321</v>
      </c>
      <c r="D374" s="2" t="n">
        <v>0.0675545999999882</v>
      </c>
      <c r="E374" s="2" t="n">
        <v>0.0995538833333213</v>
      </c>
    </row>
    <row r="375" customFormat="false" ht="13.8" hidden="false" customHeight="false" outlineLevel="0" collapsed="false">
      <c r="B375" s="2" t="n">
        <v>373</v>
      </c>
      <c r="C375" s="2" t="n">
        <v>0.0894544166666542</v>
      </c>
      <c r="D375" s="2" t="n">
        <v>0.0763707999999878</v>
      </c>
      <c r="E375" s="2" t="n">
        <v>0.0958368833333209</v>
      </c>
    </row>
    <row r="376" customFormat="false" ht="13.8" hidden="false" customHeight="false" outlineLevel="0" collapsed="false">
      <c r="B376" s="2" t="n">
        <v>374</v>
      </c>
      <c r="C376" s="2" t="n">
        <v>0.0792382666666538</v>
      </c>
      <c r="D376" s="2" t="n">
        <v>0.0992538333333207</v>
      </c>
      <c r="E376" s="2" t="n">
        <v>0.0991534833333206</v>
      </c>
    </row>
    <row r="377" customFormat="false" ht="13.8" hidden="false" customHeight="false" outlineLevel="0" collapsed="false">
      <c r="B377" s="2" t="n">
        <v>375</v>
      </c>
      <c r="C377" s="2" t="n">
        <v>0.0832541833333201</v>
      </c>
      <c r="D377" s="2" t="n">
        <v>0.0984867833333204</v>
      </c>
      <c r="E377" s="2" t="n">
        <v>0.100753149999987</v>
      </c>
    </row>
    <row r="378" customFormat="false" ht="13.8" hidden="false" customHeight="false" outlineLevel="0" collapsed="false">
      <c r="B378" s="2" t="n">
        <v>376</v>
      </c>
      <c r="C378" s="2" t="n">
        <v>0.0675707833333197</v>
      </c>
      <c r="D378" s="2" t="n">
        <v>0.0747543999999867</v>
      </c>
      <c r="E378" s="2" t="n">
        <v>0.108103366666653</v>
      </c>
    </row>
    <row r="379" customFormat="false" ht="13.8" hidden="false" customHeight="false" outlineLevel="0" collapsed="false">
      <c r="B379" s="2" t="n">
        <v>377</v>
      </c>
      <c r="C379" s="2" t="n">
        <v>0.0465711666666526</v>
      </c>
      <c r="D379" s="2" t="n">
        <v>0.0668214166666529</v>
      </c>
      <c r="E379" s="2" t="n">
        <v>0.110469983333318</v>
      </c>
    </row>
    <row r="380" customFormat="false" ht="13.8" hidden="false" customHeight="false" outlineLevel="0" collapsed="false">
      <c r="B380" s="2" t="n">
        <v>378</v>
      </c>
      <c r="C380" s="2" t="n">
        <v>0.0438540833333189</v>
      </c>
      <c r="D380" s="2" t="n">
        <v>0.0524376499999859</v>
      </c>
      <c r="E380" s="2" t="n">
        <v>0.109887016666653</v>
      </c>
    </row>
    <row r="381" customFormat="false" ht="13.8" hidden="false" customHeight="false" outlineLevel="0" collapsed="false">
      <c r="B381" s="2" t="n">
        <v>379</v>
      </c>
      <c r="C381" s="2" t="n">
        <v>0.079587033333317</v>
      </c>
      <c r="D381" s="2" t="n">
        <v>0.0852541333333188</v>
      </c>
      <c r="E381" s="2" t="n">
        <v>0.0977700666666523</v>
      </c>
    </row>
    <row r="382" customFormat="false" ht="13.8" hidden="false" customHeight="false" outlineLevel="0" collapsed="false">
      <c r="B382" s="2" t="n">
        <v>380</v>
      </c>
      <c r="C382" s="2" t="n">
        <v>0.0716862999999848</v>
      </c>
      <c r="D382" s="2" t="n">
        <v>0.0469373666666517</v>
      </c>
      <c r="E382" s="2" t="n">
        <v>0.079770366666652</v>
      </c>
    </row>
    <row r="383" customFormat="false" ht="13.8" hidden="false" customHeight="false" outlineLevel="0" collapsed="false">
      <c r="B383" s="2" t="n">
        <v>381</v>
      </c>
      <c r="C383" s="2" t="n">
        <v>0.0777532166666511</v>
      </c>
      <c r="D383" s="2" t="n">
        <v>0.0541367166666514</v>
      </c>
      <c r="E383" s="2" t="n">
        <v>0.053220049999985</v>
      </c>
    </row>
    <row r="384" customFormat="false" ht="13.8" hidden="false" customHeight="false" outlineLevel="0" collapsed="false">
      <c r="B384" s="2" t="n">
        <v>382</v>
      </c>
      <c r="C384" s="2" t="n">
        <v>0.0595872499999841</v>
      </c>
      <c r="D384" s="2" t="n">
        <v>0.0481032999999843</v>
      </c>
      <c r="E384" s="2" t="n">
        <v>0.100836316666651</v>
      </c>
    </row>
    <row r="385" customFormat="false" ht="13.8" hidden="false" customHeight="false" outlineLevel="0" collapsed="false">
      <c r="B385" s="2" t="n">
        <v>383</v>
      </c>
      <c r="C385" s="2" t="n">
        <v>0.0286692666666491</v>
      </c>
      <c r="D385" s="2" t="n">
        <v>0.0489860499999839</v>
      </c>
      <c r="E385" s="2" t="n">
        <v>0.0397523499999843</v>
      </c>
    </row>
    <row r="386" customFormat="false" ht="13.8" hidden="false" customHeight="false" outlineLevel="0" collapsed="false">
      <c r="B386" s="2" t="n">
        <v>384</v>
      </c>
      <c r="C386" s="2" t="n">
        <v>0.07638621666665</v>
      </c>
      <c r="D386" s="2" t="n">
        <v>0.0224860833333156</v>
      </c>
      <c r="E386" s="2" t="n">
        <v>0.0299195666666506</v>
      </c>
    </row>
    <row r="387" customFormat="false" ht="13.8" hidden="false" customHeight="false" outlineLevel="0" collapsed="false">
      <c r="B387" s="2" t="n">
        <v>385</v>
      </c>
      <c r="C387" s="2" t="n">
        <v>0.0751863666666496</v>
      </c>
      <c r="D387" s="2" t="n">
        <v>0.0198861999999832</v>
      </c>
      <c r="E387" s="2" t="n">
        <v>0.0593354499999837</v>
      </c>
    </row>
    <row r="388" customFormat="false" ht="13.8" hidden="false" customHeight="false" outlineLevel="0" collapsed="false">
      <c r="B388" s="2" t="n">
        <v>386</v>
      </c>
      <c r="C388" s="2" t="n">
        <v>0.0134359166666493</v>
      </c>
      <c r="D388" s="2" t="n">
        <v>0.0538683166666495</v>
      </c>
      <c r="E388" s="2" t="n">
        <v>0.02023596666665</v>
      </c>
    </row>
    <row r="389" customFormat="false" ht="13.8" hidden="false" customHeight="false" outlineLevel="0" collapsed="false">
      <c r="B389" s="2" t="n">
        <v>387</v>
      </c>
      <c r="C389" s="2" t="n">
        <v>0.0905680499999822</v>
      </c>
      <c r="D389" s="2" t="n">
        <v>0.0584512666666491</v>
      </c>
      <c r="E389" s="2" t="n">
        <v>0.0771353833333164</v>
      </c>
    </row>
    <row r="390" customFormat="false" ht="13.8" hidden="false" customHeight="false" outlineLevel="0" collapsed="false">
      <c r="B390" s="2" t="n">
        <v>388</v>
      </c>
      <c r="C390" s="2" t="n">
        <v>0.0241509499999807</v>
      </c>
      <c r="D390" s="2" t="n">
        <v>0.0360842333333143</v>
      </c>
      <c r="E390" s="2" t="n">
        <v>0.00746786666664926</v>
      </c>
    </row>
    <row r="391" customFormat="false" ht="13.8" hidden="false" customHeight="false" outlineLevel="0" collapsed="false">
      <c r="B391" s="2" t="n">
        <v>389</v>
      </c>
      <c r="C391" s="2" t="n">
        <v>0.0707169833333148</v>
      </c>
      <c r="D391" s="2" t="n">
        <v>0.0527839499999817</v>
      </c>
      <c r="E391" s="2" t="n">
        <v>0.076233866666649</v>
      </c>
    </row>
    <row r="392" customFormat="false" ht="13.8" hidden="false" customHeight="false" outlineLevel="0" collapsed="false">
      <c r="B392" s="2" t="n">
        <v>390</v>
      </c>
      <c r="C392" s="2" t="n">
        <v>0.0230001333333144</v>
      </c>
      <c r="D392" s="2" t="n">
        <v>0.030883666666648</v>
      </c>
      <c r="E392" s="2" t="n">
        <v>0.023800099999982</v>
      </c>
    </row>
    <row r="393" customFormat="false" ht="13.8" hidden="false" customHeight="false" outlineLevel="0" collapsed="false">
      <c r="B393" s="2" t="n">
        <v>391</v>
      </c>
      <c r="C393" s="2" t="n">
        <v>0.0435001999999807</v>
      </c>
      <c r="D393" s="2" t="n">
        <v>0.0443836999999809</v>
      </c>
      <c r="E393" s="2" t="n">
        <v>0.0261836666666475</v>
      </c>
    </row>
    <row r="394" customFormat="false" ht="13.8" hidden="false" customHeight="false" outlineLevel="0" collapsed="false">
      <c r="B394" s="2" t="n">
        <v>392</v>
      </c>
      <c r="C394" s="2" t="n">
        <v>0.0545169666666462</v>
      </c>
      <c r="D394" s="2" t="n">
        <v>0.0461835666666465</v>
      </c>
      <c r="E394" s="2" t="n">
        <v>0.0434838499999814</v>
      </c>
    </row>
    <row r="395" customFormat="false" ht="13.8" hidden="false" customHeight="false" outlineLevel="0" collapsed="false">
      <c r="B395" s="2" t="n">
        <v>393</v>
      </c>
      <c r="C395" s="2" t="n">
        <v>0.0338334499999799</v>
      </c>
      <c r="D395" s="2" t="n">
        <v>0.0152669333333135</v>
      </c>
      <c r="E395" s="2" t="n">
        <v>0.0402170499999811</v>
      </c>
    </row>
    <row r="396" customFormat="false" ht="13.8" hidden="false" customHeight="false" outlineLevel="0" collapsed="false">
      <c r="B396" s="2" t="n">
        <v>394</v>
      </c>
      <c r="C396" s="2" t="n">
        <v>0.0519002499999795</v>
      </c>
      <c r="D396" s="2" t="n">
        <v>0.0670834666666464</v>
      </c>
      <c r="E396" s="2" t="n">
        <v>0.028483483333314</v>
      </c>
    </row>
    <row r="397" customFormat="false" ht="13.8" hidden="false" customHeight="false" outlineLevel="0" collapsed="false">
      <c r="B397" s="2" t="n">
        <v>395</v>
      </c>
      <c r="C397" s="2" t="n">
        <v>0.0334335166666459</v>
      </c>
      <c r="D397" s="2" t="n">
        <v>0.0622335333333127</v>
      </c>
      <c r="E397" s="2" t="n">
        <v>0.0381168499999799</v>
      </c>
    </row>
    <row r="398" customFormat="false" ht="13.8" hidden="false" customHeight="false" outlineLevel="0" collapsed="false">
      <c r="B398" s="2" t="n">
        <v>396</v>
      </c>
      <c r="C398" s="2" t="n">
        <v>0.0226008999999788</v>
      </c>
      <c r="D398" s="2" t="n">
        <v>0.015783399999979</v>
      </c>
      <c r="E398" s="2" t="n">
        <v>0.0519500666666467</v>
      </c>
    </row>
    <row r="399" customFormat="false" ht="13.8" hidden="false" customHeight="false" outlineLevel="0" collapsed="false">
      <c r="B399" s="2" t="n">
        <v>397</v>
      </c>
      <c r="C399" s="2" t="n">
        <v>0.0683670499999784</v>
      </c>
      <c r="D399" s="2" t="n">
        <v>0.0766502333333119</v>
      </c>
      <c r="E399" s="2" t="n">
        <v>0.037250183333313</v>
      </c>
    </row>
    <row r="400" customFormat="false" ht="13.8" hidden="false" customHeight="false" outlineLevel="0" collapsed="false">
      <c r="B400" s="2" t="n">
        <v>398</v>
      </c>
      <c r="C400" s="2" t="n">
        <v>0.017066799999978</v>
      </c>
      <c r="D400" s="2" t="n">
        <v>0.0126000499999782</v>
      </c>
      <c r="E400" s="2" t="n">
        <v>0.0399166833333127</v>
      </c>
    </row>
    <row r="401" customFormat="false" ht="13.8" hidden="false" customHeight="false" outlineLevel="0" collapsed="false">
      <c r="B401" s="2" t="n">
        <v>399</v>
      </c>
      <c r="C401" s="2" t="n">
        <v>0.066116933333311</v>
      </c>
      <c r="D401" s="2" t="n">
        <v>0.0756168833333112</v>
      </c>
      <c r="E401" s="2" t="n">
        <v>0.0376502166666457</v>
      </c>
    </row>
    <row r="402" customFormat="false" ht="13.8" hidden="false" customHeight="false" outlineLevel="0" collapsed="false">
      <c r="B402" s="2" t="n">
        <v>400</v>
      </c>
      <c r="C402" s="2" t="n">
        <v>0.00516724999997729</v>
      </c>
      <c r="D402" s="2" t="n">
        <v>0.0410670166666441</v>
      </c>
      <c r="E402" s="2" t="n">
        <v>0.0505835333333121</v>
      </c>
    </row>
    <row r="403" customFormat="false" ht="13.8" hidden="false" customHeight="false" outlineLevel="0" collapsed="false">
      <c r="B403" s="2" t="n">
        <v>401</v>
      </c>
      <c r="C403" s="2" t="n">
        <v>0.0619669333333102</v>
      </c>
      <c r="D403" s="2" t="n">
        <v>0.0173168166666438</v>
      </c>
      <c r="E403" s="2" t="n">
        <v>0.0151002166666451</v>
      </c>
    </row>
    <row r="404" customFormat="false" ht="13.8" hidden="false" customHeight="false" outlineLevel="0" collapsed="false">
      <c r="B404" s="2" t="n">
        <v>402</v>
      </c>
      <c r="C404" s="2" t="n">
        <v>0.0219834166666432</v>
      </c>
      <c r="D404" s="2" t="n">
        <v>0.0628000499999767</v>
      </c>
      <c r="E404" s="2" t="n">
        <v>0.0484167499999781</v>
      </c>
    </row>
    <row r="405" customFormat="false" ht="13.8" hidden="false" customHeight="false" outlineLevel="0" collapsed="false">
      <c r="B405" s="2" t="n">
        <v>403</v>
      </c>
      <c r="C405" s="2" t="n">
        <v>0.0591003999999762</v>
      </c>
      <c r="D405" s="2" t="n">
        <v>0.0522834999999763</v>
      </c>
      <c r="E405" s="2" t="n">
        <v>0.0679835333333111</v>
      </c>
    </row>
    <row r="406" customFormat="false" ht="13.8" hidden="false" customHeight="false" outlineLevel="0" collapsed="false">
      <c r="B406" s="2" t="n">
        <v>404</v>
      </c>
      <c r="C406" s="2" t="n">
        <v>0.0211169333333091</v>
      </c>
      <c r="D406" s="2" t="n">
        <v>0.0088168166666426</v>
      </c>
      <c r="E406" s="2" t="n">
        <v>0.0368334999999774</v>
      </c>
    </row>
    <row r="407" customFormat="false" ht="13.8" hidden="false" customHeight="false" outlineLevel="0" collapsed="false">
      <c r="B407" s="2" t="n">
        <v>405</v>
      </c>
      <c r="C407" s="2" t="n">
        <v>0.0484168166666421</v>
      </c>
      <c r="D407" s="2" t="n">
        <v>0.0134334999999755</v>
      </c>
      <c r="E407" s="2" t="n">
        <v>0.0505336666666438</v>
      </c>
    </row>
    <row r="408" customFormat="false" ht="13.8" hidden="false" customHeight="false" outlineLevel="0" collapsed="false">
      <c r="B408" s="2" t="n">
        <v>406</v>
      </c>
      <c r="C408" s="2" t="n">
        <v>0.0417426824552469</v>
      </c>
      <c r="D408" s="2" t="n">
        <v>0.0650270594222396</v>
      </c>
      <c r="E408" s="2" t="n">
        <v>0.0115214778676806</v>
      </c>
    </row>
    <row r="409" customFormat="false" ht="13.8" hidden="false" customHeight="false" outlineLevel="0" collapsed="false">
      <c r="B409" s="2" t="n">
        <v>407</v>
      </c>
      <c r="C409" s="2" t="n">
        <v>0.061817731577222</v>
      </c>
      <c r="D409" s="2" t="n">
        <v>0.0298373355112077</v>
      </c>
      <c r="E409" s="2" t="n">
        <v>0.0904429390687519</v>
      </c>
    </row>
    <row r="410" customFormat="false" ht="13.8" hidden="false" customHeight="false" outlineLevel="0" collapsed="false">
      <c r="B410" s="2" t="n">
        <v>408</v>
      </c>
      <c r="C410" s="2" t="n">
        <v>0.0381599473658638</v>
      </c>
      <c r="D410" s="2" t="n">
        <v>0.0435640782668422</v>
      </c>
      <c r="E410" s="2" t="n">
        <v>6.03031367063523E-015</v>
      </c>
    </row>
    <row r="411" customFormat="false" ht="13.8" hidden="false" customHeight="false" outlineLevel="0" collapsed="false">
      <c r="B411" s="2" t="n">
        <v>409</v>
      </c>
      <c r="C411" s="2" t="n">
        <v>0.0418191131545056</v>
      </c>
      <c r="D411" s="2" t="n">
        <v>0.03802425435581</v>
      </c>
      <c r="E411" s="2" t="n">
        <v>0.0781857781375611</v>
      </c>
    </row>
    <row r="412" customFormat="false" ht="13.8" hidden="false" customHeight="false" outlineLevel="0" collapsed="false">
      <c r="B412" s="2" t="n">
        <v>410</v>
      </c>
      <c r="C412" s="2" t="n">
        <v>0.0109818903060187</v>
      </c>
      <c r="D412" s="2" t="n">
        <v>0.0106067910892345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0.0171772007908652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0</v>
      </c>
      <c r="D431" s="2" t="n">
        <v>0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0</v>
      </c>
      <c r="D432" s="2" t="n">
        <v>0</v>
      </c>
      <c r="E432" s="2" t="n">
        <v>2.06960572136773E-017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6.23468751471097E-017</v>
      </c>
    </row>
    <row r="434" customFormat="false" ht="13.8" hidden="false" customHeight="false" outlineLevel="0" collapsed="false">
      <c r="B434" s="2" t="n">
        <v>432</v>
      </c>
      <c r="C434" s="2" t="n">
        <v>0</v>
      </c>
      <c r="D434" s="2" t="n">
        <v>0</v>
      </c>
      <c r="E434" s="2" t="n">
        <v>3.06301726461907E-016</v>
      </c>
    </row>
    <row r="435" customFormat="false" ht="13.8" hidden="false" customHeight="false" outlineLevel="0" collapsed="false">
      <c r="B435" s="2" t="n">
        <v>433</v>
      </c>
      <c r="C435" s="2" t="n">
        <v>0</v>
      </c>
      <c r="D435" s="2" t="n">
        <v>0</v>
      </c>
      <c r="E435" s="2" t="n">
        <v>6.57099938765356E-017</v>
      </c>
    </row>
    <row r="436" customFormat="false" ht="13.8" hidden="false" customHeight="false" outlineLevel="0" collapsed="false">
      <c r="B436" s="2" t="n">
        <v>434</v>
      </c>
      <c r="C436" s="2" t="n">
        <v>0</v>
      </c>
      <c r="D436" s="2" t="n">
        <v>0</v>
      </c>
      <c r="E436" s="2" t="n">
        <v>6.15707868805335E-017</v>
      </c>
    </row>
    <row r="437" customFormat="false" ht="13.8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1.00246529081343E-015</v>
      </c>
    </row>
    <row r="438" customFormat="false" ht="13.8" hidden="false" customHeight="false" outlineLevel="0" collapsed="false">
      <c r="B438" s="2" t="n">
        <v>436</v>
      </c>
      <c r="C438" s="2" t="n">
        <v>0</v>
      </c>
      <c r="D438" s="2" t="n">
        <v>0</v>
      </c>
      <c r="E438" s="2" t="n">
        <v>3.81583776436643E-017</v>
      </c>
    </row>
    <row r="439" customFormat="false" ht="13.8" hidden="false" customHeight="false" outlineLevel="0" collapsed="false">
      <c r="B439" s="2" t="n">
        <v>437</v>
      </c>
      <c r="C439" s="2" t="n">
        <v>0</v>
      </c>
      <c r="D439" s="2" t="n">
        <v>0</v>
      </c>
      <c r="E439" s="2" t="n">
        <v>8.12320524629438E-017</v>
      </c>
    </row>
    <row r="440" customFormat="false" ht="13.8" hidden="false" customHeight="false" outlineLevel="0" collapsed="false">
      <c r="B440" s="2" t="n">
        <v>438</v>
      </c>
      <c r="C440" s="2" t="n">
        <v>0</v>
      </c>
      <c r="D440" s="2" t="n">
        <v>0</v>
      </c>
      <c r="E440" s="2" t="n">
        <v>1.18484959849757E-016</v>
      </c>
    </row>
    <row r="441" customFormat="false" ht="13.8" hidden="false" customHeight="false" outlineLevel="0" collapsed="false">
      <c r="B441" s="2" t="n">
        <v>439</v>
      </c>
      <c r="C441" s="2" t="n">
        <v>0</v>
      </c>
      <c r="D441" s="2" t="n">
        <v>0</v>
      </c>
      <c r="E441" s="2" t="n">
        <v>6.50114933421673E-016</v>
      </c>
    </row>
    <row r="442" customFormat="false" ht="13.8" hidden="false" customHeight="false" outlineLevel="0" collapsed="false">
      <c r="B442" s="2" t="n">
        <v>440</v>
      </c>
      <c r="C442" s="2" t="n">
        <v>0</v>
      </c>
      <c r="D442" s="2" t="n">
        <v>0</v>
      </c>
      <c r="E442" s="2" t="n">
        <v>9.6236704054014E-017</v>
      </c>
    </row>
    <row r="443" customFormat="false" ht="13.8" hidden="false" customHeight="false" outlineLevel="0" collapsed="false">
      <c r="B443" s="2" t="n">
        <v>441</v>
      </c>
      <c r="C443" s="2" t="n">
        <v>0</v>
      </c>
      <c r="D443" s="2" t="n">
        <v>0</v>
      </c>
      <c r="E443" s="2" t="n">
        <v>1.72967336654543E-015</v>
      </c>
    </row>
    <row r="444" customFormat="false" ht="13.8" hidden="false" customHeight="false" outlineLevel="0" collapsed="false">
      <c r="B444" s="2" t="n">
        <v>442</v>
      </c>
      <c r="C444" s="2" t="n">
        <v>0</v>
      </c>
      <c r="D444" s="2" t="n">
        <v>0</v>
      </c>
      <c r="E444" s="2" t="n">
        <v>0</v>
      </c>
    </row>
    <row r="445" customFormat="false" ht="13.8" hidden="false" customHeight="false" outlineLevel="0" collapsed="false">
      <c r="B445" s="2" t="n">
        <v>443</v>
      </c>
      <c r="C445" s="2" t="n">
        <v>0</v>
      </c>
      <c r="D445" s="2" t="n">
        <v>0</v>
      </c>
      <c r="E445" s="2" t="n">
        <v>1.2055458346503E-016</v>
      </c>
    </row>
    <row r="446" customFormat="false" ht="13.8" hidden="false" customHeight="false" outlineLevel="0" collapsed="false">
      <c r="B446" s="2" t="n">
        <v>444</v>
      </c>
      <c r="C446" s="2" t="n">
        <v>0</v>
      </c>
      <c r="D446" s="2" t="n">
        <v>0</v>
      </c>
      <c r="E446" s="2" t="n">
        <v>1.57807490844597E-016</v>
      </c>
    </row>
    <row r="447" customFormat="false" ht="13.8" hidden="false" customHeight="false" outlineLevel="0" collapsed="false">
      <c r="B447" s="2" t="n">
        <v>445</v>
      </c>
      <c r="C447" s="2" t="n">
        <v>0</v>
      </c>
      <c r="D447" s="2" t="n">
        <v>0</v>
      </c>
      <c r="E447" s="2" t="n">
        <v>2.59994800815142E-017</v>
      </c>
    </row>
    <row r="448" customFormat="false" ht="13.8" hidden="false" customHeight="false" outlineLevel="0" collapsed="false">
      <c r="B448" s="2" t="n">
        <v>446</v>
      </c>
      <c r="C448" s="2" t="n">
        <v>0</v>
      </c>
      <c r="D448" s="2" t="n">
        <v>0</v>
      </c>
      <c r="E448" s="2" t="n">
        <v>6.09240805056997E-017</v>
      </c>
    </row>
    <row r="449" customFormat="false" ht="13.8" hidden="false" customHeight="false" outlineLevel="0" collapsed="false">
      <c r="B449" s="2" t="n">
        <v>447</v>
      </c>
      <c r="C449" s="2" t="n">
        <v>0</v>
      </c>
      <c r="D449" s="2" t="n">
        <v>0</v>
      </c>
      <c r="E449" s="2" t="n">
        <v>2.62581292165433E-016</v>
      </c>
    </row>
    <row r="450" customFormat="false" ht="13.8" hidden="false" customHeight="false" outlineLevel="0" collapsed="false">
      <c r="B450" s="2" t="n">
        <v>448</v>
      </c>
      <c r="C450" s="2" t="n">
        <v>0</v>
      </c>
      <c r="D450" s="2" t="n">
        <v>0</v>
      </c>
      <c r="E450" s="2" t="n">
        <v>0</v>
      </c>
    </row>
    <row r="451" customFormat="false" ht="13.8" hidden="false" customHeight="false" outlineLevel="0" collapsed="false">
      <c r="B451" s="2" t="n">
        <v>449</v>
      </c>
      <c r="C451" s="2" t="n">
        <v>0</v>
      </c>
      <c r="D451" s="2" t="n">
        <v>0</v>
      </c>
      <c r="E451" s="2" t="n">
        <v>3.3708710689557E-016</v>
      </c>
    </row>
    <row r="452" customFormat="false" ht="13.8" hidden="false" customHeight="false" outlineLevel="0" collapsed="false">
      <c r="B452" s="2" t="n">
        <v>450</v>
      </c>
      <c r="C452" s="2" t="n">
        <v>0</v>
      </c>
      <c r="D452" s="2" t="n">
        <v>0.00116715669605304</v>
      </c>
      <c r="E452" s="2" t="n">
        <v>1.36425830007222E-015</v>
      </c>
    </row>
    <row r="453" customFormat="false" ht="13.8" hidden="false" customHeight="false" outlineLevel="0" collapsed="false">
      <c r="B453" s="2" t="n">
        <v>451</v>
      </c>
      <c r="C453" s="2" t="n">
        <v>0.0169014571363031</v>
      </c>
      <c r="D453" s="2" t="n">
        <v>0</v>
      </c>
      <c r="E453" s="2" t="n">
        <v>1.83884479831896E-015</v>
      </c>
    </row>
    <row r="454" customFormat="false" ht="13.8" hidden="false" customHeight="false" outlineLevel="0" collapsed="false">
      <c r="B454" s="2" t="n">
        <v>452</v>
      </c>
      <c r="C454" s="2" t="n">
        <v>0</v>
      </c>
      <c r="D454" s="2" t="n">
        <v>0.0303777888276228</v>
      </c>
      <c r="E454" s="2" t="n">
        <v>1.68258956793533E-015</v>
      </c>
    </row>
    <row r="455" customFormat="false" ht="13.8" hidden="false" customHeight="false" outlineLevel="0" collapsed="false">
      <c r="B455" s="2" t="n">
        <v>453</v>
      </c>
      <c r="C455" s="2" t="n">
        <v>0.0340876040091556</v>
      </c>
      <c r="D455" s="2" t="n">
        <v>0.00998322989417452</v>
      </c>
      <c r="E455" s="2" t="n">
        <v>0.0330586307719388</v>
      </c>
    </row>
    <row r="456" customFormat="false" ht="13.8" hidden="false" customHeight="false" outlineLevel="0" collapsed="false">
      <c r="B456" s="2" t="n">
        <v>454</v>
      </c>
      <c r="C456" s="2" t="n">
        <v>0.0048469327549006</v>
      </c>
      <c r="D456" s="2" t="n">
        <v>0.0115523862673598</v>
      </c>
      <c r="E456" s="2" t="n">
        <v>0.0183402700486931</v>
      </c>
    </row>
    <row r="457" customFormat="false" ht="13.8" hidden="false" customHeight="false" outlineLevel="0" collapsed="false">
      <c r="B457" s="2" t="n">
        <v>455</v>
      </c>
      <c r="C457" s="2" t="n">
        <v>0.0602730781673123</v>
      </c>
      <c r="D457" s="2" t="n">
        <v>0.0147880593072118</v>
      </c>
      <c r="E457" s="2" t="n">
        <v>0.0636390259921147</v>
      </c>
    </row>
    <row r="458" customFormat="false" ht="13.8" hidden="false" customHeight="false" outlineLevel="0" collapsed="false">
      <c r="B458" s="2" t="n">
        <v>456</v>
      </c>
      <c r="C458" s="2" t="n">
        <v>0.0340662235797237</v>
      </c>
      <c r="D458" s="2" t="n">
        <v>0.0393233990137311</v>
      </c>
      <c r="E458" s="2" t="n">
        <v>0.0521039319355357</v>
      </c>
    </row>
    <row r="459" customFormat="false" ht="13.8" hidden="false" customHeight="false" outlineLevel="0" collapsed="false">
      <c r="B459" s="2" t="n">
        <v>457</v>
      </c>
      <c r="C459" s="2" t="n">
        <v>0.0582930689921351</v>
      </c>
      <c r="D459" s="2" t="n">
        <v>0.0666932053869165</v>
      </c>
      <c r="E459" s="2" t="n">
        <v>0.104119304545624</v>
      </c>
    </row>
    <row r="460" customFormat="false" ht="13.8" hidden="false" customHeight="false" outlineLevel="0" collapsed="false">
      <c r="B460" s="2" t="n">
        <v>458</v>
      </c>
      <c r="C460" s="2" t="n">
        <v>0.0491416642431608</v>
      </c>
      <c r="D460" s="2" t="n">
        <v>0.0555292582064769</v>
      </c>
      <c r="E460" s="2" t="n">
        <v>0.0488408034130752</v>
      </c>
    </row>
    <row r="461" customFormat="false" ht="13.8" hidden="false" customHeight="false" outlineLevel="0" collapsed="false">
      <c r="B461" s="2" t="n">
        <v>459</v>
      </c>
      <c r="C461" s="2" t="n">
        <v>0.0787894594941862</v>
      </c>
      <c r="D461" s="2" t="n">
        <v>0.0575485110260373</v>
      </c>
      <c r="E461" s="2" t="n">
        <v>0.0693108022805263</v>
      </c>
    </row>
    <row r="462" customFormat="false" ht="13.8" hidden="false" customHeight="false" outlineLevel="0" collapsed="false">
      <c r="B462" s="2" t="n">
        <v>460</v>
      </c>
      <c r="C462" s="2" t="n">
        <v>0.0708880380785456</v>
      </c>
      <c r="D462" s="2" t="n">
        <v>0.0574839138455981</v>
      </c>
      <c r="E462" s="2" t="n">
        <v>0.126131534481311</v>
      </c>
    </row>
    <row r="463" customFormat="false" ht="13.8" hidden="false" customHeight="false" outlineLevel="0" collapsed="false">
      <c r="B463" s="2" t="n">
        <v>461</v>
      </c>
      <c r="C463" s="2" t="n">
        <v>0.0860525333318316</v>
      </c>
      <c r="D463" s="2" t="n">
        <v>0.121337133332731</v>
      </c>
      <c r="E463" s="2" t="n">
        <v>0.0998359166728257</v>
      </c>
    </row>
    <row r="464" customFormat="false" ht="13.8" hidden="false" customHeight="false" outlineLevel="0" collapsed="false">
      <c r="B464" s="2" t="n">
        <v>462</v>
      </c>
      <c r="C464" s="2" t="n">
        <v>0.0711198833318315</v>
      </c>
      <c r="D464" s="2" t="n">
        <v>0.0423044166660647</v>
      </c>
      <c r="E464" s="2" t="n">
        <v>0.126802900006159</v>
      </c>
    </row>
    <row r="465" customFormat="false" ht="13.8" hidden="false" customHeight="false" outlineLevel="0" collapsed="false">
      <c r="B465" s="2" t="n">
        <v>463</v>
      </c>
      <c r="C465" s="2" t="n">
        <v>0.104519649998498</v>
      </c>
      <c r="D465" s="2" t="n">
        <v>0.118020966666065</v>
      </c>
      <c r="E465" s="2" t="n">
        <v>0.103053166672825</v>
      </c>
    </row>
    <row r="466" customFormat="false" ht="13.8" hidden="false" customHeight="false" outlineLevel="0" collapsed="false">
      <c r="B466" s="2" t="n">
        <v>464</v>
      </c>
      <c r="C466" s="2" t="n">
        <v>0.102652883331832</v>
      </c>
      <c r="D466" s="2" t="n">
        <v>0.0847872999993979</v>
      </c>
      <c r="E466" s="2" t="n">
        <v>0.123154000006158</v>
      </c>
    </row>
    <row r="467" customFormat="false" ht="13.8" hidden="false" customHeight="false" outlineLevel="0" collapsed="false">
      <c r="B467" s="2" t="n">
        <v>465</v>
      </c>
      <c r="C467" s="2" t="n">
        <v>0.117420099998498</v>
      </c>
      <c r="D467" s="2" t="n">
        <v>0.131970383332731</v>
      </c>
      <c r="E467" s="2" t="n">
        <v>0.104070700006158</v>
      </c>
    </row>
    <row r="468" customFormat="false" ht="13.8" hidden="false" customHeight="false" outlineLevel="0" collapsed="false">
      <c r="B468" s="2" t="n">
        <v>466</v>
      </c>
      <c r="C468" s="2" t="n">
        <v>0.0774041833318316</v>
      </c>
      <c r="D468" s="2" t="n">
        <v>0.0919038333327315</v>
      </c>
      <c r="E468" s="2" t="n">
        <v>0.103453600006157</v>
      </c>
    </row>
    <row r="469" customFormat="false" ht="13.8" hidden="false" customHeight="false" outlineLevel="0" collapsed="false">
      <c r="B469" s="2" t="n">
        <v>467</v>
      </c>
      <c r="C469" s="2" t="n">
        <v>0.100970949998498</v>
      </c>
      <c r="D469" s="2" t="n">
        <v>0.113637483332731</v>
      </c>
      <c r="E469" s="2" t="n">
        <v>0.0972539666728236</v>
      </c>
    </row>
    <row r="470" customFormat="false" ht="13.8" hidden="false" customHeight="false" outlineLevel="0" collapsed="false">
      <c r="B470" s="2" t="n">
        <v>468</v>
      </c>
      <c r="C470" s="2" t="n">
        <v>0.0777703999984951</v>
      </c>
      <c r="D470" s="2" t="n">
        <v>0.067788149999398</v>
      </c>
      <c r="E470" s="2" t="n">
        <v>0.0998373333394899</v>
      </c>
    </row>
    <row r="471" customFormat="false" ht="13.8" hidden="false" customHeight="false" outlineLevel="0" collapsed="false">
      <c r="B471" s="2" t="n">
        <v>469</v>
      </c>
      <c r="C471" s="2" t="n">
        <v>0.0893876999984982</v>
      </c>
      <c r="D471" s="2" t="n">
        <v>0.0928214666660647</v>
      </c>
      <c r="E471" s="2" t="n">
        <v>0.0895874166728228</v>
      </c>
    </row>
    <row r="472" customFormat="false" ht="13.8" hidden="false" customHeight="false" outlineLevel="0" collapsed="false">
      <c r="B472" s="2" t="n">
        <v>470</v>
      </c>
      <c r="C472" s="2" t="n">
        <v>0.0997036999984982</v>
      </c>
      <c r="D472" s="2" t="n">
        <v>0.0651212499993981</v>
      </c>
      <c r="E472" s="2" t="n">
        <v>0.0919044166728226</v>
      </c>
    </row>
    <row r="473" customFormat="false" ht="13.8" hidden="false" customHeight="false" outlineLevel="0" collapsed="false">
      <c r="B473" s="2" t="n">
        <v>471</v>
      </c>
      <c r="C473" s="2" t="n">
        <v>0.0627541333318314</v>
      </c>
      <c r="D473" s="2" t="n">
        <v>0.106003783332731</v>
      </c>
      <c r="E473" s="2" t="n">
        <v>0.111153833339489</v>
      </c>
    </row>
    <row r="474" customFormat="false" ht="13.8" hidden="false" customHeight="false" outlineLevel="0" collapsed="false">
      <c r="B474" s="2" t="n">
        <v>472</v>
      </c>
      <c r="C474" s="2" t="n">
        <v>0.0915040499984982</v>
      </c>
      <c r="D474" s="2" t="n">
        <v>0.0729703499993951</v>
      </c>
      <c r="E474" s="2" t="n">
        <v>0.0873040333394863</v>
      </c>
    </row>
    <row r="475" customFormat="false" ht="13.8" hidden="false" customHeight="false" outlineLevel="0" collapsed="false">
      <c r="B475" s="2" t="n">
        <v>473</v>
      </c>
      <c r="C475" s="2" t="n">
        <v>0.0661038166651623</v>
      </c>
      <c r="D475" s="2" t="n">
        <v>0.0945867666660648</v>
      </c>
      <c r="E475" s="2" t="n">
        <v>0.108404300006155</v>
      </c>
    </row>
    <row r="476" customFormat="false" ht="13.8" hidden="false" customHeight="false" outlineLevel="0" collapsed="false">
      <c r="B476" s="2" t="n">
        <v>474</v>
      </c>
      <c r="C476" s="2" t="n">
        <v>0.0921705166651649</v>
      </c>
      <c r="D476" s="2" t="n">
        <v>0.0563875166660648</v>
      </c>
      <c r="E476" s="2" t="n">
        <v>0.108703650006155</v>
      </c>
    </row>
    <row r="477" customFormat="false" ht="13.8" hidden="false" customHeight="false" outlineLevel="0" collapsed="false">
      <c r="B477" s="2" t="n">
        <v>475</v>
      </c>
      <c r="C477" s="2" t="n">
        <v>0.0544203666651649</v>
      </c>
      <c r="D477" s="2" t="n">
        <v>0.0906704999993981</v>
      </c>
      <c r="E477" s="2" t="n">
        <v>0.086320400006154</v>
      </c>
    </row>
    <row r="478" customFormat="false" ht="13.8" hidden="false" customHeight="false" outlineLevel="0" collapsed="false">
      <c r="B478" s="2" t="n">
        <v>476</v>
      </c>
      <c r="C478" s="2" t="n">
        <v>0.0557041833318317</v>
      </c>
      <c r="D478" s="2" t="n">
        <v>0.0753533499993953</v>
      </c>
      <c r="E478" s="2" t="n">
        <v>0.11393656667282</v>
      </c>
    </row>
    <row r="479" customFormat="false" ht="13.8" hidden="false" customHeight="false" outlineLevel="0" collapsed="false">
      <c r="B479" s="2" t="n">
        <v>477</v>
      </c>
      <c r="C479" s="2" t="n">
        <v>0.0303361499984958</v>
      </c>
      <c r="D479" s="2" t="n">
        <v>0.0659038499993982</v>
      </c>
      <c r="E479" s="2" t="n">
        <v>0.0606202000061534</v>
      </c>
    </row>
    <row r="480" customFormat="false" ht="13.8" hidden="false" customHeight="false" outlineLevel="0" collapsed="false">
      <c r="B480" s="2" t="n">
        <v>478</v>
      </c>
      <c r="C480" s="2" t="n">
        <v>0.0532191166651648</v>
      </c>
      <c r="D480" s="2" t="n">
        <v>0.0455541166660648</v>
      </c>
      <c r="E480" s="2" t="n">
        <v>0.0986698666728196</v>
      </c>
    </row>
    <row r="481" customFormat="false" ht="13.8" hidden="false" customHeight="false" outlineLevel="0" collapsed="false">
      <c r="B481" s="2" t="n">
        <v>479</v>
      </c>
      <c r="C481" s="2" t="n">
        <v>0.0453190166651648</v>
      </c>
      <c r="D481" s="2" t="n">
        <v>0.0546199499993982</v>
      </c>
      <c r="E481" s="2" t="n">
        <v>0.0308702833394859</v>
      </c>
    </row>
    <row r="482" customFormat="false" ht="13.8" hidden="false" customHeight="false" outlineLevel="0" collapsed="false">
      <c r="B482" s="2" t="n">
        <v>480</v>
      </c>
      <c r="C482" s="2" t="n">
        <v>0.0151199999984983</v>
      </c>
      <c r="D482" s="2" t="n">
        <v>0.00968686666606228</v>
      </c>
      <c r="E482" s="2" t="n">
        <v>0.0388035000061523</v>
      </c>
    </row>
    <row r="483" customFormat="false" ht="13.8" hidden="false" customHeight="false" outlineLevel="0" collapsed="false">
      <c r="B483" s="2" t="n">
        <v>481</v>
      </c>
      <c r="C483" s="2" t="n">
        <v>0.00851944999849825</v>
      </c>
      <c r="D483" s="2" t="n">
        <v>0.00738586666606477</v>
      </c>
      <c r="E483" s="2" t="n">
        <v>0.0402689166728167</v>
      </c>
    </row>
    <row r="484" customFormat="false" ht="13.8" hidden="false" customHeight="false" outlineLevel="0" collapsed="false">
      <c r="B484" s="2" t="n">
        <v>482</v>
      </c>
      <c r="C484" s="2" t="n">
        <v>0.0382693166651649</v>
      </c>
      <c r="D484" s="2" t="n">
        <v>0.0224524499993981</v>
      </c>
      <c r="E484" s="2" t="n">
        <v>0.0266358333394849</v>
      </c>
    </row>
    <row r="485" customFormat="false" ht="13.8" hidden="false" customHeight="false" outlineLevel="0" collapsed="false">
      <c r="B485" s="2" t="n">
        <v>483</v>
      </c>
      <c r="C485" s="2" t="n">
        <v>0.0700681499984982</v>
      </c>
      <c r="D485" s="2" t="n">
        <v>0.0510850499993982</v>
      </c>
      <c r="E485" s="2" t="n">
        <v>0.0686682333394845</v>
      </c>
    </row>
    <row r="486" customFormat="false" ht="13.8" hidden="false" customHeight="false" outlineLevel="0" collapsed="false">
      <c r="B486" s="2" t="n">
        <v>484</v>
      </c>
      <c r="C486" s="2" t="n">
        <v>0.0409677999984982</v>
      </c>
      <c r="D486" s="2" t="n">
        <v>0.0540003666660625</v>
      </c>
      <c r="E486" s="2" t="n">
        <v>0.0183009000061508</v>
      </c>
    </row>
    <row r="487" customFormat="false" ht="13.8" hidden="false" customHeight="false" outlineLevel="0" collapsed="false">
      <c r="B487" s="2" t="n">
        <v>485</v>
      </c>
      <c r="C487" s="2" t="n">
        <v>0.0519836999984946</v>
      </c>
      <c r="D487" s="2" t="n">
        <v>0.0563834999993981</v>
      </c>
      <c r="E487" s="2" t="n">
        <v>0.0697838666728171</v>
      </c>
    </row>
    <row r="488" customFormat="false" ht="13.8" hidden="false" customHeight="false" outlineLevel="0" collapsed="false">
      <c r="B488" s="2" t="n">
        <v>486</v>
      </c>
      <c r="C488" s="2" t="n">
        <v>0.0158502999984982</v>
      </c>
      <c r="D488" s="2" t="n">
        <v>0.0366668666660648</v>
      </c>
      <c r="E488" s="2" t="n">
        <v>0.0537334666728168</v>
      </c>
    </row>
    <row r="489" customFormat="false" ht="13.8" hidden="false" customHeight="false" outlineLevel="0" collapsed="false">
      <c r="B489" s="2" t="n">
        <v>487</v>
      </c>
      <c r="C489" s="2" t="n">
        <v>0.0210005166651648</v>
      </c>
      <c r="D489" s="2" t="n">
        <v>0.0437670833327316</v>
      </c>
      <c r="E489" s="2" t="n">
        <v>0.0507835333394818</v>
      </c>
    </row>
    <row r="490" customFormat="false" ht="13.8" hidden="false" customHeight="false" outlineLevel="0" collapsed="false">
      <c r="B490" s="2" t="n">
        <v>488</v>
      </c>
      <c r="C490" s="2" t="n">
        <v>0.0123500499984982</v>
      </c>
      <c r="D490" s="2" t="n">
        <v>0.011500599999396</v>
      </c>
      <c r="E490" s="2" t="n">
        <v>0.0563668666728161</v>
      </c>
    </row>
    <row r="491" customFormat="false" ht="13.8" hidden="false" customHeight="false" outlineLevel="0" collapsed="false">
      <c r="B491" s="2" t="n">
        <v>489</v>
      </c>
      <c r="C491" s="2" t="n">
        <v>0.0940333499984982</v>
      </c>
      <c r="D491" s="2" t="n">
        <v>0.0124001999993982</v>
      </c>
      <c r="E491" s="2" t="n">
        <v>0.051233450006149</v>
      </c>
    </row>
    <row r="492" customFormat="false" ht="13.8" hidden="false" customHeight="false" outlineLevel="0" collapsed="false">
      <c r="B492" s="2" t="n">
        <v>490</v>
      </c>
      <c r="C492" s="2" t="n">
        <v>0.0119833666651649</v>
      </c>
      <c r="D492" s="2" t="n">
        <v>0.0800667333327315</v>
      </c>
      <c r="E492" s="2" t="n">
        <v>0.040266983339482</v>
      </c>
    </row>
    <row r="493" customFormat="false" ht="13.8" hidden="false" customHeight="false" outlineLevel="0" collapsed="false">
      <c r="B493" s="2" t="n">
        <v>491</v>
      </c>
      <c r="C493" s="2" t="n">
        <v>0.0898666999984982</v>
      </c>
      <c r="D493" s="2" t="n">
        <v>0.0119169833327315</v>
      </c>
      <c r="E493" s="2" t="n">
        <v>0.0521503500061472</v>
      </c>
    </row>
    <row r="494" customFormat="false" ht="13.8" hidden="false" customHeight="false" outlineLevel="0" collapsed="false">
      <c r="B494" s="2" t="n">
        <v>492</v>
      </c>
      <c r="C494" s="2" t="n">
        <v>0.0141001666651649</v>
      </c>
      <c r="D494" s="2" t="n">
        <v>0.068383366666063</v>
      </c>
      <c r="E494" s="2" t="n">
        <v>0.0483167000061479</v>
      </c>
    </row>
    <row r="495" customFormat="false" ht="13.8" hidden="false" customHeight="false" outlineLevel="0" collapsed="false">
      <c r="B495" s="2" t="n">
        <v>493</v>
      </c>
      <c r="C495" s="2" t="n">
        <v>0.100866833331832</v>
      </c>
      <c r="D495" s="2" t="n">
        <v>0.0201834999993982</v>
      </c>
      <c r="E495" s="2" t="n">
        <v>0.0728002333394809</v>
      </c>
    </row>
    <row r="496" customFormat="false" ht="13.8" hidden="false" customHeight="false" outlineLevel="0" collapsed="false">
      <c r="B496" s="2" t="n">
        <v>494</v>
      </c>
      <c r="C496" s="2" t="n">
        <v>0.0431834833318315</v>
      </c>
      <c r="D496" s="2" t="n">
        <v>0.0646501999993982</v>
      </c>
      <c r="E496" s="2" t="n">
        <v>0.0491335500061473</v>
      </c>
    </row>
    <row r="497" customFormat="false" ht="13.8" hidden="false" customHeight="false" outlineLevel="0" collapsed="false">
      <c r="B497" s="2" t="n">
        <v>495</v>
      </c>
      <c r="C497" s="2" t="n">
        <v>0.103500083331831</v>
      </c>
      <c r="D497" s="2" t="n">
        <v>0.0217499999993983</v>
      </c>
      <c r="E497" s="2" t="n">
        <v>0.0728834500061461</v>
      </c>
    </row>
    <row r="498" customFormat="false" ht="13.8" hidden="false" customHeight="false" outlineLevel="0" collapsed="false">
      <c r="B498" s="2" t="n">
        <v>496</v>
      </c>
      <c r="C498" s="2" t="n">
        <v>0.0380002333318315</v>
      </c>
      <c r="D498" s="2" t="n">
        <v>0.0443001499993964</v>
      </c>
      <c r="E498" s="2" t="n">
        <v>0.0466836000061466</v>
      </c>
    </row>
    <row r="499" customFormat="false" ht="13.8" hidden="false" customHeight="false" outlineLevel="0" collapsed="false">
      <c r="B499" s="2" t="n">
        <v>497</v>
      </c>
      <c r="C499" s="2" t="n">
        <v>0.0988167833318316</v>
      </c>
      <c r="D499" s="2" t="n">
        <v>0.0195169166660649</v>
      </c>
      <c r="E499" s="2" t="n">
        <v>0.0723000833394795</v>
      </c>
    </row>
    <row r="500" customFormat="false" ht="13.8" hidden="false" customHeight="false" outlineLevel="0" collapsed="false">
      <c r="B500" s="2" t="n">
        <v>498</v>
      </c>
      <c r="C500" s="2" t="n">
        <v>0.0318335166651648</v>
      </c>
      <c r="D500" s="2" t="n">
        <v>0.0647003499993982</v>
      </c>
      <c r="E500" s="2" t="n">
        <v>0.0460000833394791</v>
      </c>
    </row>
    <row r="501" customFormat="false" ht="13.8" hidden="false" customHeight="false" outlineLevel="0" collapsed="false">
      <c r="B501" s="2" t="n">
        <v>499</v>
      </c>
      <c r="C501" s="2" t="n">
        <v>0.0921166999984973</v>
      </c>
      <c r="D501" s="2" t="n">
        <v>0.0111336833327315</v>
      </c>
      <c r="E501" s="2" t="n">
        <v>0.0704001500061454</v>
      </c>
    </row>
    <row r="502" customFormat="false" ht="13.8" hidden="false" customHeight="false" outlineLevel="0" collapsed="false">
      <c r="B502" s="2" t="n">
        <v>500</v>
      </c>
      <c r="C502" s="2" t="n">
        <v>0.0304999999984982</v>
      </c>
      <c r="D502" s="2" t="n">
        <v>0.0443001666660649</v>
      </c>
      <c r="E502" s="2" t="n">
        <v>0.0410667500061451</v>
      </c>
    </row>
    <row r="503" customFormat="false" ht="13.8" hidden="false" customHeight="false" outlineLevel="0" collapsed="false">
      <c r="B503" s="2" t="n">
        <v>501</v>
      </c>
      <c r="C503" s="2" t="n">
        <v>0.0920501333318315</v>
      </c>
      <c r="D503" s="2" t="n">
        <v>0.0567668166660649</v>
      </c>
      <c r="E503" s="2" t="n">
        <v>0.0651167000061448</v>
      </c>
    </row>
    <row r="504" customFormat="false" ht="13.8" hidden="false" customHeight="false" outlineLevel="0" collapsed="false">
      <c r="B504" s="2" t="n">
        <v>502</v>
      </c>
      <c r="C504" s="2" t="n">
        <v>0.0311243115300189</v>
      </c>
      <c r="D504" s="2" t="n">
        <v>0.0354271266468614</v>
      </c>
      <c r="E504" s="2" t="n">
        <v>0.038065567186049</v>
      </c>
    </row>
    <row r="505" customFormat="false" ht="13.8" hidden="false" customHeight="false" outlineLevel="0" collapsed="false">
      <c r="B505" s="2" t="n">
        <v>503</v>
      </c>
      <c r="C505" s="2" t="n">
        <v>0.091765373448646</v>
      </c>
      <c r="D505" s="2" t="n">
        <v>0.0645370702407279</v>
      </c>
      <c r="E505" s="2" t="n">
        <v>0.0638811345996482</v>
      </c>
    </row>
    <row r="506" customFormat="false" ht="13.8" hidden="false" customHeight="false" outlineLevel="0" collapsed="false">
      <c r="B506" s="2" t="n">
        <v>504</v>
      </c>
      <c r="C506" s="2" t="n">
        <v>0.0295728018415196</v>
      </c>
      <c r="D506" s="2" t="n">
        <v>0.0582804803618473</v>
      </c>
      <c r="E506" s="2" t="n">
        <v>0.0376967018917778</v>
      </c>
    </row>
    <row r="507" customFormat="false" ht="13.8" hidden="false" customHeight="false" outlineLevel="0" collapsed="false">
      <c r="B507" s="2" t="n">
        <v>505</v>
      </c>
      <c r="C507" s="2" t="n">
        <v>0.0905470469010593</v>
      </c>
      <c r="D507" s="2" t="n">
        <v>0.0513077071496334</v>
      </c>
      <c r="E507" s="2" t="n">
        <v>0.0635123691839075</v>
      </c>
    </row>
    <row r="508" customFormat="false" ht="13.8" hidden="false" customHeight="false" outlineLevel="0" collapsed="false">
      <c r="B508" s="2" t="n">
        <v>506</v>
      </c>
      <c r="C508" s="2" t="n">
        <v>0.0264799464700536</v>
      </c>
      <c r="D508" s="2" t="n">
        <v>0.0507265751786855</v>
      </c>
      <c r="E508" s="2" t="n">
        <v>0.0355704959152273</v>
      </c>
    </row>
    <row r="509" customFormat="false" ht="13.8" hidden="false" customHeight="false" outlineLevel="0" collapsed="false">
      <c r="B509" s="2" t="n">
        <v>507</v>
      </c>
      <c r="C509" s="2" t="n">
        <v>0.0875796293723812</v>
      </c>
      <c r="D509" s="2" t="n">
        <v>0.0674119098744036</v>
      </c>
      <c r="E509" s="2" t="n">
        <v>0.0614287059798804</v>
      </c>
    </row>
    <row r="510" customFormat="false" ht="13.8" hidden="false" customHeight="false" outlineLevel="0" collapsed="false">
      <c r="B510" s="2" t="n">
        <v>508</v>
      </c>
      <c r="C510" s="2" t="n">
        <v>0.0242458456080422</v>
      </c>
      <c r="D510" s="2" t="n">
        <v>0.0327644279034558</v>
      </c>
      <c r="E510" s="2" t="n">
        <v>0.0406868827112002</v>
      </c>
    </row>
    <row r="511" customFormat="false" ht="13.8" hidden="false" customHeight="false" outlineLevel="0" collapsed="false">
      <c r="B511" s="2" t="n">
        <v>509</v>
      </c>
      <c r="C511" s="2" t="n">
        <v>0.0907454285103697</v>
      </c>
      <c r="D511" s="2" t="n">
        <v>0.0203662292658408</v>
      </c>
      <c r="E511" s="2" t="n">
        <v>0.0674788094425199</v>
      </c>
    </row>
    <row r="512" customFormat="false" ht="13.8" hidden="false" customHeight="false" outlineLevel="0" collapsed="false">
      <c r="B512" s="2" t="n">
        <v>510</v>
      </c>
      <c r="C512" s="2" t="n">
        <v>0.00808989528527241</v>
      </c>
      <c r="D512" s="2" t="n">
        <v>0.0385804541295413</v>
      </c>
      <c r="E512" s="2" t="n">
        <v>0.00628155189259329</v>
      </c>
    </row>
    <row r="513" customFormat="false" ht="13.8" hidden="false" customHeight="false" outlineLevel="0" collapsed="false">
      <c r="B513" s="2" t="n">
        <v>511</v>
      </c>
      <c r="C513" s="2" t="n">
        <v>0.0407004953935086</v>
      </c>
      <c r="D513" s="2" t="n">
        <v>2.73740281248206E-013</v>
      </c>
      <c r="E513" s="2" t="n">
        <v>0.00421736100933334</v>
      </c>
    </row>
    <row r="514" customFormat="false" ht="13.8" hidden="false" customHeight="false" outlineLevel="0" collapsed="false">
      <c r="B514" s="2" t="n">
        <v>512</v>
      </c>
      <c r="C514" s="2" t="n">
        <v>6.84887765808074E-013</v>
      </c>
      <c r="D514" s="2" t="n">
        <v>2.73362060802624E-013</v>
      </c>
      <c r="E514" s="2" t="n">
        <v>1.15647498104443E-013</v>
      </c>
    </row>
    <row r="515" customFormat="false" ht="13.8" hidden="false" customHeight="false" outlineLevel="0" collapsed="false">
      <c r="B515" s="2" t="n">
        <v>513</v>
      </c>
      <c r="C515" s="2" t="n">
        <v>6.84718963591422E-013</v>
      </c>
      <c r="D515" s="2" t="n">
        <v>2.73110927083371E-013</v>
      </c>
      <c r="E515" s="2" t="n">
        <v>1.15637408776552E-013</v>
      </c>
    </row>
    <row r="516" customFormat="false" ht="13.8" hidden="false" customHeight="false" outlineLevel="0" collapsed="false">
      <c r="B516" s="2" t="n">
        <v>514</v>
      </c>
      <c r="C516" s="2" t="n">
        <v>6.84574349891639E-013</v>
      </c>
      <c r="D516" s="2" t="n">
        <v>2.73065589783036E-013</v>
      </c>
      <c r="E516" s="2" t="n">
        <v>1.15643488243358E-013</v>
      </c>
    </row>
    <row r="517" customFormat="false" ht="13.8" hidden="false" customHeight="false" outlineLevel="0" collapsed="false">
      <c r="B517" s="2" t="n">
        <v>515</v>
      </c>
      <c r="C517" s="2" t="n">
        <v>6.84386015770992E-013</v>
      </c>
      <c r="D517" s="2" t="n">
        <v>2.72735746371192E-013</v>
      </c>
      <c r="E517" s="2" t="n">
        <v>1.15639995783703E-013</v>
      </c>
    </row>
    <row r="518" customFormat="false" ht="13.8" hidden="false" customHeight="false" outlineLevel="0" collapsed="false">
      <c r="B518" s="2" t="n">
        <v>516</v>
      </c>
      <c r="C518" s="2" t="n">
        <v>6.84286868721901E-013</v>
      </c>
      <c r="D518" s="2" t="n">
        <v>2.72941672140467E-013</v>
      </c>
      <c r="E518" s="2" t="n">
        <v>1.15652090042138E-013</v>
      </c>
    </row>
    <row r="519" customFormat="false" ht="13.8" hidden="false" customHeight="false" outlineLevel="0" collapsed="false">
      <c r="B519" s="2" t="n">
        <v>517</v>
      </c>
      <c r="C519" s="2" t="n">
        <v>6.84096917721785E-013</v>
      </c>
      <c r="D519" s="2" t="n">
        <v>2.7240952476936E-013</v>
      </c>
      <c r="E519" s="2" t="n">
        <v>1.15668840913445E-013</v>
      </c>
    </row>
    <row r="520" customFormat="false" ht="13.8" hidden="false" customHeight="false" outlineLevel="0" collapsed="false">
      <c r="B520" s="2" t="n">
        <v>518</v>
      </c>
      <c r="C520" s="2" t="n">
        <v>6.83963816203827E-013</v>
      </c>
      <c r="D520" s="2" t="n">
        <v>2.72295955155399E-013</v>
      </c>
      <c r="E520" s="2" t="n">
        <v>1.1564232409014E-013</v>
      </c>
    </row>
    <row r="521" customFormat="false" ht="13.8" hidden="false" customHeight="false" outlineLevel="0" collapsed="false">
      <c r="B521" s="2" t="n">
        <v>519</v>
      </c>
      <c r="C521" s="2" t="n">
        <v>6.83838863758397E-013</v>
      </c>
      <c r="D521" s="2" t="n">
        <v>2.72053552585283E-013</v>
      </c>
      <c r="E521" s="2" t="n">
        <v>1.15645816549795E-013</v>
      </c>
    </row>
    <row r="522" customFormat="false" ht="13.8" hidden="false" customHeight="false" outlineLevel="0" collapsed="false">
      <c r="B522" s="2" t="n">
        <v>520</v>
      </c>
      <c r="C522" s="2" t="n">
        <v>6.83654151447763E-013</v>
      </c>
      <c r="D522" s="2" t="n">
        <v>2.71946967890631E-013</v>
      </c>
      <c r="E522" s="2" t="n">
        <v>1.15622792186145E-013</v>
      </c>
    </row>
    <row r="523" customFormat="false" ht="13.8" hidden="false" customHeight="false" outlineLevel="0" collapsed="false">
      <c r="B523" s="2" t="n">
        <v>521</v>
      </c>
      <c r="C523" s="2" t="n">
        <v>6.83676399709266E-013</v>
      </c>
      <c r="D523" s="2" t="n">
        <v>2.71633422623843E-013</v>
      </c>
      <c r="E523" s="2" t="n">
        <v>1.15711397181091E-013</v>
      </c>
    </row>
    <row r="524" customFormat="false" ht="13.8" hidden="false" customHeight="false" outlineLevel="0" collapsed="false">
      <c r="B524" s="2" t="n">
        <v>522</v>
      </c>
      <c r="C524" s="2" t="n">
        <v>6.8341355978265E-013</v>
      </c>
      <c r="D524" s="2" t="n">
        <v>2.71655670885347E-013</v>
      </c>
      <c r="E524" s="2" t="n">
        <v>1.15620463879708E-013</v>
      </c>
    </row>
    <row r="525" customFormat="false" ht="13.8" hidden="false" customHeight="false" outlineLevel="0" collapsed="false">
      <c r="B525" s="2" t="n">
        <v>523</v>
      </c>
      <c r="C525" s="2" t="n">
        <v>6.83231175778453E-013</v>
      </c>
      <c r="D525" s="2" t="n">
        <v>2.71507694076269E-013</v>
      </c>
      <c r="E525" s="2" t="n">
        <v>1.15674661679536E-013</v>
      </c>
    </row>
    <row r="526" customFormat="false" ht="13.8" hidden="false" customHeight="false" outlineLevel="0" collapsed="false">
      <c r="B526" s="2" t="n">
        <v>524</v>
      </c>
      <c r="C526" s="2" t="n">
        <v>6.83193922875467E-013</v>
      </c>
      <c r="D526" s="2" t="n">
        <v>2.71457635487882E-013</v>
      </c>
      <c r="E526" s="2" t="n">
        <v>1.15452567115562E-013</v>
      </c>
    </row>
    <row r="527" customFormat="false" ht="13.8" hidden="false" customHeight="false" outlineLevel="0" collapsed="false">
      <c r="B527" s="2" t="n">
        <v>525</v>
      </c>
      <c r="C527" s="2" t="n">
        <v>6.83013867177707E-013</v>
      </c>
      <c r="D527" s="2" t="n">
        <v>2.71144090221094E-013</v>
      </c>
      <c r="E527" s="2" t="n">
        <v>1.15658363534481E-013</v>
      </c>
    </row>
    <row r="528" customFormat="false" ht="13.8" hidden="false" customHeight="false" outlineLevel="0" collapsed="false">
      <c r="B528" s="2" t="n">
        <v>526</v>
      </c>
      <c r="C528" s="2" t="n">
        <v>6.82976614274721E-013</v>
      </c>
      <c r="D528" s="2" t="n">
        <v>2.71181472474436E-013</v>
      </c>
      <c r="E528" s="2" t="n">
        <v>1.15567430233098E-013</v>
      </c>
    </row>
    <row r="529" customFormat="false" ht="13.8" hidden="false" customHeight="false" outlineLevel="0" collapsed="false">
      <c r="B529" s="2" t="n">
        <v>527</v>
      </c>
      <c r="C529" s="2" t="n">
        <v>6.82951002903918E-013</v>
      </c>
      <c r="D529" s="2" t="n">
        <v>2.71064927802251E-013</v>
      </c>
      <c r="E529" s="2" t="n">
        <v>1.15750460989081E-013</v>
      </c>
    </row>
    <row r="530" customFormat="false" ht="13.8" hidden="false" customHeight="false" outlineLevel="0" collapsed="false">
      <c r="B530" s="2" t="n">
        <v>528</v>
      </c>
      <c r="C530" s="2" t="n">
        <v>6.82663069007931E-013</v>
      </c>
      <c r="D530" s="2" t="n">
        <v>2.71028839052484E-013</v>
      </c>
      <c r="E530" s="2" t="n">
        <v>1.1558605668459E-013</v>
      </c>
    </row>
    <row r="531" customFormat="false" ht="13.8" hidden="false" customHeight="false" outlineLevel="0" collapsed="false">
      <c r="B531" s="2" t="n">
        <v>529</v>
      </c>
      <c r="C531" s="2" t="n">
        <v>6.82973251165421E-013</v>
      </c>
      <c r="D531" s="2" t="n">
        <v>2.70995660685763E-013</v>
      </c>
      <c r="E531" s="2" t="n">
        <v>1.15670005066663E-013</v>
      </c>
    </row>
    <row r="532" customFormat="false" ht="13.8" hidden="false" customHeight="false" outlineLevel="0" collapsed="false">
      <c r="B532" s="2" t="n">
        <v>530</v>
      </c>
      <c r="C532" s="2" t="n">
        <v>6.82782071336908E-013</v>
      </c>
      <c r="D532" s="2" t="n">
        <v>2.70636002016496E-013</v>
      </c>
      <c r="E532" s="2" t="n">
        <v>1.15582564224935E-013</v>
      </c>
    </row>
    <row r="533" customFormat="false" ht="13.8" hidden="false" customHeight="false" outlineLevel="0" collapsed="false">
      <c r="B533" s="2" t="n">
        <v>531</v>
      </c>
      <c r="C533" s="2" t="n">
        <v>6.82770429804725E-013</v>
      </c>
      <c r="D533" s="2" t="n">
        <v>2.70772466643749E-013</v>
      </c>
      <c r="E533" s="2" t="n">
        <v>1.15580235918499E-013</v>
      </c>
    </row>
    <row r="534" customFormat="false" ht="13.8" hidden="false" customHeight="false" outlineLevel="0" collapsed="false">
      <c r="B534" s="2" t="n">
        <v>532</v>
      </c>
      <c r="C534" s="2" t="n">
        <v>6.82667854971159E-013</v>
      </c>
      <c r="D534" s="2" t="n">
        <v>2.71005685338475E-013</v>
      </c>
      <c r="E534" s="2" t="n">
        <v>1.15587802914418E-013</v>
      </c>
    </row>
    <row r="535" customFormat="false" ht="13.8" hidden="false" customHeight="false" outlineLevel="0" collapsed="false">
      <c r="B535" s="2" t="n">
        <v>533</v>
      </c>
      <c r="C535" s="2" t="n">
        <v>6.82655049285758E-013</v>
      </c>
      <c r="D535" s="2" t="n">
        <v>2.70821490429273E-013</v>
      </c>
      <c r="E535" s="2" t="n">
        <v>1.15759774214828E-013</v>
      </c>
    </row>
    <row r="536" customFormat="false" ht="13.8" hidden="false" customHeight="false" outlineLevel="0" collapsed="false">
      <c r="B536" s="2" t="n">
        <v>534</v>
      </c>
      <c r="C536" s="2" t="n">
        <v>6.82641079447138E-013</v>
      </c>
      <c r="D536" s="2" t="n">
        <v>2.70633803060416E-013</v>
      </c>
      <c r="E536" s="2" t="n">
        <v>1.15835573524373E-013</v>
      </c>
    </row>
    <row r="537" customFormat="false" ht="13.8" hidden="false" customHeight="false" outlineLevel="0" collapsed="false">
      <c r="B537" s="2" t="n">
        <v>535</v>
      </c>
      <c r="C537" s="2" t="n">
        <v>6.82637004910874E-013</v>
      </c>
      <c r="D537" s="2" t="n">
        <v>2.70629146447543E-013</v>
      </c>
      <c r="E537" s="2" t="n">
        <v>1.15840230137246E-013</v>
      </c>
    </row>
    <row r="538" customFormat="false" ht="13.8" hidden="false" customHeight="false" outlineLevel="0" collapsed="false">
      <c r="B538" s="2" t="n">
        <v>536</v>
      </c>
      <c r="C538" s="2" t="n">
        <v>6.822959726931E-013</v>
      </c>
      <c r="D538" s="2" t="n">
        <v>2.70619833221797E-013</v>
      </c>
      <c r="E538" s="2" t="n">
        <v>1.15344106840727E-013</v>
      </c>
    </row>
    <row r="539" customFormat="false" ht="13.8" hidden="false" customHeight="false" outlineLevel="0" collapsed="false">
      <c r="B539" s="2" t="n">
        <v>537</v>
      </c>
      <c r="C539" s="2" t="n">
        <v>6.82459212844372E-013</v>
      </c>
      <c r="D539" s="2" t="n">
        <v>2.70447279844778E-013</v>
      </c>
      <c r="E539" s="2" t="n">
        <v>1.15674661679536E-013</v>
      </c>
    </row>
    <row r="540" customFormat="false" ht="13.8" hidden="false" customHeight="false" outlineLevel="0" collapsed="false">
      <c r="B540" s="2" t="n">
        <v>538</v>
      </c>
      <c r="C540" s="2" t="n">
        <v>6.82788021453355E-013</v>
      </c>
      <c r="D540" s="2" t="n">
        <v>2.70773760147323E-013</v>
      </c>
      <c r="E540" s="2" t="n">
        <v>1.15673497526318E-013</v>
      </c>
    </row>
    <row r="541" customFormat="false" ht="13.8" hidden="false" customHeight="false" outlineLevel="0" collapsed="false">
      <c r="B541" s="2" t="n">
        <v>539</v>
      </c>
      <c r="C541" s="2" t="n">
        <v>0.00817022466202637</v>
      </c>
      <c r="D541" s="2" t="n">
        <v>0.0500568699561972</v>
      </c>
      <c r="E541" s="2" t="n">
        <v>0.00864548394043483</v>
      </c>
    </row>
    <row r="542" customFormat="false" ht="13.8" hidden="false" customHeight="false" outlineLevel="0" collapsed="false">
      <c r="B542" s="2" t="n">
        <v>540</v>
      </c>
      <c r="C542" s="2" t="n">
        <v>0.00506199582469767</v>
      </c>
      <c r="D542" s="2" t="n">
        <v>0.000248958952926468</v>
      </c>
      <c r="E542" s="2" t="n">
        <v>0.00254817003865563</v>
      </c>
    </row>
    <row r="543" customFormat="false" ht="13.8" hidden="false" customHeight="false" outlineLevel="0" collapsed="false">
      <c r="B543" s="2" t="n">
        <v>541</v>
      </c>
      <c r="C543" s="2" t="n">
        <v>0.00878750032070247</v>
      </c>
      <c r="D543" s="2" t="n">
        <v>0.0826911146163234</v>
      </c>
      <c r="E543" s="2" t="n">
        <v>1.15508220106913E-013</v>
      </c>
    </row>
    <row r="544" customFormat="false" ht="13.8" hidden="false" customHeight="false" outlineLevel="0" collapsed="false">
      <c r="B544" s="2" t="n">
        <v>542</v>
      </c>
      <c r="C544" s="2" t="n">
        <v>0.0445001744116177</v>
      </c>
      <c r="D544" s="2" t="n">
        <v>0.0182451361637521</v>
      </c>
      <c r="E544" s="2" t="n">
        <v>0.0727729711600384</v>
      </c>
    </row>
    <row r="545" customFormat="false" ht="13.8" hidden="false" customHeight="false" outlineLevel="0" collapsed="false">
      <c r="B545" s="2" t="n">
        <v>543</v>
      </c>
      <c r="C545" s="2" t="n">
        <v>0.0530464651691997</v>
      </c>
      <c r="D545" s="2" t="n">
        <v>0.084799091044513</v>
      </c>
      <c r="E545" s="2" t="n">
        <v>0.0132619028498674</v>
      </c>
    </row>
    <row r="546" customFormat="false" ht="13.8" hidden="false" customHeight="false" outlineLevel="0" collapsed="false">
      <c r="B546" s="2" t="n">
        <v>544</v>
      </c>
      <c r="C546" s="2" t="n">
        <v>0.0220927059267816</v>
      </c>
      <c r="D546" s="2" t="n">
        <v>0.0226029959252736</v>
      </c>
      <c r="E546" s="2" t="n">
        <v>0.0640842012063628</v>
      </c>
    </row>
    <row r="547" customFormat="false" ht="13.8" hidden="false" customHeight="false" outlineLevel="0" collapsed="false">
      <c r="B547" s="2" t="n">
        <v>545</v>
      </c>
      <c r="C547" s="2" t="n">
        <v>0.0518051800176967</v>
      </c>
      <c r="D547" s="2" t="n">
        <v>0.0928232841393674</v>
      </c>
      <c r="E547" s="2" t="n">
        <v>0.00398991622952494</v>
      </c>
    </row>
    <row r="548" customFormat="false" ht="13.8" hidden="false" customHeight="false" outlineLevel="0" collapsed="false">
      <c r="B548" s="2" t="n">
        <v>546</v>
      </c>
      <c r="C548" s="2" t="n">
        <v>0.0600391003379963</v>
      </c>
      <c r="D548" s="2" t="n">
        <v>0.0290980451144236</v>
      </c>
      <c r="E548" s="2" t="n">
        <v>0.0646973495254094</v>
      </c>
    </row>
    <row r="549" customFormat="false" ht="13.8" hidden="false" customHeight="false" outlineLevel="0" collapsed="false">
      <c r="B549" s="2" t="n">
        <v>547</v>
      </c>
      <c r="C549" s="2" t="n">
        <v>0.0535233706582952</v>
      </c>
      <c r="D549" s="2" t="n">
        <v>0.0946228560894789</v>
      </c>
      <c r="E549" s="2" t="n">
        <v>0.0464052994879608</v>
      </c>
    </row>
    <row r="550" customFormat="false" ht="13.8" hidden="false" customHeight="false" outlineLevel="0" collapsed="false">
      <c r="B550" s="2" t="n">
        <v>548</v>
      </c>
      <c r="C550" s="2" t="n">
        <v>0.0622571909785943</v>
      </c>
      <c r="D550" s="2" t="n">
        <v>0.0299809670645341</v>
      </c>
      <c r="E550" s="2" t="n">
        <v>0.0696798827838454</v>
      </c>
    </row>
    <row r="551" customFormat="false" ht="13.8" hidden="false" customHeight="false" outlineLevel="0" collapsed="false">
      <c r="B551" s="2" t="n">
        <v>549</v>
      </c>
      <c r="C551" s="2" t="n">
        <v>0.0569912612988935</v>
      </c>
      <c r="D551" s="2" t="n">
        <v>0.0995059780395893</v>
      </c>
      <c r="E551" s="2" t="n">
        <v>0.0417372827463968</v>
      </c>
    </row>
    <row r="552" customFormat="false" ht="13.8" hidden="false" customHeight="false" outlineLevel="0" collapsed="false">
      <c r="B552" s="2" t="n">
        <v>550</v>
      </c>
      <c r="C552" s="2" t="n">
        <v>0.0684184584912652</v>
      </c>
      <c r="D552" s="2" t="n">
        <v>0.0323339710373007</v>
      </c>
      <c r="E552" s="2" t="n">
        <v>0.0891362870596391</v>
      </c>
    </row>
    <row r="553" customFormat="false" ht="13.8" hidden="false" customHeight="false" outlineLevel="0" collapsed="false">
      <c r="B553" s="2" t="n">
        <v>551</v>
      </c>
      <c r="C553" s="2" t="n">
        <v>0.0630958723503037</v>
      </c>
      <c r="D553" s="2" t="n">
        <v>0.0972951473683454</v>
      </c>
      <c r="E553" s="2" t="n">
        <v>0.0569520413728818</v>
      </c>
    </row>
    <row r="554" customFormat="false" ht="13.8" hidden="false" customHeight="false" outlineLevel="0" collapsed="false">
      <c r="B554" s="2" t="n">
        <v>552</v>
      </c>
      <c r="C554" s="2" t="n">
        <v>0.0732064195426753</v>
      </c>
      <c r="D554" s="2" t="n">
        <v>0.0428561403660568</v>
      </c>
      <c r="E554" s="2" t="n">
        <v>0.0508016956861236</v>
      </c>
    </row>
    <row r="555" customFormat="false" ht="13.8" hidden="false" customHeight="false" outlineLevel="0" collapsed="false">
      <c r="B555" s="2" t="n">
        <v>553</v>
      </c>
      <c r="C555" s="2" t="n">
        <v>0.0684508500272976</v>
      </c>
      <c r="D555" s="2" t="n">
        <v>0.0795171666788163</v>
      </c>
      <c r="E555" s="2" t="n">
        <v>0.0506675999997469</v>
      </c>
    </row>
    <row r="556" customFormat="false" ht="13.8" hidden="false" customHeight="false" outlineLevel="0" collapsed="false">
      <c r="B556" s="2" t="n">
        <v>554</v>
      </c>
      <c r="C556" s="2" t="n">
        <v>0.097400716693961</v>
      </c>
      <c r="D556" s="2" t="n">
        <v>0.0747508000121499</v>
      </c>
      <c r="E556" s="2" t="n">
        <v>0.0597187166664136</v>
      </c>
    </row>
    <row r="557" customFormat="false" ht="13.8" hidden="false" customHeight="false" outlineLevel="0" collapsed="false">
      <c r="B557" s="2" t="n">
        <v>555</v>
      </c>
      <c r="C557" s="2" t="n">
        <v>0.0954513166939648</v>
      </c>
      <c r="D557" s="2" t="n">
        <v>0.0991842666788165</v>
      </c>
      <c r="E557" s="2" t="n">
        <v>0.05760173333308</v>
      </c>
    </row>
    <row r="558" customFormat="false" ht="13.8" hidden="false" customHeight="false" outlineLevel="0" collapsed="false">
      <c r="B558" s="2" t="n">
        <v>556</v>
      </c>
      <c r="C558" s="2" t="n">
        <v>0.110118883360632</v>
      </c>
      <c r="D558" s="2" t="n">
        <v>0.0812013666788167</v>
      </c>
      <c r="E558" s="2" t="n">
        <v>0.11896853333308</v>
      </c>
    </row>
    <row r="559" customFormat="false" ht="13.8" hidden="false" customHeight="false" outlineLevel="0" collapsed="false">
      <c r="B559" s="2" t="n">
        <v>557</v>
      </c>
      <c r="C559" s="2" t="n">
        <v>0.114819183360632</v>
      </c>
      <c r="D559" s="2" t="n">
        <v>0.10931843334548</v>
      </c>
      <c r="E559" s="2" t="n">
        <v>0.0901027166664134</v>
      </c>
    </row>
    <row r="560" customFormat="false" ht="13.8" hidden="false" customHeight="false" outlineLevel="0" collapsed="false">
      <c r="B560" s="2" t="n">
        <v>558</v>
      </c>
      <c r="C560" s="2" t="n">
        <v>0.108886466693963</v>
      </c>
      <c r="D560" s="2" t="n">
        <v>0.0439356166788171</v>
      </c>
      <c r="E560" s="2" t="n">
        <v>0.0995034833330802</v>
      </c>
    </row>
    <row r="561" customFormat="false" ht="13.8" hidden="false" customHeight="false" outlineLevel="0" collapsed="false">
      <c r="B561" s="2" t="n">
        <v>559</v>
      </c>
      <c r="C561" s="2" t="n">
        <v>0.0562206333606326</v>
      </c>
      <c r="D561" s="2" t="n">
        <v>0.0972524500121505</v>
      </c>
      <c r="E561" s="2" t="n">
        <v>0.08835273333308</v>
      </c>
    </row>
    <row r="562" customFormat="false" ht="13.8" hidden="false" customHeight="false" outlineLevel="0" collapsed="false">
      <c r="B562" s="2" t="n">
        <v>560</v>
      </c>
      <c r="C562" s="2" t="n">
        <v>0.0799372000272996</v>
      </c>
      <c r="D562" s="2" t="n">
        <v>0.122419500012151</v>
      </c>
      <c r="E562" s="2" t="n">
        <v>0.117436099999747</v>
      </c>
    </row>
    <row r="563" customFormat="false" ht="13.8" hidden="false" customHeight="false" outlineLevel="0" collapsed="false">
      <c r="B563" s="2" t="n">
        <v>561</v>
      </c>
      <c r="C563" s="2" t="n">
        <v>0.100870666693967</v>
      </c>
      <c r="D563" s="2" t="n">
        <v>0.124970016678817</v>
      </c>
      <c r="E563" s="2" t="n">
        <v>0.0570537333330771</v>
      </c>
    </row>
    <row r="564" customFormat="false" ht="13.8" hidden="false" customHeight="false" outlineLevel="0" collapsed="false">
      <c r="B564" s="2" t="n">
        <v>562</v>
      </c>
      <c r="C564" s="2" t="n">
        <v>0.0698882166939667</v>
      </c>
      <c r="D564" s="2" t="n">
        <v>0.110970133345484</v>
      </c>
      <c r="E564" s="2" t="n">
        <v>0.0780203666664136</v>
      </c>
    </row>
    <row r="565" customFormat="false" ht="13.8" hidden="false" customHeight="false" outlineLevel="0" collapsed="false">
      <c r="B565" s="2" t="n">
        <v>563</v>
      </c>
      <c r="C565" s="2" t="n">
        <v>0.0747041333606338</v>
      </c>
      <c r="D565" s="2" t="n">
        <v>0.108452833345484</v>
      </c>
      <c r="E565" s="2" t="n">
        <v>0.10081968333308</v>
      </c>
    </row>
    <row r="566" customFormat="false" ht="13.8" hidden="false" customHeight="false" outlineLevel="0" collapsed="false">
      <c r="B566" s="2" t="n">
        <v>564</v>
      </c>
      <c r="C566" s="2" t="n">
        <v>0.109936783360634</v>
      </c>
      <c r="D566" s="2" t="n">
        <v>0.0896540000121488</v>
      </c>
      <c r="E566" s="2" t="n">
        <v>0.0997701833330802</v>
      </c>
    </row>
    <row r="567" customFormat="false" ht="13.8" hidden="false" customHeight="false" outlineLevel="0" collapsed="false">
      <c r="B567" s="2" t="n">
        <v>565</v>
      </c>
      <c r="C567" s="2" t="n">
        <v>0.119786933360634</v>
      </c>
      <c r="D567" s="2" t="n">
        <v>0.0684546333454846</v>
      </c>
      <c r="E567" s="2" t="n">
        <v>0.101720383333078</v>
      </c>
    </row>
    <row r="568" customFormat="false" ht="13.8" hidden="false" customHeight="false" outlineLevel="0" collapsed="false">
      <c r="B568" s="2" t="n">
        <v>566</v>
      </c>
      <c r="C568" s="2" t="n">
        <v>0.0930704666939679</v>
      </c>
      <c r="D568" s="2" t="n">
        <v>0.102336800012151</v>
      </c>
      <c r="E568" s="2" t="n">
        <v>0.0955370499997468</v>
      </c>
    </row>
    <row r="569" customFormat="false" ht="13.8" hidden="false" customHeight="false" outlineLevel="0" collapsed="false">
      <c r="B569" s="2" t="n">
        <v>567</v>
      </c>
      <c r="C569" s="2" t="n">
        <v>0.0827201500273015</v>
      </c>
      <c r="D569" s="2" t="n">
        <v>0.0808866166788183</v>
      </c>
      <c r="E569" s="2" t="n">
        <v>0.0706871666664135</v>
      </c>
    </row>
    <row r="570" customFormat="false" ht="13.8" hidden="false" customHeight="false" outlineLevel="0" collapsed="false">
      <c r="B570" s="2" t="n">
        <v>568</v>
      </c>
      <c r="C570" s="2" t="n">
        <v>0.0910877666939685</v>
      </c>
      <c r="D570" s="2" t="n">
        <v>0.0837368666788162</v>
      </c>
      <c r="E570" s="2" t="n">
        <v>0.104304599999747</v>
      </c>
    </row>
    <row r="571" customFormat="false" ht="13.8" hidden="false" customHeight="false" outlineLevel="0" collapsed="false">
      <c r="B571" s="2" t="n">
        <v>569</v>
      </c>
      <c r="C571" s="2" t="n">
        <v>0.0627878833606354</v>
      </c>
      <c r="D571" s="2" t="n">
        <v>0.100986900012152</v>
      </c>
      <c r="E571" s="2" t="n">
        <v>0.0679383499997468</v>
      </c>
    </row>
    <row r="572" customFormat="false" ht="13.8" hidden="false" customHeight="false" outlineLevel="0" collapsed="false">
      <c r="B572" s="2" t="n">
        <v>570</v>
      </c>
      <c r="C572" s="2" t="n">
        <v>0.086037866693969</v>
      </c>
      <c r="D572" s="2" t="n">
        <v>0.0801867500121519</v>
      </c>
      <c r="E572" s="2" t="n">
        <v>0.0719211499997469</v>
      </c>
    </row>
    <row r="573" customFormat="false" ht="13.8" hidden="false" customHeight="false" outlineLevel="0" collapsed="false">
      <c r="B573" s="2" t="n">
        <v>571</v>
      </c>
      <c r="C573" s="2" t="n">
        <v>0.095520983360636</v>
      </c>
      <c r="D573" s="2" t="n">
        <v>0.0867372666788187</v>
      </c>
      <c r="E573" s="2" t="n">
        <v>0.0738538333330802</v>
      </c>
    </row>
    <row r="574" customFormat="false" ht="13.8" hidden="false" customHeight="false" outlineLevel="0" collapsed="false">
      <c r="B574" s="2" t="n">
        <v>572</v>
      </c>
      <c r="C574" s="2" t="n">
        <v>0.0731370833606363</v>
      </c>
      <c r="D574" s="2" t="n">
        <v>0.0428375000121522</v>
      </c>
      <c r="E574" s="2" t="n">
        <v>0.0694538166664134</v>
      </c>
    </row>
    <row r="575" customFormat="false" ht="13.8" hidden="false" customHeight="false" outlineLevel="0" collapsed="false">
      <c r="B575" s="2" t="n">
        <v>573</v>
      </c>
      <c r="C575" s="2" t="n">
        <v>0.0593541666939699</v>
      </c>
      <c r="D575" s="2" t="n">
        <v>0.0190872666788189</v>
      </c>
      <c r="E575" s="2" t="n">
        <v>0.0980373833330802</v>
      </c>
    </row>
    <row r="576" customFormat="false" ht="13.8" hidden="false" customHeight="false" outlineLevel="0" collapsed="false">
      <c r="B576" s="2" t="n">
        <v>574</v>
      </c>
      <c r="C576" s="2" t="n">
        <v>0.0501202000273035</v>
      </c>
      <c r="D576" s="2" t="n">
        <v>0.0447197833454858</v>
      </c>
      <c r="E576" s="2" t="n">
        <v>0.0541040333330802</v>
      </c>
    </row>
    <row r="577" customFormat="false" ht="13.8" hidden="false" customHeight="false" outlineLevel="0" collapsed="false">
      <c r="B577" s="2" t="n">
        <v>575</v>
      </c>
      <c r="C577" s="2" t="n">
        <v>0.0454029500273038</v>
      </c>
      <c r="D577" s="2" t="n">
        <v>0.0456196666788192</v>
      </c>
      <c r="E577" s="2" t="n">
        <v>0.0565696333330801</v>
      </c>
    </row>
    <row r="578" customFormat="false" ht="13.8" hidden="false" customHeight="false" outlineLevel="0" collapsed="false">
      <c r="B578" s="2" t="n">
        <v>576</v>
      </c>
      <c r="C578" s="2" t="n">
        <v>0.0520034333606374</v>
      </c>
      <c r="D578" s="2" t="n">
        <v>0.0368028666788194</v>
      </c>
      <c r="E578" s="2" t="n">
        <v>0.0470697499997452</v>
      </c>
    </row>
    <row r="579" customFormat="false" ht="13.8" hidden="false" customHeight="false" outlineLevel="0" collapsed="false">
      <c r="B579" s="2" t="n">
        <v>577</v>
      </c>
      <c r="C579" s="2" t="n">
        <v>0.0454856500273044</v>
      </c>
      <c r="D579" s="2" t="n">
        <v>0.0726852833454862</v>
      </c>
      <c r="E579" s="2" t="n">
        <v>0.0620690833330802</v>
      </c>
    </row>
    <row r="580" customFormat="false" ht="13.8" hidden="false" customHeight="false" outlineLevel="0" collapsed="false">
      <c r="B580" s="2" t="n">
        <v>578</v>
      </c>
      <c r="C580" s="2" t="n">
        <v>0.0283189500273047</v>
      </c>
      <c r="D580" s="2" t="n">
        <v>0.0133187500121515</v>
      </c>
      <c r="E580" s="2" t="n">
        <v>0.0255526499997468</v>
      </c>
    </row>
    <row r="581" customFormat="false" ht="13.8" hidden="false" customHeight="false" outlineLevel="0" collapsed="false">
      <c r="B581" s="2" t="n">
        <v>579</v>
      </c>
      <c r="C581" s="2" t="n">
        <v>0.0844180666939716</v>
      </c>
      <c r="D581" s="2" t="n">
        <v>0.0671016000121531</v>
      </c>
      <c r="E581" s="2" t="n">
        <v>0.0797849499997468</v>
      </c>
    </row>
    <row r="582" customFormat="false" ht="13.8" hidden="false" customHeight="false" outlineLevel="0" collapsed="false">
      <c r="B582" s="2" t="n">
        <v>580</v>
      </c>
      <c r="C582" s="2" t="n">
        <v>0.0140843333606384</v>
      </c>
      <c r="D582" s="2" t="n">
        <v>0.0357683500121532</v>
      </c>
      <c r="E582" s="2" t="n">
        <v>0.0343015666664134</v>
      </c>
    </row>
    <row r="583" customFormat="false" ht="13.8" hidden="false" customHeight="false" outlineLevel="0" collapsed="false">
      <c r="B583" s="2" t="n">
        <v>581</v>
      </c>
      <c r="C583" s="2" t="n">
        <v>0.0769670666939721</v>
      </c>
      <c r="D583" s="2" t="n">
        <v>0.0710838833454867</v>
      </c>
      <c r="E583" s="2" t="n">
        <v>0.0512676833330802</v>
      </c>
    </row>
    <row r="584" customFormat="false" ht="13.8" hidden="false" customHeight="false" outlineLevel="0" collapsed="false">
      <c r="B584" s="2" t="n">
        <v>582</v>
      </c>
      <c r="C584" s="2" t="n">
        <v>0.0269168166939724</v>
      </c>
      <c r="D584" s="2" t="n">
        <v>0.0411334500121523</v>
      </c>
      <c r="E584" s="2" t="n">
        <v>0.0414168333330801</v>
      </c>
    </row>
    <row r="585" customFormat="false" ht="13.8" hidden="false" customHeight="false" outlineLevel="0" collapsed="false">
      <c r="B585" s="2" t="n">
        <v>583</v>
      </c>
      <c r="C585" s="2" t="n">
        <v>0.0417001333606393</v>
      </c>
      <c r="D585" s="2" t="n">
        <v>0.0589670166788203</v>
      </c>
      <c r="E585" s="2" t="n">
        <v>0.0523167666664135</v>
      </c>
    </row>
    <row r="586" customFormat="false" ht="13.8" hidden="false" customHeight="false" outlineLevel="0" collapsed="false">
      <c r="B586" s="2" t="n">
        <v>584</v>
      </c>
      <c r="C586" s="2" t="n">
        <v>0.0666503000273063</v>
      </c>
      <c r="D586" s="2" t="n">
        <v>0.0520000000121538</v>
      </c>
      <c r="E586" s="2" t="n">
        <v>0.0383501833330802</v>
      </c>
    </row>
    <row r="587" customFormat="false" ht="13.8" hidden="false" customHeight="false" outlineLevel="0" collapsed="false">
      <c r="B587" s="2" t="n">
        <v>585</v>
      </c>
      <c r="C587" s="2" t="n">
        <v>0.0277669000273066</v>
      </c>
      <c r="D587" s="2" t="n">
        <v>0.0621833500121539</v>
      </c>
      <c r="E587" s="2" t="n">
        <v>0.0636336166664135</v>
      </c>
    </row>
    <row r="588" customFormat="false" ht="13.8" hidden="false" customHeight="false" outlineLevel="0" collapsed="false">
      <c r="B588" s="2" t="n">
        <v>586</v>
      </c>
      <c r="C588" s="2" t="n">
        <v>0.0314835000273062</v>
      </c>
      <c r="D588" s="2" t="n">
        <v>0.0530167500121531</v>
      </c>
      <c r="E588" s="2" t="n">
        <v>0.0324999999997459</v>
      </c>
    </row>
    <row r="589" customFormat="false" ht="13.8" hidden="false" customHeight="false" outlineLevel="0" collapsed="false">
      <c r="B589" s="2" t="n">
        <v>587</v>
      </c>
      <c r="C589" s="2" t="n">
        <v>0.0712000666939738</v>
      </c>
      <c r="D589" s="2" t="n">
        <v>0.0639335166788208</v>
      </c>
      <c r="E589" s="2" t="n">
        <v>0.0322501833330802</v>
      </c>
    </row>
    <row r="590" customFormat="false" ht="13.8" hidden="false" customHeight="false" outlineLevel="0" collapsed="false">
      <c r="B590" s="2" t="n">
        <v>588</v>
      </c>
      <c r="C590" s="2" t="n">
        <v>0.0193500333606408</v>
      </c>
      <c r="D590" s="2" t="n">
        <v>0.0539167500121543</v>
      </c>
      <c r="E590" s="2" t="n">
        <v>0.0868835166664135</v>
      </c>
    </row>
    <row r="591" customFormat="false" ht="13.8" hidden="false" customHeight="false" outlineLevel="0" collapsed="false">
      <c r="B591" s="2" t="n">
        <v>589</v>
      </c>
      <c r="C591" s="2" t="n">
        <v>0.0513334666939744</v>
      </c>
      <c r="D591" s="2" t="n">
        <v>0.0603167666788211</v>
      </c>
      <c r="E591" s="2" t="n">
        <v>0.0244501666664135</v>
      </c>
    </row>
    <row r="592" customFormat="false" ht="13.8" hidden="false" customHeight="false" outlineLevel="0" collapsed="false">
      <c r="B592" s="2" t="n">
        <v>590</v>
      </c>
      <c r="C592" s="2" t="n">
        <v>0.042250000027308</v>
      </c>
      <c r="D592" s="2" t="n">
        <v>0.0504501000121539</v>
      </c>
      <c r="E592" s="2" t="n">
        <v>0.0704835166664135</v>
      </c>
    </row>
    <row r="593" customFormat="false" ht="13.8" hidden="false" customHeight="false" outlineLevel="0" collapsed="false">
      <c r="B593" s="2" t="n">
        <v>591</v>
      </c>
      <c r="C593" s="2" t="n">
        <v>0.0484834000273078</v>
      </c>
      <c r="D593" s="2" t="n">
        <v>0.059283483345488</v>
      </c>
      <c r="E593" s="2" t="n">
        <v>0.0411837499997462</v>
      </c>
    </row>
    <row r="594" customFormat="false" ht="13.8" hidden="false" customHeight="false" outlineLevel="0" collapsed="false">
      <c r="B594" s="2" t="n">
        <v>592</v>
      </c>
      <c r="C594" s="2" t="n">
        <v>0.0418167000273086</v>
      </c>
      <c r="D594" s="2" t="n">
        <v>0.0503334166788215</v>
      </c>
      <c r="E594" s="2" t="n">
        <v>0.0627001333330801</v>
      </c>
    </row>
    <row r="595" customFormat="false" ht="13.8" hidden="false" customHeight="false" outlineLevel="0" collapsed="false">
      <c r="B595" s="2" t="n">
        <v>593</v>
      </c>
      <c r="C595" s="2" t="n">
        <v>0.0248502333606422</v>
      </c>
      <c r="D595" s="2" t="n">
        <v>0.0592835500121549</v>
      </c>
      <c r="E595" s="2" t="n">
        <v>0.0215336999997468</v>
      </c>
    </row>
    <row r="596" customFormat="false" ht="13.8" hidden="false" customHeight="false" outlineLevel="0" collapsed="false">
      <c r="B596" s="2" t="n">
        <v>594</v>
      </c>
      <c r="C596" s="2" t="n">
        <v>0.0466834333606425</v>
      </c>
      <c r="D596" s="2" t="n">
        <v>0.0510000000121551</v>
      </c>
      <c r="E596" s="2" t="n">
        <v>0.0584503499997468</v>
      </c>
    </row>
    <row r="597" customFormat="false" ht="13.8" hidden="false" customHeight="false" outlineLevel="0" collapsed="false">
      <c r="B597" s="2" t="n">
        <v>595</v>
      </c>
      <c r="C597" s="2" t="n">
        <v>0.0387168333606425</v>
      </c>
      <c r="D597" s="2" t="n">
        <v>0.0582003000121552</v>
      </c>
      <c r="E597" s="2" t="n">
        <v>0.0440334666664135</v>
      </c>
    </row>
    <row r="598" customFormat="false" ht="13.8" hidden="false" customHeight="false" outlineLevel="0" collapsed="false">
      <c r="B598" s="2" t="n">
        <v>596</v>
      </c>
      <c r="C598" s="2" t="n">
        <v>0.0246669666939764</v>
      </c>
      <c r="D598" s="2" t="n">
        <v>0.0510000000121553</v>
      </c>
      <c r="E598" s="2" t="n">
        <v>0.0600167333330801</v>
      </c>
    </row>
    <row r="599" customFormat="false" ht="13.8" hidden="false" customHeight="false" outlineLevel="0" collapsed="false">
      <c r="B599" s="2" t="n">
        <v>597</v>
      </c>
      <c r="C599" s="2" t="n">
        <v>0.0510168333606433</v>
      </c>
      <c r="D599" s="2" t="n">
        <v>0.0583666666788221</v>
      </c>
      <c r="E599" s="2" t="n">
        <v>0.0416833999997468</v>
      </c>
    </row>
    <row r="600" customFormat="false" ht="13.8" hidden="false" customHeight="false" outlineLevel="0" collapsed="false">
      <c r="B600" s="2" t="n">
        <v>598</v>
      </c>
      <c r="C600" s="2" t="n">
        <v>0.0219655823642551</v>
      </c>
      <c r="D600" s="2" t="n">
        <v>0.0439222866925746</v>
      </c>
      <c r="E600" s="2" t="n">
        <v>0.101372014148249</v>
      </c>
    </row>
    <row r="601" customFormat="false" ht="13.8" hidden="false" customHeight="false" outlineLevel="0" collapsed="false">
      <c r="B601" s="2" t="n">
        <v>599</v>
      </c>
      <c r="C601" s="2" t="n">
        <v>0.0548634979934323</v>
      </c>
      <c r="D601" s="2" t="n">
        <v>0.0460448066880333</v>
      </c>
      <c r="E601" s="2" t="n">
        <v>0.0153772782971327</v>
      </c>
    </row>
    <row r="602" customFormat="false" ht="13.8" hidden="false" customHeight="false" outlineLevel="0" collapsed="false">
      <c r="B602" s="2" t="n">
        <v>600</v>
      </c>
      <c r="C602" s="2" t="n">
        <v>0.0545452802892763</v>
      </c>
      <c r="D602" s="2" t="n">
        <v>0.044350326683492</v>
      </c>
      <c r="E602" s="2" t="n">
        <v>0.0887658924460163</v>
      </c>
    </row>
    <row r="603" customFormat="false" ht="13.8" hidden="false" customHeight="false" outlineLevel="0" collapsed="false">
      <c r="B603" s="2" t="n">
        <v>601</v>
      </c>
      <c r="C603" s="2" t="n">
        <v>0.0264941792517869</v>
      </c>
      <c r="D603" s="2" t="n">
        <v>0.048322630012284</v>
      </c>
      <c r="E603" s="2" t="n">
        <v>0.00550438992823318</v>
      </c>
    </row>
    <row r="604" customFormat="false" ht="13.8" hidden="false" customHeight="false" outlineLevel="0" collapsed="false">
      <c r="B604" s="2" t="n">
        <v>602</v>
      </c>
      <c r="C604" s="2" t="n">
        <v>0.0159643768350345</v>
      </c>
      <c r="D604" s="2" t="n">
        <v>0.0191200372402106</v>
      </c>
      <c r="E604" s="2" t="n">
        <v>0.0799790192358516</v>
      </c>
    </row>
    <row r="605" customFormat="false" ht="13.8" hidden="false" customHeight="false" outlineLevel="0" collapsed="false">
      <c r="B605" s="2" t="n">
        <v>603</v>
      </c>
      <c r="C605" s="2" t="n">
        <v>0.0214845577516154</v>
      </c>
      <c r="D605" s="2" t="n">
        <v>0.0252510944681372</v>
      </c>
      <c r="E605" s="2" t="n">
        <v>1.15732028563126E-013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1.54738715992026E-016</v>
      </c>
      <c r="E606" s="2" t="n">
        <v>0.0411284778510884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0.00427915889353779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0</v>
      </c>
      <c r="D624" s="2" t="n">
        <v>0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0</v>
      </c>
    </row>
    <row r="626" customFormat="false" ht="13.8" hidden="false" customHeight="false" outlineLevel="0" collapsed="false">
      <c r="B626" s="2" t="n">
        <v>624</v>
      </c>
      <c r="C626" s="2" t="n">
        <v>0</v>
      </c>
      <c r="D626" s="2" t="n">
        <v>0</v>
      </c>
      <c r="E626" s="2" t="n">
        <v>0</v>
      </c>
    </row>
    <row r="627" customFormat="false" ht="13.8" hidden="false" customHeight="false" outlineLevel="0" collapsed="false">
      <c r="B627" s="2" t="n">
        <v>625</v>
      </c>
      <c r="C627" s="2" t="n">
        <v>0</v>
      </c>
      <c r="D627" s="2" t="n">
        <v>0</v>
      </c>
      <c r="E627" s="2" t="n">
        <v>0</v>
      </c>
    </row>
    <row r="628" customFormat="false" ht="13.8" hidden="false" customHeight="false" outlineLevel="0" collapsed="false">
      <c r="B628" s="2" t="n">
        <v>626</v>
      </c>
      <c r="C628" s="2" t="n">
        <v>0</v>
      </c>
      <c r="D628" s="2" t="n">
        <v>0</v>
      </c>
      <c r="E628" s="2" t="n">
        <v>0</v>
      </c>
    </row>
    <row r="629" customFormat="false" ht="13.8" hidden="false" customHeight="false" outlineLevel="0" collapsed="false">
      <c r="B629" s="2" t="n">
        <v>627</v>
      </c>
      <c r="C629" s="2" t="n">
        <v>0</v>
      </c>
      <c r="D629" s="2" t="n">
        <v>0</v>
      </c>
      <c r="E629" s="2" t="n">
        <v>0</v>
      </c>
    </row>
    <row r="630" customFormat="false" ht="13.8" hidden="false" customHeight="false" outlineLevel="0" collapsed="false">
      <c r="B630" s="2" t="n">
        <v>628</v>
      </c>
      <c r="C630" s="2" t="n">
        <v>0</v>
      </c>
      <c r="D630" s="2" t="n">
        <v>0</v>
      </c>
      <c r="E630" s="2" t="n">
        <v>0</v>
      </c>
    </row>
    <row r="631" customFormat="false" ht="13.8" hidden="false" customHeight="false" outlineLevel="0" collapsed="false">
      <c r="B631" s="2" t="n">
        <v>629</v>
      </c>
      <c r="C631" s="2" t="n">
        <v>0</v>
      </c>
      <c r="D631" s="2" t="n">
        <v>0</v>
      </c>
      <c r="E631" s="2" t="n">
        <v>0</v>
      </c>
    </row>
    <row r="632" customFormat="false" ht="13.8" hidden="false" customHeight="false" outlineLevel="0" collapsed="false">
      <c r="B632" s="2" t="n">
        <v>630</v>
      </c>
      <c r="C632" s="2" t="n">
        <v>0</v>
      </c>
      <c r="D632" s="2" t="n">
        <v>0</v>
      </c>
      <c r="E632" s="2" t="n">
        <v>0</v>
      </c>
    </row>
    <row r="633" customFormat="false" ht="13.8" hidden="false" customHeight="false" outlineLevel="0" collapsed="false">
      <c r="B633" s="2" t="n">
        <v>631</v>
      </c>
      <c r="C633" s="2" t="n">
        <v>0</v>
      </c>
      <c r="D633" s="2" t="n">
        <v>0</v>
      </c>
      <c r="E633" s="2" t="n">
        <v>0</v>
      </c>
    </row>
    <row r="634" customFormat="false" ht="13.8" hidden="false" customHeight="false" outlineLevel="0" collapsed="false">
      <c r="B634" s="2" t="n">
        <v>632</v>
      </c>
      <c r="C634" s="2" t="n">
        <v>0</v>
      </c>
      <c r="D634" s="2" t="n">
        <v>0</v>
      </c>
      <c r="E634" s="2" t="n">
        <v>0</v>
      </c>
    </row>
    <row r="635" customFormat="false" ht="13.8" hidden="false" customHeight="false" outlineLevel="0" collapsed="false">
      <c r="B635" s="2" t="n">
        <v>633</v>
      </c>
      <c r="C635" s="2" t="n">
        <v>0</v>
      </c>
      <c r="D635" s="2" t="n">
        <v>0</v>
      </c>
      <c r="E635" s="2" t="n">
        <v>0</v>
      </c>
    </row>
    <row r="636" customFormat="false" ht="13.8" hidden="false" customHeight="false" outlineLevel="0" collapsed="false">
      <c r="B636" s="2" t="n">
        <v>634</v>
      </c>
      <c r="C636" s="2" t="n">
        <v>0</v>
      </c>
      <c r="D636" s="2" t="n">
        <v>0</v>
      </c>
      <c r="E636" s="2" t="n">
        <v>0</v>
      </c>
    </row>
    <row r="637" customFormat="false" ht="13.8" hidden="false" customHeight="false" outlineLevel="0" collapsed="false">
      <c r="B637" s="2" t="n">
        <v>635</v>
      </c>
      <c r="C637" s="2" t="n">
        <v>0</v>
      </c>
      <c r="D637" s="2" t="n">
        <v>0</v>
      </c>
      <c r="E637" s="2" t="n">
        <v>0</v>
      </c>
    </row>
    <row r="638" customFormat="false" ht="13.8" hidden="false" customHeight="false" outlineLevel="0" collapsed="false">
      <c r="B638" s="2" t="n">
        <v>636</v>
      </c>
      <c r="C638" s="2" t="n">
        <v>0</v>
      </c>
      <c r="D638" s="2" t="n">
        <v>0</v>
      </c>
      <c r="E638" s="2" t="n">
        <v>0</v>
      </c>
    </row>
    <row r="639" customFormat="false" ht="13.8" hidden="false" customHeight="false" outlineLevel="0" collapsed="false">
      <c r="B639" s="2" t="n">
        <v>637</v>
      </c>
      <c r="C639" s="2" t="n">
        <v>0</v>
      </c>
      <c r="D639" s="2" t="n">
        <v>0</v>
      </c>
      <c r="E639" s="2" t="n">
        <v>0</v>
      </c>
    </row>
    <row r="640" customFormat="false" ht="13.8" hidden="false" customHeight="false" outlineLevel="0" collapsed="false">
      <c r="B640" s="2" t="n">
        <v>638</v>
      </c>
      <c r="C640" s="2" t="n">
        <v>0</v>
      </c>
      <c r="D640" s="2" t="n">
        <v>0</v>
      </c>
      <c r="E640" s="2" t="n">
        <v>0</v>
      </c>
    </row>
    <row r="641" customFormat="false" ht="13.8" hidden="false" customHeight="false" outlineLevel="0" collapsed="false">
      <c r="B641" s="2" t="n">
        <v>639</v>
      </c>
      <c r="C641" s="2" t="n">
        <v>0</v>
      </c>
      <c r="D641" s="2" t="n">
        <v>0</v>
      </c>
      <c r="E641" s="2" t="n">
        <v>0</v>
      </c>
    </row>
    <row r="642" customFormat="false" ht="13.8" hidden="false" customHeight="false" outlineLevel="0" collapsed="false">
      <c r="B642" s="2" t="n">
        <v>640</v>
      </c>
      <c r="C642" s="2" t="n">
        <v>0.0341492763971004</v>
      </c>
      <c r="D642" s="2" t="n">
        <v>0.0445187873907492</v>
      </c>
      <c r="E642" s="2" t="n">
        <v>0.0153587627601686</v>
      </c>
    </row>
    <row r="643" customFormat="false" ht="13.8" hidden="false" customHeight="false" outlineLevel="0" collapsed="false">
      <c r="B643" s="2" t="n">
        <v>641</v>
      </c>
      <c r="C643" s="2" t="n">
        <v>0.0375862013372174</v>
      </c>
      <c r="D643" s="2" t="n">
        <v>0.0252343142333557</v>
      </c>
      <c r="E643" s="2" t="n">
        <v>0.0294190265432048</v>
      </c>
    </row>
    <row r="644" customFormat="false" ht="13.8" hidden="false" customHeight="false" outlineLevel="0" collapsed="false">
      <c r="B644" s="2" t="n">
        <v>642</v>
      </c>
      <c r="C644" s="2" t="n">
        <v>0.0162548728329114</v>
      </c>
      <c r="D644" s="2" t="n">
        <v>0.0690172779261248</v>
      </c>
      <c r="E644" s="2" t="n">
        <v>0.0677699556502552</v>
      </c>
    </row>
    <row r="645" customFormat="false" ht="13.8" hidden="false" customHeight="false" outlineLevel="0" collapsed="false">
      <c r="B645" s="2" t="n">
        <v>643</v>
      </c>
      <c r="C645" s="2" t="n">
        <v>0.0675899776619386</v>
      </c>
      <c r="D645" s="2" t="n">
        <v>0.0410501416188942</v>
      </c>
      <c r="E645" s="2" t="n">
        <v>0.0584541180906387</v>
      </c>
    </row>
    <row r="646" customFormat="false" ht="13.8" hidden="false" customHeight="false" outlineLevel="0" collapsed="false">
      <c r="B646" s="2" t="n">
        <v>644</v>
      </c>
      <c r="C646" s="2" t="n">
        <v>0.0435920158242994</v>
      </c>
      <c r="D646" s="2" t="n">
        <v>0.0663330053116634</v>
      </c>
      <c r="E646" s="2" t="n">
        <v>0.0461382305310226</v>
      </c>
    </row>
    <row r="647" customFormat="false" ht="13.8" hidden="false" customHeight="false" outlineLevel="0" collapsed="false">
      <c r="B647" s="2" t="n">
        <v>645</v>
      </c>
      <c r="C647" s="2" t="n">
        <v>0.0762604373199934</v>
      </c>
      <c r="D647" s="2" t="n">
        <v>0.0450325523377656</v>
      </c>
      <c r="E647" s="2" t="n">
        <v>0.070655942971406</v>
      </c>
    </row>
    <row r="648" customFormat="false" ht="13.8" hidden="false" customHeight="false" outlineLevel="0" collapsed="false">
      <c r="B648" s="2" t="n">
        <v>646</v>
      </c>
      <c r="C648" s="2" t="n">
        <v>0.0540703154899962</v>
      </c>
      <c r="D648" s="2" t="n">
        <v>0.0819619600866594</v>
      </c>
      <c r="E648" s="2" t="n">
        <v>0.0524049863952276</v>
      </c>
    </row>
    <row r="649" customFormat="false" ht="13.8" hidden="false" customHeight="false" outlineLevel="0" collapsed="false">
      <c r="B649" s="2" t="n">
        <v>647</v>
      </c>
      <c r="C649" s="2" t="n">
        <v>0.0808807269933324</v>
      </c>
      <c r="D649" s="2" t="n">
        <v>0.0158082845022189</v>
      </c>
      <c r="E649" s="2" t="n">
        <v>0.0471206298190492</v>
      </c>
    </row>
    <row r="650" customFormat="false" ht="13.8" hidden="false" customHeight="false" outlineLevel="0" collapsed="false">
      <c r="B650" s="2" t="n">
        <v>648</v>
      </c>
      <c r="C650" s="2" t="n">
        <v>0.0666072218300018</v>
      </c>
      <c r="D650" s="2" t="n">
        <v>0.065237408917779</v>
      </c>
      <c r="E650" s="2" t="n">
        <v>0.0748526232428708</v>
      </c>
    </row>
    <row r="651" customFormat="false" ht="13.8" hidden="false" customHeight="false" outlineLevel="0" collapsed="false">
      <c r="B651" s="2" t="n">
        <v>649</v>
      </c>
      <c r="C651" s="2" t="n">
        <v>0.0949676500000018</v>
      </c>
      <c r="D651" s="2" t="n">
        <v>0.0794168333333356</v>
      </c>
      <c r="E651" s="2" t="n">
        <v>0.0683680500000101</v>
      </c>
    </row>
    <row r="652" customFormat="false" ht="13.8" hidden="false" customHeight="false" outlineLevel="0" collapsed="false">
      <c r="B652" s="2" t="n">
        <v>650</v>
      </c>
      <c r="C652" s="2" t="n">
        <v>0.0744679666666686</v>
      </c>
      <c r="D652" s="2" t="n">
        <v>0.0595672166666689</v>
      </c>
      <c r="E652" s="2" t="n">
        <v>0.0824355333333435</v>
      </c>
    </row>
    <row r="653" customFormat="false" ht="13.8" hidden="false" customHeight="false" outlineLevel="0" collapsed="false">
      <c r="B653" s="2" t="n">
        <v>651</v>
      </c>
      <c r="C653" s="2" t="n">
        <v>0.107651316666669</v>
      </c>
      <c r="D653" s="2" t="n">
        <v>0.0607840333333355</v>
      </c>
      <c r="E653" s="2" t="n">
        <v>0.0272533500000102</v>
      </c>
    </row>
    <row r="654" customFormat="false" ht="13.8" hidden="false" customHeight="false" outlineLevel="0" collapsed="false">
      <c r="B654" s="2" t="n">
        <v>652</v>
      </c>
      <c r="C654" s="2" t="n">
        <v>0.0779190666666685</v>
      </c>
      <c r="D654" s="2" t="n">
        <v>0.0760347666666689</v>
      </c>
      <c r="E654" s="2" t="n">
        <v>0.114836433333344</v>
      </c>
    </row>
    <row r="655" customFormat="false" ht="13.8" hidden="false" customHeight="false" outlineLevel="0" collapsed="false">
      <c r="B655" s="2" t="n">
        <v>653</v>
      </c>
      <c r="C655" s="2" t="n">
        <v>0.0826531833333352</v>
      </c>
      <c r="D655" s="2" t="n">
        <v>0.0905516000000022</v>
      </c>
      <c r="E655" s="2" t="n">
        <v>0.0766873333333436</v>
      </c>
    </row>
    <row r="656" customFormat="false" ht="13.8" hidden="false" customHeight="false" outlineLevel="0" collapsed="false">
      <c r="B656" s="2" t="n">
        <v>654</v>
      </c>
      <c r="C656" s="2" t="n">
        <v>0.111936266666669</v>
      </c>
      <c r="D656" s="2" t="n">
        <v>0.114535150000002</v>
      </c>
      <c r="E656" s="2" t="n">
        <v>0.100720433333344</v>
      </c>
    </row>
    <row r="657" customFormat="false" ht="13.8" hidden="false" customHeight="false" outlineLevel="0" collapsed="false">
      <c r="B657" s="2" t="n">
        <v>655</v>
      </c>
      <c r="C657" s="2" t="n">
        <v>0.117602516666669</v>
      </c>
      <c r="D657" s="2" t="n">
        <v>0.0822858833333355</v>
      </c>
      <c r="E657" s="2" t="n">
        <v>0.113703816666677</v>
      </c>
    </row>
    <row r="658" customFormat="false" ht="13.8" hidden="false" customHeight="false" outlineLevel="0" collapsed="false">
      <c r="B658" s="2" t="n">
        <v>656</v>
      </c>
      <c r="C658" s="2" t="n">
        <v>0.123253250000002</v>
      </c>
      <c r="D658" s="2" t="n">
        <v>0.106619116666669</v>
      </c>
      <c r="E658" s="2" t="n">
        <v>0.0908867500000102</v>
      </c>
    </row>
    <row r="659" customFormat="false" ht="13.8" hidden="false" customHeight="false" outlineLevel="0" collapsed="false">
      <c r="B659" s="2" t="n">
        <v>657</v>
      </c>
      <c r="C659" s="2" t="n">
        <v>0.0943036333333353</v>
      </c>
      <c r="D659" s="2" t="n">
        <v>0.0821689166666688</v>
      </c>
      <c r="E659" s="2" t="n">
        <v>0.0831372500000101</v>
      </c>
    </row>
    <row r="660" customFormat="false" ht="13.8" hidden="false" customHeight="false" outlineLevel="0" collapsed="false">
      <c r="B660" s="2" t="n">
        <v>658</v>
      </c>
      <c r="C660" s="2" t="n">
        <v>0.117403483333335</v>
      </c>
      <c r="D660" s="2" t="n">
        <v>0.0478862333333357</v>
      </c>
      <c r="E660" s="2" t="n">
        <v>0.0756035666666769</v>
      </c>
    </row>
    <row r="661" customFormat="false" ht="13.8" hidden="false" customHeight="false" outlineLevel="0" collapsed="false">
      <c r="B661" s="2" t="n">
        <v>659</v>
      </c>
      <c r="C661" s="2" t="n">
        <v>0.0893202333333353</v>
      </c>
      <c r="D661" s="2" t="n">
        <v>0.101419783333336</v>
      </c>
      <c r="E661" s="2" t="n">
        <v>0.0681540000000102</v>
      </c>
    </row>
    <row r="662" customFormat="false" ht="13.8" hidden="false" customHeight="false" outlineLevel="0" collapsed="false">
      <c r="B662" s="2" t="n">
        <v>660</v>
      </c>
      <c r="C662" s="2" t="n">
        <v>0.111270200000002</v>
      </c>
      <c r="D662" s="2" t="n">
        <v>0.0533367500000022</v>
      </c>
      <c r="E662" s="2" t="n">
        <v>0.0597874500000102</v>
      </c>
    </row>
    <row r="663" customFormat="false" ht="13.8" hidden="false" customHeight="false" outlineLevel="0" collapsed="false">
      <c r="B663" s="2" t="n">
        <v>661</v>
      </c>
      <c r="C663" s="2" t="n">
        <v>0.107920300000002</v>
      </c>
      <c r="D663" s="2" t="n">
        <v>0.109053933333336</v>
      </c>
      <c r="E663" s="2" t="n">
        <v>0.110704116666677</v>
      </c>
    </row>
    <row r="664" customFormat="false" ht="13.8" hidden="false" customHeight="false" outlineLevel="0" collapsed="false">
      <c r="B664" s="2" t="n">
        <v>662</v>
      </c>
      <c r="C664" s="2" t="n">
        <v>0.126637133333335</v>
      </c>
      <c r="D664" s="2" t="n">
        <v>0.0751865500000022</v>
      </c>
      <c r="E664" s="2" t="n">
        <v>0.0397546666666769</v>
      </c>
    </row>
    <row r="665" customFormat="false" ht="13.8" hidden="false" customHeight="false" outlineLevel="0" collapsed="false">
      <c r="B665" s="2" t="n">
        <v>663</v>
      </c>
      <c r="C665" s="2" t="n">
        <v>0.0764712333333352</v>
      </c>
      <c r="D665" s="2" t="n">
        <v>0.121036800000002</v>
      </c>
      <c r="E665" s="2" t="n">
        <v>0.113287983333344</v>
      </c>
    </row>
    <row r="666" customFormat="false" ht="13.8" hidden="false" customHeight="false" outlineLevel="0" collapsed="false">
      <c r="B666" s="2" t="n">
        <v>664</v>
      </c>
      <c r="C666" s="2" t="n">
        <v>0.102704383333335</v>
      </c>
      <c r="D666" s="2" t="n">
        <v>0.0552368333333355</v>
      </c>
      <c r="E666" s="2" t="n">
        <v>0.0672214166666769</v>
      </c>
    </row>
    <row r="667" customFormat="false" ht="13.8" hidden="false" customHeight="false" outlineLevel="0" collapsed="false">
      <c r="B667" s="2" t="n">
        <v>665</v>
      </c>
      <c r="C667" s="2" t="n">
        <v>0.0672212500000019</v>
      </c>
      <c r="D667" s="2" t="n">
        <v>0.121103366666669</v>
      </c>
      <c r="E667" s="2" t="n">
        <v>0.0953377666666768</v>
      </c>
    </row>
    <row r="668" customFormat="false" ht="13.8" hidden="false" customHeight="false" outlineLevel="0" collapsed="false">
      <c r="B668" s="2" t="n">
        <v>666</v>
      </c>
      <c r="C668" s="2" t="n">
        <v>0.0953546166666685</v>
      </c>
      <c r="D668" s="2" t="n">
        <v>0.0496534166666689</v>
      </c>
      <c r="E668" s="2" t="n">
        <v>0.0770378833333435</v>
      </c>
    </row>
    <row r="669" customFormat="false" ht="13.8" hidden="false" customHeight="false" outlineLevel="0" collapsed="false">
      <c r="B669" s="2" t="n">
        <v>667</v>
      </c>
      <c r="C669" s="2" t="n">
        <v>0.0783206333333353</v>
      </c>
      <c r="D669" s="2" t="n">
        <v>0.102703800000002</v>
      </c>
      <c r="E669" s="2" t="n">
        <v>0.0830545333333435</v>
      </c>
    </row>
    <row r="670" customFormat="false" ht="13.8" hidden="false" customHeight="false" outlineLevel="0" collapsed="false">
      <c r="B670" s="2" t="n">
        <v>668</v>
      </c>
      <c r="C670" s="2" t="n">
        <v>0.105570366666669</v>
      </c>
      <c r="D670" s="2" t="n">
        <v>0.0455202500000022</v>
      </c>
      <c r="E670" s="2" t="n">
        <v>0.0786037166666769</v>
      </c>
    </row>
    <row r="671" customFormat="false" ht="13.8" hidden="false" customHeight="false" outlineLevel="0" collapsed="false">
      <c r="B671" s="2" t="n">
        <v>669</v>
      </c>
      <c r="C671" s="2" t="n">
        <v>0.0650041333333353</v>
      </c>
      <c r="D671" s="2" t="n">
        <v>0.0815026333333355</v>
      </c>
      <c r="E671" s="2" t="n">
        <v>0.0760370833333436</v>
      </c>
    </row>
    <row r="672" customFormat="false" ht="13.8" hidden="false" customHeight="false" outlineLevel="0" collapsed="false">
      <c r="B672" s="2" t="n">
        <v>670</v>
      </c>
      <c r="C672" s="2" t="n">
        <v>0.0860038833333353</v>
      </c>
      <c r="D672" s="2" t="n">
        <v>0.0557031666666689</v>
      </c>
      <c r="E672" s="2" t="n">
        <v>0.0702536333333435</v>
      </c>
    </row>
    <row r="673" customFormat="false" ht="13.8" hidden="false" customHeight="false" outlineLevel="0" collapsed="false">
      <c r="B673" s="2" t="n">
        <v>671</v>
      </c>
      <c r="C673" s="2" t="n">
        <v>0.0755704166666686</v>
      </c>
      <c r="D673" s="2" t="n">
        <v>0.0369197166666689</v>
      </c>
      <c r="E673" s="2" t="n">
        <v>0.0368208166666769</v>
      </c>
    </row>
    <row r="674" customFormat="false" ht="13.8" hidden="false" customHeight="false" outlineLevel="0" collapsed="false">
      <c r="B674" s="2" t="n">
        <v>672</v>
      </c>
      <c r="C674" s="2" t="n">
        <v>0.0537541666666666</v>
      </c>
      <c r="D674" s="2" t="n">
        <v>0.01881925</v>
      </c>
      <c r="E674" s="2" t="n">
        <v>0.0485542833333337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B13:E16 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2.8872447284496</v>
      </c>
      <c r="D3" s="2" t="n">
        <v>3.11951825333513</v>
      </c>
      <c r="E3" s="2" t="n">
        <v>3.01212582671842</v>
      </c>
    </row>
    <row r="4" customFormat="false" ht="13.8" hidden="false" customHeight="false" outlineLevel="0" collapsed="false">
      <c r="B4" s="2" t="n">
        <v>2</v>
      </c>
      <c r="C4" s="2" t="n">
        <v>2.8334542078663</v>
      </c>
      <c r="D4" s="2" t="n">
        <v>3.07559594704687</v>
      </c>
      <c r="E4" s="2" t="n">
        <v>2.9656674091666</v>
      </c>
    </row>
    <row r="5" customFormat="false" ht="13.8" hidden="false" customHeight="false" outlineLevel="0" collapsed="false">
      <c r="B5" s="2" t="n">
        <v>3</v>
      </c>
      <c r="C5" s="2" t="n">
        <v>2.77210891037316</v>
      </c>
      <c r="D5" s="2" t="n">
        <v>3.02171169109267</v>
      </c>
      <c r="E5" s="2" t="n">
        <v>2.89572895619891</v>
      </c>
    </row>
    <row r="6" customFormat="false" ht="13.8" hidden="false" customHeight="false" outlineLevel="0" collapsed="false">
      <c r="B6" s="2" t="n">
        <v>4</v>
      </c>
      <c r="C6" s="2" t="n">
        <v>2.7130060781846</v>
      </c>
      <c r="D6" s="2" t="n">
        <v>2.95142139990683</v>
      </c>
      <c r="E6" s="2" t="n">
        <v>2.87371738780088</v>
      </c>
    </row>
    <row r="7" customFormat="false" ht="13.8" hidden="false" customHeight="false" outlineLevel="0" collapsed="false">
      <c r="B7" s="2" t="n">
        <v>5</v>
      </c>
      <c r="C7" s="2" t="n">
        <v>2.65270068887597</v>
      </c>
      <c r="D7" s="2" t="n">
        <v>2.92322512643861</v>
      </c>
      <c r="E7" s="2" t="n">
        <v>2.78537346544441</v>
      </c>
    </row>
    <row r="8" customFormat="false" ht="13.8" hidden="false" customHeight="false" outlineLevel="0" collapsed="false">
      <c r="B8" s="2" t="n">
        <v>6</v>
      </c>
      <c r="C8" s="2" t="n">
        <v>2.60852577299137</v>
      </c>
      <c r="D8" s="2" t="n">
        <v>2.84834389419226</v>
      </c>
      <c r="E8" s="2" t="n">
        <v>2.76660474134193</v>
      </c>
    </row>
    <row r="9" customFormat="false" ht="13.8" hidden="false" customHeight="false" outlineLevel="0" collapsed="false">
      <c r="B9" s="2" t="n">
        <v>7</v>
      </c>
      <c r="C9" s="2" t="n">
        <v>2.54846250255938</v>
      </c>
      <c r="D9" s="2" t="n">
        <v>2.82409304038774</v>
      </c>
      <c r="E9" s="2" t="n">
        <v>2.74503964937109</v>
      </c>
    </row>
    <row r="10" customFormat="false" ht="13.8" hidden="false" customHeight="false" outlineLevel="0" collapsed="false">
      <c r="B10" s="2" t="n">
        <v>8</v>
      </c>
      <c r="C10" s="2" t="n">
        <v>2.50275164757468</v>
      </c>
      <c r="D10" s="2" t="n">
        <v>2.77739763279533</v>
      </c>
      <c r="E10" s="2" t="n">
        <v>2.70669706934741</v>
      </c>
    </row>
    <row r="11" customFormat="false" ht="13.8" hidden="false" customHeight="false" outlineLevel="0" collapsed="false">
      <c r="B11" s="2" t="n">
        <v>9</v>
      </c>
      <c r="C11" s="2" t="n">
        <v>2.44133760155013</v>
      </c>
      <c r="D11" s="2" t="n">
        <v>2.72672139586059</v>
      </c>
      <c r="E11" s="2" t="n">
        <v>2.6795772060828</v>
      </c>
    </row>
    <row r="12" customFormat="false" ht="13.8" hidden="false" customHeight="false" outlineLevel="0" collapsed="false">
      <c r="B12" s="2" t="n">
        <v>10</v>
      </c>
      <c r="C12" s="2" t="n">
        <v>2.39681289188803</v>
      </c>
      <c r="D12" s="2" t="n">
        <v>2.71350872124367</v>
      </c>
      <c r="E12" s="2" t="n">
        <v>2.604013336239</v>
      </c>
    </row>
    <row r="13" customFormat="false" ht="13.8" hidden="false" customHeight="false" outlineLevel="0" collapsed="false">
      <c r="B13" s="2" t="n">
        <v>11</v>
      </c>
      <c r="C13" s="2" t="n">
        <v>2.37327027562093</v>
      </c>
      <c r="D13" s="2" t="n">
        <v>2.66524064171633</v>
      </c>
      <c r="E13" s="2" t="n">
        <v>2.56213535166348</v>
      </c>
    </row>
    <row r="14" customFormat="false" ht="13.8" hidden="false" customHeight="false" outlineLevel="0" collapsed="false">
      <c r="B14" s="2" t="n">
        <v>12</v>
      </c>
      <c r="C14" s="2" t="n">
        <v>2.31591320959457</v>
      </c>
      <c r="D14" s="2" t="n">
        <v>2.59452865598077</v>
      </c>
      <c r="E14" s="2" t="n">
        <v>2.48738750808997</v>
      </c>
    </row>
    <row r="15" customFormat="false" ht="13.8" hidden="false" customHeight="false" outlineLevel="0" collapsed="false">
      <c r="B15" s="2" t="n">
        <v>13</v>
      </c>
      <c r="C15" s="2" t="n">
        <v>2.23472325417566</v>
      </c>
      <c r="D15" s="2" t="n">
        <v>2.56561382180939</v>
      </c>
      <c r="E15" s="2" t="n">
        <v>2.44504778236521</v>
      </c>
    </row>
    <row r="16" customFormat="false" ht="13.8" hidden="false" customHeight="false" outlineLevel="0" collapsed="false">
      <c r="B16" s="2" t="n">
        <v>14</v>
      </c>
      <c r="C16" s="2" t="n">
        <v>2.14140459213755</v>
      </c>
      <c r="D16" s="2" t="n">
        <v>2.49429172123068</v>
      </c>
      <c r="E16" s="2" t="n">
        <v>2.36806033188952</v>
      </c>
    </row>
    <row r="17" customFormat="false" ht="13.8" hidden="false" customHeight="false" outlineLevel="0" collapsed="false">
      <c r="B17" s="2" t="n">
        <v>15</v>
      </c>
      <c r="C17" s="2" t="n">
        <v>2.08880908550803</v>
      </c>
      <c r="D17" s="2" t="n">
        <v>2.48204422276175</v>
      </c>
      <c r="E17" s="2" t="n">
        <v>2.32507359573272</v>
      </c>
    </row>
    <row r="18" customFormat="false" ht="13.8" hidden="false" customHeight="false" outlineLevel="0" collapsed="false">
      <c r="B18" s="2" t="n">
        <v>16</v>
      </c>
      <c r="C18" s="2" t="n">
        <v>2.00334360483335</v>
      </c>
      <c r="D18" s="2" t="n">
        <v>2.39401908750842</v>
      </c>
      <c r="E18" s="2" t="n">
        <v>2.2517538635173</v>
      </c>
    </row>
    <row r="19" customFormat="false" ht="13.8" hidden="false" customHeight="false" outlineLevel="0" collapsed="false">
      <c r="B19" s="2" t="n">
        <v>17</v>
      </c>
      <c r="C19" s="2" t="n">
        <v>1.95532333066507</v>
      </c>
      <c r="D19" s="2" t="n">
        <v>2.37601357324708</v>
      </c>
      <c r="E19" s="2" t="n">
        <v>2.21076834598064</v>
      </c>
    </row>
    <row r="20" customFormat="false" ht="13.8" hidden="false" customHeight="false" outlineLevel="0" collapsed="false">
      <c r="B20" s="2" t="n">
        <v>18</v>
      </c>
      <c r="C20" s="2" t="n">
        <v>1.87434055521782</v>
      </c>
      <c r="D20" s="2" t="n">
        <v>2.30513760941112</v>
      </c>
      <c r="E20" s="2" t="n">
        <v>2.16137549755835</v>
      </c>
    </row>
    <row r="21" customFormat="false" ht="13.8" hidden="false" customHeight="false" outlineLevel="0" collapsed="false">
      <c r="B21" s="2" t="n">
        <v>19</v>
      </c>
      <c r="C21" s="2" t="n">
        <v>1.82878457107956</v>
      </c>
      <c r="D21" s="2" t="n">
        <v>2.2425774839643</v>
      </c>
      <c r="E21" s="2" t="n">
        <v>2.13474268010154</v>
      </c>
    </row>
    <row r="22" customFormat="false" ht="13.8" hidden="false" customHeight="false" outlineLevel="0" collapsed="false">
      <c r="B22" s="2" t="n">
        <v>20</v>
      </c>
      <c r="C22" s="2" t="n">
        <v>1.76911778324165</v>
      </c>
      <c r="D22" s="2" t="n">
        <v>2.18368461374826</v>
      </c>
      <c r="E22" s="2" t="n">
        <v>2.04927672156545</v>
      </c>
    </row>
    <row r="23" customFormat="false" ht="13.8" hidden="false" customHeight="false" outlineLevel="0" collapsed="false">
      <c r="B23" s="2" t="n">
        <v>21</v>
      </c>
      <c r="C23" s="2" t="n">
        <v>1.69765516614544</v>
      </c>
      <c r="D23" s="2" t="n">
        <v>2.12449611023857</v>
      </c>
      <c r="E23" s="2" t="n">
        <v>2.01540426583703</v>
      </c>
    </row>
    <row r="24" customFormat="false" ht="13.8" hidden="false" customHeight="false" outlineLevel="0" collapsed="false">
      <c r="B24" s="2" t="n">
        <v>22</v>
      </c>
      <c r="C24" s="2" t="n">
        <v>1.6197408247586</v>
      </c>
      <c r="D24" s="2" t="n">
        <v>2.06570426145796</v>
      </c>
      <c r="E24" s="2" t="n">
        <v>1.92488529629533</v>
      </c>
    </row>
    <row r="25" customFormat="false" ht="13.8" hidden="false" customHeight="false" outlineLevel="0" collapsed="false">
      <c r="B25" s="2" t="n">
        <v>23</v>
      </c>
      <c r="C25" s="2" t="n">
        <v>1.57781863837343</v>
      </c>
      <c r="D25" s="2" t="n">
        <v>2.00730915601608</v>
      </c>
      <c r="E25" s="2" t="n">
        <v>1.90273878680359</v>
      </c>
    </row>
    <row r="26" customFormat="false" ht="13.8" hidden="false" customHeight="false" outlineLevel="0" collapsed="false">
      <c r="B26" s="2" t="n">
        <v>24</v>
      </c>
      <c r="C26" s="2" t="n">
        <v>1.47207361743876</v>
      </c>
      <c r="D26" s="2" t="n">
        <v>1.9497552158714</v>
      </c>
      <c r="E26" s="2" t="n">
        <v>1.8024825351187</v>
      </c>
    </row>
    <row r="27" customFormat="false" ht="13.8" hidden="false" customHeight="false" outlineLevel="0" collapsed="false">
      <c r="B27" s="2" t="n">
        <v>25</v>
      </c>
      <c r="C27" s="2" t="n">
        <v>1.43104345573848</v>
      </c>
      <c r="D27" s="2" t="n">
        <v>1.89237571039006</v>
      </c>
      <c r="E27" s="2" t="n">
        <v>1.7832283408566</v>
      </c>
    </row>
    <row r="28" customFormat="false" ht="13.8" hidden="false" customHeight="false" outlineLevel="0" collapsed="false">
      <c r="B28" s="2" t="n">
        <v>26</v>
      </c>
      <c r="C28" s="2" t="n">
        <v>1.32486854085148</v>
      </c>
      <c r="D28" s="2" t="n">
        <v>1.84016196824234</v>
      </c>
      <c r="E28" s="2" t="n">
        <v>1.69397386824594</v>
      </c>
    </row>
    <row r="29" customFormat="false" ht="13.8" hidden="false" customHeight="false" outlineLevel="0" collapsed="false">
      <c r="B29" s="2" t="n">
        <v>27</v>
      </c>
      <c r="C29" s="2" t="n">
        <v>1.29354943163269</v>
      </c>
      <c r="D29" s="2" t="n">
        <v>1.75257736369651</v>
      </c>
      <c r="E29" s="2" t="n">
        <v>1.69077535432656</v>
      </c>
    </row>
    <row r="30" customFormat="false" ht="13.8" hidden="false" customHeight="false" outlineLevel="0" collapsed="false">
      <c r="B30" s="2" t="n">
        <v>28</v>
      </c>
      <c r="C30" s="2" t="n">
        <v>1.20639984248701</v>
      </c>
      <c r="D30" s="2" t="n">
        <v>1.71825160231307</v>
      </c>
      <c r="E30" s="2" t="n">
        <v>1.62252110520553</v>
      </c>
    </row>
    <row r="31" customFormat="false" ht="13.8" hidden="false" customHeight="false" outlineLevel="0" collapsed="false">
      <c r="B31" s="2" t="n">
        <v>29</v>
      </c>
      <c r="C31" s="2" t="n">
        <v>1.19534681320074</v>
      </c>
      <c r="D31" s="2" t="n">
        <v>1.64666604039247</v>
      </c>
      <c r="E31" s="2" t="n">
        <v>1.57093436403279</v>
      </c>
    </row>
    <row r="32" customFormat="false" ht="13.8" hidden="false" customHeight="false" outlineLevel="0" collapsed="false">
      <c r="B32" s="2" t="n">
        <v>30</v>
      </c>
      <c r="C32" s="2" t="n">
        <v>1.14359910413042</v>
      </c>
      <c r="D32" s="2" t="n">
        <v>1.61518414958248</v>
      </c>
      <c r="E32" s="2" t="n">
        <v>1.57091865468362</v>
      </c>
    </row>
    <row r="33" customFormat="false" ht="13.8" hidden="false" customHeight="false" outlineLevel="0" collapsed="false">
      <c r="B33" s="2" t="n">
        <v>31</v>
      </c>
      <c r="C33" s="2" t="n">
        <v>1.14358766811748</v>
      </c>
      <c r="D33" s="2" t="n">
        <v>1.61210243625381</v>
      </c>
      <c r="E33" s="2" t="n">
        <v>1.58478786009658</v>
      </c>
    </row>
    <row r="34" customFormat="false" ht="13.8" hidden="false" customHeight="false" outlineLevel="0" collapsed="false">
      <c r="B34" s="2" t="n">
        <v>32</v>
      </c>
      <c r="C34" s="2" t="n">
        <v>1.14357623221992</v>
      </c>
      <c r="D34" s="2" t="n">
        <v>1.61208631522176</v>
      </c>
      <c r="E34" s="2" t="n">
        <v>1.58997436943217</v>
      </c>
    </row>
    <row r="35" customFormat="false" ht="13.8" hidden="false" customHeight="false" outlineLevel="0" collapsed="false">
      <c r="B35" s="2" t="n">
        <v>33</v>
      </c>
      <c r="C35" s="2" t="n">
        <v>1.14356479643775</v>
      </c>
      <c r="D35" s="2" t="n">
        <v>1.63780722978861</v>
      </c>
      <c r="E35" s="2" t="n">
        <v>1.61998666142769</v>
      </c>
    </row>
    <row r="36" customFormat="false" ht="13.8" hidden="false" customHeight="false" outlineLevel="0" collapsed="false">
      <c r="B36" s="2" t="n">
        <v>34</v>
      </c>
      <c r="C36" s="2" t="n">
        <v>1.14355336077097</v>
      </c>
      <c r="D36" s="2" t="n">
        <v>1.64004894752394</v>
      </c>
      <c r="E36" s="2" t="n">
        <v>1.62084598896837</v>
      </c>
    </row>
    <row r="37" customFormat="false" ht="13.8" hidden="false" customHeight="false" outlineLevel="0" collapsed="false">
      <c r="B37" s="2" t="n">
        <v>35</v>
      </c>
      <c r="C37" s="2" t="n">
        <v>1.14354192521957</v>
      </c>
      <c r="D37" s="2" t="n">
        <v>1.64003254702844</v>
      </c>
      <c r="E37" s="2" t="n">
        <v>1.62082978050431</v>
      </c>
    </row>
    <row r="38" customFormat="false" ht="13.8" hidden="false" customHeight="false" outlineLevel="0" collapsed="false">
      <c r="B38" s="2" t="n">
        <v>36</v>
      </c>
      <c r="C38" s="2" t="n">
        <v>1.14353048978356</v>
      </c>
      <c r="D38" s="2" t="n">
        <v>1.64001614669752</v>
      </c>
      <c r="E38" s="2" t="n">
        <v>1.62081357220264</v>
      </c>
    </row>
    <row r="39" customFormat="false" ht="13.8" hidden="false" customHeight="false" outlineLevel="0" collapsed="false">
      <c r="B39" s="2" t="n">
        <v>37</v>
      </c>
      <c r="C39" s="2" t="n">
        <v>1.14351905446294</v>
      </c>
      <c r="D39" s="2" t="n">
        <v>1.63999974653119</v>
      </c>
      <c r="E39" s="2" t="n">
        <v>1.62079736406337</v>
      </c>
    </row>
    <row r="40" customFormat="false" ht="13.8" hidden="false" customHeight="false" outlineLevel="0" collapsed="false">
      <c r="B40" s="2" t="n">
        <v>38</v>
      </c>
      <c r="C40" s="2" t="n">
        <v>1.14350761925769</v>
      </c>
      <c r="D40" s="2" t="n">
        <v>1.63998334652945</v>
      </c>
      <c r="E40" s="2" t="n">
        <v>1.6207811560865</v>
      </c>
    </row>
    <row r="41" customFormat="false" ht="13.8" hidden="false" customHeight="false" outlineLevel="0" collapsed="false">
      <c r="B41" s="2" t="n">
        <v>39</v>
      </c>
      <c r="C41" s="2" t="n">
        <v>1.14349618416783</v>
      </c>
      <c r="D41" s="2" t="n">
        <v>1.63996694669228</v>
      </c>
      <c r="E41" s="2" t="n">
        <v>1.62076494827202</v>
      </c>
    </row>
    <row r="42" customFormat="false" ht="13.8" hidden="false" customHeight="false" outlineLevel="0" collapsed="false">
      <c r="B42" s="2" t="n">
        <v>40</v>
      </c>
      <c r="C42" s="2" t="n">
        <v>1.14348474919334</v>
      </c>
      <c r="D42" s="2" t="n">
        <v>1.6399505470197</v>
      </c>
      <c r="E42" s="2" t="n">
        <v>1.62074874061993</v>
      </c>
    </row>
    <row r="43" customFormat="false" ht="13.8" hidden="false" customHeight="false" outlineLevel="0" collapsed="false">
      <c r="B43" s="2" t="n">
        <v>41</v>
      </c>
      <c r="C43" s="2" t="n">
        <v>1.14347331433424</v>
      </c>
      <c r="D43" s="2" t="n">
        <v>1.63993414751169</v>
      </c>
      <c r="E43" s="2" t="n">
        <v>1.62073253313023</v>
      </c>
    </row>
    <row r="44" customFormat="false" ht="13.8" hidden="false" customHeight="false" outlineLevel="0" collapsed="false">
      <c r="B44" s="2" t="n">
        <v>42</v>
      </c>
      <c r="C44" s="2" t="n">
        <v>1.14346187959051</v>
      </c>
      <c r="D44" s="2" t="n">
        <v>1.63991774816826</v>
      </c>
      <c r="E44" s="2" t="n">
        <v>1.62071632580291</v>
      </c>
    </row>
    <row r="45" customFormat="false" ht="13.8" hidden="false" customHeight="false" outlineLevel="0" collapsed="false">
      <c r="B45" s="2" t="n">
        <v>43</v>
      </c>
      <c r="C45" s="2" t="n">
        <v>1.14345044496216</v>
      </c>
      <c r="D45" s="2" t="n">
        <v>1.6399013489894</v>
      </c>
      <c r="E45" s="2" t="n">
        <v>1.62070011863799</v>
      </c>
    </row>
    <row r="46" customFormat="false" ht="13.8" hidden="false" customHeight="false" outlineLevel="0" collapsed="false">
      <c r="B46" s="2" t="n">
        <v>44</v>
      </c>
      <c r="C46" s="2" t="n">
        <v>1.14343901044919</v>
      </c>
      <c r="D46" s="2" t="n">
        <v>1.63988494997512</v>
      </c>
      <c r="E46" s="2" t="n">
        <v>1.62068391163545</v>
      </c>
    </row>
    <row r="47" customFormat="false" ht="13.8" hidden="false" customHeight="false" outlineLevel="0" collapsed="false">
      <c r="B47" s="2" t="n">
        <v>45</v>
      </c>
      <c r="C47" s="2" t="n">
        <v>1.14342757605159</v>
      </c>
      <c r="D47" s="2" t="n">
        <v>1.63986855112542</v>
      </c>
      <c r="E47" s="2" t="n">
        <v>1.62066770479529</v>
      </c>
    </row>
    <row r="48" customFormat="false" ht="13.8" hidden="false" customHeight="false" outlineLevel="0" collapsed="false">
      <c r="B48" s="2" t="n">
        <v>46</v>
      </c>
      <c r="C48" s="2" t="n">
        <v>1.14341614176936</v>
      </c>
      <c r="D48" s="2" t="n">
        <v>1.63985215244022</v>
      </c>
      <c r="E48" s="2" t="n">
        <v>1.62065149811752</v>
      </c>
    </row>
    <row r="49" customFormat="false" ht="13.8" hidden="false" customHeight="false" outlineLevel="0" collapsed="false">
      <c r="B49" s="2" t="n">
        <v>47</v>
      </c>
      <c r="C49" s="2" t="n">
        <v>1.1434047076025</v>
      </c>
      <c r="D49" s="2" t="n">
        <v>1.63983575391929</v>
      </c>
      <c r="E49" s="2" t="n">
        <v>1.62063529160212</v>
      </c>
    </row>
    <row r="50" customFormat="false" ht="13.8" hidden="false" customHeight="false" outlineLevel="0" collapsed="false">
      <c r="B50" s="2" t="n">
        <v>48</v>
      </c>
      <c r="C50" s="2" t="n">
        <v>1.14339327355102</v>
      </c>
      <c r="D50" s="2" t="n">
        <v>1.6398193555623</v>
      </c>
      <c r="E50" s="2" t="n">
        <v>1.62061908524911</v>
      </c>
    </row>
    <row r="51" customFormat="false" ht="13.8" hidden="false" customHeight="false" outlineLevel="0" collapsed="false">
      <c r="B51" s="2" t="n">
        <v>49</v>
      </c>
      <c r="C51" s="2" t="n">
        <v>1.1433818396149</v>
      </c>
      <c r="D51" s="2" t="n">
        <v>1.63980295736905</v>
      </c>
      <c r="E51" s="2" t="n">
        <v>1.62060287905847</v>
      </c>
    </row>
    <row r="52" customFormat="false" ht="13.8" hidden="false" customHeight="false" outlineLevel="0" collapsed="false">
      <c r="B52" s="2" t="n">
        <v>50</v>
      </c>
      <c r="C52" s="2" t="n">
        <v>1.14337040579415</v>
      </c>
      <c r="D52" s="2" t="n">
        <v>1.75432217826674</v>
      </c>
      <c r="E52" s="2" t="n">
        <v>1.6205866730302</v>
      </c>
    </row>
    <row r="53" customFormat="false" ht="13.8" hidden="false" customHeight="false" outlineLevel="0" collapsed="false">
      <c r="B53" s="2" t="n">
        <v>51</v>
      </c>
      <c r="C53" s="2" t="n">
        <v>1.14335897208872</v>
      </c>
      <c r="D53" s="2" t="n">
        <v>1.96893369368763</v>
      </c>
      <c r="E53" s="2" t="n">
        <v>1.62057046716424</v>
      </c>
    </row>
    <row r="54" customFormat="false" ht="13.8" hidden="false" customHeight="false" outlineLevel="0" collapsed="false">
      <c r="B54" s="2" t="n">
        <v>52</v>
      </c>
      <c r="C54" s="2" t="n">
        <v>1.14334753849835</v>
      </c>
      <c r="D54" s="2" t="n">
        <v>2.21964297438719</v>
      </c>
      <c r="E54" s="2" t="n">
        <v>1.62055426146028</v>
      </c>
    </row>
    <row r="55" customFormat="false" ht="13.8" hidden="false" customHeight="false" outlineLevel="0" collapsed="false">
      <c r="B55" s="2" t="n">
        <v>53</v>
      </c>
      <c r="C55" s="2" t="n">
        <v>1.27611439385632</v>
      </c>
      <c r="D55" s="2" t="n">
        <v>2.48040897584762</v>
      </c>
      <c r="E55" s="2" t="n">
        <v>1.62053805591803</v>
      </c>
    </row>
    <row r="56" customFormat="false" ht="13.8" hidden="false" customHeight="false" outlineLevel="0" collapsed="false">
      <c r="B56" s="2" t="n">
        <v>54</v>
      </c>
      <c r="C56" s="2" t="n">
        <v>1.5140419991325</v>
      </c>
      <c r="D56" s="2" t="n">
        <v>2.73248752587536</v>
      </c>
      <c r="E56" s="2" t="n">
        <v>1.74219242195943</v>
      </c>
    </row>
    <row r="57" customFormat="false" ht="13.8" hidden="false" customHeight="false" outlineLevel="0" collapsed="false">
      <c r="B57" s="2" t="n">
        <v>55</v>
      </c>
      <c r="C57" s="2" t="n">
        <v>1.78850990857945</v>
      </c>
      <c r="D57" s="2" t="n">
        <v>2.97257910134492</v>
      </c>
      <c r="E57" s="2" t="n">
        <v>1.93337190187829</v>
      </c>
    </row>
    <row r="58" customFormat="false" ht="13.8" hidden="false" customHeight="false" outlineLevel="0" collapsed="false">
      <c r="B58" s="2" t="n">
        <v>56</v>
      </c>
      <c r="C58" s="2" t="n">
        <v>2.06140014902229</v>
      </c>
      <c r="D58" s="2" t="n">
        <v>3.20273868712606</v>
      </c>
      <c r="E58" s="2" t="n">
        <v>2.22053645260388</v>
      </c>
    </row>
    <row r="59" customFormat="false" ht="13.8" hidden="false" customHeight="false" outlineLevel="0" collapsed="false">
      <c r="B59" s="2" t="n">
        <v>57</v>
      </c>
      <c r="C59" s="2" t="n">
        <v>2.33441050853175</v>
      </c>
      <c r="D59" s="2" t="n">
        <v>3.42433199753866</v>
      </c>
      <c r="E59" s="2" t="n">
        <v>2.47360583739014</v>
      </c>
    </row>
    <row r="60" customFormat="false" ht="13.8" hidden="false" customHeight="false" outlineLevel="0" collapsed="false">
      <c r="B60" s="2" t="n">
        <v>58</v>
      </c>
      <c r="C60" s="2" t="n">
        <v>2.55275620123404</v>
      </c>
      <c r="D60" s="2" t="n">
        <v>3.61733181494029</v>
      </c>
      <c r="E60" s="2" t="n">
        <v>2.73237387197801</v>
      </c>
    </row>
    <row r="61" customFormat="false" ht="13.8" hidden="false" customHeight="false" outlineLevel="0" collapsed="false">
      <c r="B61" s="2" t="n">
        <v>59</v>
      </c>
      <c r="C61" s="2" t="n">
        <v>2.7492128337758</v>
      </c>
      <c r="D61" s="2" t="n">
        <v>3.78341830526589</v>
      </c>
      <c r="E61" s="2" t="n">
        <v>2.93594045438099</v>
      </c>
    </row>
    <row r="62" customFormat="false" ht="13.8" hidden="false" customHeight="false" outlineLevel="0" collapsed="false">
      <c r="B62" s="2" t="n">
        <v>60</v>
      </c>
      <c r="C62" s="2" t="n">
        <v>2.90038053504764</v>
      </c>
      <c r="D62" s="2" t="n">
        <v>3.95559128764871</v>
      </c>
      <c r="E62" s="2" t="n">
        <v>3.09495640661361</v>
      </c>
    </row>
    <row r="63" customFormat="false" ht="13.8" hidden="false" customHeight="false" outlineLevel="0" collapsed="false">
      <c r="B63" s="2" t="n">
        <v>61</v>
      </c>
      <c r="C63" s="2" t="n">
        <v>3.02965932293888</v>
      </c>
      <c r="D63" s="2" t="n">
        <v>4.02960107622384</v>
      </c>
      <c r="E63" s="2" t="n">
        <v>3.23627185918215</v>
      </c>
    </row>
    <row r="64" customFormat="false" ht="13.8" hidden="false" customHeight="false" outlineLevel="0" collapsed="false">
      <c r="B64" s="2" t="n">
        <v>62</v>
      </c>
      <c r="C64" s="2" t="n">
        <v>3.1292668820508</v>
      </c>
      <c r="D64" s="2" t="n">
        <v>4.14684134611738</v>
      </c>
      <c r="E64" s="2" t="n">
        <v>3.34204264361629</v>
      </c>
    </row>
    <row r="65" customFormat="false" ht="13.8" hidden="false" customHeight="false" outlineLevel="0" collapsed="false">
      <c r="B65" s="2" t="n">
        <v>63</v>
      </c>
      <c r="C65" s="2" t="n">
        <v>3.22312847909569</v>
      </c>
      <c r="D65" s="2" t="n">
        <v>4.22931147002452</v>
      </c>
      <c r="E65" s="2" t="n">
        <v>3.44736911536271</v>
      </c>
    </row>
    <row r="66" customFormat="false" ht="13.8" hidden="false" customHeight="false" outlineLevel="0" collapsed="false">
      <c r="B66" s="2" t="n">
        <v>64</v>
      </c>
      <c r="C66" s="2" t="n">
        <v>3.28814411153316</v>
      </c>
      <c r="D66" s="2" t="n">
        <v>4.28646211064672</v>
      </c>
      <c r="E66" s="2" t="n">
        <v>3.51715127886453</v>
      </c>
    </row>
    <row r="67" customFormat="false" ht="13.8" hidden="false" customHeight="false" outlineLevel="0" collapsed="false">
      <c r="B67" s="2" t="n">
        <v>65</v>
      </c>
      <c r="C67" s="2" t="n">
        <v>3.34771406782287</v>
      </c>
      <c r="D67" s="2" t="n">
        <v>4.3285682661788</v>
      </c>
      <c r="E67" s="2" t="n">
        <v>3.58648948956483</v>
      </c>
    </row>
    <row r="68" customFormat="false" ht="13.8" hidden="false" customHeight="false" outlineLevel="0" collapsed="false">
      <c r="B68" s="2" t="n">
        <v>66</v>
      </c>
      <c r="C68" s="2" t="n">
        <v>3.37924547318573</v>
      </c>
      <c r="D68" s="2" t="n">
        <v>4.3551972704498</v>
      </c>
      <c r="E68" s="2" t="n">
        <v>3.61770025464257</v>
      </c>
    </row>
    <row r="69" customFormat="false" ht="13.8" hidden="false" customHeight="false" outlineLevel="0" collapsed="false">
      <c r="B69" s="2" t="n">
        <v>67</v>
      </c>
      <c r="C69" s="2" t="n">
        <v>3.40501383300725</v>
      </c>
      <c r="D69" s="2" t="n">
        <v>4.36492438323122</v>
      </c>
      <c r="E69" s="2" t="n">
        <v>3.65615903037221</v>
      </c>
    </row>
    <row r="70" customFormat="false" ht="13.8" hidden="false" customHeight="false" outlineLevel="0" collapsed="false">
      <c r="B70" s="2" t="n">
        <v>68</v>
      </c>
      <c r="C70" s="2" t="n">
        <v>3.40083092120101</v>
      </c>
      <c r="D70" s="2" t="n">
        <v>4.35524374578316</v>
      </c>
      <c r="E70" s="2" t="n">
        <v>3.65176238914206</v>
      </c>
    </row>
    <row r="71" customFormat="false" ht="13.8" hidden="false" customHeight="false" outlineLevel="0" collapsed="false">
      <c r="B71" s="2" t="n">
        <v>69</v>
      </c>
      <c r="C71" s="2" t="n">
        <v>3.3895335694618</v>
      </c>
      <c r="D71" s="2" t="n">
        <v>4.32525231600625</v>
      </c>
      <c r="E71" s="2" t="n">
        <v>3.63909213479134</v>
      </c>
    </row>
    <row r="72" customFormat="false" ht="13.8" hidden="false" customHeight="false" outlineLevel="0" collapsed="false">
      <c r="B72" s="2" t="n">
        <v>70</v>
      </c>
      <c r="C72" s="2" t="n">
        <v>3.34966311562768</v>
      </c>
      <c r="D72" s="2" t="n">
        <v>4.28128977584887</v>
      </c>
      <c r="E72" s="2" t="n">
        <v>3.6045572561397</v>
      </c>
    </row>
    <row r="73" customFormat="false" ht="13.8" hidden="false" customHeight="false" outlineLevel="0" collapsed="false">
      <c r="B73" s="2" t="n">
        <v>71</v>
      </c>
      <c r="C73" s="2" t="n">
        <v>3.31010864172598</v>
      </c>
      <c r="D73" s="2" t="n">
        <v>4.22278219094806</v>
      </c>
      <c r="E73" s="2" t="n">
        <v>3.55112095331484</v>
      </c>
    </row>
    <row r="74" customFormat="false" ht="13.8" hidden="false" customHeight="false" outlineLevel="0" collapsed="false">
      <c r="B74" s="2" t="n">
        <v>72</v>
      </c>
      <c r="C74" s="2" t="n">
        <v>3.24198144089319</v>
      </c>
      <c r="D74" s="2" t="n">
        <v>4.15161842897647</v>
      </c>
      <c r="E74" s="2" t="n">
        <v>3.48939426718287</v>
      </c>
    </row>
    <row r="75" customFormat="false" ht="13.8" hidden="false" customHeight="false" outlineLevel="0" collapsed="false">
      <c r="B75" s="2" t="n">
        <v>73</v>
      </c>
      <c r="C75" s="2" t="n">
        <v>3.16352244700471</v>
      </c>
      <c r="D75" s="2" t="n">
        <v>4.06816874612551</v>
      </c>
      <c r="E75" s="2" t="n">
        <v>3.39498852138835</v>
      </c>
    </row>
    <row r="76" customFormat="false" ht="13.8" hidden="false" customHeight="false" outlineLevel="0" collapsed="false">
      <c r="B76" s="2" t="n">
        <v>74</v>
      </c>
      <c r="C76" s="2" t="n">
        <v>3.06691545992839</v>
      </c>
      <c r="D76" s="2" t="n">
        <v>3.97742349036398</v>
      </c>
      <c r="E76" s="2" t="n">
        <v>3.32243557150313</v>
      </c>
    </row>
    <row r="77" customFormat="false" ht="13.8" hidden="false" customHeight="false" outlineLevel="0" collapsed="false">
      <c r="B77" s="2" t="n">
        <v>75</v>
      </c>
      <c r="C77" s="2" t="n">
        <v>2.98040125373676</v>
      </c>
      <c r="D77" s="2" t="n">
        <v>3.88529001242537</v>
      </c>
      <c r="E77" s="2" t="n">
        <v>3.23251258788816</v>
      </c>
    </row>
    <row r="78" customFormat="false" ht="13.8" hidden="false" customHeight="false" outlineLevel="0" collapsed="false">
      <c r="B78" s="2" t="n">
        <v>76</v>
      </c>
      <c r="C78" s="2" t="n">
        <v>2.92986828305756</v>
      </c>
      <c r="D78" s="2" t="n">
        <v>3.79293482619191</v>
      </c>
      <c r="E78" s="2" t="n">
        <v>3.13764496646599</v>
      </c>
    </row>
    <row r="79" customFormat="false" ht="13.8" hidden="false" customHeight="false" outlineLevel="0" collapsed="false">
      <c r="B79" s="2" t="n">
        <v>77</v>
      </c>
      <c r="C79" s="2" t="n">
        <v>2.81587253993029</v>
      </c>
      <c r="D79" s="2" t="n">
        <v>3.68320982276958</v>
      </c>
      <c r="E79" s="2" t="n">
        <v>3.04781525668299</v>
      </c>
    </row>
    <row r="80" customFormat="false" ht="13.8" hidden="false" customHeight="false" outlineLevel="0" collapsed="false">
      <c r="B80" s="2" t="n">
        <v>78</v>
      </c>
      <c r="C80" s="2" t="n">
        <v>2.74395212194563</v>
      </c>
      <c r="D80" s="2" t="n">
        <v>3.57104050918987</v>
      </c>
      <c r="E80" s="2" t="n">
        <v>2.94520803778969</v>
      </c>
    </row>
    <row r="81" customFormat="false" ht="13.8" hidden="false" customHeight="false" outlineLevel="0" collapsed="false">
      <c r="B81" s="2" t="n">
        <v>79</v>
      </c>
      <c r="C81" s="2" t="n">
        <v>2.5978098676096</v>
      </c>
      <c r="D81" s="2" t="n">
        <v>3.43157696545146</v>
      </c>
      <c r="E81" s="2" t="n">
        <v>2.83441703015376</v>
      </c>
    </row>
    <row r="82" customFormat="false" ht="13.8" hidden="false" customHeight="false" outlineLevel="0" collapsed="false">
      <c r="B82" s="2" t="n">
        <v>80</v>
      </c>
      <c r="C82" s="2" t="n">
        <v>2.54131594506649</v>
      </c>
      <c r="D82" s="2" t="n">
        <v>3.30881739042255</v>
      </c>
      <c r="E82" s="2" t="n">
        <v>2.70397896376124</v>
      </c>
    </row>
    <row r="83" customFormat="false" ht="13.8" hidden="false" customHeight="false" outlineLevel="0" collapsed="false">
      <c r="B83" s="2" t="n">
        <v>81</v>
      </c>
      <c r="C83" s="2" t="n">
        <v>2.42235990227741</v>
      </c>
      <c r="D83" s="2" t="n">
        <v>3.15192982076716</v>
      </c>
      <c r="E83" s="2" t="n">
        <v>2.59478201656419</v>
      </c>
    </row>
    <row r="84" customFormat="false" ht="13.8" hidden="false" customHeight="false" outlineLevel="0" collapsed="false">
      <c r="B84" s="2" t="n">
        <v>82</v>
      </c>
      <c r="C84" s="2" t="n">
        <v>2.35153491941913</v>
      </c>
      <c r="D84" s="2" t="n">
        <v>3.00417285702452</v>
      </c>
      <c r="E84" s="2" t="n">
        <v>2.47578934652181</v>
      </c>
    </row>
    <row r="85" customFormat="false" ht="13.8" hidden="false" customHeight="false" outlineLevel="0" collapsed="false">
      <c r="B85" s="2" t="n">
        <v>83</v>
      </c>
      <c r="C85" s="2" t="n">
        <v>2.24089627444031</v>
      </c>
      <c r="D85" s="2" t="n">
        <v>2.85438018566633</v>
      </c>
      <c r="E85" s="2" t="n">
        <v>2.36063119973946</v>
      </c>
    </row>
    <row r="86" customFormat="false" ht="13.8" hidden="false" customHeight="false" outlineLevel="0" collapsed="false">
      <c r="B86" s="2" t="n">
        <v>84</v>
      </c>
      <c r="C86" s="2" t="n">
        <v>2.1232772914035</v>
      </c>
      <c r="D86" s="2" t="n">
        <v>2.6875337714941</v>
      </c>
      <c r="E86" s="2" t="n">
        <v>2.28369570453858</v>
      </c>
    </row>
    <row r="87" customFormat="false" ht="13.8" hidden="false" customHeight="false" outlineLevel="0" collapsed="false">
      <c r="B87" s="2" t="n">
        <v>85</v>
      </c>
      <c r="C87" s="2" t="n">
        <v>2.02301079937133</v>
      </c>
      <c r="D87" s="2" t="n">
        <v>2.52811445171195</v>
      </c>
      <c r="E87" s="2" t="n">
        <v>2.13957546017413</v>
      </c>
    </row>
    <row r="88" customFormat="false" ht="13.8" hidden="false" customHeight="false" outlineLevel="0" collapsed="false">
      <c r="B88" s="2" t="n">
        <v>86</v>
      </c>
      <c r="C88" s="2" t="n">
        <v>1.93628245815223</v>
      </c>
      <c r="D88" s="2" t="n">
        <v>2.39549259649336</v>
      </c>
      <c r="E88" s="2" t="n">
        <v>2.03547608293805</v>
      </c>
    </row>
    <row r="89" customFormat="false" ht="13.8" hidden="false" customHeight="false" outlineLevel="0" collapsed="false">
      <c r="B89" s="2" t="n">
        <v>87</v>
      </c>
      <c r="C89" s="2" t="n">
        <v>1.85607405829061</v>
      </c>
      <c r="D89" s="2" t="n">
        <v>2.25805701193776</v>
      </c>
      <c r="E89" s="2" t="n">
        <v>1.88584035780685</v>
      </c>
    </row>
    <row r="90" customFormat="false" ht="13.8" hidden="false" customHeight="false" outlineLevel="0" collapsed="false">
      <c r="B90" s="2" t="n">
        <v>88</v>
      </c>
      <c r="C90" s="2" t="n">
        <v>1.75084838643892</v>
      </c>
      <c r="D90" s="2" t="n">
        <v>2.12845591284913</v>
      </c>
      <c r="E90" s="2" t="n">
        <v>1.79370579569957</v>
      </c>
    </row>
    <row r="91" customFormat="false" ht="13.8" hidden="false" customHeight="false" outlineLevel="0" collapsed="false">
      <c r="B91" s="2" t="n">
        <v>89</v>
      </c>
      <c r="C91" s="2" t="n">
        <v>1.66303104462173</v>
      </c>
      <c r="D91" s="2" t="n">
        <v>2.0179667208826</v>
      </c>
      <c r="E91" s="2" t="n">
        <v>1.6970351364194</v>
      </c>
    </row>
    <row r="92" customFormat="false" ht="13.8" hidden="false" customHeight="false" outlineLevel="0" collapsed="false">
      <c r="B92" s="2" t="n">
        <v>90</v>
      </c>
      <c r="C92" s="2" t="n">
        <v>1.61632484023721</v>
      </c>
      <c r="D92" s="2" t="n">
        <v>1.9097009486228</v>
      </c>
      <c r="E92" s="2" t="n">
        <v>1.62021748088285</v>
      </c>
    </row>
    <row r="93" customFormat="false" ht="13.8" hidden="false" customHeight="false" outlineLevel="0" collapsed="false">
      <c r="B93" s="2" t="n">
        <v>91</v>
      </c>
      <c r="C93" s="2" t="n">
        <v>1.57408247328511</v>
      </c>
      <c r="D93" s="2" t="n">
        <v>1.80245577753924</v>
      </c>
      <c r="E93" s="2" t="n">
        <v>1.4985305379673</v>
      </c>
    </row>
    <row r="94" customFormat="false" ht="13.8" hidden="false" customHeight="false" outlineLevel="0" collapsed="false">
      <c r="B94" s="2" t="n">
        <v>92</v>
      </c>
      <c r="C94" s="2" t="n">
        <v>1.46387801023816</v>
      </c>
      <c r="D94" s="2" t="n">
        <v>1.69971197520369</v>
      </c>
      <c r="E94" s="2" t="n">
        <v>1.44245544155082</v>
      </c>
    </row>
    <row r="95" customFormat="false" ht="13.8" hidden="false" customHeight="false" outlineLevel="0" collapsed="false">
      <c r="B95" s="2" t="n">
        <v>93</v>
      </c>
      <c r="C95" s="2" t="n">
        <v>1.40408340849509</v>
      </c>
      <c r="D95" s="2" t="n">
        <v>1.67330220030616</v>
      </c>
      <c r="E95" s="2" t="n">
        <v>1.33245520218159</v>
      </c>
    </row>
    <row r="96" customFormat="false" ht="13.8" hidden="false" customHeight="false" outlineLevel="0" collapsed="false">
      <c r="B96" s="2" t="n">
        <v>94</v>
      </c>
      <c r="C96" s="2" t="n">
        <v>1.28108581210546</v>
      </c>
      <c r="D96" s="2" t="n">
        <v>1.59989311543231</v>
      </c>
      <c r="E96" s="2" t="n">
        <v>1.27191821096291</v>
      </c>
    </row>
    <row r="97" customFormat="false" ht="13.8" hidden="false" customHeight="false" outlineLevel="0" collapsed="false">
      <c r="B97" s="2" t="n">
        <v>95</v>
      </c>
      <c r="C97" s="2" t="n">
        <v>1.23657029754363</v>
      </c>
      <c r="D97" s="2" t="n">
        <v>1.56052244983449</v>
      </c>
      <c r="E97" s="2" t="n">
        <v>1.21036395474376</v>
      </c>
    </row>
    <row r="98" customFormat="false" ht="13.8" hidden="false" customHeight="false" outlineLevel="0" collapsed="false">
      <c r="B98" s="2" t="n">
        <v>96</v>
      </c>
      <c r="C98" s="2" t="n">
        <v>1.19720311702585</v>
      </c>
      <c r="D98" s="2" t="n">
        <v>1.52311458535074</v>
      </c>
      <c r="E98" s="2" t="n">
        <v>1.16247757332644</v>
      </c>
    </row>
    <row r="99" customFormat="false" ht="13.8" hidden="false" customHeight="false" outlineLevel="0" collapsed="false">
      <c r="B99" s="2" t="n">
        <v>97</v>
      </c>
      <c r="C99" s="2" t="n">
        <v>1.16272477462431</v>
      </c>
      <c r="D99" s="2" t="n">
        <v>1.45885539124192</v>
      </c>
      <c r="E99" s="2" t="n">
        <v>1.14818587447665</v>
      </c>
    </row>
    <row r="100" customFormat="false" ht="13.8" hidden="false" customHeight="false" outlineLevel="0" collapsed="false">
      <c r="B100" s="2" t="n">
        <v>98</v>
      </c>
      <c r="C100" s="2" t="n">
        <v>1.03984092515434</v>
      </c>
      <c r="D100" s="2" t="n">
        <v>1.43259691379913</v>
      </c>
      <c r="E100" s="2" t="n">
        <v>1.07498644817346</v>
      </c>
    </row>
    <row r="101" customFormat="false" ht="13.8" hidden="false" customHeight="false" outlineLevel="0" collapsed="false">
      <c r="B101" s="2" t="n">
        <v>99</v>
      </c>
      <c r="C101" s="2" t="n">
        <v>0.99566234155991</v>
      </c>
      <c r="D101" s="2" t="n">
        <v>1.3639692915337</v>
      </c>
      <c r="E101" s="2" t="n">
        <v>1.05493686497565</v>
      </c>
    </row>
    <row r="102" customFormat="false" ht="13.8" hidden="false" customHeight="false" outlineLevel="0" collapsed="false">
      <c r="B102" s="2" t="n">
        <v>100</v>
      </c>
      <c r="C102" s="2" t="n">
        <v>0.949410329380942</v>
      </c>
      <c r="D102" s="2" t="n">
        <v>1.33771424443338</v>
      </c>
      <c r="E102" s="2" t="n">
        <v>1.00381401931071</v>
      </c>
    </row>
    <row r="103" customFormat="false" ht="13.8" hidden="false" customHeight="false" outlineLevel="0" collapsed="false">
      <c r="B103" s="2" t="n">
        <v>101</v>
      </c>
      <c r="C103" s="2" t="n">
        <v>0.890530298240615</v>
      </c>
      <c r="D103" s="2" t="n">
        <v>1.27162631173539</v>
      </c>
      <c r="E103" s="2" t="n">
        <v>0.968580870059411</v>
      </c>
    </row>
    <row r="104" customFormat="false" ht="13.8" hidden="false" customHeight="false" outlineLevel="0" collapsed="false">
      <c r="B104" s="2" t="n">
        <v>102</v>
      </c>
      <c r="C104" s="2" t="n">
        <v>0.870872911456154</v>
      </c>
      <c r="D104" s="2" t="n">
        <v>1.2165022251019</v>
      </c>
      <c r="E104" s="2" t="n">
        <v>0.948071036102567</v>
      </c>
    </row>
    <row r="105" customFormat="false" ht="13.8" hidden="false" customHeight="false" outlineLevel="0" collapsed="false">
      <c r="B105" s="2" t="n">
        <v>103</v>
      </c>
      <c r="C105" s="2" t="n">
        <v>0.785160424949265</v>
      </c>
      <c r="D105" s="2" t="n">
        <v>1.19708235637595</v>
      </c>
      <c r="E105" s="2" t="n">
        <v>0.869005759095915</v>
      </c>
    </row>
    <row r="106" customFormat="false" ht="13.8" hidden="false" customHeight="false" outlineLevel="0" collapsed="false">
      <c r="B106" s="2" t="n">
        <v>104</v>
      </c>
      <c r="C106" s="2" t="n">
        <v>0.771763480752426</v>
      </c>
      <c r="D106" s="2" t="n">
        <v>1.13062547814499</v>
      </c>
      <c r="E106" s="2" t="n">
        <v>0.844830254223514</v>
      </c>
    </row>
    <row r="107" customFormat="false" ht="13.8" hidden="false" customHeight="false" outlineLevel="0" collapsed="false">
      <c r="B107" s="2" t="n">
        <v>105</v>
      </c>
      <c r="C107" s="2" t="n">
        <v>0.716477540895399</v>
      </c>
      <c r="D107" s="2" t="n">
        <v>1.06776219040873</v>
      </c>
      <c r="E107" s="2" t="n">
        <v>0.777692083698755</v>
      </c>
    </row>
    <row r="108" customFormat="false" ht="13.8" hidden="false" customHeight="false" outlineLevel="0" collapsed="false">
      <c r="B108" s="2" t="n">
        <v>106</v>
      </c>
      <c r="C108" s="2" t="n">
        <v>0.701007394638512</v>
      </c>
      <c r="D108" s="2" t="n">
        <v>1.01062151278684</v>
      </c>
      <c r="E108" s="2" t="n">
        <v>0.738887954926072</v>
      </c>
    </row>
    <row r="109" customFormat="false" ht="13.8" hidden="false" customHeight="false" outlineLevel="0" collapsed="false">
      <c r="B109" s="2" t="n">
        <v>107</v>
      </c>
      <c r="C109" s="2" t="n">
        <v>0.618166903083087</v>
      </c>
      <c r="D109" s="2" t="n">
        <v>0.948500147312454</v>
      </c>
      <c r="E109" s="2" t="n">
        <v>0.691769195676158</v>
      </c>
    </row>
    <row r="110" customFormat="false" ht="13.8" hidden="false" customHeight="false" outlineLevel="0" collapsed="false">
      <c r="B110" s="2" t="n">
        <v>108</v>
      </c>
      <c r="C110" s="2" t="n">
        <v>0.600197425117763</v>
      </c>
      <c r="D110" s="2" t="n">
        <v>0.89137936601469</v>
      </c>
      <c r="E110" s="2" t="n">
        <v>0.656428796502726</v>
      </c>
    </row>
    <row r="111" customFormat="false" ht="13.8" hidden="false" customHeight="false" outlineLevel="0" collapsed="false">
      <c r="B111" s="2" t="n">
        <v>109</v>
      </c>
      <c r="C111" s="2" t="n">
        <v>0.529080034254626</v>
      </c>
      <c r="D111" s="2" t="n">
        <v>0.828851785554368</v>
      </c>
      <c r="E111" s="2" t="n">
        <v>0.613237009992544</v>
      </c>
    </row>
    <row r="112" customFormat="false" ht="13.8" hidden="false" customHeight="false" outlineLevel="0" collapsed="false">
      <c r="B112" s="2" t="n">
        <v>110</v>
      </c>
      <c r="C112" s="2" t="n">
        <v>0.494204113824657</v>
      </c>
      <c r="D112" s="2" t="n">
        <v>0.769232219258741</v>
      </c>
      <c r="E112" s="2" t="n">
        <v>0.564267785029857</v>
      </c>
    </row>
    <row r="113" customFormat="false" ht="13.8" hidden="false" customHeight="false" outlineLevel="0" collapsed="false">
      <c r="B113" s="2" t="n">
        <v>111</v>
      </c>
      <c r="C113" s="2" t="n">
        <v>0.444328597709448</v>
      </c>
      <c r="D113" s="2" t="n">
        <v>0.705817008418038</v>
      </c>
      <c r="E113" s="2" t="n">
        <v>0.521780531240902</v>
      </c>
    </row>
    <row r="114" customFormat="false" ht="13.8" hidden="false" customHeight="false" outlineLevel="0" collapsed="false">
      <c r="B114" s="2" t="n">
        <v>112</v>
      </c>
      <c r="C114" s="2" t="n">
        <v>0.399064617386437</v>
      </c>
      <c r="D114" s="2" t="n">
        <v>0.62818020950722</v>
      </c>
      <c r="E114" s="2" t="n">
        <v>0.465608498620783</v>
      </c>
    </row>
    <row r="115" customFormat="false" ht="13.8" hidden="false" customHeight="false" outlineLevel="0" collapsed="false">
      <c r="B115" s="2" t="n">
        <v>113</v>
      </c>
      <c r="C115" s="2" t="n">
        <v>0.355727293406933</v>
      </c>
      <c r="D115" s="2" t="n">
        <v>0.582433131408834</v>
      </c>
      <c r="E115" s="2" t="n">
        <v>0.437196286980248</v>
      </c>
    </row>
    <row r="116" customFormat="false" ht="13.8" hidden="false" customHeight="false" outlineLevel="0" collapsed="false">
      <c r="B116" s="2" t="n">
        <v>114</v>
      </c>
      <c r="C116" s="2" t="n">
        <v>0.313445791689558</v>
      </c>
      <c r="D116" s="2" t="n">
        <v>0.521408714484934</v>
      </c>
      <c r="E116" s="2" t="n">
        <v>0.363154637239606</v>
      </c>
    </row>
    <row r="117" customFormat="false" ht="13.8" hidden="false" customHeight="false" outlineLevel="0" collapsed="false">
      <c r="B117" s="2" t="n">
        <v>115</v>
      </c>
      <c r="C117" s="2" t="n">
        <v>0.252516638713125</v>
      </c>
      <c r="D117" s="2" t="n">
        <v>0.456162630027425</v>
      </c>
      <c r="E117" s="2" t="n">
        <v>0.347391672359907</v>
      </c>
    </row>
    <row r="118" customFormat="false" ht="13.8" hidden="false" customHeight="false" outlineLevel="0" collapsed="false">
      <c r="B118" s="2" t="n">
        <v>116</v>
      </c>
      <c r="C118" s="2" t="n">
        <v>0.227606613546741</v>
      </c>
      <c r="D118" s="2" t="n">
        <v>0.36665795729002</v>
      </c>
      <c r="E118" s="2" t="n">
        <v>0.241128846591338</v>
      </c>
    </row>
    <row r="119" customFormat="false" ht="13.8" hidden="false" customHeight="false" outlineLevel="0" collapsed="false">
      <c r="B119" s="2" t="n">
        <v>117</v>
      </c>
      <c r="C119" s="2" t="n">
        <v>0.165993207850979</v>
      </c>
      <c r="D119" s="2" t="n">
        <v>0.303931975895639</v>
      </c>
      <c r="E119" s="2" t="n">
        <v>0.232551953821397</v>
      </c>
    </row>
    <row r="120" customFormat="false" ht="13.8" hidden="false" customHeight="false" outlineLevel="0" collapsed="false">
      <c r="B120" s="2" t="n">
        <v>118</v>
      </c>
      <c r="C120" s="2" t="n">
        <v>0.147297501174207</v>
      </c>
      <c r="D120" s="2" t="n">
        <v>0.227139321708702</v>
      </c>
      <c r="E120" s="2" t="n">
        <v>0.169063059526833</v>
      </c>
    </row>
    <row r="121" customFormat="false" ht="13.8" hidden="false" customHeight="false" outlineLevel="0" collapsed="false">
      <c r="B121" s="2" t="n">
        <v>119</v>
      </c>
      <c r="C121" s="2" t="n">
        <v>0.123519601376455</v>
      </c>
      <c r="D121" s="2" t="n">
        <v>0.181261746507013</v>
      </c>
      <c r="E121" s="2" t="n">
        <v>0.125125342457256</v>
      </c>
    </row>
    <row r="122" customFormat="false" ht="13.8" hidden="false" customHeight="false" outlineLevel="0" collapsed="false">
      <c r="B122" s="2" t="n">
        <v>120</v>
      </c>
      <c r="C122" s="2" t="n">
        <v>0.0587333926129864</v>
      </c>
      <c r="D122" s="2" t="n">
        <v>0.113095385584228</v>
      </c>
      <c r="E122" s="2" t="n">
        <v>0.0718496256194132</v>
      </c>
    </row>
    <row r="123" customFormat="false" ht="13.8" hidden="false" customHeight="false" outlineLevel="0" collapsed="false">
      <c r="B123" s="2" t="n">
        <v>121</v>
      </c>
      <c r="C123" s="2" t="n">
        <v>0.065725293826196</v>
      </c>
      <c r="D123" s="2" t="n">
        <v>0.0756400544207942</v>
      </c>
      <c r="E123" s="2" t="n">
        <v>0.0381987616525604</v>
      </c>
    </row>
    <row r="124" customFormat="false" ht="13.8" hidden="false" customHeight="false" outlineLevel="0" collapsed="false">
      <c r="B124" s="2" t="n">
        <v>122</v>
      </c>
      <c r="C124" s="2" t="n">
        <v>2.35944738669787E-015</v>
      </c>
      <c r="D124" s="2" t="n">
        <v>0.0289109163998627</v>
      </c>
      <c r="E124" s="2" t="n">
        <v>0.00303903573753707</v>
      </c>
    </row>
    <row r="125" customFormat="false" ht="13.8" hidden="false" customHeight="false" outlineLevel="0" collapsed="false">
      <c r="B125" s="2" t="n">
        <v>123</v>
      </c>
      <c r="C125" s="2" t="n">
        <v>0.011272574413794</v>
      </c>
      <c r="D125" s="2" t="n">
        <v>0.0171669346298718</v>
      </c>
      <c r="E125" s="2" t="n">
        <v>5.17626176588238E-015</v>
      </c>
    </row>
    <row r="126" customFormat="false" ht="13.8" hidden="false" customHeight="false" outlineLevel="0" collapsed="false">
      <c r="B126" s="2" t="n">
        <v>124</v>
      </c>
      <c r="C126" s="2" t="n">
        <v>1.49039779107582E-015</v>
      </c>
      <c r="D126" s="2" t="n">
        <v>6.94893043698693E-015</v>
      </c>
      <c r="E126" s="2" t="n">
        <v>2.61933866960361E-015</v>
      </c>
    </row>
    <row r="127" customFormat="false" ht="13.8" hidden="false" customHeight="false" outlineLevel="0" collapsed="false">
      <c r="B127" s="2" t="n">
        <v>125</v>
      </c>
      <c r="C127" s="2" t="n">
        <v>3.52850046619113E-011</v>
      </c>
      <c r="D127" s="2" t="n">
        <v>5.02310525738378E-011</v>
      </c>
      <c r="E127" s="2" t="n">
        <v>1.15654738399557E-014</v>
      </c>
    </row>
    <row r="128" customFormat="false" ht="13.8" hidden="false" customHeight="false" outlineLevel="0" collapsed="false">
      <c r="B128" s="2" t="n">
        <v>126</v>
      </c>
      <c r="C128" s="2" t="n">
        <v>5.64189039600939E-011</v>
      </c>
      <c r="D128" s="2" t="n">
        <v>2.21065860743516E-011</v>
      </c>
      <c r="E128" s="2" t="n">
        <v>1.88247521656562E-014</v>
      </c>
    </row>
    <row r="129" customFormat="false" ht="13.8" hidden="false" customHeight="false" outlineLevel="0" collapsed="false">
      <c r="B129" s="2" t="n">
        <v>127</v>
      </c>
      <c r="C129" s="2" t="n">
        <v>6.58722382698444E-011</v>
      </c>
      <c r="D129" s="2" t="n">
        <v>1.87963540840193E-014</v>
      </c>
      <c r="E129" s="2" t="n">
        <v>2.43439454036395E-014</v>
      </c>
    </row>
    <row r="130" customFormat="false" ht="13.8" hidden="false" customHeight="false" outlineLevel="0" collapsed="false">
      <c r="B130" s="2" t="n">
        <v>128</v>
      </c>
      <c r="C130" s="2" t="n">
        <v>6.58754534251802E-011</v>
      </c>
      <c r="D130" s="2" t="n">
        <v>2.41619277121219E-014</v>
      </c>
      <c r="E130" s="2" t="n">
        <v>2.94721874149413E-014</v>
      </c>
    </row>
    <row r="131" customFormat="false" ht="13.8" hidden="false" customHeight="false" outlineLevel="0" collapsed="false">
      <c r="B131" s="2" t="n">
        <v>129</v>
      </c>
      <c r="C131" s="2" t="n">
        <v>6.5878444800219E-011</v>
      </c>
      <c r="D131" s="2" t="n">
        <v>2.91342659157596E-014</v>
      </c>
      <c r="E131" s="2" t="n">
        <v>3.42094130485238E-014</v>
      </c>
    </row>
    <row r="132" customFormat="false" ht="13.8" hidden="false" customHeight="false" outlineLevel="0" collapsed="false">
      <c r="B132" s="2" t="n">
        <v>130</v>
      </c>
      <c r="C132" s="2" t="n">
        <v>6.58812124421079E-011</v>
      </c>
      <c r="D132" s="2" t="n">
        <v>3.37187692393165E-014</v>
      </c>
      <c r="E132" s="2" t="n">
        <v>3.8555602077373E-014</v>
      </c>
    </row>
    <row r="133" customFormat="false" ht="13.8" hidden="false" customHeight="false" outlineLevel="0" collapsed="false">
      <c r="B133" s="2" t="n">
        <v>131</v>
      </c>
      <c r="C133" s="2" t="n">
        <v>6.58837563326207E-011</v>
      </c>
      <c r="D133" s="2" t="n">
        <v>3.79154461216962E-014</v>
      </c>
      <c r="E133" s="2" t="n">
        <v>4.25107646531559E-014</v>
      </c>
    </row>
    <row r="134" customFormat="false" ht="13.8" hidden="false" customHeight="false" outlineLevel="0" collapsed="false">
      <c r="B134" s="2" t="n">
        <v>132</v>
      </c>
      <c r="C134" s="2" t="n">
        <v>6.58860763783264E-011</v>
      </c>
      <c r="D134" s="2" t="n">
        <v>4.1724218439003E-014</v>
      </c>
      <c r="E134" s="2" t="n">
        <v>4.60748528194957E-014</v>
      </c>
    </row>
    <row r="135" customFormat="false" ht="13.8" hidden="false" customHeight="false" outlineLevel="0" collapsed="false">
      <c r="B135" s="2" t="n">
        <v>133</v>
      </c>
      <c r="C135" s="2" t="n">
        <v>6.58881726368805E-011</v>
      </c>
      <c r="D135" s="2" t="n">
        <v>4.51456993775548E-014</v>
      </c>
      <c r="E135" s="2" t="n">
        <v>4.92479077923266E-014</v>
      </c>
    </row>
    <row r="136" customFormat="false" ht="13.8" hidden="false" customHeight="false" outlineLevel="0" collapsed="false">
      <c r="B136" s="2" t="n">
        <v>134</v>
      </c>
      <c r="C136" s="2" t="n">
        <v>6.58900450400597E-011</v>
      </c>
      <c r="D136" s="2" t="n">
        <v>4.81815896275397E-014</v>
      </c>
      <c r="E136" s="2" t="n">
        <v>5.20299581081607E-014</v>
      </c>
    </row>
    <row r="137" customFormat="false" ht="13.8" hidden="false" customHeight="false" outlineLevel="0" collapsed="false">
      <c r="B137" s="2" t="n">
        <v>135</v>
      </c>
      <c r="C137" s="2" t="n">
        <v>4.68833122721438E-011</v>
      </c>
      <c r="D137" s="2" t="n">
        <v>5.0833429718671E-014</v>
      </c>
      <c r="E137" s="2" t="n">
        <v>5.44210760496636E-014</v>
      </c>
    </row>
    <row r="138" customFormat="false" ht="13.8" hidden="false" customHeight="false" outlineLevel="0" collapsed="false">
      <c r="B138" s="2" t="n">
        <v>136</v>
      </c>
      <c r="C138" s="2" t="n">
        <v>4.68849216653505E-011</v>
      </c>
      <c r="D138" s="2" t="n">
        <v>5.31026733828056E-014</v>
      </c>
      <c r="E138" s="2" t="n">
        <v>5.64211715602001E-014</v>
      </c>
    </row>
    <row r="139" customFormat="false" ht="13.8" hidden="false" customHeight="false" outlineLevel="0" collapsed="false">
      <c r="B139" s="2" t="n">
        <v>137</v>
      </c>
      <c r="C139" s="2" t="n">
        <v>6.96318341333444E-014</v>
      </c>
      <c r="D139" s="2" t="n">
        <v>5.49903322931763E-014</v>
      </c>
      <c r="E139" s="2" t="n">
        <v>5.80301989217055E-014</v>
      </c>
    </row>
    <row r="140" customFormat="false" ht="13.8" hidden="false" customHeight="false" outlineLevel="0" collapsed="false">
      <c r="B140" s="2" t="n">
        <v>138</v>
      </c>
      <c r="C140" s="2" t="n">
        <v>7.23528121571597E-014</v>
      </c>
      <c r="D140" s="2" t="n">
        <v>5.64981279679011E-014</v>
      </c>
      <c r="E140" s="2" t="n">
        <v>5.92481736748782E-014</v>
      </c>
    </row>
    <row r="141" customFormat="false" ht="13.8" hidden="false" customHeight="false" outlineLevel="0" collapsed="false">
      <c r="B141" s="2" t="n">
        <v>139</v>
      </c>
      <c r="C141" s="2" t="n">
        <v>7.45235319730893E-014</v>
      </c>
      <c r="D141" s="2" t="n">
        <v>5.7628572215602E-014</v>
      </c>
      <c r="E141" s="2" t="n">
        <v>6.0075940551073E-014</v>
      </c>
    </row>
    <row r="142" customFormat="false" ht="13.8" hidden="false" customHeight="false" outlineLevel="0" collapsed="false">
      <c r="B142" s="2" t="n">
        <v>140</v>
      </c>
      <c r="C142" s="2" t="n">
        <v>7.64614975587192E-014</v>
      </c>
      <c r="D142" s="2" t="n">
        <v>5.83880841475941E-014</v>
      </c>
      <c r="E142" s="2" t="n">
        <v>6.05443688090861E-014</v>
      </c>
    </row>
    <row r="143" customFormat="false" ht="13.8" hidden="false" customHeight="false" outlineLevel="0" collapsed="false">
      <c r="B143" s="2" t="n">
        <v>141</v>
      </c>
      <c r="C143" s="2" t="n">
        <v>7.80149195101084E-014</v>
      </c>
      <c r="D143" s="2" t="n">
        <v>5.88122788211845E-014</v>
      </c>
      <c r="E143" s="2" t="n">
        <v>0.0175534538709391</v>
      </c>
    </row>
    <row r="144" customFormat="false" ht="13.8" hidden="false" customHeight="false" outlineLevel="0" collapsed="false">
      <c r="B144" s="2" t="n">
        <v>142</v>
      </c>
      <c r="C144" s="2" t="n">
        <v>7.91968695762162E-014</v>
      </c>
      <c r="D144" s="2" t="n">
        <v>0.00944253896442751</v>
      </c>
      <c r="E144" s="2" t="n">
        <v>0.080475989384356</v>
      </c>
    </row>
    <row r="145" customFormat="false" ht="13.8" hidden="false" customHeight="false" outlineLevel="0" collapsed="false">
      <c r="B145" s="2" t="n">
        <v>143</v>
      </c>
      <c r="C145" s="2" t="n">
        <v>8.00063512735156E-014</v>
      </c>
      <c r="D145" s="2" t="n">
        <v>0.0503696357917341</v>
      </c>
      <c r="E145" s="2" t="n">
        <v>0.193588625779883</v>
      </c>
    </row>
    <row r="146" customFormat="false" ht="13.8" hidden="false" customHeight="false" outlineLevel="0" collapsed="false">
      <c r="B146" s="2" t="n">
        <v>144</v>
      </c>
      <c r="C146" s="2" t="n">
        <v>8.04648534855814E-014</v>
      </c>
      <c r="D146" s="2" t="n">
        <v>0.131244370868148</v>
      </c>
      <c r="E146" s="2" t="n">
        <v>0.335255503074996</v>
      </c>
    </row>
    <row r="147" customFormat="false" ht="13.8" hidden="false" customHeight="false" outlineLevel="0" collapsed="false">
      <c r="B147" s="2" t="n">
        <v>145</v>
      </c>
      <c r="C147" s="2" t="n">
        <v>0.0210890717047608</v>
      </c>
      <c r="D147" s="2" t="n">
        <v>0.287357964421606</v>
      </c>
      <c r="E147" s="2" t="n">
        <v>0.403465862998112</v>
      </c>
    </row>
    <row r="148" customFormat="false" ht="13.8" hidden="false" customHeight="false" outlineLevel="0" collapsed="false">
      <c r="B148" s="2" t="n">
        <v>146</v>
      </c>
      <c r="C148" s="2" t="n">
        <v>0.101991656488114</v>
      </c>
      <c r="D148" s="2" t="n">
        <v>0.559999211240324</v>
      </c>
      <c r="E148" s="2" t="n">
        <v>0.447609827467484</v>
      </c>
    </row>
    <row r="149" customFormat="false" ht="13.8" hidden="false" customHeight="false" outlineLevel="0" collapsed="false">
      <c r="B149" s="2" t="n">
        <v>147</v>
      </c>
      <c r="C149" s="2" t="n">
        <v>0.282580278314363</v>
      </c>
      <c r="D149" s="2" t="n">
        <v>0.863285485901536</v>
      </c>
      <c r="E149" s="2" t="n">
        <v>0.523070519276367</v>
      </c>
    </row>
    <row r="150" customFormat="false" ht="13.8" hidden="false" customHeight="false" outlineLevel="0" collapsed="false">
      <c r="B150" s="2" t="n">
        <v>148</v>
      </c>
      <c r="C150" s="2" t="n">
        <v>0.578390733220038</v>
      </c>
      <c r="D150" s="2" t="n">
        <v>1.12413694695497</v>
      </c>
      <c r="E150" s="2" t="n">
        <v>0.633194862014631</v>
      </c>
    </row>
    <row r="151" customFormat="false" ht="13.8" hidden="false" customHeight="false" outlineLevel="0" collapsed="false">
      <c r="B151" s="2" t="n">
        <v>149</v>
      </c>
      <c r="C151" s="2" t="n">
        <v>0.908817755131957</v>
      </c>
      <c r="D151" s="2" t="n">
        <v>1.43582442374875</v>
      </c>
      <c r="E151" s="2" t="n">
        <v>0.837636101346647</v>
      </c>
    </row>
    <row r="152" customFormat="false" ht="13.8" hidden="false" customHeight="false" outlineLevel="0" collapsed="false">
      <c r="B152" s="2" t="n">
        <v>150</v>
      </c>
      <c r="C152" s="2" t="n">
        <v>1.18464152353442</v>
      </c>
      <c r="D152" s="2" t="n">
        <v>1.66726618231447</v>
      </c>
      <c r="E152" s="2" t="n">
        <v>1.18191316496212</v>
      </c>
    </row>
    <row r="153" customFormat="false" ht="13.8" hidden="false" customHeight="false" outlineLevel="0" collapsed="false">
      <c r="B153" s="2" t="n">
        <v>151</v>
      </c>
      <c r="C153" s="2" t="n">
        <v>1.49091259945997</v>
      </c>
      <c r="D153" s="2" t="n">
        <v>1.94276763510933</v>
      </c>
      <c r="E153" s="2" t="n">
        <v>1.48080573607581</v>
      </c>
    </row>
    <row r="154" customFormat="false" ht="13.8" hidden="false" customHeight="false" outlineLevel="0" collapsed="false">
      <c r="B154" s="2" t="n">
        <v>152</v>
      </c>
      <c r="C154" s="2" t="n">
        <v>1.73533608343552</v>
      </c>
      <c r="D154" s="2" t="n">
        <v>2.17442861153638</v>
      </c>
      <c r="E154" s="2" t="n">
        <v>1.77319414853263</v>
      </c>
    </row>
    <row r="155" customFormat="false" ht="13.8" hidden="false" customHeight="false" outlineLevel="0" collapsed="false">
      <c r="B155" s="2" t="n">
        <v>153</v>
      </c>
      <c r="C155" s="2" t="n">
        <v>2.027832533937</v>
      </c>
      <c r="D155" s="2" t="n">
        <v>2.40552459500037</v>
      </c>
      <c r="E155" s="2" t="n">
        <v>2.06278363237417</v>
      </c>
    </row>
    <row r="156" customFormat="false" ht="13.8" hidden="false" customHeight="false" outlineLevel="0" collapsed="false">
      <c r="B156" s="2" t="n">
        <v>154</v>
      </c>
      <c r="C156" s="2" t="n">
        <v>2.26537374403662</v>
      </c>
      <c r="D156" s="2" t="n">
        <v>2.62329570657712</v>
      </c>
      <c r="E156" s="2" t="n">
        <v>2.33288124833882</v>
      </c>
    </row>
    <row r="157" customFormat="false" ht="13.8" hidden="false" customHeight="false" outlineLevel="0" collapsed="false">
      <c r="B157" s="2" t="n">
        <v>155</v>
      </c>
      <c r="C157" s="2" t="n">
        <v>2.46866029328681</v>
      </c>
      <c r="D157" s="2" t="n">
        <v>2.84461719951535</v>
      </c>
      <c r="E157" s="2" t="n">
        <v>2.53536737134525</v>
      </c>
    </row>
    <row r="158" customFormat="false" ht="13.8" hidden="false" customHeight="false" outlineLevel="0" collapsed="false">
      <c r="B158" s="2" t="n">
        <v>156</v>
      </c>
      <c r="C158" s="2" t="n">
        <v>2.65509226923416</v>
      </c>
      <c r="D158" s="2" t="n">
        <v>2.97566400831125</v>
      </c>
      <c r="E158" s="2" t="n">
        <v>2.7521427675084</v>
      </c>
    </row>
    <row r="159" customFormat="false" ht="13.8" hidden="false" customHeight="false" outlineLevel="0" collapsed="false">
      <c r="B159" s="2" t="n">
        <v>157</v>
      </c>
      <c r="C159" s="2" t="n">
        <v>2.8109449754244</v>
      </c>
      <c r="D159" s="2" t="n">
        <v>3.13673682571165</v>
      </c>
      <c r="E159" s="2" t="n">
        <v>2.92500661893552</v>
      </c>
    </row>
    <row r="160" customFormat="false" ht="13.8" hidden="false" customHeight="false" outlineLevel="0" collapsed="false">
      <c r="B160" s="2" t="n">
        <v>158</v>
      </c>
      <c r="C160" s="2" t="n">
        <v>2.92563356808362</v>
      </c>
      <c r="D160" s="2" t="n">
        <v>3.22933930340838</v>
      </c>
      <c r="E160" s="2" t="n">
        <v>3.08852730124642</v>
      </c>
    </row>
    <row r="161" customFormat="false" ht="13.8" hidden="false" customHeight="false" outlineLevel="0" collapsed="false">
      <c r="B161" s="2" t="n">
        <v>159</v>
      </c>
      <c r="C161" s="2" t="n">
        <v>3.06388338385294</v>
      </c>
      <c r="D161" s="2" t="n">
        <v>3.35937200610483</v>
      </c>
      <c r="E161" s="2" t="n">
        <v>3.21210517787278</v>
      </c>
    </row>
    <row r="162" customFormat="false" ht="13.8" hidden="false" customHeight="false" outlineLevel="0" collapsed="false">
      <c r="B162" s="2" t="n">
        <v>160</v>
      </c>
      <c r="C162" s="2" t="n">
        <v>3.14889433712014</v>
      </c>
      <c r="D162" s="2" t="n">
        <v>3.46503463449875</v>
      </c>
      <c r="E162" s="2" t="n">
        <v>3.33459048324267</v>
      </c>
    </row>
    <row r="163" customFormat="false" ht="13.8" hidden="false" customHeight="false" outlineLevel="0" collapsed="false">
      <c r="B163" s="2" t="n">
        <v>161</v>
      </c>
      <c r="C163" s="2" t="n">
        <v>3.26309185527383</v>
      </c>
      <c r="D163" s="2" t="n">
        <v>3.55112746229089</v>
      </c>
      <c r="E163" s="2" t="n">
        <v>3.4208832282818</v>
      </c>
    </row>
    <row r="164" customFormat="false" ht="13.8" hidden="false" customHeight="false" outlineLevel="0" collapsed="false">
      <c r="B164" s="2" t="n">
        <v>162</v>
      </c>
      <c r="C164" s="2" t="n">
        <v>3.3385341974242</v>
      </c>
      <c r="D164" s="2" t="n">
        <v>3.58842620562392</v>
      </c>
      <c r="E164" s="2" t="n">
        <v>3.50160639027373</v>
      </c>
    </row>
    <row r="165" customFormat="false" ht="13.8" hidden="false" customHeight="false" outlineLevel="0" collapsed="false">
      <c r="B165" s="2" t="n">
        <v>163</v>
      </c>
      <c r="C165" s="2" t="n">
        <v>3.38129706612299</v>
      </c>
      <c r="D165" s="2" t="n">
        <v>3.63933160743871</v>
      </c>
      <c r="E165" s="2" t="n">
        <v>3.5419599649143</v>
      </c>
    </row>
    <row r="166" customFormat="false" ht="13.8" hidden="false" customHeight="false" outlineLevel="0" collapsed="false">
      <c r="B166" s="2" t="n">
        <v>164</v>
      </c>
      <c r="C166" s="2" t="n">
        <v>3.40165554816494</v>
      </c>
      <c r="D166" s="2" t="n">
        <v>3.62778025430291</v>
      </c>
      <c r="E166" s="2" t="n">
        <v>3.61266925089938</v>
      </c>
    </row>
    <row r="167" customFormat="false" ht="13.8" hidden="false" customHeight="false" outlineLevel="0" collapsed="false">
      <c r="B167" s="2" t="n">
        <v>165</v>
      </c>
      <c r="C167" s="2" t="n">
        <v>3.39913823652856</v>
      </c>
      <c r="D167" s="2" t="n">
        <v>3.63914869551556</v>
      </c>
      <c r="E167" s="2" t="n">
        <v>3.63040922967187</v>
      </c>
    </row>
    <row r="168" customFormat="false" ht="13.8" hidden="false" customHeight="false" outlineLevel="0" collapsed="false">
      <c r="B168" s="2" t="n">
        <v>166</v>
      </c>
      <c r="C168" s="2" t="n">
        <v>3.38604300658741</v>
      </c>
      <c r="D168" s="2" t="n">
        <v>3.60113478861244</v>
      </c>
      <c r="E168" s="2" t="n">
        <v>3.62128217003386</v>
      </c>
    </row>
    <row r="169" customFormat="false" ht="13.8" hidden="false" customHeight="false" outlineLevel="0" collapsed="false">
      <c r="B169" s="2" t="n">
        <v>167</v>
      </c>
      <c r="C169" s="2" t="n">
        <v>3.35477707523181</v>
      </c>
      <c r="D169" s="2" t="n">
        <v>3.62049543827516</v>
      </c>
      <c r="E169" s="2" t="n">
        <v>3.57815528505285</v>
      </c>
    </row>
    <row r="170" customFormat="false" ht="13.8" hidden="false" customHeight="false" outlineLevel="0" collapsed="false">
      <c r="B170" s="2" t="n">
        <v>168</v>
      </c>
      <c r="C170" s="2" t="n">
        <v>3.27552647602061</v>
      </c>
      <c r="D170" s="2" t="n">
        <v>3.52416364629402</v>
      </c>
      <c r="E170" s="2" t="n">
        <v>3.52843648880116</v>
      </c>
    </row>
    <row r="171" customFormat="false" ht="13.8" hidden="false" customHeight="false" outlineLevel="0" collapsed="false">
      <c r="B171" s="2" t="n">
        <v>169</v>
      </c>
      <c r="C171" s="2" t="n">
        <v>3.2138467999116</v>
      </c>
      <c r="D171" s="2" t="n">
        <v>3.47038630960327</v>
      </c>
      <c r="E171" s="2" t="n">
        <v>3.4406445323831</v>
      </c>
    </row>
    <row r="172" customFormat="false" ht="13.8" hidden="false" customHeight="false" outlineLevel="0" collapsed="false">
      <c r="B172" s="2" t="n">
        <v>170</v>
      </c>
      <c r="C172" s="2" t="n">
        <v>3.10882848006968</v>
      </c>
      <c r="D172" s="2" t="n">
        <v>3.38649351130341</v>
      </c>
      <c r="E172" s="2" t="n">
        <v>3.36331090430726</v>
      </c>
    </row>
    <row r="173" customFormat="false" ht="13.8" hidden="false" customHeight="false" outlineLevel="0" collapsed="false">
      <c r="B173" s="2" t="n">
        <v>171</v>
      </c>
      <c r="C173" s="2" t="n">
        <v>3.05965743136668</v>
      </c>
      <c r="D173" s="2" t="n">
        <v>3.28152251551687</v>
      </c>
      <c r="E173" s="2" t="n">
        <v>3.26995362962665</v>
      </c>
    </row>
    <row r="174" customFormat="false" ht="13.8" hidden="false" customHeight="false" outlineLevel="0" collapsed="false">
      <c r="B174" s="2" t="n">
        <v>172</v>
      </c>
      <c r="C174" s="2" t="n">
        <v>2.97985112322205</v>
      </c>
      <c r="D174" s="2" t="n">
        <v>3.22393669190133</v>
      </c>
      <c r="E174" s="2" t="n">
        <v>3.18542469197009</v>
      </c>
    </row>
    <row r="175" customFormat="false" ht="13.8" hidden="false" customHeight="false" outlineLevel="0" collapsed="false">
      <c r="B175" s="2" t="n">
        <v>173</v>
      </c>
      <c r="C175" s="2" t="n">
        <v>2.89857665804415</v>
      </c>
      <c r="D175" s="2" t="n">
        <v>3.13649519327515</v>
      </c>
      <c r="E175" s="2" t="n">
        <v>3.08681635624169</v>
      </c>
    </row>
    <row r="176" customFormat="false" ht="13.8" hidden="false" customHeight="false" outlineLevel="0" collapsed="false">
      <c r="B176" s="2" t="n">
        <v>174</v>
      </c>
      <c r="C176" s="2" t="n">
        <v>2.78489554264794</v>
      </c>
      <c r="D176" s="2" t="n">
        <v>3.02940562461952</v>
      </c>
      <c r="E176" s="2" t="n">
        <v>3.00015346955961</v>
      </c>
    </row>
    <row r="177" customFormat="false" ht="13.8" hidden="false" customHeight="false" outlineLevel="0" collapsed="false">
      <c r="B177" s="2" t="n">
        <v>175</v>
      </c>
      <c r="C177" s="2" t="n">
        <v>2.70075193443326</v>
      </c>
      <c r="D177" s="2" t="n">
        <v>2.92033520093365</v>
      </c>
      <c r="E177" s="2" t="n">
        <v>2.89073180135826</v>
      </c>
    </row>
    <row r="178" customFormat="false" ht="13.8" hidden="false" customHeight="false" outlineLevel="0" collapsed="false">
      <c r="B178" s="2" t="n">
        <v>176</v>
      </c>
      <c r="C178" s="2" t="n">
        <v>2.58168398246947</v>
      </c>
      <c r="D178" s="2" t="n">
        <v>2.84256094202609</v>
      </c>
      <c r="E178" s="2" t="n">
        <v>2.7880139495958</v>
      </c>
    </row>
    <row r="179" customFormat="false" ht="13.8" hidden="false" customHeight="false" outlineLevel="0" collapsed="false">
      <c r="B179" s="2" t="n">
        <v>177</v>
      </c>
      <c r="C179" s="2" t="n">
        <v>2.48200548044447</v>
      </c>
      <c r="D179" s="2" t="n">
        <v>2.73823234975</v>
      </c>
      <c r="E179" s="2" t="n">
        <v>2.66590755093779</v>
      </c>
    </row>
    <row r="180" customFormat="false" ht="13.8" hidden="false" customHeight="false" outlineLevel="0" collapsed="false">
      <c r="B180" s="2" t="n">
        <v>178</v>
      </c>
      <c r="C180" s="2" t="n">
        <v>2.36147571594522</v>
      </c>
      <c r="D180" s="2" t="n">
        <v>2.62333139335243</v>
      </c>
      <c r="E180" s="2" t="n">
        <v>2.53922883630674</v>
      </c>
    </row>
    <row r="181" customFormat="false" ht="13.8" hidden="false" customHeight="false" outlineLevel="0" collapsed="false">
      <c r="B181" s="2" t="n">
        <v>179</v>
      </c>
      <c r="C181" s="2" t="n">
        <v>2.26461391600288</v>
      </c>
      <c r="D181" s="2" t="n">
        <v>2.49706117855702</v>
      </c>
      <c r="E181" s="2" t="n">
        <v>2.40647755512949</v>
      </c>
    </row>
    <row r="182" customFormat="false" ht="13.8" hidden="false" customHeight="false" outlineLevel="0" collapsed="false">
      <c r="B182" s="2" t="n">
        <v>180</v>
      </c>
      <c r="C182" s="2" t="n">
        <v>2.15690117727114</v>
      </c>
      <c r="D182" s="2" t="n">
        <v>2.3910881709082</v>
      </c>
      <c r="E182" s="2" t="n">
        <v>2.26019119405765</v>
      </c>
    </row>
    <row r="183" customFormat="false" ht="13.8" hidden="false" customHeight="false" outlineLevel="0" collapsed="false">
      <c r="B183" s="2" t="n">
        <v>181</v>
      </c>
      <c r="C183" s="2" t="n">
        <v>2.07133808974086</v>
      </c>
      <c r="D183" s="2" t="n">
        <v>2.27215240817465</v>
      </c>
      <c r="E183" s="2" t="n">
        <v>2.09653496251608</v>
      </c>
    </row>
    <row r="184" customFormat="false" ht="13.8" hidden="false" customHeight="false" outlineLevel="0" collapsed="false">
      <c r="B184" s="2" t="n">
        <v>182</v>
      </c>
      <c r="C184" s="2" t="n">
        <v>1.98723902450811</v>
      </c>
      <c r="D184" s="2" t="n">
        <v>2.19503237183576</v>
      </c>
      <c r="E184" s="2" t="n">
        <v>1.95932449716646</v>
      </c>
    </row>
    <row r="185" customFormat="false" ht="13.8" hidden="false" customHeight="false" outlineLevel="0" collapsed="false">
      <c r="B185" s="2" t="n">
        <v>183</v>
      </c>
      <c r="C185" s="2" t="n">
        <v>1.91745613359935</v>
      </c>
      <c r="D185" s="2" t="n">
        <v>2.12172814373427</v>
      </c>
      <c r="E185" s="2" t="n">
        <v>1.86598542244001</v>
      </c>
    </row>
    <row r="186" customFormat="false" ht="13.8" hidden="false" customHeight="false" outlineLevel="0" collapsed="false">
      <c r="B186" s="2" t="n">
        <v>184</v>
      </c>
      <c r="C186" s="2" t="n">
        <v>1.86828440348247</v>
      </c>
      <c r="D186" s="2" t="n">
        <v>2.00731324126765</v>
      </c>
      <c r="E186" s="2" t="n">
        <v>1.79848098480801</v>
      </c>
    </row>
    <row r="187" customFormat="false" ht="13.8" hidden="false" customHeight="false" outlineLevel="0" collapsed="false">
      <c r="B187" s="2" t="n">
        <v>185</v>
      </c>
      <c r="C187" s="2" t="n">
        <v>1.74829840582362</v>
      </c>
      <c r="D187" s="2" t="n">
        <v>1.92927037183895</v>
      </c>
      <c r="E187" s="2" t="n">
        <v>1.74297668518335</v>
      </c>
    </row>
    <row r="188" customFormat="false" ht="13.8" hidden="false" customHeight="false" outlineLevel="0" collapsed="false">
      <c r="B188" s="2" t="n">
        <v>186</v>
      </c>
      <c r="C188" s="2" t="n">
        <v>1.69435033024698</v>
      </c>
      <c r="D188" s="2" t="n">
        <v>1.83752517172783</v>
      </c>
      <c r="E188" s="2" t="n">
        <v>1.61884395912021</v>
      </c>
    </row>
    <row r="189" customFormat="false" ht="13.8" hidden="false" customHeight="false" outlineLevel="0" collapsed="false">
      <c r="B189" s="2" t="n">
        <v>187</v>
      </c>
      <c r="C189" s="2" t="n">
        <v>1.61238527563257</v>
      </c>
      <c r="D189" s="2" t="n">
        <v>1.69468892610574</v>
      </c>
      <c r="E189" s="2" t="n">
        <v>1.54285980771767</v>
      </c>
    </row>
    <row r="190" customFormat="false" ht="13.8" hidden="false" customHeight="false" outlineLevel="0" collapsed="false">
      <c r="B190" s="2" t="n">
        <v>188</v>
      </c>
      <c r="C190" s="2" t="n">
        <v>1.50699541103908</v>
      </c>
      <c r="D190" s="2" t="n">
        <v>1.62287275699427</v>
      </c>
      <c r="E190" s="2" t="n">
        <v>1.45143261986034</v>
      </c>
    </row>
    <row r="191" customFormat="false" ht="13.8" hidden="false" customHeight="false" outlineLevel="0" collapsed="false">
      <c r="B191" s="2" t="n">
        <v>189</v>
      </c>
      <c r="C191" s="2" t="n">
        <v>1.43069919293682</v>
      </c>
      <c r="D191" s="2" t="n">
        <v>1.50200143567411</v>
      </c>
      <c r="E191" s="2" t="n">
        <v>1.38471129071933</v>
      </c>
    </row>
    <row r="192" customFormat="false" ht="13.8" hidden="false" customHeight="false" outlineLevel="0" collapsed="false">
      <c r="B192" s="2" t="n">
        <v>190</v>
      </c>
      <c r="C192" s="2" t="n">
        <v>1.36499594150045</v>
      </c>
      <c r="D192" s="2" t="n">
        <v>1.44692717491901</v>
      </c>
      <c r="E192" s="2" t="n">
        <v>1.32145446212494</v>
      </c>
    </row>
    <row r="193" customFormat="false" ht="13.8" hidden="false" customHeight="false" outlineLevel="0" collapsed="false">
      <c r="B193" s="2" t="n">
        <v>191</v>
      </c>
      <c r="C193" s="2" t="n">
        <v>1.34435025450401</v>
      </c>
      <c r="D193" s="2" t="n">
        <v>1.38316802046208</v>
      </c>
      <c r="E193" s="2" t="n">
        <v>1.25821634017292</v>
      </c>
    </row>
    <row r="194" customFormat="false" ht="13.8" hidden="false" customHeight="false" outlineLevel="0" collapsed="false">
      <c r="B194" s="2" t="n">
        <v>192</v>
      </c>
      <c r="C194" s="2" t="n">
        <v>1.29488960729776</v>
      </c>
      <c r="D194" s="2" t="n">
        <v>1.36126124433744</v>
      </c>
      <c r="E194" s="2" t="n">
        <v>1.18264501726879</v>
      </c>
    </row>
    <row r="195" customFormat="false" ht="13.8" hidden="false" customHeight="false" outlineLevel="0" collapsed="false">
      <c r="B195" s="2" t="n">
        <v>193</v>
      </c>
      <c r="C195" s="2" t="n">
        <v>1.28457754729058</v>
      </c>
      <c r="D195" s="2" t="n">
        <v>1.34361515024352</v>
      </c>
      <c r="E195" s="2" t="n">
        <v>1.14653848711492</v>
      </c>
    </row>
    <row r="196" customFormat="false" ht="13.8" hidden="false" customHeight="false" outlineLevel="0" collapsed="false">
      <c r="B196" s="2" t="n">
        <v>194</v>
      </c>
      <c r="C196" s="2" t="n">
        <v>1.2523953867003</v>
      </c>
      <c r="D196" s="2" t="n">
        <v>1.23922880668462</v>
      </c>
      <c r="E196" s="2" t="n">
        <v>1.06278385506338</v>
      </c>
    </row>
    <row r="197" customFormat="false" ht="13.8" hidden="false" customHeight="false" outlineLevel="0" collapsed="false">
      <c r="B197" s="2" t="n">
        <v>195</v>
      </c>
      <c r="C197" s="2" t="n">
        <v>1.16152947385755</v>
      </c>
      <c r="D197" s="2" t="n">
        <v>1.22417746995211</v>
      </c>
      <c r="E197" s="2" t="n">
        <v>1.01253072722484</v>
      </c>
    </row>
    <row r="198" customFormat="false" ht="13.8" hidden="false" customHeight="false" outlineLevel="0" collapsed="false">
      <c r="B198" s="2" t="n">
        <v>196</v>
      </c>
      <c r="C198" s="2" t="n">
        <v>1.14679509930356</v>
      </c>
      <c r="D198" s="2" t="n">
        <v>1.1243679133626</v>
      </c>
      <c r="E198" s="2" t="n">
        <v>0.979556713028681</v>
      </c>
    </row>
    <row r="199" customFormat="false" ht="13.8" hidden="false" customHeight="false" outlineLevel="0" collapsed="false">
      <c r="B199" s="2" t="n">
        <v>197</v>
      </c>
      <c r="C199" s="2" t="n">
        <v>1.06054264987109</v>
      </c>
      <c r="D199" s="2" t="n">
        <v>1.08326289190569</v>
      </c>
      <c r="E199" s="2" t="n">
        <v>0.913583602646741</v>
      </c>
    </row>
    <row r="200" customFormat="false" ht="13.8" hidden="false" customHeight="false" outlineLevel="0" collapsed="false">
      <c r="B200" s="2" t="n">
        <v>198</v>
      </c>
      <c r="C200" s="2" t="n">
        <v>1.04525413703719</v>
      </c>
      <c r="D200" s="2" t="n">
        <v>1.03673333705456</v>
      </c>
      <c r="E200" s="2" t="n">
        <v>0.89774107792183</v>
      </c>
    </row>
    <row r="201" customFormat="false" ht="13.8" hidden="false" customHeight="false" outlineLevel="0" collapsed="false">
      <c r="B201" s="2" t="n">
        <v>199</v>
      </c>
      <c r="C201" s="2" t="n">
        <v>0.993484147458786</v>
      </c>
      <c r="D201" s="2" t="n">
        <v>0.983685673424898</v>
      </c>
      <c r="E201" s="2" t="n">
        <v>0.817380137548094</v>
      </c>
    </row>
    <row r="202" customFormat="false" ht="13.8" hidden="false" customHeight="false" outlineLevel="0" collapsed="false">
      <c r="B202" s="2" t="n">
        <v>200</v>
      </c>
      <c r="C202" s="2" t="n">
        <v>0.976529768172873</v>
      </c>
      <c r="D202" s="2" t="n">
        <v>0.951916262494095</v>
      </c>
      <c r="E202" s="2" t="n">
        <v>0.803242260043021</v>
      </c>
    </row>
    <row r="203" customFormat="false" ht="13.8" hidden="false" customHeight="false" outlineLevel="0" collapsed="false">
      <c r="B203" s="2" t="n">
        <v>201</v>
      </c>
      <c r="C203" s="2" t="n">
        <v>0.887723613986308</v>
      </c>
      <c r="D203" s="2" t="n">
        <v>0.883147391479624</v>
      </c>
      <c r="E203" s="2" t="n">
        <v>0.750270968361169</v>
      </c>
    </row>
    <row r="204" customFormat="false" ht="13.8" hidden="false" customHeight="false" outlineLevel="0" collapsed="false">
      <c r="B204" s="2" t="n">
        <v>202</v>
      </c>
      <c r="C204" s="2" t="n">
        <v>0.871436699713137</v>
      </c>
      <c r="D204" s="2" t="n">
        <v>0.862916226672382</v>
      </c>
      <c r="E204" s="2" t="n">
        <v>0.727763132318158</v>
      </c>
    </row>
    <row r="205" customFormat="false" ht="13.8" hidden="false" customHeight="false" outlineLevel="0" collapsed="false">
      <c r="B205" s="2" t="n">
        <v>203</v>
      </c>
      <c r="C205" s="2" t="n">
        <v>0.855631411272072</v>
      </c>
      <c r="D205" s="2" t="n">
        <v>0.776333486399011</v>
      </c>
      <c r="E205" s="2" t="n">
        <v>0.650514910242396</v>
      </c>
    </row>
    <row r="206" customFormat="false" ht="13.8" hidden="false" customHeight="false" outlineLevel="0" collapsed="false">
      <c r="B206" s="2" t="n">
        <v>204</v>
      </c>
      <c r="C206" s="2" t="n">
        <v>0.777844929032041</v>
      </c>
      <c r="D206" s="2" t="n">
        <v>0.759325426767856</v>
      </c>
      <c r="E206" s="2" t="n">
        <v>0.631100793982189</v>
      </c>
    </row>
    <row r="207" customFormat="false" ht="13.8" hidden="false" customHeight="false" outlineLevel="0" collapsed="false">
      <c r="B207" s="2" t="n">
        <v>205</v>
      </c>
      <c r="C207" s="2" t="n">
        <v>0.753448224656833</v>
      </c>
      <c r="D207" s="2" t="n">
        <v>0.705002889069151</v>
      </c>
      <c r="E207" s="2" t="n">
        <v>0.549853594085368</v>
      </c>
    </row>
    <row r="208" customFormat="false" ht="13.8" hidden="false" customHeight="false" outlineLevel="0" collapsed="false">
      <c r="B208" s="2" t="n">
        <v>206</v>
      </c>
      <c r="C208" s="2" t="n">
        <v>0.67538498647089</v>
      </c>
      <c r="D208" s="2" t="n">
        <v>0.657421727929155</v>
      </c>
      <c r="E208" s="2" t="n">
        <v>0.534088539993878</v>
      </c>
    </row>
    <row r="209" customFormat="false" ht="13.8" hidden="false" customHeight="false" outlineLevel="0" collapsed="false">
      <c r="B209" s="2" t="n">
        <v>207</v>
      </c>
      <c r="C209" s="2" t="n">
        <v>0.654174454843254</v>
      </c>
      <c r="D209" s="2" t="n">
        <v>0.602877875934105</v>
      </c>
      <c r="E209" s="2" t="n">
        <v>0.45280525466404</v>
      </c>
    </row>
    <row r="210" customFormat="false" ht="13.8" hidden="false" customHeight="false" outlineLevel="0" collapsed="false">
      <c r="B210" s="2" t="n">
        <v>208</v>
      </c>
      <c r="C210" s="2" t="n">
        <v>0.574853024209824</v>
      </c>
      <c r="D210" s="2" t="n">
        <v>0.558426828636834</v>
      </c>
      <c r="E210" s="2" t="n">
        <v>0.435633930315204</v>
      </c>
    </row>
    <row r="211" customFormat="false" ht="13.8" hidden="false" customHeight="false" outlineLevel="0" collapsed="false">
      <c r="B211" s="2" t="n">
        <v>209</v>
      </c>
      <c r="C211" s="2" t="n">
        <v>0.55425425716107</v>
      </c>
      <c r="D211" s="2" t="n">
        <v>0.503161448072258</v>
      </c>
      <c r="E211" s="2" t="n">
        <v>0.353685129531462</v>
      </c>
    </row>
    <row r="212" customFormat="false" ht="13.8" hidden="false" customHeight="false" outlineLevel="0" collapsed="false">
      <c r="B212" s="2" t="n">
        <v>210</v>
      </c>
      <c r="C212" s="2" t="n">
        <v>0.505155844248136</v>
      </c>
      <c r="D212" s="2" t="n">
        <v>0.440619194235562</v>
      </c>
      <c r="E212" s="2" t="n">
        <v>0.338385000087581</v>
      </c>
    </row>
    <row r="213" customFormat="false" ht="13.8" hidden="false" customHeight="false" outlineLevel="0" collapsed="false">
      <c r="B213" s="2" t="n">
        <v>211</v>
      </c>
      <c r="C213" s="2" t="n">
        <v>0.45959518157859</v>
      </c>
      <c r="D213" s="2" t="n">
        <v>0.390614084339923</v>
      </c>
      <c r="E213" s="2" t="n">
        <v>0.294714745867216</v>
      </c>
    </row>
    <row r="214" customFormat="false" ht="13.8" hidden="false" customHeight="false" outlineLevel="0" collapsed="false">
      <c r="B214" s="2" t="n">
        <v>212</v>
      </c>
      <c r="C214" s="2" t="n">
        <v>0.384960937478633</v>
      </c>
      <c r="D214" s="2" t="n">
        <v>0.355572900421309</v>
      </c>
      <c r="E214" s="2" t="n">
        <v>0.237841280201246</v>
      </c>
    </row>
    <row r="215" customFormat="false" ht="13.8" hidden="false" customHeight="false" outlineLevel="0" collapsed="false">
      <c r="B215" s="2" t="n">
        <v>213</v>
      </c>
      <c r="C215" s="2" t="n">
        <v>0.292179310091488</v>
      </c>
      <c r="D215" s="2" t="n">
        <v>0.278365474321942</v>
      </c>
      <c r="E215" s="2" t="n">
        <v>0.209246235121784</v>
      </c>
    </row>
    <row r="216" customFormat="false" ht="13.8" hidden="false" customHeight="false" outlineLevel="0" collapsed="false">
      <c r="B216" s="2" t="n">
        <v>214</v>
      </c>
      <c r="C216" s="2" t="n">
        <v>0.232601558528714</v>
      </c>
      <c r="D216" s="2" t="n">
        <v>0.219119760259233</v>
      </c>
      <c r="E216" s="2" t="n">
        <v>0.108611561173313</v>
      </c>
    </row>
    <row r="217" customFormat="false" ht="13.8" hidden="false" customHeight="false" outlineLevel="0" collapsed="false">
      <c r="B217" s="2" t="n">
        <v>215</v>
      </c>
      <c r="C217" s="2" t="n">
        <v>0.155653202603369</v>
      </c>
      <c r="D217" s="2" t="n">
        <v>0.147150263801208</v>
      </c>
      <c r="E217" s="2" t="n">
        <v>0.0930490713446776</v>
      </c>
    </row>
    <row r="218" customFormat="false" ht="13.8" hidden="false" customHeight="false" outlineLevel="0" collapsed="false">
      <c r="B218" s="2" t="n">
        <v>216</v>
      </c>
      <c r="C218" s="2" t="n">
        <v>0.108445860465941</v>
      </c>
      <c r="D218" s="2" t="n">
        <v>0.0951055010745814</v>
      </c>
      <c r="E218" s="2" t="n">
        <v>0.00698397046959336</v>
      </c>
    </row>
    <row r="219" customFormat="false" ht="13.8" hidden="false" customHeight="false" outlineLevel="0" collapsed="false">
      <c r="B219" s="2" t="n">
        <v>217</v>
      </c>
      <c r="C219" s="2" t="n">
        <v>0.0416083828544398</v>
      </c>
      <c r="D219" s="2" t="n">
        <v>0.0336518839431256</v>
      </c>
      <c r="E219" s="2" t="n">
        <v>0.00449083394454069</v>
      </c>
    </row>
    <row r="220" customFormat="false" ht="13.8" hidden="false" customHeight="false" outlineLevel="0" collapsed="false">
      <c r="B220" s="2" t="n">
        <v>218</v>
      </c>
      <c r="C220" s="2" t="n">
        <v>0.0243302488845925</v>
      </c>
      <c r="D220" s="2" t="n">
        <v>0.00902456806766434</v>
      </c>
      <c r="E220" s="2" t="n">
        <v>5.20303728990257E-015</v>
      </c>
    </row>
    <row r="221" customFormat="false" ht="13.8" hidden="false" customHeight="false" outlineLevel="0" collapsed="false">
      <c r="B221" s="2" t="n">
        <v>219</v>
      </c>
      <c r="C221" s="2" t="n">
        <v>6.97977958838137E-015</v>
      </c>
      <c r="D221" s="2" t="n">
        <v>7.19521796733913E-015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7.14653277505601E-015</v>
      </c>
      <c r="D222" s="2" t="n">
        <v>3.78831710386608E-011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1.39832309020239E-014</v>
      </c>
      <c r="D223" s="2" t="n">
        <v>3.78868466021699E-011</v>
      </c>
      <c r="E223" s="2" t="n">
        <v>1.6115775789249E-015</v>
      </c>
    </row>
    <row r="224" customFormat="false" ht="13.8" hidden="false" customHeight="false" outlineLevel="0" collapsed="false">
      <c r="B224" s="2" t="n">
        <v>222</v>
      </c>
      <c r="C224" s="2" t="n">
        <v>2.04319838498292E-014</v>
      </c>
      <c r="D224" s="2" t="n">
        <v>3.78902651102017E-011</v>
      </c>
      <c r="E224" s="2" t="n">
        <v>7.53487697139843E-015</v>
      </c>
    </row>
    <row r="225" customFormat="false" ht="13.8" hidden="false" customHeight="false" outlineLevel="0" collapsed="false">
      <c r="B225" s="2" t="n">
        <v>223</v>
      </c>
      <c r="C225" s="2" t="n">
        <v>2.6492681122912E-014</v>
      </c>
      <c r="D225" s="2" t="n">
        <v>3.78934265198313E-011</v>
      </c>
      <c r="E225" s="2" t="n">
        <v>1.36351281262799E-014</v>
      </c>
    </row>
    <row r="226" customFormat="false" ht="13.8" hidden="false" customHeight="false" outlineLevel="0" collapsed="false">
      <c r="B226" s="2" t="n">
        <v>224</v>
      </c>
      <c r="C226" s="2" t="n">
        <v>3.21652407304709E-014</v>
      </c>
      <c r="D226" s="2" t="n">
        <v>3.78963308157126E-011</v>
      </c>
      <c r="E226" s="2" t="n">
        <v>1.89806541702024E-014</v>
      </c>
    </row>
    <row r="227" customFormat="false" ht="13.8" hidden="false" customHeight="false" outlineLevel="0" collapsed="false">
      <c r="B227" s="2" t="n">
        <v>225</v>
      </c>
      <c r="C227" s="2" t="n">
        <v>3.74496575989572E-014</v>
      </c>
      <c r="D227" s="2" t="n">
        <v>3.78989778896193E-011</v>
      </c>
      <c r="E227" s="2" t="n">
        <v>2.39565720195398E-014</v>
      </c>
    </row>
    <row r="228" customFormat="false" ht="13.8" hidden="false" customHeight="false" outlineLevel="0" collapsed="false">
      <c r="B228" s="2" t="n">
        <v>226</v>
      </c>
      <c r="C228" s="2" t="n">
        <v>4.23460308869687E-014</v>
      </c>
      <c r="D228" s="2" t="n">
        <v>3.79013677301729E-011</v>
      </c>
      <c r="E228" s="2" t="n">
        <v>2.85629133786682E-014</v>
      </c>
    </row>
    <row r="229" customFormat="false" ht="13.8" hidden="false" customHeight="false" outlineLevel="0" collapsed="false">
      <c r="B229" s="2" t="n">
        <v>227</v>
      </c>
      <c r="C229" s="2" t="n">
        <v>4.68543415905033E-014</v>
      </c>
      <c r="D229" s="2" t="n">
        <v>3.79035003485115E-011</v>
      </c>
      <c r="E229" s="2" t="n">
        <v>3.27996181038636E-014</v>
      </c>
    </row>
    <row r="230" customFormat="false" ht="13.8" hidden="false" customHeight="false" outlineLevel="0" collapsed="false">
      <c r="B230" s="2" t="n">
        <v>228</v>
      </c>
      <c r="C230" s="2" t="n">
        <v>5.09745410230207E-014</v>
      </c>
      <c r="D230" s="2" t="n">
        <v>3.79053756676725E-011</v>
      </c>
      <c r="E230" s="2" t="n">
        <v>3.66665971651043E-014</v>
      </c>
    </row>
    <row r="231" customFormat="false" ht="13.8" hidden="false" customHeight="false" outlineLevel="0" collapsed="false">
      <c r="B231" s="2" t="n">
        <v>229</v>
      </c>
      <c r="C231" s="2" t="n">
        <v>5.47066707771827E-014</v>
      </c>
      <c r="D231" s="2" t="n">
        <v>3.79069936225692E-011</v>
      </c>
      <c r="E231" s="2" t="n">
        <v>4.01638514049965E-014</v>
      </c>
    </row>
    <row r="232" customFormat="false" ht="13.8" hidden="false" customHeight="false" outlineLevel="0" collapsed="false">
      <c r="B232" s="2" t="n">
        <v>230</v>
      </c>
      <c r="C232" s="2" t="n">
        <v>5.80507427660822E-014</v>
      </c>
      <c r="D232" s="2" t="n">
        <v>3.79083542484786E-011</v>
      </c>
      <c r="E232" s="2" t="n">
        <v>4.32914412534439E-014</v>
      </c>
    </row>
    <row r="233" customFormat="false" ht="13.8" hidden="false" customHeight="false" outlineLevel="0" collapsed="false">
      <c r="B233" s="2" t="n">
        <v>231</v>
      </c>
      <c r="C233" s="2" t="n">
        <v>6.10066810171161E-014</v>
      </c>
      <c r="D233" s="2" t="n">
        <v>3.79094575023448E-011</v>
      </c>
      <c r="E233" s="2" t="n">
        <v>4.6049338872507E-014</v>
      </c>
    </row>
    <row r="234" customFormat="false" ht="13.8" hidden="false" customHeight="false" outlineLevel="0" collapsed="false">
      <c r="B234" s="2" t="n">
        <v>232</v>
      </c>
      <c r="C234" s="2" t="n">
        <v>6.35745277575094E-014</v>
      </c>
      <c r="D234" s="2" t="n">
        <v>3.05346576361203E-011</v>
      </c>
      <c r="E234" s="2" t="n">
        <v>4.84376051052683E-014</v>
      </c>
    </row>
    <row r="235" customFormat="false" ht="13.8" hidden="false" customHeight="false" outlineLevel="0" collapsed="false">
      <c r="B235" s="2" t="n">
        <v>233</v>
      </c>
      <c r="C235" s="2" t="n">
        <v>6.57542385112469E-014</v>
      </c>
      <c r="D235" s="2" t="n">
        <v>6.18545978634467E-014</v>
      </c>
      <c r="E235" s="2" t="n">
        <v>5.04562416205648E-014</v>
      </c>
    </row>
    <row r="236" customFormat="false" ht="13.8" hidden="false" customHeight="false" outlineLevel="0" collapsed="false">
      <c r="B236" s="2" t="n">
        <v>234</v>
      </c>
      <c r="C236" s="2" t="n">
        <v>6.75458870054485E-014</v>
      </c>
      <c r="D236" s="2" t="n">
        <v>6.30922922000944E-014</v>
      </c>
      <c r="E236" s="2" t="n">
        <v>5.2105160625708E-014</v>
      </c>
    </row>
    <row r="237" customFormat="false" ht="13.8" hidden="false" customHeight="false" outlineLevel="0" collapsed="false">
      <c r="B237" s="2" t="n">
        <v>235</v>
      </c>
      <c r="C237" s="2" t="n">
        <v>6.89494590783303E-014</v>
      </c>
      <c r="D237" s="2" t="n">
        <v>6.39546371428459E-014</v>
      </c>
      <c r="E237" s="2" t="n">
        <v>5.3384407296619E-014</v>
      </c>
    </row>
    <row r="238" customFormat="false" ht="13.8" hidden="false" customHeight="false" outlineLevel="0" collapsed="false">
      <c r="B238" s="2" t="n">
        <v>236</v>
      </c>
      <c r="C238" s="2" t="n">
        <v>6.99661582346244E-014</v>
      </c>
      <c r="D238" s="2" t="n">
        <v>6.44647794528003E-014</v>
      </c>
      <c r="E238" s="2" t="n">
        <v>5.42944520426278E-014</v>
      </c>
    </row>
    <row r="239" customFormat="false" ht="13.8" hidden="false" customHeight="false" outlineLevel="0" collapsed="false">
      <c r="B239" s="2" t="n">
        <v>237</v>
      </c>
      <c r="C239" s="2" t="n">
        <v>7.06027115163377E-014</v>
      </c>
      <c r="D239" s="2" t="n">
        <v>0.00705842886941068</v>
      </c>
      <c r="E239" s="2" t="n">
        <v>5.48552307933297E-014</v>
      </c>
    </row>
    <row r="240" customFormat="false" ht="13.8" hidden="false" customHeight="false" outlineLevel="0" collapsed="false">
      <c r="B240" s="2" t="n">
        <v>238</v>
      </c>
      <c r="C240" s="2" t="n">
        <v>0.00144654041928163</v>
      </c>
      <c r="D240" s="2" t="n">
        <v>0.0477581213537294</v>
      </c>
      <c r="E240" s="2" t="n">
        <v>5.51425171668616E-014</v>
      </c>
    </row>
    <row r="241" customFormat="false" ht="13.8" hidden="false" customHeight="false" outlineLevel="0" collapsed="false">
      <c r="B241" s="2" t="n">
        <v>239</v>
      </c>
      <c r="C241" s="2" t="n">
        <v>0.0529799786292549</v>
      </c>
      <c r="D241" s="2" t="n">
        <v>0.130339956757158</v>
      </c>
      <c r="E241" s="2" t="n">
        <v>0.0333614351846724</v>
      </c>
    </row>
    <row r="242" customFormat="false" ht="13.8" hidden="false" customHeight="false" outlineLevel="0" collapsed="false">
      <c r="B242" s="2" t="n">
        <v>240</v>
      </c>
      <c r="C242" s="2" t="n">
        <v>0.196300913656224</v>
      </c>
      <c r="D242" s="2" t="n">
        <v>0.289151745824751</v>
      </c>
      <c r="E242" s="2" t="n">
        <v>0.0984777747265427</v>
      </c>
    </row>
    <row r="243" customFormat="false" ht="13.8" hidden="false" customHeight="false" outlineLevel="0" collapsed="false">
      <c r="B243" s="2" t="n">
        <v>241</v>
      </c>
      <c r="C243" s="2" t="n">
        <v>0.278298947261079</v>
      </c>
      <c r="D243" s="2" t="n">
        <v>0.589918390062492</v>
      </c>
      <c r="E243" s="2" t="n">
        <v>0.241934826074952</v>
      </c>
    </row>
    <row r="244" customFormat="false" ht="13.8" hidden="false" customHeight="false" outlineLevel="0" collapsed="false">
      <c r="B244" s="2" t="n">
        <v>242</v>
      </c>
      <c r="C244" s="2" t="n">
        <v>0.536155906896152</v>
      </c>
      <c r="D244" s="2" t="n">
        <v>0.908560395238363</v>
      </c>
      <c r="E244" s="2" t="n">
        <v>0.464380822499546</v>
      </c>
    </row>
    <row r="245" customFormat="false" ht="13.8" hidden="false" customHeight="false" outlineLevel="0" collapsed="false">
      <c r="B245" s="2" t="n">
        <v>243</v>
      </c>
      <c r="C245" s="2" t="n">
        <v>0.837786715905926</v>
      </c>
      <c r="D245" s="2" t="n">
        <v>1.1863240263433</v>
      </c>
      <c r="E245" s="2" t="n">
        <v>0.797243199586799</v>
      </c>
    </row>
    <row r="246" customFormat="false" ht="13.8" hidden="false" customHeight="false" outlineLevel="0" collapsed="false">
      <c r="B246" s="2" t="n">
        <v>244</v>
      </c>
      <c r="C246" s="2" t="n">
        <v>1.19307886018799</v>
      </c>
      <c r="D246" s="2" t="n">
        <v>1.47302469216104</v>
      </c>
      <c r="E246" s="2" t="n">
        <v>1.14219503231612</v>
      </c>
    </row>
    <row r="247" customFormat="false" ht="13.8" hidden="false" customHeight="false" outlineLevel="0" collapsed="false">
      <c r="B247" s="2" t="n">
        <v>245</v>
      </c>
      <c r="C247" s="2" t="n">
        <v>1.483412163129</v>
      </c>
      <c r="D247" s="2" t="n">
        <v>1.74370284332123</v>
      </c>
      <c r="E247" s="2" t="n">
        <v>1.47838640979295</v>
      </c>
    </row>
    <row r="248" customFormat="false" ht="13.8" hidden="false" customHeight="false" outlineLevel="0" collapsed="false">
      <c r="B248" s="2" t="n">
        <v>246</v>
      </c>
      <c r="C248" s="2" t="n">
        <v>1.81573825086724</v>
      </c>
      <c r="D248" s="2" t="n">
        <v>2.01605553243035</v>
      </c>
      <c r="E248" s="2" t="n">
        <v>1.78243859936769</v>
      </c>
    </row>
    <row r="249" customFormat="false" ht="13.8" hidden="false" customHeight="false" outlineLevel="0" collapsed="false">
      <c r="B249" s="2" t="n">
        <v>247</v>
      </c>
      <c r="C249" s="2" t="n">
        <v>2.09087719847489</v>
      </c>
      <c r="D249" s="2" t="n">
        <v>2.266682682743</v>
      </c>
      <c r="E249" s="2" t="n">
        <v>2.11150154743223</v>
      </c>
    </row>
    <row r="250" customFormat="false" ht="13.8" hidden="false" customHeight="false" outlineLevel="0" collapsed="false">
      <c r="B250" s="2" t="n">
        <v>248</v>
      </c>
      <c r="C250" s="2" t="n">
        <v>2.38678439782335</v>
      </c>
      <c r="D250" s="2" t="n">
        <v>2.51778493151458</v>
      </c>
      <c r="E250" s="2" t="n">
        <v>2.39522531887896</v>
      </c>
    </row>
    <row r="251" customFormat="false" ht="13.8" hidden="false" customHeight="false" outlineLevel="0" collapsed="false">
      <c r="B251" s="2" t="n">
        <v>249</v>
      </c>
      <c r="C251" s="2" t="n">
        <v>2.65223471623008</v>
      </c>
      <c r="D251" s="2" t="n">
        <v>2.7784971839941</v>
      </c>
      <c r="E251" s="2" t="n">
        <v>2.72368521709967</v>
      </c>
    </row>
    <row r="252" customFormat="false" ht="13.8" hidden="false" customHeight="false" outlineLevel="0" collapsed="false">
      <c r="B252" s="2" t="n">
        <v>250</v>
      </c>
      <c r="C252" s="2" t="n">
        <v>2.90200153311758</v>
      </c>
      <c r="D252" s="2" t="n">
        <v>3.01835357809794</v>
      </c>
      <c r="E252" s="2" t="n">
        <v>2.96593758292266</v>
      </c>
    </row>
    <row r="253" customFormat="false" ht="13.8" hidden="false" customHeight="false" outlineLevel="0" collapsed="false">
      <c r="B253" s="2" t="n">
        <v>251</v>
      </c>
      <c r="C253" s="2" t="n">
        <v>3.14108024532084</v>
      </c>
      <c r="D253" s="2" t="n">
        <v>3.21056463738468</v>
      </c>
      <c r="E253" s="2" t="n">
        <v>3.23920758842328</v>
      </c>
    </row>
    <row r="254" customFormat="false" ht="13.8" hidden="false" customHeight="false" outlineLevel="0" collapsed="false">
      <c r="B254" s="2" t="n">
        <v>252</v>
      </c>
      <c r="C254" s="2" t="n">
        <v>3.35141092972093</v>
      </c>
      <c r="D254" s="2" t="n">
        <v>3.41760559830766</v>
      </c>
      <c r="E254" s="2" t="n">
        <v>3.46144481842511</v>
      </c>
    </row>
    <row r="255" customFormat="false" ht="13.8" hidden="false" customHeight="false" outlineLevel="0" collapsed="false">
      <c r="B255" s="2" t="n">
        <v>253</v>
      </c>
      <c r="C255" s="2" t="n">
        <v>3.55376875379811</v>
      </c>
      <c r="D255" s="2" t="n">
        <v>3.58060104256787</v>
      </c>
      <c r="E255" s="2" t="n">
        <v>3.70419970825591</v>
      </c>
    </row>
    <row r="256" customFormat="false" ht="13.8" hidden="false" customHeight="false" outlineLevel="0" collapsed="false">
      <c r="B256" s="2" t="n">
        <v>254</v>
      </c>
      <c r="C256" s="2" t="n">
        <v>3.707109543685</v>
      </c>
      <c r="D256" s="2" t="n">
        <v>3.69980814487475</v>
      </c>
      <c r="E256" s="2" t="n">
        <v>3.8235008225372</v>
      </c>
    </row>
    <row r="257" customFormat="false" ht="13.8" hidden="false" customHeight="false" outlineLevel="0" collapsed="false">
      <c r="B257" s="2" t="n">
        <v>255</v>
      </c>
      <c r="C257" s="2" t="n">
        <v>3.80153401455194</v>
      </c>
      <c r="D257" s="2" t="n">
        <v>3.76390241811173</v>
      </c>
      <c r="E257" s="2" t="n">
        <v>3.93739918580673</v>
      </c>
    </row>
    <row r="258" customFormat="false" ht="13.8" hidden="false" customHeight="false" outlineLevel="0" collapsed="false">
      <c r="B258" s="2" t="n">
        <v>256</v>
      </c>
      <c r="C258" s="2" t="n">
        <v>3.81724262056212</v>
      </c>
      <c r="D258" s="2" t="n">
        <v>3.80303406840709</v>
      </c>
      <c r="E258" s="2" t="n">
        <v>3.940594852092</v>
      </c>
    </row>
    <row r="259" customFormat="false" ht="13.8" hidden="false" customHeight="false" outlineLevel="0" collapsed="false">
      <c r="B259" s="2" t="n">
        <v>257</v>
      </c>
      <c r="C259" s="2" t="n">
        <v>3.79724358484985</v>
      </c>
      <c r="D259" s="2" t="n">
        <v>3.79701803475857</v>
      </c>
      <c r="E259" s="2" t="n">
        <v>3.93788067734906</v>
      </c>
    </row>
    <row r="260" customFormat="false" ht="13.8" hidden="false" customHeight="false" outlineLevel="0" collapsed="false">
      <c r="B260" s="2" t="n">
        <v>258</v>
      </c>
      <c r="C260" s="2" t="n">
        <v>3.74240936489446</v>
      </c>
      <c r="D260" s="2" t="n">
        <v>3.73218835992569</v>
      </c>
      <c r="E260" s="2" t="n">
        <v>3.86040757393822</v>
      </c>
    </row>
    <row r="261" customFormat="false" ht="13.8" hidden="false" customHeight="false" outlineLevel="0" collapsed="false">
      <c r="B261" s="2" t="n">
        <v>259</v>
      </c>
      <c r="C261" s="2" t="n">
        <v>3.71051832756633</v>
      </c>
      <c r="D261" s="2" t="n">
        <v>3.69437865056337</v>
      </c>
      <c r="E261" s="2" t="n">
        <v>3.84150962278213</v>
      </c>
    </row>
    <row r="262" customFormat="false" ht="13.8" hidden="false" customHeight="false" outlineLevel="0" collapsed="false">
      <c r="B262" s="2" t="n">
        <v>260</v>
      </c>
      <c r="C262" s="2" t="n">
        <v>3.65138500269289</v>
      </c>
      <c r="D262" s="2" t="n">
        <v>3.60719963647194</v>
      </c>
      <c r="E262" s="2" t="n">
        <v>3.74951968257369</v>
      </c>
    </row>
    <row r="263" customFormat="false" ht="13.8" hidden="false" customHeight="false" outlineLevel="0" collapsed="false">
      <c r="B263" s="2" t="n">
        <v>261</v>
      </c>
      <c r="C263" s="2" t="n">
        <v>3.61482462565997</v>
      </c>
      <c r="D263" s="2" t="n">
        <v>3.55435549652966</v>
      </c>
      <c r="E263" s="2" t="n">
        <v>3.71814200275132</v>
      </c>
    </row>
    <row r="264" customFormat="false" ht="13.8" hidden="false" customHeight="false" outlineLevel="0" collapsed="false">
      <c r="B264" s="2" t="n">
        <v>262</v>
      </c>
      <c r="C264" s="2" t="n">
        <v>3.53072867724877</v>
      </c>
      <c r="D264" s="2" t="n">
        <v>3.4650840964597</v>
      </c>
      <c r="E264" s="2" t="n">
        <v>3.61772456712139</v>
      </c>
    </row>
    <row r="265" customFormat="false" ht="13.8" hidden="false" customHeight="false" outlineLevel="0" collapsed="false">
      <c r="B265" s="2" t="n">
        <v>263</v>
      </c>
      <c r="C265" s="2" t="n">
        <v>3.47465337355574</v>
      </c>
      <c r="D265" s="2" t="n">
        <v>3.40623787460875</v>
      </c>
      <c r="E265" s="2" t="n">
        <v>3.58030497348888</v>
      </c>
    </row>
    <row r="266" customFormat="false" ht="13.8" hidden="false" customHeight="false" outlineLevel="0" collapsed="false">
      <c r="B266" s="2" t="n">
        <v>264</v>
      </c>
      <c r="C266" s="2" t="n">
        <v>3.37867226770776</v>
      </c>
      <c r="D266" s="2" t="n">
        <v>3.30707528598427</v>
      </c>
      <c r="E266" s="2" t="n">
        <v>3.52545638817166</v>
      </c>
    </row>
    <row r="267" customFormat="false" ht="13.8" hidden="false" customHeight="false" outlineLevel="0" collapsed="false">
      <c r="B267" s="2" t="n">
        <v>265</v>
      </c>
      <c r="C267" s="2" t="n">
        <v>3.32298868468879</v>
      </c>
      <c r="D267" s="2" t="n">
        <v>3.23717036337956</v>
      </c>
      <c r="E267" s="2" t="n">
        <v>3.49186413360778</v>
      </c>
    </row>
    <row r="268" customFormat="false" ht="13.8" hidden="false" customHeight="false" outlineLevel="0" collapsed="false">
      <c r="B268" s="2" t="n">
        <v>266</v>
      </c>
      <c r="C268" s="2" t="n">
        <v>3.21974945480194</v>
      </c>
      <c r="D268" s="2" t="n">
        <v>3.16774752871297</v>
      </c>
      <c r="E268" s="2" t="n">
        <v>3.36053145570719</v>
      </c>
    </row>
    <row r="269" customFormat="false" ht="13.8" hidden="false" customHeight="false" outlineLevel="0" collapsed="false">
      <c r="B269" s="2" t="n">
        <v>267</v>
      </c>
      <c r="C269" s="2" t="n">
        <v>3.15815842397406</v>
      </c>
      <c r="D269" s="2" t="n">
        <v>3.05904679568213</v>
      </c>
      <c r="E269" s="2" t="n">
        <v>3.30234696150375</v>
      </c>
    </row>
    <row r="270" customFormat="false" ht="13.8" hidden="false" customHeight="false" outlineLevel="0" collapsed="false">
      <c r="B270" s="2" t="n">
        <v>268</v>
      </c>
      <c r="C270" s="2" t="n">
        <v>3.0400862127602</v>
      </c>
      <c r="D270" s="2" t="n">
        <v>2.99143926076973</v>
      </c>
      <c r="E270" s="2" t="n">
        <v>3.22555034544155</v>
      </c>
    </row>
    <row r="271" customFormat="false" ht="13.8" hidden="false" customHeight="false" outlineLevel="0" collapsed="false">
      <c r="B271" s="2" t="n">
        <v>269</v>
      </c>
      <c r="C271" s="2" t="n">
        <v>2.94866388597214</v>
      </c>
      <c r="D271" s="2" t="n">
        <v>2.91598008711787</v>
      </c>
      <c r="E271" s="2" t="n">
        <v>3.12886633067883</v>
      </c>
    </row>
    <row r="272" customFormat="false" ht="13.8" hidden="false" customHeight="false" outlineLevel="0" collapsed="false">
      <c r="B272" s="2" t="n">
        <v>270</v>
      </c>
      <c r="C272" s="2" t="n">
        <v>2.79798402896291</v>
      </c>
      <c r="D272" s="2" t="n">
        <v>2.79528085324292</v>
      </c>
      <c r="E272" s="2" t="n">
        <v>3.08521996794146</v>
      </c>
    </row>
    <row r="273" customFormat="false" ht="13.8" hidden="false" customHeight="false" outlineLevel="0" collapsed="false">
      <c r="B273" s="2" t="n">
        <v>271</v>
      </c>
      <c r="C273" s="2" t="n">
        <v>2.71467495653003</v>
      </c>
      <c r="D273" s="2" t="n">
        <v>2.70221238191588</v>
      </c>
      <c r="E273" s="2" t="n">
        <v>2.99744454166771</v>
      </c>
    </row>
    <row r="274" customFormat="false" ht="13.8" hidden="false" customHeight="false" outlineLevel="0" collapsed="false">
      <c r="B274" s="2" t="n">
        <v>272</v>
      </c>
      <c r="C274" s="2" t="n">
        <v>2.57101419866936</v>
      </c>
      <c r="D274" s="2" t="n">
        <v>2.59599647090317</v>
      </c>
      <c r="E274" s="2" t="n">
        <v>2.90902184500007</v>
      </c>
    </row>
    <row r="275" customFormat="false" ht="13.8" hidden="false" customHeight="false" outlineLevel="0" collapsed="false">
      <c r="B275" s="2" t="n">
        <v>273</v>
      </c>
      <c r="C275" s="2" t="n">
        <v>2.462039618157</v>
      </c>
      <c r="D275" s="2" t="n">
        <v>2.50702223316069</v>
      </c>
      <c r="E275" s="2" t="n">
        <v>2.82191364367051</v>
      </c>
    </row>
    <row r="276" customFormat="false" ht="13.8" hidden="false" customHeight="false" outlineLevel="0" collapsed="false">
      <c r="B276" s="2" t="n">
        <v>274</v>
      </c>
      <c r="C276" s="2" t="n">
        <v>2.3158072755386</v>
      </c>
      <c r="D276" s="2" t="n">
        <v>2.38915936664206</v>
      </c>
      <c r="E276" s="2" t="n">
        <v>2.76393625786741</v>
      </c>
    </row>
    <row r="277" customFormat="false" ht="13.8" hidden="false" customHeight="false" outlineLevel="0" collapsed="false">
      <c r="B277" s="2" t="n">
        <v>275</v>
      </c>
      <c r="C277" s="2" t="n">
        <v>2.22285398783621</v>
      </c>
      <c r="D277" s="2" t="n">
        <v>2.3021302713447</v>
      </c>
      <c r="E277" s="2" t="n">
        <v>2.66768234072706</v>
      </c>
    </row>
    <row r="278" customFormat="false" ht="13.8" hidden="false" customHeight="false" outlineLevel="0" collapsed="false">
      <c r="B278" s="2" t="n">
        <v>276</v>
      </c>
      <c r="C278" s="2" t="n">
        <v>2.10080929633337</v>
      </c>
      <c r="D278" s="2" t="n">
        <v>2.20402858337532</v>
      </c>
      <c r="E278" s="2" t="n">
        <v>2.5745771083481</v>
      </c>
    </row>
    <row r="279" customFormat="false" ht="13.8" hidden="false" customHeight="false" outlineLevel="0" collapsed="false">
      <c r="B279" s="2" t="n">
        <v>277</v>
      </c>
      <c r="C279" s="2" t="n">
        <v>1.97643193638856</v>
      </c>
      <c r="D279" s="2" t="n">
        <v>2.09198419123764</v>
      </c>
      <c r="E279" s="2" t="n">
        <v>2.46912045516962</v>
      </c>
    </row>
    <row r="280" customFormat="false" ht="13.8" hidden="false" customHeight="false" outlineLevel="0" collapsed="false">
      <c r="B280" s="2" t="n">
        <v>278</v>
      </c>
      <c r="C280" s="2" t="n">
        <v>1.83942689429142</v>
      </c>
      <c r="D280" s="2" t="n">
        <v>1.93794091954388</v>
      </c>
      <c r="E280" s="2" t="n">
        <v>2.41253498618729</v>
      </c>
    </row>
    <row r="281" customFormat="false" ht="13.8" hidden="false" customHeight="false" outlineLevel="0" collapsed="false">
      <c r="B281" s="2" t="n">
        <v>279</v>
      </c>
      <c r="C281" s="2" t="n">
        <v>1.69984957409655</v>
      </c>
      <c r="D281" s="2" t="n">
        <v>1.82963970680135</v>
      </c>
      <c r="E281" s="2" t="n">
        <v>2.27870969417077</v>
      </c>
    </row>
    <row r="282" customFormat="false" ht="13.8" hidden="false" customHeight="false" outlineLevel="0" collapsed="false">
      <c r="B282" s="2" t="n">
        <v>280</v>
      </c>
      <c r="C282" s="2" t="n">
        <v>1.55816253856378</v>
      </c>
      <c r="D282" s="2" t="n">
        <v>1.72139487336725</v>
      </c>
      <c r="E282" s="2" t="n">
        <v>2.20464537003679</v>
      </c>
    </row>
    <row r="283" customFormat="false" ht="13.8" hidden="false" customHeight="false" outlineLevel="0" collapsed="false">
      <c r="B283" s="2" t="n">
        <v>281</v>
      </c>
      <c r="C283" s="2" t="n">
        <v>1.44677247545691</v>
      </c>
      <c r="D283" s="2" t="n">
        <v>1.61642947423334</v>
      </c>
      <c r="E283" s="2" t="n">
        <v>2.05810050876828</v>
      </c>
    </row>
    <row r="284" customFormat="false" ht="13.8" hidden="false" customHeight="false" outlineLevel="0" collapsed="false">
      <c r="B284" s="2" t="n">
        <v>282</v>
      </c>
      <c r="C284" s="2" t="n">
        <v>1.3551237484729</v>
      </c>
      <c r="D284" s="2" t="n">
        <v>1.54392806919786</v>
      </c>
      <c r="E284" s="2" t="n">
        <v>1.99066811294838</v>
      </c>
    </row>
    <row r="285" customFormat="false" ht="13.8" hidden="false" customHeight="false" outlineLevel="0" collapsed="false">
      <c r="B285" s="2" t="n">
        <v>283</v>
      </c>
      <c r="C285" s="2" t="n">
        <v>1.32260523427246</v>
      </c>
      <c r="D285" s="2" t="n">
        <v>1.45764964843569</v>
      </c>
      <c r="E285" s="2" t="n">
        <v>1.90247740997096</v>
      </c>
    </row>
    <row r="286" customFormat="false" ht="13.8" hidden="false" customHeight="false" outlineLevel="0" collapsed="false">
      <c r="B286" s="2" t="n">
        <v>284</v>
      </c>
      <c r="C286" s="2" t="n">
        <v>1.27673580451641</v>
      </c>
      <c r="D286" s="2" t="n">
        <v>1.38622359045773</v>
      </c>
      <c r="E286" s="2" t="n">
        <v>1.82149207038205</v>
      </c>
    </row>
    <row r="287" customFormat="false" ht="13.8" hidden="false" customHeight="false" outlineLevel="0" collapsed="false">
      <c r="B287" s="2" t="n">
        <v>285</v>
      </c>
      <c r="C287" s="2" t="n">
        <v>1.21412631493615</v>
      </c>
      <c r="D287" s="2" t="n">
        <v>1.33405846896257</v>
      </c>
      <c r="E287" s="2" t="n">
        <v>1.74719322583172</v>
      </c>
    </row>
    <row r="288" customFormat="false" ht="13.8" hidden="false" customHeight="false" outlineLevel="0" collapsed="false">
      <c r="B288" s="2" t="n">
        <v>286</v>
      </c>
      <c r="C288" s="2" t="n">
        <v>1.15694398848782</v>
      </c>
      <c r="D288" s="2" t="n">
        <v>1.30218979504455</v>
      </c>
      <c r="E288" s="2" t="n">
        <v>1.66467279093651</v>
      </c>
    </row>
    <row r="289" customFormat="false" ht="13.8" hidden="false" customHeight="false" outlineLevel="0" collapsed="false">
      <c r="B289" s="2" t="n">
        <v>287</v>
      </c>
      <c r="C289" s="2" t="n">
        <v>1.10417067830719</v>
      </c>
      <c r="D289" s="2" t="n">
        <v>1.2205065694429</v>
      </c>
      <c r="E289" s="2" t="n">
        <v>1.62196810717156</v>
      </c>
    </row>
    <row r="290" customFormat="false" ht="13.8" hidden="false" customHeight="false" outlineLevel="0" collapsed="false">
      <c r="B290" s="2" t="n">
        <v>288</v>
      </c>
      <c r="C290" s="2" t="n">
        <v>1.01052665511893</v>
      </c>
      <c r="D290" s="2" t="n">
        <v>1.20121317919203</v>
      </c>
      <c r="E290" s="2" t="n">
        <v>1.59911544304605</v>
      </c>
    </row>
    <row r="291" customFormat="false" ht="13.8" hidden="false" customHeight="false" outlineLevel="0" collapsed="false">
      <c r="B291" s="2" t="n">
        <v>289</v>
      </c>
      <c r="C291" s="2" t="n">
        <v>0.994531883185713</v>
      </c>
      <c r="D291" s="2" t="n">
        <v>1.18958716706024</v>
      </c>
      <c r="E291" s="2" t="n">
        <v>1.56878230374348</v>
      </c>
    </row>
    <row r="292" customFormat="false" ht="13.8" hidden="false" customHeight="false" outlineLevel="0" collapsed="false">
      <c r="B292" s="2" t="n">
        <v>290</v>
      </c>
      <c r="C292" s="2" t="n">
        <v>0.964926937866883</v>
      </c>
      <c r="D292" s="2" t="n">
        <v>1.12455447489228</v>
      </c>
      <c r="E292" s="2" t="n">
        <v>1.51100454184637</v>
      </c>
    </row>
    <row r="293" customFormat="false" ht="13.8" hidden="false" customHeight="false" outlineLevel="0" collapsed="false">
      <c r="B293" s="2" t="n">
        <v>291</v>
      </c>
      <c r="C293" s="2" t="n">
        <v>0.909786121930839</v>
      </c>
      <c r="D293" s="2" t="n">
        <v>1.03731967379198</v>
      </c>
      <c r="E293" s="2" t="n">
        <v>1.44367300587503</v>
      </c>
    </row>
    <row r="294" customFormat="false" ht="13.8" hidden="false" customHeight="false" outlineLevel="0" collapsed="false">
      <c r="B294" s="2" t="n">
        <v>292</v>
      </c>
      <c r="C294" s="2" t="n">
        <v>0.8650913018474</v>
      </c>
      <c r="D294" s="2" t="n">
        <v>0.993752745039692</v>
      </c>
      <c r="E294" s="2" t="n">
        <v>1.35643518025609</v>
      </c>
    </row>
    <row r="295" customFormat="false" ht="13.8" hidden="false" customHeight="false" outlineLevel="0" collapsed="false">
      <c r="B295" s="2" t="n">
        <v>293</v>
      </c>
      <c r="C295" s="2" t="n">
        <v>0.818582465749198</v>
      </c>
      <c r="D295" s="2" t="n">
        <v>0.976760826030766</v>
      </c>
      <c r="E295" s="2" t="n">
        <v>1.30919920849689</v>
      </c>
    </row>
    <row r="296" customFormat="false" ht="13.8" hidden="false" customHeight="false" outlineLevel="0" collapsed="false">
      <c r="B296" s="2" t="n">
        <v>294</v>
      </c>
      <c r="C296" s="2" t="n">
        <v>0.769518446591209</v>
      </c>
      <c r="D296" s="2" t="n">
        <v>0.911047039903993</v>
      </c>
      <c r="E296" s="2" t="n">
        <v>1.23307494983814</v>
      </c>
    </row>
    <row r="297" customFormat="false" ht="13.8" hidden="false" customHeight="false" outlineLevel="0" collapsed="false">
      <c r="B297" s="2" t="n">
        <v>295</v>
      </c>
      <c r="C297" s="2" t="n">
        <v>0.742176955110449</v>
      </c>
      <c r="D297" s="2" t="n">
        <v>0.879556336841007</v>
      </c>
      <c r="E297" s="2" t="n">
        <v>1.2087657672368</v>
      </c>
    </row>
    <row r="298" customFormat="false" ht="13.8" hidden="false" customHeight="false" outlineLevel="0" collapsed="false">
      <c r="B298" s="2" t="n">
        <v>296</v>
      </c>
      <c r="C298" s="2" t="n">
        <v>0.701169144452011</v>
      </c>
      <c r="D298" s="2" t="n">
        <v>0.8106400968332</v>
      </c>
      <c r="E298" s="2" t="n">
        <v>1.10697577217172</v>
      </c>
    </row>
    <row r="299" customFormat="false" ht="13.8" hidden="false" customHeight="false" outlineLevel="0" collapsed="false">
      <c r="B299" s="2" t="n">
        <v>297</v>
      </c>
      <c r="C299" s="2" t="n">
        <v>0.673680577205013</v>
      </c>
      <c r="D299" s="2" t="n">
        <v>0.778983675617423</v>
      </c>
      <c r="E299" s="2" t="n">
        <v>1.07627942463623</v>
      </c>
    </row>
    <row r="300" customFormat="false" ht="13.8" hidden="false" customHeight="false" outlineLevel="0" collapsed="false">
      <c r="B300" s="2" t="n">
        <v>298</v>
      </c>
      <c r="C300" s="2" t="n">
        <v>0.620006988547392</v>
      </c>
      <c r="D300" s="2" t="n">
        <v>0.710994330225117</v>
      </c>
      <c r="E300" s="2" t="n">
        <v>0.971120365545693</v>
      </c>
    </row>
    <row r="301" customFormat="false" ht="13.8" hidden="false" customHeight="false" outlineLevel="0" collapsed="false">
      <c r="B301" s="2" t="n">
        <v>299</v>
      </c>
      <c r="C301" s="2" t="n">
        <v>0.604852344033064</v>
      </c>
      <c r="D301" s="2" t="n">
        <v>0.679005572133673</v>
      </c>
      <c r="E301" s="2" t="n">
        <v>0.935592061749451</v>
      </c>
    </row>
    <row r="302" customFormat="false" ht="13.8" hidden="false" customHeight="false" outlineLevel="0" collapsed="false">
      <c r="B302" s="2" t="n">
        <v>300</v>
      </c>
      <c r="C302" s="2" t="n">
        <v>0.558531017731848</v>
      </c>
      <c r="D302" s="2" t="n">
        <v>0.636461467263144</v>
      </c>
      <c r="E302" s="2" t="n">
        <v>0.827989872495507</v>
      </c>
    </row>
    <row r="303" customFormat="false" ht="13.8" hidden="false" customHeight="false" outlineLevel="0" collapsed="false">
      <c r="B303" s="2" t="n">
        <v>301</v>
      </c>
      <c r="C303" s="2" t="n">
        <v>0.545025136125377</v>
      </c>
      <c r="D303" s="2" t="n">
        <v>0.6152328248707</v>
      </c>
      <c r="E303" s="2" t="n">
        <v>0.791962925930125</v>
      </c>
    </row>
    <row r="304" customFormat="false" ht="13.8" hidden="false" customHeight="false" outlineLevel="0" collapsed="false">
      <c r="B304" s="2" t="n">
        <v>302</v>
      </c>
      <c r="C304" s="2" t="n">
        <v>0.514001074762909</v>
      </c>
      <c r="D304" s="2" t="n">
        <v>0.53657839476468</v>
      </c>
      <c r="E304" s="2" t="n">
        <v>0.683510321115687</v>
      </c>
    </row>
    <row r="305" customFormat="false" ht="13.8" hidden="false" customHeight="false" outlineLevel="0" collapsed="false">
      <c r="B305" s="2" t="n">
        <v>303</v>
      </c>
      <c r="C305" s="2" t="n">
        <v>0.46108849030772</v>
      </c>
      <c r="D305" s="2" t="n">
        <v>0.522480251202961</v>
      </c>
      <c r="E305" s="2" t="n">
        <v>0.649725634160631</v>
      </c>
    </row>
    <row r="306" customFormat="false" ht="13.8" hidden="false" customHeight="false" outlineLevel="0" collapsed="false">
      <c r="B306" s="2" t="n">
        <v>304</v>
      </c>
      <c r="C306" s="2" t="n">
        <v>0.418602101645042</v>
      </c>
      <c r="D306" s="2" t="n">
        <v>0.464697248622678</v>
      </c>
      <c r="E306" s="2" t="n">
        <v>0.548515229496888</v>
      </c>
    </row>
    <row r="307" customFormat="false" ht="13.8" hidden="false" customHeight="false" outlineLevel="0" collapsed="false">
      <c r="B307" s="2" t="n">
        <v>305</v>
      </c>
      <c r="C307" s="2" t="n">
        <v>0.363745971179584</v>
      </c>
      <c r="D307" s="2" t="n">
        <v>0.414322194242792</v>
      </c>
      <c r="E307" s="2" t="n">
        <v>0.51908361471497</v>
      </c>
    </row>
    <row r="308" customFormat="false" ht="13.8" hidden="false" customHeight="false" outlineLevel="0" collapsed="false">
      <c r="B308" s="2" t="n">
        <v>306</v>
      </c>
      <c r="C308" s="2" t="n">
        <v>0.320871722608764</v>
      </c>
      <c r="D308" s="2" t="n">
        <v>0.375077069539375</v>
      </c>
      <c r="E308" s="2" t="n">
        <v>0.415189534989941</v>
      </c>
    </row>
    <row r="309" customFormat="false" ht="13.8" hidden="false" customHeight="false" outlineLevel="0" collapsed="false">
      <c r="B309" s="2" t="n">
        <v>307</v>
      </c>
      <c r="C309" s="2" t="n">
        <v>0.271553476854504</v>
      </c>
      <c r="D309" s="2" t="n">
        <v>0.351424929879798</v>
      </c>
      <c r="E309" s="2" t="n">
        <v>0.383518716427932</v>
      </c>
    </row>
    <row r="310" customFormat="false" ht="13.8" hidden="false" customHeight="false" outlineLevel="0" collapsed="false">
      <c r="B310" s="2" t="n">
        <v>308</v>
      </c>
      <c r="C310" s="2" t="n">
        <v>0.229328539097516</v>
      </c>
      <c r="D310" s="2" t="n">
        <v>0.277013860074951</v>
      </c>
      <c r="E310" s="2" t="n">
        <v>0.2875148071667</v>
      </c>
    </row>
    <row r="311" customFormat="false" ht="13.8" hidden="false" customHeight="false" outlineLevel="0" collapsed="false">
      <c r="B311" s="2" t="n">
        <v>309</v>
      </c>
      <c r="C311" s="2" t="n">
        <v>0.178196505071387</v>
      </c>
      <c r="D311" s="2" t="n">
        <v>0.251770275121543</v>
      </c>
      <c r="E311" s="2" t="n">
        <v>0.258919043129747</v>
      </c>
    </row>
    <row r="312" customFormat="false" ht="13.8" hidden="false" customHeight="false" outlineLevel="0" collapsed="false">
      <c r="B312" s="2" t="n">
        <v>310</v>
      </c>
      <c r="C312" s="2" t="n">
        <v>0.170301720566233</v>
      </c>
      <c r="D312" s="2" t="n">
        <v>0.190090010795414</v>
      </c>
      <c r="E312" s="2" t="n">
        <v>0.153564457258717</v>
      </c>
    </row>
    <row r="313" customFormat="false" ht="13.8" hidden="false" customHeight="false" outlineLevel="0" collapsed="false">
      <c r="B313" s="2" t="n">
        <v>311</v>
      </c>
      <c r="C313" s="2" t="n">
        <v>0.137570290246581</v>
      </c>
      <c r="D313" s="2" t="n">
        <v>0.144047727759616</v>
      </c>
      <c r="E313" s="2" t="n">
        <v>0.12943307640105</v>
      </c>
    </row>
    <row r="314" customFormat="false" ht="13.8" hidden="false" customHeight="false" outlineLevel="0" collapsed="false">
      <c r="B314" s="2" t="n">
        <v>312</v>
      </c>
      <c r="C314" s="2" t="n">
        <v>0.105465406923334</v>
      </c>
      <c r="D314" s="2" t="n">
        <v>0.0863657140787798</v>
      </c>
      <c r="E314" s="2" t="n">
        <v>0.0364867179543252</v>
      </c>
    </row>
    <row r="315" customFormat="false" ht="13.8" hidden="false" customHeight="false" outlineLevel="0" collapsed="false">
      <c r="B315" s="2" t="n">
        <v>313</v>
      </c>
      <c r="C315" s="2" t="n">
        <v>0.0489311754421327</v>
      </c>
      <c r="D315" s="2" t="n">
        <v>0.0862103824465086</v>
      </c>
      <c r="E315" s="2" t="n">
        <v>0.0279300145127633</v>
      </c>
    </row>
    <row r="316" customFormat="false" ht="13.8" hidden="false" customHeight="false" outlineLevel="0" collapsed="false">
      <c r="B316" s="2" t="n">
        <v>314</v>
      </c>
      <c r="C316" s="2" t="n">
        <v>0.0252021491517053</v>
      </c>
      <c r="D316" s="2" t="n">
        <v>0.0456577445191527</v>
      </c>
      <c r="E316" s="2" t="n">
        <v>0.010780148985719</v>
      </c>
    </row>
    <row r="317" customFormat="false" ht="13.8" hidden="false" customHeight="false" outlineLevel="0" collapsed="false">
      <c r="B317" s="2" t="n">
        <v>315</v>
      </c>
      <c r="C317" s="2" t="n">
        <v>2.17987690120936E-015</v>
      </c>
      <c r="D317" s="2" t="n">
        <v>0.00487470426977509</v>
      </c>
      <c r="E317" s="2" t="n">
        <v>0.010780041184196</v>
      </c>
    </row>
    <row r="318" customFormat="false" ht="13.8" hidden="false" customHeight="false" outlineLevel="0" collapsed="false">
      <c r="B318" s="2" t="n">
        <v>316</v>
      </c>
      <c r="C318" s="2" t="n">
        <v>1.9004299641131E-015</v>
      </c>
      <c r="D318" s="2" t="n">
        <v>0.00487465552269686</v>
      </c>
      <c r="E318" s="2" t="n">
        <v>5.63566572964192E-015</v>
      </c>
    </row>
    <row r="319" customFormat="false" ht="13.8" hidden="false" customHeight="false" outlineLevel="0" collapsed="false">
      <c r="B319" s="2" t="n">
        <v>317</v>
      </c>
      <c r="C319" s="2" t="n">
        <v>8.37772374685089E-015</v>
      </c>
      <c r="D319" s="2" t="n">
        <v>6.05083187110723E-015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1.35695921082797E-014</v>
      </c>
      <c r="D320" s="2" t="n">
        <v>0</v>
      </c>
      <c r="E320" s="2" t="n">
        <v>2.41302019145428E-015</v>
      </c>
    </row>
    <row r="321" customFormat="false" ht="13.8" hidden="false" customHeight="false" outlineLevel="0" collapsed="false">
      <c r="B321" s="2" t="n">
        <v>319</v>
      </c>
      <c r="C321" s="2" t="n">
        <v>1.74093121110741E-014</v>
      </c>
      <c r="D321" s="2" t="n">
        <v>0</v>
      </c>
      <c r="E321" s="2" t="n">
        <v>1.05384029475002E-014</v>
      </c>
    </row>
    <row r="322" customFormat="false" ht="13.8" hidden="false" customHeight="false" outlineLevel="0" collapsed="false">
      <c r="B322" s="2" t="n">
        <v>320</v>
      </c>
      <c r="C322" s="2" t="n">
        <v>2.08702958184968E-014</v>
      </c>
      <c r="D322" s="2" t="n">
        <v>0</v>
      </c>
      <c r="E322" s="2" t="n">
        <v>1.67638227094644E-014</v>
      </c>
    </row>
    <row r="323" customFormat="false" ht="13.8" hidden="false" customHeight="false" outlineLevel="0" collapsed="false">
      <c r="B323" s="2" t="n">
        <v>321</v>
      </c>
      <c r="C323" s="2" t="n">
        <v>2.3952499049447E-014</v>
      </c>
      <c r="D323" s="2" t="n">
        <v>0</v>
      </c>
      <c r="E323" s="2" t="n">
        <v>2.12602649296361E-014</v>
      </c>
    </row>
    <row r="324" customFormat="false" ht="13.8" hidden="false" customHeight="false" outlineLevel="0" collapsed="false">
      <c r="B324" s="2" t="n">
        <v>322</v>
      </c>
      <c r="C324" s="2" t="n">
        <v>2.6655897114939E-014</v>
      </c>
      <c r="D324" s="2" t="n">
        <v>0</v>
      </c>
      <c r="E324" s="2" t="n">
        <v>2.53841148215464E-014</v>
      </c>
    </row>
    <row r="325" customFormat="false" ht="13.8" hidden="false" customHeight="false" outlineLevel="0" collapsed="false">
      <c r="B325" s="2" t="n">
        <v>323</v>
      </c>
      <c r="C325" s="2" t="n">
        <v>2.89804769575154E-014</v>
      </c>
      <c r="D325" s="2" t="n">
        <v>0</v>
      </c>
      <c r="E325" s="2" t="n">
        <v>2.9135343748733E-014</v>
      </c>
    </row>
    <row r="326" customFormat="false" ht="13.8" hidden="false" customHeight="false" outlineLevel="0" collapsed="false">
      <c r="B326" s="2" t="n">
        <v>324</v>
      </c>
      <c r="C326" s="2" t="n">
        <v>3.09262001573234E-014</v>
      </c>
      <c r="D326" s="2" t="n">
        <v>0</v>
      </c>
      <c r="E326" s="2" t="n">
        <v>3.25140117797875E-014</v>
      </c>
    </row>
    <row r="327" customFormat="false" ht="13.8" hidden="false" customHeight="false" outlineLevel="0" collapsed="false">
      <c r="B327" s="2" t="n">
        <v>325</v>
      </c>
      <c r="C327" s="2" t="n">
        <v>3.2489156314311E-014</v>
      </c>
      <c r="D327" s="2" t="n">
        <v>0</v>
      </c>
      <c r="E327" s="2" t="n">
        <v>3.55201198364987E-014</v>
      </c>
    </row>
    <row r="328" customFormat="false" ht="13.8" hidden="false" customHeight="false" outlineLevel="0" collapsed="false">
      <c r="B328" s="2" t="n">
        <v>326</v>
      </c>
      <c r="C328" s="2" t="n">
        <v>3.36730353887726E-014</v>
      </c>
      <c r="D328" s="2" t="n">
        <v>0</v>
      </c>
      <c r="E328" s="2" t="n">
        <v>3.81535794064148E-014</v>
      </c>
    </row>
    <row r="329" customFormat="false" ht="13.8" hidden="false" customHeight="false" outlineLevel="0" collapsed="false">
      <c r="B329" s="2" t="n">
        <v>327</v>
      </c>
      <c r="C329" s="2" t="n">
        <v>3.44877250194811E-014</v>
      </c>
      <c r="D329" s="2" t="n">
        <v>0</v>
      </c>
      <c r="E329" s="2" t="n">
        <v>4.04144221634446E-014</v>
      </c>
    </row>
    <row r="330" customFormat="false" ht="13.8" hidden="false" customHeight="false" outlineLevel="0" collapsed="false">
      <c r="B330" s="2" t="n">
        <v>328</v>
      </c>
      <c r="C330" s="2" t="n">
        <v>3.49756177522173E-014</v>
      </c>
      <c r="D330" s="2" t="n">
        <v>0</v>
      </c>
      <c r="E330" s="2" t="n">
        <v>4.23027684890683E-014</v>
      </c>
    </row>
    <row r="331" customFormat="false" ht="13.8" hidden="false" customHeight="false" outlineLevel="0" collapsed="false">
      <c r="B331" s="2" t="n">
        <v>329</v>
      </c>
      <c r="C331" s="2" t="n">
        <v>0.032990259393622</v>
      </c>
      <c r="D331" s="2" t="n">
        <v>2.41559377172962E-017</v>
      </c>
      <c r="E331" s="2" t="n">
        <v>4.38184711873024E-014</v>
      </c>
    </row>
    <row r="332" customFormat="false" ht="13.8" hidden="false" customHeight="false" outlineLevel="0" collapsed="false">
      <c r="B332" s="2" t="n">
        <v>330</v>
      </c>
      <c r="C332" s="2" t="n">
        <v>0.0934784125909383</v>
      </c>
      <c r="D332" s="2" t="n">
        <v>0.0118486891535898</v>
      </c>
      <c r="E332" s="2" t="n">
        <v>4.49614418698797E-014</v>
      </c>
    </row>
    <row r="333" customFormat="false" ht="13.8" hidden="false" customHeight="false" outlineLevel="0" collapsed="false">
      <c r="B333" s="2" t="n">
        <v>331</v>
      </c>
      <c r="C333" s="2" t="n">
        <v>0.0934774778068124</v>
      </c>
      <c r="D333" s="2" t="n">
        <v>0.0431235097884693</v>
      </c>
      <c r="E333" s="2" t="n">
        <v>4.57354718380932E-014</v>
      </c>
    </row>
    <row r="334" customFormat="false" ht="13.8" hidden="false" customHeight="false" outlineLevel="0" collapsed="false">
      <c r="B334" s="2" t="n">
        <v>332</v>
      </c>
      <c r="C334" s="2" t="n">
        <v>0.132955352800121</v>
      </c>
      <c r="D334" s="2" t="n">
        <v>0.110669584419789</v>
      </c>
      <c r="E334" s="2" t="n">
        <v>4.61685192692546E-014</v>
      </c>
    </row>
    <row r="335" customFormat="false" ht="13.8" hidden="false" customHeight="false" outlineLevel="0" collapsed="false">
      <c r="B335" s="2" t="n">
        <v>333</v>
      </c>
      <c r="C335" s="2" t="n">
        <v>0.29931041481653</v>
      </c>
      <c r="D335" s="2" t="n">
        <v>0.241795860930452</v>
      </c>
      <c r="E335" s="2" t="n">
        <v>0.0102261037005311</v>
      </c>
    </row>
    <row r="336" customFormat="false" ht="13.8" hidden="false" customHeight="false" outlineLevel="0" collapsed="false">
      <c r="B336" s="2" t="n">
        <v>334</v>
      </c>
      <c r="C336" s="2" t="n">
        <v>0.586598159836787</v>
      </c>
      <c r="D336" s="2" t="n">
        <v>0.489609684860436</v>
      </c>
      <c r="E336" s="2" t="n">
        <v>0.0630264463307285</v>
      </c>
    </row>
    <row r="337" customFormat="false" ht="13.8" hidden="false" customHeight="false" outlineLevel="0" collapsed="false">
      <c r="B337" s="2" t="n">
        <v>335</v>
      </c>
      <c r="C337" s="2" t="n">
        <v>0.895835001628832</v>
      </c>
      <c r="D337" s="2" t="n">
        <v>0.779934477624881</v>
      </c>
      <c r="E337" s="2" t="n">
        <v>0.185526446114865</v>
      </c>
    </row>
    <row r="338" customFormat="false" ht="13.8" hidden="false" customHeight="false" outlineLevel="0" collapsed="false">
      <c r="B338" s="2" t="n">
        <v>336</v>
      </c>
      <c r="C338" s="2" t="n">
        <v>1.1784215907017</v>
      </c>
      <c r="D338" s="2" t="n">
        <v>1.01525227642879</v>
      </c>
      <c r="E338" s="2" t="n">
        <v>0.384686365616622</v>
      </c>
    </row>
    <row r="339" customFormat="false" ht="13.8" hidden="false" customHeight="false" outlineLevel="0" collapsed="false">
      <c r="B339" s="2" t="n">
        <v>337</v>
      </c>
      <c r="C339" s="2" t="n">
        <v>1.50170789355791</v>
      </c>
      <c r="D339" s="2" t="n">
        <v>1.29783453134211</v>
      </c>
      <c r="E339" s="2" t="n">
        <v>0.730903562817483</v>
      </c>
    </row>
    <row r="340" customFormat="false" ht="13.8" hidden="false" customHeight="false" outlineLevel="0" collapsed="false">
      <c r="B340" s="2" t="n">
        <v>338</v>
      </c>
      <c r="C340" s="2" t="n">
        <v>1.7972523600755</v>
      </c>
      <c r="D340" s="2" t="n">
        <v>1.51125630391647</v>
      </c>
      <c r="E340" s="2" t="n">
        <v>1.06520783841974</v>
      </c>
    </row>
    <row r="341" customFormat="false" ht="13.8" hidden="false" customHeight="false" outlineLevel="0" collapsed="false">
      <c r="B341" s="2" t="n">
        <v>339</v>
      </c>
      <c r="C341" s="2" t="n">
        <v>2.13735501267284</v>
      </c>
      <c r="D341" s="2" t="n">
        <v>1.78757773075671</v>
      </c>
      <c r="E341" s="2" t="n">
        <v>1.40725004655261</v>
      </c>
    </row>
    <row r="342" customFormat="false" ht="13.8" hidden="false" customHeight="false" outlineLevel="0" collapsed="false">
      <c r="B342" s="2" t="n">
        <v>340</v>
      </c>
      <c r="C342" s="2" t="n">
        <v>2.42475626076806</v>
      </c>
      <c r="D342" s="2" t="n">
        <v>2.00712828786628</v>
      </c>
      <c r="E342" s="2" t="n">
        <v>1.68145890983677</v>
      </c>
    </row>
    <row r="343" customFormat="false" ht="13.8" hidden="false" customHeight="false" outlineLevel="0" collapsed="false">
      <c r="B343" s="2" t="n">
        <v>341</v>
      </c>
      <c r="C343" s="2" t="n">
        <v>2.70222176637521</v>
      </c>
      <c r="D343" s="2" t="n">
        <v>2.28239369295388</v>
      </c>
      <c r="E343" s="2" t="n">
        <v>2.01190064660566</v>
      </c>
    </row>
    <row r="344" customFormat="false" ht="13.8" hidden="false" customHeight="false" outlineLevel="0" collapsed="false">
      <c r="B344" s="2" t="n">
        <v>342</v>
      </c>
      <c r="C344" s="2" t="n">
        <v>2.94610010659843</v>
      </c>
      <c r="D344" s="2" t="n">
        <v>2.48591979596891</v>
      </c>
      <c r="E344" s="2" t="n">
        <v>2.28833417936858</v>
      </c>
    </row>
    <row r="345" customFormat="false" ht="13.8" hidden="false" customHeight="false" outlineLevel="0" collapsed="false">
      <c r="B345" s="2" t="n">
        <v>343</v>
      </c>
      <c r="C345" s="2" t="n">
        <v>3.15687175230938</v>
      </c>
      <c r="D345" s="2" t="n">
        <v>2.67107785430439</v>
      </c>
      <c r="E345" s="2" t="n">
        <v>2.52406554320755</v>
      </c>
    </row>
    <row r="346" customFormat="false" ht="13.8" hidden="false" customHeight="false" outlineLevel="0" collapsed="false">
      <c r="B346" s="2" t="n">
        <v>344</v>
      </c>
      <c r="C346" s="2" t="n">
        <v>3.33779180957502</v>
      </c>
      <c r="D346" s="2" t="n">
        <v>2.81112227164078</v>
      </c>
      <c r="E346" s="2" t="n">
        <v>2.70817481514428</v>
      </c>
    </row>
    <row r="347" customFormat="false" ht="13.8" hidden="false" customHeight="false" outlineLevel="0" collapsed="false">
      <c r="B347" s="2" t="n">
        <v>345</v>
      </c>
      <c r="C347" s="2" t="n">
        <v>3.48464563691121</v>
      </c>
      <c r="D347" s="2" t="n">
        <v>2.94245870911446</v>
      </c>
      <c r="E347" s="2" t="n">
        <v>2.87408284139968</v>
      </c>
    </row>
    <row r="348" customFormat="false" ht="13.8" hidden="false" customHeight="false" outlineLevel="0" collapsed="false">
      <c r="B348" s="2" t="n">
        <v>346</v>
      </c>
      <c r="C348" s="2" t="n">
        <v>3.61503048834897</v>
      </c>
      <c r="D348" s="2" t="n">
        <v>3.07564892435146</v>
      </c>
      <c r="E348" s="2" t="n">
        <v>3.00568461194764</v>
      </c>
    </row>
    <row r="349" customFormat="false" ht="13.8" hidden="false" customHeight="false" outlineLevel="0" collapsed="false">
      <c r="B349" s="2" t="n">
        <v>347</v>
      </c>
      <c r="C349" s="2" t="n">
        <v>3.72942642357806</v>
      </c>
      <c r="D349" s="2" t="n">
        <v>3.19516755381398</v>
      </c>
      <c r="E349" s="2" t="n">
        <v>3.17400515485072</v>
      </c>
    </row>
    <row r="350" customFormat="false" ht="13.8" hidden="false" customHeight="false" outlineLevel="0" collapsed="false">
      <c r="B350" s="2" t="n">
        <v>348</v>
      </c>
      <c r="C350" s="2" t="n">
        <v>3.82795336248763</v>
      </c>
      <c r="D350" s="2" t="n">
        <v>3.27919013921788</v>
      </c>
      <c r="E350" s="2" t="n">
        <v>3.2834193429212</v>
      </c>
    </row>
    <row r="351" customFormat="false" ht="13.8" hidden="false" customHeight="false" outlineLevel="0" collapsed="false">
      <c r="B351" s="2" t="n">
        <v>349</v>
      </c>
      <c r="C351" s="2" t="n">
        <v>3.91037129876765</v>
      </c>
      <c r="D351" s="2" t="n">
        <v>3.3430167205236</v>
      </c>
      <c r="E351" s="2" t="n">
        <v>3.37292745022263</v>
      </c>
    </row>
    <row r="352" customFormat="false" ht="13.8" hidden="false" customHeight="false" outlineLevel="0" collapsed="false">
      <c r="B352" s="2" t="n">
        <v>350</v>
      </c>
      <c r="C352" s="2" t="n">
        <v>3.97427462890708</v>
      </c>
      <c r="D352" s="2" t="n">
        <v>3.3881898626998</v>
      </c>
      <c r="E352" s="2" t="n">
        <v>3.44548467232246</v>
      </c>
    </row>
    <row r="353" customFormat="false" ht="13.8" hidden="false" customHeight="false" outlineLevel="0" collapsed="false">
      <c r="B353" s="2" t="n">
        <v>351</v>
      </c>
      <c r="C353" s="2" t="n">
        <v>4.00166362805196</v>
      </c>
      <c r="D353" s="2" t="n">
        <v>3.40300975228086</v>
      </c>
      <c r="E353" s="2" t="n">
        <v>3.49771626872955</v>
      </c>
    </row>
    <row r="354" customFormat="false" ht="13.8" hidden="false" customHeight="false" outlineLevel="0" collapsed="false">
      <c r="B354" s="2" t="n">
        <v>352</v>
      </c>
      <c r="C354" s="2" t="n">
        <v>4.00151867923042</v>
      </c>
      <c r="D354" s="2" t="n">
        <v>3.3946744883759</v>
      </c>
      <c r="E354" s="2" t="n">
        <v>3.47600364481784</v>
      </c>
    </row>
    <row r="355" customFormat="false" ht="13.8" hidden="false" customHeight="false" outlineLevel="0" collapsed="false">
      <c r="B355" s="2" t="n">
        <v>353</v>
      </c>
      <c r="C355" s="2" t="n">
        <v>3.96740611832597</v>
      </c>
      <c r="D355" s="2" t="n">
        <v>3.34720001046098</v>
      </c>
      <c r="E355" s="2" t="n">
        <v>3.46919871319221</v>
      </c>
    </row>
    <row r="356" customFormat="false" ht="13.8" hidden="false" customHeight="false" outlineLevel="0" collapsed="false">
      <c r="B356" s="2" t="n">
        <v>354</v>
      </c>
      <c r="C356" s="2" t="n">
        <v>3.92529115008262</v>
      </c>
      <c r="D356" s="2" t="n">
        <v>3.34185060727813</v>
      </c>
      <c r="E356" s="2" t="n">
        <v>3.40528603254497</v>
      </c>
    </row>
    <row r="357" customFormat="false" ht="13.8" hidden="false" customHeight="false" outlineLevel="0" collapsed="false">
      <c r="B357" s="2" t="n">
        <v>355</v>
      </c>
      <c r="C357" s="2" t="n">
        <v>3.89313679896887</v>
      </c>
      <c r="D357" s="2" t="n">
        <v>3.26640437609512</v>
      </c>
      <c r="E357" s="2" t="n">
        <v>3.38537728506472</v>
      </c>
    </row>
    <row r="358" customFormat="false" ht="13.8" hidden="false" customHeight="false" outlineLevel="0" collapsed="false">
      <c r="B358" s="2" t="n">
        <v>356</v>
      </c>
      <c r="C358" s="2" t="n">
        <v>3.82603565056375</v>
      </c>
      <c r="D358" s="2" t="n">
        <v>3.21169520306543</v>
      </c>
      <c r="E358" s="2" t="n">
        <v>3.3558608084899</v>
      </c>
    </row>
    <row r="359" customFormat="false" ht="13.8" hidden="false" customHeight="false" outlineLevel="0" collapsed="false">
      <c r="B359" s="2" t="n">
        <v>357</v>
      </c>
      <c r="C359" s="2" t="n">
        <v>3.78839549877967</v>
      </c>
      <c r="D359" s="2" t="n">
        <v>3.1251300104481</v>
      </c>
      <c r="E359" s="2" t="n">
        <v>3.3163476803793</v>
      </c>
    </row>
    <row r="360" customFormat="false" ht="13.8" hidden="false" customHeight="false" outlineLevel="0" collapsed="false">
      <c r="B360" s="2" t="n">
        <v>358</v>
      </c>
      <c r="C360" s="2" t="n">
        <v>3.702915321254</v>
      </c>
      <c r="D360" s="2" t="n">
        <v>3.07121705425087</v>
      </c>
      <c r="E360" s="2" t="n">
        <v>3.27555660829413</v>
      </c>
    </row>
    <row r="361" customFormat="false" ht="13.8" hidden="false" customHeight="false" outlineLevel="0" collapsed="false">
      <c r="B361" s="2" t="n">
        <v>359</v>
      </c>
      <c r="C361" s="2" t="n">
        <v>3.6502994852759</v>
      </c>
      <c r="D361" s="2" t="n">
        <v>3.00475258202546</v>
      </c>
      <c r="E361" s="2" t="n">
        <v>3.22008040131013</v>
      </c>
    </row>
    <row r="362" customFormat="false" ht="13.8" hidden="false" customHeight="false" outlineLevel="0" collapsed="false">
      <c r="B362" s="2" t="n">
        <v>360</v>
      </c>
      <c r="C362" s="2" t="n">
        <v>3.55054749553528</v>
      </c>
      <c r="D362" s="2" t="n">
        <v>2.93371877484259</v>
      </c>
      <c r="E362" s="2" t="n">
        <v>3.15562268776012</v>
      </c>
    </row>
    <row r="363" customFormat="false" ht="13.8" hidden="false" customHeight="false" outlineLevel="0" collapsed="false">
      <c r="B363" s="2" t="n">
        <v>361</v>
      </c>
      <c r="C363" s="2" t="n">
        <v>3.49384454561588</v>
      </c>
      <c r="D363" s="2" t="n">
        <v>2.87398512284003</v>
      </c>
      <c r="E363" s="2" t="n">
        <v>3.08379465005177</v>
      </c>
    </row>
    <row r="364" customFormat="false" ht="13.8" hidden="false" customHeight="false" outlineLevel="0" collapsed="false">
      <c r="B364" s="2" t="n">
        <v>362</v>
      </c>
      <c r="C364" s="2" t="n">
        <v>3.39380827383709</v>
      </c>
      <c r="D364" s="2" t="n">
        <v>2.81275132743326</v>
      </c>
      <c r="E364" s="2" t="n">
        <v>3.02413346025343</v>
      </c>
    </row>
    <row r="365" customFormat="false" ht="13.8" hidden="false" customHeight="false" outlineLevel="0" collapsed="false">
      <c r="B365" s="2" t="n">
        <v>363</v>
      </c>
      <c r="C365" s="2" t="n">
        <v>3.32375416908769</v>
      </c>
      <c r="D365" s="2" t="n">
        <v>2.69940608880888</v>
      </c>
      <c r="E365" s="2" t="n">
        <v>2.98054670040032</v>
      </c>
    </row>
    <row r="366" customFormat="false" ht="13.8" hidden="false" customHeight="false" outlineLevel="0" collapsed="false">
      <c r="B366" s="2" t="n">
        <v>364</v>
      </c>
      <c r="C366" s="2" t="n">
        <v>3.19355196858304</v>
      </c>
      <c r="D366" s="2" t="n">
        <v>2.63209781697021</v>
      </c>
      <c r="E366" s="2" t="n">
        <v>2.88955213567406</v>
      </c>
    </row>
    <row r="367" customFormat="false" ht="13.8" hidden="false" customHeight="false" outlineLevel="0" collapsed="false">
      <c r="B367" s="2" t="n">
        <v>365</v>
      </c>
      <c r="C367" s="2" t="n">
        <v>3.09214631084113</v>
      </c>
      <c r="D367" s="2" t="n">
        <v>2.51867832932538</v>
      </c>
      <c r="E367" s="2" t="n">
        <v>2.82872481422678</v>
      </c>
    </row>
    <row r="368" customFormat="false" ht="13.8" hidden="false" customHeight="false" outlineLevel="0" collapsed="false">
      <c r="B368" s="2" t="n">
        <v>366</v>
      </c>
      <c r="C368" s="2" t="n">
        <v>2.95461077826692</v>
      </c>
      <c r="D368" s="2" t="n">
        <v>2.47703656846802</v>
      </c>
      <c r="E368" s="2" t="n">
        <v>2.73926747142308</v>
      </c>
    </row>
    <row r="369" customFormat="false" ht="13.8" hidden="false" customHeight="false" outlineLevel="0" collapsed="false">
      <c r="B369" s="2" t="n">
        <v>367</v>
      </c>
      <c r="C369" s="2" t="n">
        <v>2.85344710252951</v>
      </c>
      <c r="D369" s="2" t="n">
        <v>2.42500670550974</v>
      </c>
      <c r="E369" s="2" t="n">
        <v>2.72210652319282</v>
      </c>
    </row>
    <row r="370" customFormat="false" ht="13.8" hidden="false" customHeight="false" outlineLevel="0" collapsed="false">
      <c r="B370" s="2" t="n">
        <v>368</v>
      </c>
      <c r="C370" s="2" t="n">
        <v>2.70617314213256</v>
      </c>
      <c r="D370" s="2" t="n">
        <v>2.36988549247973</v>
      </c>
      <c r="E370" s="2" t="n">
        <v>2.62655648731278</v>
      </c>
    </row>
    <row r="371" customFormat="false" ht="13.8" hidden="false" customHeight="false" outlineLevel="0" collapsed="false">
      <c r="B371" s="2" t="n">
        <v>369</v>
      </c>
      <c r="C371" s="2" t="n">
        <v>2.58725289521596</v>
      </c>
      <c r="D371" s="2" t="n">
        <v>2.28574673806925</v>
      </c>
      <c r="E371" s="2" t="n">
        <v>2.57228535137755</v>
      </c>
    </row>
    <row r="372" customFormat="false" ht="13.8" hidden="false" customHeight="false" outlineLevel="0" collapsed="false">
      <c r="B372" s="2" t="n">
        <v>370</v>
      </c>
      <c r="C372" s="2" t="n">
        <v>2.42033448564997</v>
      </c>
      <c r="D372" s="2" t="n">
        <v>2.19323962134261</v>
      </c>
      <c r="E372" s="2" t="n">
        <v>2.50206936926478</v>
      </c>
    </row>
    <row r="373" customFormat="false" ht="13.8" hidden="false" customHeight="false" outlineLevel="0" collapsed="false">
      <c r="B373" s="2" t="n">
        <v>371</v>
      </c>
      <c r="C373" s="2" t="n">
        <v>2.29726957860142</v>
      </c>
      <c r="D373" s="2" t="n">
        <v>2.10271370746492</v>
      </c>
      <c r="E373" s="2" t="n">
        <v>2.42492892264516</v>
      </c>
    </row>
    <row r="374" customFormat="false" ht="13.8" hidden="false" customHeight="false" outlineLevel="0" collapsed="false">
      <c r="B374" s="2" t="n">
        <v>372</v>
      </c>
      <c r="C374" s="2" t="n">
        <v>2.13531629109082</v>
      </c>
      <c r="D374" s="2" t="n">
        <v>2.02763201366118</v>
      </c>
      <c r="E374" s="2" t="n">
        <v>2.31428924743002</v>
      </c>
    </row>
    <row r="375" customFormat="false" ht="13.8" hidden="false" customHeight="false" outlineLevel="0" collapsed="false">
      <c r="B375" s="2" t="n">
        <v>373</v>
      </c>
      <c r="C375" s="2" t="n">
        <v>2.03590114163162</v>
      </c>
      <c r="D375" s="2" t="n">
        <v>1.94275529289661</v>
      </c>
      <c r="E375" s="2" t="n">
        <v>2.20778067861162</v>
      </c>
    </row>
    <row r="376" customFormat="false" ht="13.8" hidden="false" customHeight="false" outlineLevel="0" collapsed="false">
      <c r="B376" s="2" t="n">
        <v>374</v>
      </c>
      <c r="C376" s="2" t="n">
        <v>1.94783826410169</v>
      </c>
      <c r="D376" s="2" t="n">
        <v>1.83245382830665</v>
      </c>
      <c r="E376" s="2" t="n">
        <v>2.0975880637678</v>
      </c>
    </row>
    <row r="377" customFormat="false" ht="13.8" hidden="false" customHeight="false" outlineLevel="0" collapsed="false">
      <c r="B377" s="2" t="n">
        <v>375</v>
      </c>
      <c r="C377" s="2" t="n">
        <v>1.8553141375709</v>
      </c>
      <c r="D377" s="2" t="n">
        <v>1.72300574450911</v>
      </c>
      <c r="E377" s="2" t="n">
        <v>1.98561914344272</v>
      </c>
    </row>
    <row r="378" customFormat="false" ht="13.8" hidden="false" customHeight="false" outlineLevel="0" collapsed="false">
      <c r="B378" s="2" t="n">
        <v>376</v>
      </c>
      <c r="C378" s="2" t="n">
        <v>1.78021693628138</v>
      </c>
      <c r="D378" s="2" t="n">
        <v>1.63992807000722</v>
      </c>
      <c r="E378" s="2" t="n">
        <v>1.86548443539944</v>
      </c>
    </row>
    <row r="379" customFormat="false" ht="13.8" hidden="false" customHeight="false" outlineLevel="0" collapsed="false">
      <c r="B379" s="2" t="n">
        <v>377</v>
      </c>
      <c r="C379" s="2" t="n">
        <v>1.72845339337128</v>
      </c>
      <c r="D379" s="2" t="n">
        <v>1.56566565220801</v>
      </c>
      <c r="E379" s="2" t="n">
        <v>1.74272135462917</v>
      </c>
    </row>
    <row r="380" customFormat="false" ht="13.8" hidden="false" customHeight="false" outlineLevel="0" collapsed="false">
      <c r="B380" s="2" t="n">
        <v>378</v>
      </c>
      <c r="C380" s="2" t="n">
        <v>1.6797093495781</v>
      </c>
      <c r="D380" s="2" t="n">
        <v>1.50738593999594</v>
      </c>
      <c r="E380" s="2" t="n">
        <v>1.62060724223045</v>
      </c>
    </row>
    <row r="381" customFormat="false" ht="13.8" hidden="false" customHeight="false" outlineLevel="0" collapsed="false">
      <c r="B381" s="2" t="n">
        <v>379</v>
      </c>
      <c r="C381" s="2" t="n">
        <v>1.59126251544757</v>
      </c>
      <c r="D381" s="2" t="n">
        <v>1.41264405132173</v>
      </c>
      <c r="E381" s="2" t="n">
        <v>1.51195762875062</v>
      </c>
    </row>
    <row r="382" customFormat="false" ht="13.8" hidden="false" customHeight="false" outlineLevel="0" collapsed="false">
      <c r="B382" s="2" t="n">
        <v>380</v>
      </c>
      <c r="C382" s="2" t="n">
        <v>1.51159515837798</v>
      </c>
      <c r="D382" s="2" t="n">
        <v>1.36047729525159</v>
      </c>
      <c r="E382" s="2" t="n">
        <v>1.4233087684336</v>
      </c>
    </row>
    <row r="383" customFormat="false" ht="13.8" hidden="false" customHeight="false" outlineLevel="0" collapsed="false">
      <c r="B383" s="2" t="n">
        <v>381</v>
      </c>
      <c r="C383" s="2" t="n">
        <v>1.42518757946344</v>
      </c>
      <c r="D383" s="2" t="n">
        <v>1.30031178307123</v>
      </c>
      <c r="E383" s="2" t="n">
        <v>1.36416114645703</v>
      </c>
    </row>
    <row r="384" customFormat="false" ht="13.8" hidden="false" customHeight="false" outlineLevel="0" collapsed="false">
      <c r="B384" s="2" t="n">
        <v>382</v>
      </c>
      <c r="C384" s="2" t="n">
        <v>1.3589652720321</v>
      </c>
      <c r="D384" s="2" t="n">
        <v>1.2468506688423</v>
      </c>
      <c r="E384" s="2" t="n">
        <v>1.25210715299372</v>
      </c>
    </row>
    <row r="385" customFormat="false" ht="13.8" hidden="false" customHeight="false" outlineLevel="0" collapsed="false">
      <c r="B385" s="2" t="n">
        <v>383</v>
      </c>
      <c r="C385" s="2" t="n">
        <v>1.32709694163864</v>
      </c>
      <c r="D385" s="2" t="n">
        <v>1.19240925589117</v>
      </c>
      <c r="E385" s="2" t="n">
        <v>1.20792535414442</v>
      </c>
    </row>
    <row r="386" customFormat="false" ht="13.8" hidden="false" customHeight="false" outlineLevel="0" collapsed="false">
      <c r="B386" s="2" t="n">
        <v>384</v>
      </c>
      <c r="C386" s="2" t="n">
        <v>1.24221009659516</v>
      </c>
      <c r="D386" s="2" t="n">
        <v>1.16741279476158</v>
      </c>
      <c r="E386" s="2" t="n">
        <v>1.17466931192792</v>
      </c>
    </row>
    <row r="387" customFormat="false" ht="13.8" hidden="false" customHeight="false" outlineLevel="0" collapsed="false">
      <c r="B387" s="2" t="n">
        <v>385</v>
      </c>
      <c r="C387" s="2" t="n">
        <v>1.15865726708679</v>
      </c>
      <c r="D387" s="2" t="n">
        <v>1.14530534285586</v>
      </c>
      <c r="E387" s="2" t="n">
        <v>1.10872928745703</v>
      </c>
    </row>
    <row r="388" customFormat="false" ht="13.8" hidden="false" customHeight="false" outlineLevel="0" collapsed="false">
      <c r="B388" s="2" t="n">
        <v>386</v>
      </c>
      <c r="C388" s="2" t="n">
        <v>1.14371688421783</v>
      </c>
      <c r="D388" s="2" t="n">
        <v>1.08544020461726</v>
      </c>
      <c r="E388" s="2" t="n">
        <v>1.08623379275675</v>
      </c>
    </row>
    <row r="389" customFormat="false" ht="13.8" hidden="false" customHeight="false" outlineLevel="0" collapsed="false">
      <c r="B389" s="2" t="n">
        <v>387</v>
      </c>
      <c r="C389" s="2" t="n">
        <v>1.04307428038233</v>
      </c>
      <c r="D389" s="2" t="n">
        <v>1.02048349836336</v>
      </c>
      <c r="E389" s="2" t="n">
        <v>1.00051694893735</v>
      </c>
    </row>
    <row r="390" customFormat="false" ht="13.8" hidden="false" customHeight="false" outlineLevel="0" collapsed="false">
      <c r="B390" s="2" t="n">
        <v>388</v>
      </c>
      <c r="C390" s="2" t="n">
        <v>1.01622946075065</v>
      </c>
      <c r="D390" s="2" t="n">
        <v>0.980379700935798</v>
      </c>
      <c r="E390" s="2" t="n">
        <v>0.992209314138233</v>
      </c>
    </row>
    <row r="391" customFormat="false" ht="13.8" hidden="false" customHeight="false" outlineLevel="0" collapsed="false">
      <c r="B391" s="2" t="n">
        <v>389</v>
      </c>
      <c r="C391" s="2" t="n">
        <v>0.93764487253012</v>
      </c>
      <c r="D391" s="2" t="n">
        <v>0.921721063805462</v>
      </c>
      <c r="E391" s="2" t="n">
        <v>0.907495095748801</v>
      </c>
    </row>
    <row r="392" customFormat="false" ht="13.8" hidden="false" customHeight="false" outlineLevel="0" collapsed="false">
      <c r="B392" s="2" t="n">
        <v>390</v>
      </c>
      <c r="C392" s="2" t="n">
        <v>0.912079792377697</v>
      </c>
      <c r="D392" s="2" t="n">
        <v>0.887396661409645</v>
      </c>
      <c r="E392" s="2" t="n">
        <v>0.881041465242294</v>
      </c>
    </row>
    <row r="393" customFormat="false" ht="13.8" hidden="false" customHeight="false" outlineLevel="0" collapsed="false">
      <c r="B393" s="2" t="n">
        <v>391</v>
      </c>
      <c r="C393" s="2" t="n">
        <v>0.863737116024224</v>
      </c>
      <c r="D393" s="2" t="n">
        <v>0.838072565220815</v>
      </c>
      <c r="E393" s="2" t="n">
        <v>0.851939691864688</v>
      </c>
    </row>
    <row r="394" customFormat="false" ht="13.8" hidden="false" customHeight="false" outlineLevel="0" collapsed="false">
      <c r="B394" s="2" t="n">
        <v>392</v>
      </c>
      <c r="C394" s="2" t="n">
        <v>0.803154071245666</v>
      </c>
      <c r="D394" s="2" t="n">
        <v>0.786749110421098</v>
      </c>
      <c r="E394" s="2" t="n">
        <v>0.803615783578887</v>
      </c>
    </row>
    <row r="395" customFormat="false" ht="13.8" hidden="false" customHeight="false" outlineLevel="0" collapsed="false">
      <c r="B395" s="2" t="n">
        <v>393</v>
      </c>
      <c r="C395" s="2" t="n">
        <v>0.765553317482738</v>
      </c>
      <c r="D395" s="2" t="n">
        <v>0.769777983670741</v>
      </c>
      <c r="E395" s="2" t="n">
        <v>0.758922136309946</v>
      </c>
    </row>
    <row r="396" customFormat="false" ht="13.8" hidden="false" customHeight="false" outlineLevel="0" collapsed="false">
      <c r="B396" s="2" t="n">
        <v>394</v>
      </c>
      <c r="C396" s="2" t="n">
        <v>0.707878717505126</v>
      </c>
      <c r="D396" s="2" t="n">
        <v>0.695233100705726</v>
      </c>
      <c r="E396" s="2" t="n">
        <v>0.727266232273775</v>
      </c>
    </row>
    <row r="397" customFormat="false" ht="13.8" hidden="false" customHeight="false" outlineLevel="0" collapsed="false">
      <c r="B397" s="2" t="n">
        <v>395</v>
      </c>
      <c r="C397" s="2" t="n">
        <v>0.670723286866105</v>
      </c>
      <c r="D397" s="2" t="n">
        <v>0.626077778004355</v>
      </c>
      <c r="E397" s="2" t="n">
        <v>0.684906904055905</v>
      </c>
    </row>
    <row r="398" customFormat="false" ht="13.8" hidden="false" customHeight="false" outlineLevel="0" collapsed="false">
      <c r="B398" s="2" t="n">
        <v>396</v>
      </c>
      <c r="C398" s="2" t="n">
        <v>0.645604468522132</v>
      </c>
      <c r="D398" s="2" t="n">
        <v>0.608534406115471</v>
      </c>
      <c r="E398" s="2" t="n">
        <v>0.627177758690575</v>
      </c>
    </row>
    <row r="399" customFormat="false" ht="13.8" hidden="false" customHeight="false" outlineLevel="0" collapsed="false">
      <c r="B399" s="2" t="n">
        <v>397</v>
      </c>
      <c r="C399" s="2" t="n">
        <v>0.569634623588565</v>
      </c>
      <c r="D399" s="2" t="n">
        <v>0.52336139484549</v>
      </c>
      <c r="E399" s="2" t="n">
        <v>0.585782394320402</v>
      </c>
    </row>
    <row r="400" customFormat="false" ht="13.8" hidden="false" customHeight="false" outlineLevel="0" collapsed="false">
      <c r="B400" s="2" t="n">
        <v>398</v>
      </c>
      <c r="C400" s="2" t="n">
        <v>0.550665816131225</v>
      </c>
      <c r="D400" s="2" t="n">
        <v>0.509356105675993</v>
      </c>
      <c r="E400" s="2" t="n">
        <v>0.541424666126095</v>
      </c>
    </row>
    <row r="401" customFormat="false" ht="13.8" hidden="false" customHeight="false" outlineLevel="0" collapsed="false">
      <c r="B401" s="2" t="n">
        <v>399</v>
      </c>
      <c r="C401" s="2" t="n">
        <v>0.477197050213812</v>
      </c>
      <c r="D401" s="2" t="n">
        <v>0.425332252855684</v>
      </c>
      <c r="E401" s="2" t="n">
        <v>0.499585677805366</v>
      </c>
    </row>
    <row r="402" customFormat="false" ht="13.8" hidden="false" customHeight="false" outlineLevel="0" collapsed="false">
      <c r="B402" s="2" t="n">
        <v>400</v>
      </c>
      <c r="C402" s="2" t="n">
        <v>0.471450889354428</v>
      </c>
      <c r="D402" s="2" t="n">
        <v>0.379697981014644</v>
      </c>
      <c r="E402" s="2" t="n">
        <v>0.443376756022669</v>
      </c>
    </row>
    <row r="403" customFormat="false" ht="13.8" hidden="false" customHeight="false" outlineLevel="0" collapsed="false">
      <c r="B403" s="2" t="n">
        <v>401</v>
      </c>
      <c r="C403" s="2" t="n">
        <v>0.402594026697394</v>
      </c>
      <c r="D403" s="2" t="n">
        <v>0.360453276627434</v>
      </c>
      <c r="E403" s="2" t="n">
        <v>0.426594303736597</v>
      </c>
    </row>
    <row r="404" customFormat="false" ht="13.8" hidden="false" customHeight="false" outlineLevel="0" collapsed="false">
      <c r="B404" s="2" t="n">
        <v>402</v>
      </c>
      <c r="C404" s="2" t="n">
        <v>0.378163982238616</v>
      </c>
      <c r="D404" s="2" t="n">
        <v>0.290671838761342</v>
      </c>
      <c r="E404" s="2" t="n">
        <v>0.372793648904678</v>
      </c>
    </row>
    <row r="405" customFormat="false" ht="13.8" hidden="false" customHeight="false" outlineLevel="0" collapsed="false">
      <c r="B405" s="2" t="n">
        <v>403</v>
      </c>
      <c r="C405" s="2" t="n">
        <v>0.31249308948769</v>
      </c>
      <c r="D405" s="2" t="n">
        <v>0.232576154265184</v>
      </c>
      <c r="E405" s="2" t="n">
        <v>0.297252661708937</v>
      </c>
    </row>
    <row r="406" customFormat="false" ht="13.8" hidden="false" customHeight="false" outlineLevel="0" collapsed="false">
      <c r="B406" s="2" t="n">
        <v>404</v>
      </c>
      <c r="C406" s="2" t="n">
        <v>0.289026705297543</v>
      </c>
      <c r="D406" s="2" t="n">
        <v>0.222777365540686</v>
      </c>
      <c r="E406" s="2" t="n">
        <v>0.256323578071216</v>
      </c>
    </row>
    <row r="407" customFormat="false" ht="13.8" hidden="false" customHeight="false" outlineLevel="0" collapsed="false">
      <c r="B407" s="2" t="n">
        <v>405</v>
      </c>
      <c r="C407" s="2" t="n">
        <v>0.235227352067535</v>
      </c>
      <c r="D407" s="2" t="n">
        <v>0.207849026655928</v>
      </c>
      <c r="E407" s="2" t="n">
        <v>0.200172496316924</v>
      </c>
    </row>
    <row r="408" customFormat="false" ht="13.8" hidden="false" customHeight="false" outlineLevel="0" collapsed="false">
      <c r="B408" s="2" t="n">
        <v>406</v>
      </c>
      <c r="C408" s="2" t="n">
        <v>0.188844241510387</v>
      </c>
      <c r="D408" s="2" t="n">
        <v>0.135594659918709</v>
      </c>
      <c r="E408" s="2" t="n">
        <v>0.187368852516742</v>
      </c>
    </row>
    <row r="409" customFormat="false" ht="13.8" hidden="false" customHeight="false" outlineLevel="0" collapsed="false">
      <c r="B409" s="2" t="n">
        <v>407</v>
      </c>
      <c r="C409" s="2" t="n">
        <v>0.120155984648816</v>
      </c>
      <c r="D409" s="2" t="n">
        <v>0.102440708959636</v>
      </c>
      <c r="E409" s="2" t="n">
        <v>0.0868748243073624</v>
      </c>
    </row>
    <row r="410" customFormat="false" ht="13.8" hidden="false" customHeight="false" outlineLevel="0" collapsed="false">
      <c r="B410" s="2" t="n">
        <v>408</v>
      </c>
      <c r="C410" s="2" t="n">
        <v>0.0777548415713229</v>
      </c>
      <c r="D410" s="2" t="n">
        <v>0.0540351531449241</v>
      </c>
      <c r="E410" s="2" t="n">
        <v>0.086873955559087</v>
      </c>
    </row>
    <row r="411" customFormat="false" ht="13.8" hidden="false" customHeight="false" outlineLevel="0" collapsed="false">
      <c r="B411" s="2" t="n">
        <v>409</v>
      </c>
      <c r="C411" s="2" t="n">
        <v>0.0312883827401025</v>
      </c>
      <c r="D411" s="2" t="n">
        <v>0.0117854412869165</v>
      </c>
      <c r="E411" s="2" t="n">
        <v>5.50178810954094E-015</v>
      </c>
    </row>
    <row r="412" customFormat="false" ht="13.8" hidden="false" customHeight="false" outlineLevel="0" collapsed="false">
      <c r="B412" s="2" t="n">
        <v>410</v>
      </c>
      <c r="C412" s="2" t="n">
        <v>0.0190859695162333</v>
      </c>
      <c r="D412" s="2" t="n">
        <v>5.99422492086888E-015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6.10889401286841E-015</v>
      </c>
      <c r="D413" s="2" t="n">
        <v>7.11698239470065E-011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2.2460747025496E-015</v>
      </c>
      <c r="D414" s="2" t="n">
        <v>7.11716246349183E-011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9.90030649326011E-015</v>
      </c>
      <c r="D415" s="2" t="n">
        <v>7.11741511075654E-011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1.60444377724906E-014</v>
      </c>
      <c r="D416" s="2" t="n">
        <v>7.1175466759784E-011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2.06326300611188E-014</v>
      </c>
      <c r="D417" s="2" t="n">
        <v>7.11765212104613E-011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2.48275387141052E-014</v>
      </c>
      <c r="D418" s="2" t="n">
        <v>6.68796770597202E-011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2.86291778672489E-014</v>
      </c>
      <c r="D419" s="2" t="n">
        <v>4.30960627828273E-011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3.20374549541158E-014</v>
      </c>
      <c r="D420" s="2" t="n">
        <v>1.3962183973339E-011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3.50515482363853E-014</v>
      </c>
      <c r="D421" s="2" t="n">
        <v>2.67526563116746E-014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3.76765666245032E-014</v>
      </c>
      <c r="D422" s="2" t="n">
        <v>2.77057975088685E-014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3.99128365133674E-014</v>
      </c>
      <c r="D423" s="2" t="n">
        <v>2.83191820510021E-014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4.17714796996127E-014</v>
      </c>
      <c r="D424" s="2" t="n">
        <v>0.00159516938046125</v>
      </c>
      <c r="E424" s="2" t="n">
        <v>2.03724775929004E-017</v>
      </c>
    </row>
    <row r="425" customFormat="false" ht="13.8" hidden="false" customHeight="false" outlineLevel="0" collapsed="false">
      <c r="B425" s="2" t="n">
        <v>423</v>
      </c>
      <c r="C425" s="2" t="n">
        <v>4.325222042505E-014</v>
      </c>
      <c r="D425" s="2" t="n">
        <v>0.0338527768833838</v>
      </c>
      <c r="E425" s="2" t="n">
        <v>0.0292922382797899</v>
      </c>
    </row>
    <row r="426" customFormat="false" ht="13.8" hidden="false" customHeight="false" outlineLevel="0" collapsed="false">
      <c r="B426" s="2" t="n">
        <v>424</v>
      </c>
      <c r="C426" s="2" t="n">
        <v>4.43589509522681E-014</v>
      </c>
      <c r="D426" s="2" t="n">
        <v>0.103382237392279</v>
      </c>
      <c r="E426" s="2" t="n">
        <v>0.0960104962277928</v>
      </c>
    </row>
    <row r="427" customFormat="false" ht="13.8" hidden="false" customHeight="false" outlineLevel="0" collapsed="false">
      <c r="B427" s="2" t="n">
        <v>425</v>
      </c>
      <c r="C427" s="2" t="n">
        <v>4.51005292470376E-014</v>
      </c>
      <c r="D427" s="2" t="n">
        <v>0.238329758425113</v>
      </c>
      <c r="E427" s="2" t="n">
        <v>0.230234730561894</v>
      </c>
    </row>
    <row r="428" customFormat="false" ht="13.8" hidden="false" customHeight="false" outlineLevel="0" collapsed="false">
      <c r="B428" s="2" t="n">
        <v>426</v>
      </c>
      <c r="C428" s="2" t="n">
        <v>4.552169833123E-014</v>
      </c>
      <c r="D428" s="2" t="n">
        <v>0.494302254172858</v>
      </c>
      <c r="E428" s="2" t="n">
        <v>0.395657576614771</v>
      </c>
    </row>
    <row r="429" customFormat="false" ht="13.8" hidden="false" customHeight="false" outlineLevel="0" collapsed="false">
      <c r="B429" s="2" t="n">
        <v>427</v>
      </c>
      <c r="C429" s="2" t="n">
        <v>0.0278329355561397</v>
      </c>
      <c r="D429" s="2" t="n">
        <v>0.760425982179993</v>
      </c>
      <c r="E429" s="2" t="n">
        <v>0.455109048760369</v>
      </c>
    </row>
    <row r="430" customFormat="false" ht="13.8" hidden="false" customHeight="false" outlineLevel="0" collapsed="false">
      <c r="B430" s="2" t="n">
        <v>428</v>
      </c>
      <c r="C430" s="2" t="n">
        <v>0.127137176327626</v>
      </c>
      <c r="D430" s="2" t="n">
        <v>1.03133431271665</v>
      </c>
      <c r="E430" s="2" t="n">
        <v>0.522930480914337</v>
      </c>
    </row>
    <row r="431" customFormat="false" ht="13.8" hidden="false" customHeight="false" outlineLevel="0" collapsed="false">
      <c r="B431" s="2" t="n">
        <v>429</v>
      </c>
      <c r="C431" s="2" t="n">
        <v>0.310542259247739</v>
      </c>
      <c r="D431" s="2" t="n">
        <v>1.2774022279368</v>
      </c>
      <c r="E431" s="2" t="n">
        <v>0.579299741934719</v>
      </c>
    </row>
    <row r="432" customFormat="false" ht="13.8" hidden="false" customHeight="false" outlineLevel="0" collapsed="false">
      <c r="B432" s="2" t="n">
        <v>430</v>
      </c>
      <c r="C432" s="2" t="n">
        <v>0.636417616711312</v>
      </c>
      <c r="D432" s="2" t="n">
        <v>1.55319866974488</v>
      </c>
      <c r="E432" s="2" t="n">
        <v>0.680616020327036</v>
      </c>
    </row>
    <row r="433" customFormat="false" ht="13.8" hidden="false" customHeight="false" outlineLevel="0" collapsed="false">
      <c r="B433" s="2" t="n">
        <v>431</v>
      </c>
      <c r="C433" s="2" t="n">
        <v>0.937831600489514</v>
      </c>
      <c r="D433" s="2" t="n">
        <v>1.80772337085563</v>
      </c>
      <c r="E433" s="2" t="n">
        <v>0.918484219849761</v>
      </c>
    </row>
    <row r="434" customFormat="false" ht="13.8" hidden="false" customHeight="false" outlineLevel="0" collapsed="false">
      <c r="B434" s="2" t="n">
        <v>432</v>
      </c>
      <c r="C434" s="2" t="n">
        <v>1.28307926019608</v>
      </c>
      <c r="D434" s="2" t="n">
        <v>2.10097640898644</v>
      </c>
      <c r="E434" s="2" t="n">
        <v>1.25018615640203</v>
      </c>
    </row>
    <row r="435" customFormat="false" ht="13.8" hidden="false" customHeight="false" outlineLevel="0" collapsed="false">
      <c r="B435" s="2" t="n">
        <v>433</v>
      </c>
      <c r="C435" s="2" t="n">
        <v>1.62435479749426</v>
      </c>
      <c r="D435" s="2" t="n">
        <v>2.37895745685395</v>
      </c>
      <c r="E435" s="2" t="n">
        <v>1.59976485177875</v>
      </c>
    </row>
    <row r="436" customFormat="false" ht="13.8" hidden="false" customHeight="false" outlineLevel="0" collapsed="false">
      <c r="B436" s="2" t="n">
        <v>434</v>
      </c>
      <c r="C436" s="2" t="n">
        <v>1.95570896692179</v>
      </c>
      <c r="D436" s="2" t="n">
        <v>2.68398141813323</v>
      </c>
      <c r="E436" s="2" t="n">
        <v>1.94066605708522</v>
      </c>
    </row>
    <row r="437" customFormat="false" ht="13.8" hidden="false" customHeight="false" outlineLevel="0" collapsed="false">
      <c r="B437" s="2" t="n">
        <v>435</v>
      </c>
      <c r="C437" s="2" t="n">
        <v>2.27955668769234</v>
      </c>
      <c r="D437" s="2" t="n">
        <v>2.95547823239514</v>
      </c>
      <c r="E437" s="2" t="n">
        <v>2.29273550409636</v>
      </c>
    </row>
    <row r="438" customFormat="false" ht="13.8" hidden="false" customHeight="false" outlineLevel="0" collapsed="false">
      <c r="B438" s="2" t="n">
        <v>436</v>
      </c>
      <c r="C438" s="2" t="n">
        <v>2.61313325987042</v>
      </c>
      <c r="D438" s="2" t="n">
        <v>3.25262317491116</v>
      </c>
      <c r="E438" s="2" t="n">
        <v>2.64541293112975</v>
      </c>
    </row>
    <row r="439" customFormat="false" ht="13.8" hidden="false" customHeight="false" outlineLevel="0" collapsed="false">
      <c r="B439" s="2" t="n">
        <v>437</v>
      </c>
      <c r="C439" s="2" t="n">
        <v>2.93195873616749</v>
      </c>
      <c r="D439" s="2" t="n">
        <v>3.51688609419999</v>
      </c>
      <c r="E439" s="2" t="n">
        <v>2.97768351210558</v>
      </c>
    </row>
    <row r="440" customFormat="false" ht="13.8" hidden="false" customHeight="false" outlineLevel="0" collapsed="false">
      <c r="B440" s="2" t="n">
        <v>438</v>
      </c>
      <c r="C440" s="2" t="n">
        <v>3.19295443880493</v>
      </c>
      <c r="D440" s="2" t="n">
        <v>3.75201235839846</v>
      </c>
      <c r="E440" s="2" t="n">
        <v>3.25291383708092</v>
      </c>
    </row>
    <row r="441" customFormat="false" ht="13.8" hidden="false" customHeight="false" outlineLevel="0" collapsed="false">
      <c r="B441" s="2" t="n">
        <v>439</v>
      </c>
      <c r="C441" s="2" t="n">
        <v>3.37248175608048</v>
      </c>
      <c r="D441" s="2" t="n">
        <v>3.92680237887309</v>
      </c>
      <c r="E441" s="2" t="n">
        <v>3.44612976145832</v>
      </c>
    </row>
    <row r="442" customFormat="false" ht="13.8" hidden="false" customHeight="false" outlineLevel="0" collapsed="false">
      <c r="B442" s="2" t="n">
        <v>440</v>
      </c>
      <c r="C442" s="2" t="n">
        <v>3.49622051267798</v>
      </c>
      <c r="D442" s="2" t="n">
        <v>4.02805714898635</v>
      </c>
      <c r="E442" s="2" t="n">
        <v>3.60315728538179</v>
      </c>
    </row>
    <row r="443" customFormat="false" ht="13.8" hidden="false" customHeight="false" outlineLevel="0" collapsed="false">
      <c r="B443" s="2" t="n">
        <v>441</v>
      </c>
      <c r="C443" s="2" t="n">
        <v>3.53775662648305</v>
      </c>
      <c r="D443" s="2" t="n">
        <v>4.06207728409073</v>
      </c>
      <c r="E443" s="2" t="n">
        <v>3.65199675573533</v>
      </c>
    </row>
    <row r="444" customFormat="false" ht="13.8" hidden="false" customHeight="false" outlineLevel="0" collapsed="false">
      <c r="B444" s="2" t="n">
        <v>442</v>
      </c>
      <c r="C444" s="2" t="n">
        <v>3.60213687312886</v>
      </c>
      <c r="D444" s="2" t="n">
        <v>4.13822572572873</v>
      </c>
      <c r="E444" s="2" t="n">
        <v>3.72687282502023</v>
      </c>
    </row>
    <row r="445" customFormat="false" ht="13.8" hidden="false" customHeight="false" outlineLevel="0" collapsed="false">
      <c r="B445" s="2" t="n">
        <v>443</v>
      </c>
      <c r="C445" s="2" t="n">
        <v>3.67358106917407</v>
      </c>
      <c r="D445" s="2" t="n">
        <v>4.20638760761729</v>
      </c>
      <c r="E445" s="2" t="n">
        <v>3.79591021787051</v>
      </c>
    </row>
    <row r="446" customFormat="false" ht="13.8" hidden="false" customHeight="false" outlineLevel="0" collapsed="false">
      <c r="B446" s="2" t="n">
        <v>444</v>
      </c>
      <c r="C446" s="2" t="n">
        <v>3.78024423397919</v>
      </c>
      <c r="D446" s="2" t="n">
        <v>4.261522154622</v>
      </c>
      <c r="E446" s="2" t="n">
        <v>3.87718352767293</v>
      </c>
    </row>
    <row r="447" customFormat="false" ht="13.8" hidden="false" customHeight="false" outlineLevel="0" collapsed="false">
      <c r="B447" s="2" t="n">
        <v>445</v>
      </c>
      <c r="C447" s="2" t="n">
        <v>3.85299128535453</v>
      </c>
      <c r="D447" s="2" t="n">
        <v>4.35171943701622</v>
      </c>
      <c r="E447" s="2" t="n">
        <v>4.02311760206831</v>
      </c>
    </row>
    <row r="448" customFormat="false" ht="13.8" hidden="false" customHeight="false" outlineLevel="0" collapsed="false">
      <c r="B448" s="2" t="n">
        <v>446</v>
      </c>
      <c r="C448" s="2" t="n">
        <v>3.95333661099652</v>
      </c>
      <c r="D448" s="2" t="n">
        <v>4.39931705076704</v>
      </c>
      <c r="E448" s="2" t="n">
        <v>4.1192452807569</v>
      </c>
    </row>
    <row r="449" customFormat="false" ht="13.8" hidden="false" customHeight="false" outlineLevel="0" collapsed="false">
      <c r="B449" s="2" t="n">
        <v>447</v>
      </c>
      <c r="C449" s="2" t="n">
        <v>3.99825515992241</v>
      </c>
      <c r="D449" s="2" t="n">
        <v>4.46304040687115</v>
      </c>
      <c r="E449" s="2" t="n">
        <v>4.17711709180265</v>
      </c>
    </row>
    <row r="450" customFormat="false" ht="13.8" hidden="false" customHeight="false" outlineLevel="0" collapsed="false">
      <c r="B450" s="2" t="n">
        <v>448</v>
      </c>
      <c r="C450" s="2" t="n">
        <v>4.08254724639997</v>
      </c>
      <c r="D450" s="2" t="n">
        <v>4.48506429907112</v>
      </c>
      <c r="E450" s="2" t="n">
        <v>4.27660823776424</v>
      </c>
    </row>
    <row r="451" customFormat="false" ht="13.8" hidden="false" customHeight="false" outlineLevel="0" collapsed="false">
      <c r="B451" s="2" t="n">
        <v>449</v>
      </c>
      <c r="C451" s="2" t="n">
        <v>4.09986268669382</v>
      </c>
      <c r="D451" s="2" t="n">
        <v>4.52411409936159</v>
      </c>
      <c r="E451" s="2" t="n">
        <v>4.30559349744832</v>
      </c>
    </row>
    <row r="452" customFormat="false" ht="13.8" hidden="false" customHeight="false" outlineLevel="0" collapsed="false">
      <c r="B452" s="2" t="n">
        <v>450</v>
      </c>
      <c r="C452" s="2" t="n">
        <v>4.14004403773878</v>
      </c>
      <c r="D452" s="2" t="n">
        <v>4.52277201744721</v>
      </c>
      <c r="E452" s="2" t="n">
        <v>4.35098954516798</v>
      </c>
    </row>
    <row r="453" customFormat="false" ht="13.8" hidden="false" customHeight="false" outlineLevel="0" collapsed="false">
      <c r="B453" s="2" t="n">
        <v>451</v>
      </c>
      <c r="C453" s="2" t="n">
        <v>4.1212232404803</v>
      </c>
      <c r="D453" s="2" t="n">
        <v>4.53643163174043</v>
      </c>
      <c r="E453" s="2" t="n">
        <v>4.35384602181533</v>
      </c>
    </row>
    <row r="454" customFormat="false" ht="13.8" hidden="false" customHeight="false" outlineLevel="0" collapsed="false">
      <c r="B454" s="2" t="n">
        <v>452</v>
      </c>
      <c r="C454" s="2" t="n">
        <v>4.14368686073006</v>
      </c>
      <c r="D454" s="2" t="n">
        <v>4.50263316872655</v>
      </c>
      <c r="E454" s="2" t="n">
        <v>4.36891366778889</v>
      </c>
    </row>
    <row r="455" customFormat="false" ht="13.8" hidden="false" customHeight="false" outlineLevel="0" collapsed="false">
      <c r="B455" s="2" t="n">
        <v>453</v>
      </c>
      <c r="C455" s="2" t="n">
        <v>4.10577030829522</v>
      </c>
      <c r="D455" s="2" t="n">
        <v>4.49149566473419</v>
      </c>
      <c r="E455" s="2" t="n">
        <v>4.33213816668547</v>
      </c>
    </row>
    <row r="456" customFormat="false" ht="13.8" hidden="false" customHeight="false" outlineLevel="0" collapsed="false">
      <c r="B456" s="2" t="n">
        <v>454</v>
      </c>
      <c r="C456" s="2" t="n">
        <v>4.10034376975216</v>
      </c>
      <c r="D456" s="2" t="n">
        <v>4.47861476503556</v>
      </c>
      <c r="E456" s="2" t="n">
        <v>4.31171676747682</v>
      </c>
    </row>
    <row r="457" customFormat="false" ht="13.8" hidden="false" customHeight="false" outlineLevel="0" collapsed="false">
      <c r="B457" s="2" t="n">
        <v>455</v>
      </c>
      <c r="C457" s="2" t="n">
        <v>4.0333326794607</v>
      </c>
      <c r="D457" s="2" t="n">
        <v>4.46213880187942</v>
      </c>
      <c r="E457" s="2" t="n">
        <v>4.2409636214339</v>
      </c>
    </row>
    <row r="458" customFormat="false" ht="13.8" hidden="false" customHeight="false" outlineLevel="0" collapsed="false">
      <c r="B458" s="2" t="n">
        <v>456</v>
      </c>
      <c r="C458" s="2" t="n">
        <v>3.99544098659969</v>
      </c>
      <c r="D458" s="2" t="n">
        <v>4.41840151492011</v>
      </c>
      <c r="E458" s="2" t="n">
        <v>4.18302795409643</v>
      </c>
    </row>
    <row r="459" customFormat="false" ht="13.8" hidden="false" customHeight="false" outlineLevel="0" collapsed="false">
      <c r="B459" s="2" t="n">
        <v>457</v>
      </c>
      <c r="C459" s="2" t="n">
        <v>3.93063095553071</v>
      </c>
      <c r="D459" s="2" t="n">
        <v>4.34425376936346</v>
      </c>
      <c r="E459" s="2" t="n">
        <v>4.06729800765997</v>
      </c>
    </row>
    <row r="460" customFormat="false" ht="13.8" hidden="false" customHeight="false" outlineLevel="0" collapsed="false">
      <c r="B460" s="2" t="n">
        <v>458</v>
      </c>
      <c r="C460" s="2" t="n">
        <v>3.87598980006089</v>
      </c>
      <c r="D460" s="2" t="n">
        <v>4.28251115104032</v>
      </c>
      <c r="E460" s="2" t="n">
        <v>4.01298977533692</v>
      </c>
    </row>
    <row r="461" customFormat="false" ht="13.8" hidden="false" customHeight="false" outlineLevel="0" collapsed="false">
      <c r="B461" s="2" t="n">
        <v>459</v>
      </c>
      <c r="C461" s="2" t="n">
        <v>3.78840719627927</v>
      </c>
      <c r="D461" s="2" t="n">
        <v>4.2185255358994</v>
      </c>
      <c r="E461" s="2" t="n">
        <v>3.93593764291013</v>
      </c>
    </row>
    <row r="462" customFormat="false" ht="13.8" hidden="false" customHeight="false" outlineLevel="0" collapsed="false">
      <c r="B462" s="2" t="n">
        <v>460</v>
      </c>
      <c r="C462" s="2" t="n">
        <v>3.70960482545218</v>
      </c>
      <c r="D462" s="2" t="n">
        <v>4.15461233525957</v>
      </c>
      <c r="E462" s="2" t="n">
        <v>3.79575213411491</v>
      </c>
    </row>
    <row r="463" customFormat="false" ht="13.8" hidden="false" customHeight="false" outlineLevel="0" collapsed="false">
      <c r="B463" s="2" t="n">
        <v>461</v>
      </c>
      <c r="C463" s="2" t="n">
        <v>3.61395380347848</v>
      </c>
      <c r="D463" s="2" t="n">
        <v>4.01975175209937</v>
      </c>
      <c r="E463" s="2" t="n">
        <v>3.68478538029532</v>
      </c>
    </row>
    <row r="464" customFormat="false" ht="13.8" hidden="false" customHeight="false" outlineLevel="0" collapsed="false">
      <c r="B464" s="2" t="n">
        <v>462</v>
      </c>
      <c r="C464" s="2" t="n">
        <v>3.53489557134833</v>
      </c>
      <c r="D464" s="2" t="n">
        <v>3.97270664717463</v>
      </c>
      <c r="E464" s="2" t="n">
        <v>3.54385642132845</v>
      </c>
    </row>
    <row r="465" customFormat="false" ht="13.8" hidden="false" customHeight="false" outlineLevel="0" collapsed="false">
      <c r="B465" s="2" t="n">
        <v>463</v>
      </c>
      <c r="C465" s="2" t="n">
        <v>3.41872727794865</v>
      </c>
      <c r="D465" s="2" t="n">
        <v>3.84153251270094</v>
      </c>
      <c r="E465" s="2" t="n">
        <v>3.42931746424376</v>
      </c>
    </row>
    <row r="466" customFormat="false" ht="13.8" hidden="false" customHeight="false" outlineLevel="0" collapsed="false">
      <c r="B466" s="2" t="n">
        <v>464</v>
      </c>
      <c r="C466" s="2" t="n">
        <v>3.30463433141709</v>
      </c>
      <c r="D466" s="2" t="n">
        <v>3.7472859862649</v>
      </c>
      <c r="E466" s="2" t="n">
        <v>3.29244539328938</v>
      </c>
    </row>
    <row r="467" customFormat="false" ht="13.8" hidden="false" customHeight="false" outlineLevel="0" collapsed="false">
      <c r="B467" s="2" t="n">
        <v>465</v>
      </c>
      <c r="C467" s="2" t="n">
        <v>3.17413450729647</v>
      </c>
      <c r="D467" s="2" t="n">
        <v>3.60061475414597</v>
      </c>
      <c r="E467" s="2" t="n">
        <v>3.17677835772238</v>
      </c>
    </row>
    <row r="468" customFormat="false" ht="13.8" hidden="false" customHeight="false" outlineLevel="0" collapsed="false">
      <c r="B468" s="2" t="n">
        <v>466</v>
      </c>
      <c r="C468" s="2" t="n">
        <v>3.08809811780373</v>
      </c>
      <c r="D468" s="2" t="n">
        <v>3.49846337762825</v>
      </c>
      <c r="E468" s="2" t="n">
        <v>3.0617981454924</v>
      </c>
    </row>
    <row r="469" customFormat="false" ht="13.8" hidden="false" customHeight="false" outlineLevel="0" collapsed="false">
      <c r="B469" s="2" t="n">
        <v>467</v>
      </c>
      <c r="C469" s="2" t="n">
        <v>2.97587729237858</v>
      </c>
      <c r="D469" s="2" t="n">
        <v>3.37216452262429</v>
      </c>
      <c r="E469" s="2" t="n">
        <v>2.95370756454603</v>
      </c>
    </row>
    <row r="470" customFormat="false" ht="13.8" hidden="false" customHeight="false" outlineLevel="0" collapsed="false">
      <c r="B470" s="2" t="n">
        <v>468</v>
      </c>
      <c r="C470" s="2" t="n">
        <v>2.88943597805059</v>
      </c>
      <c r="D470" s="2" t="n">
        <v>3.29681063431259</v>
      </c>
      <c r="E470" s="2" t="n">
        <v>2.84274765709806</v>
      </c>
    </row>
    <row r="471" customFormat="false" ht="13.8" hidden="false" customHeight="false" outlineLevel="0" collapsed="false">
      <c r="B471" s="2" t="n">
        <v>469</v>
      </c>
      <c r="C471" s="2" t="n">
        <v>2.79008741702463</v>
      </c>
      <c r="D471" s="2" t="n">
        <v>3.19364270324348</v>
      </c>
      <c r="E471" s="2" t="n">
        <v>2.74317765554546</v>
      </c>
    </row>
    <row r="472" customFormat="false" ht="13.8" hidden="false" customHeight="false" outlineLevel="0" collapsed="false">
      <c r="B472" s="2" t="n">
        <v>470</v>
      </c>
      <c r="C472" s="2" t="n">
        <v>2.67927762726204</v>
      </c>
      <c r="D472" s="2" t="n">
        <v>3.12125382237219</v>
      </c>
      <c r="E472" s="2" t="n">
        <v>2.64103420524843</v>
      </c>
    </row>
    <row r="473" customFormat="false" ht="13.8" hidden="false" customHeight="false" outlineLevel="0" collapsed="false">
      <c r="B473" s="2" t="n">
        <v>471</v>
      </c>
      <c r="C473" s="2" t="n">
        <v>2.60952401967143</v>
      </c>
      <c r="D473" s="2" t="n">
        <v>3.00344062835268</v>
      </c>
      <c r="E473" s="2" t="n">
        <v>2.51750353564516</v>
      </c>
    </row>
    <row r="474" customFormat="false" ht="13.8" hidden="false" customHeight="false" outlineLevel="0" collapsed="false">
      <c r="B474" s="2" t="n">
        <v>472</v>
      </c>
      <c r="C474" s="2" t="n">
        <v>2.50782675776505</v>
      </c>
      <c r="D474" s="2" t="n">
        <v>2.92233242727993</v>
      </c>
      <c r="E474" s="2" t="n">
        <v>2.42047387912638</v>
      </c>
    </row>
    <row r="475" customFormat="false" ht="13.8" hidden="false" customHeight="false" outlineLevel="0" collapsed="false">
      <c r="B475" s="2" t="n">
        <v>473</v>
      </c>
      <c r="C475" s="2" t="n">
        <v>2.43435299431277</v>
      </c>
      <c r="D475" s="2" t="n">
        <v>2.81720679654845</v>
      </c>
      <c r="E475" s="2" t="n">
        <v>2.30000045216341</v>
      </c>
    </row>
    <row r="476" customFormat="false" ht="13.8" hidden="false" customHeight="false" outlineLevel="0" collapsed="false">
      <c r="B476" s="2" t="n">
        <v>474</v>
      </c>
      <c r="C476" s="2" t="n">
        <v>2.33191696559812</v>
      </c>
      <c r="D476" s="2" t="n">
        <v>2.75452582818438</v>
      </c>
      <c r="E476" s="2" t="n">
        <v>2.1791956188236</v>
      </c>
    </row>
    <row r="477" customFormat="false" ht="13.8" hidden="false" customHeight="false" outlineLevel="0" collapsed="false">
      <c r="B477" s="2" t="n">
        <v>475</v>
      </c>
      <c r="C477" s="2" t="n">
        <v>2.27142657235487</v>
      </c>
      <c r="D477" s="2" t="n">
        <v>2.65375328292629</v>
      </c>
      <c r="E477" s="2" t="n">
        <v>2.0832622713099</v>
      </c>
    </row>
    <row r="478" customFormat="false" ht="13.8" hidden="false" customHeight="false" outlineLevel="0" collapsed="false">
      <c r="B478" s="2" t="n">
        <v>476</v>
      </c>
      <c r="C478" s="2" t="n">
        <v>2.20951032105259</v>
      </c>
      <c r="D478" s="2" t="n">
        <v>2.57000080094922</v>
      </c>
      <c r="E478" s="2" t="n">
        <v>1.95664525350005</v>
      </c>
    </row>
    <row r="479" customFormat="false" ht="13.8" hidden="false" customHeight="false" outlineLevel="0" collapsed="false">
      <c r="B479" s="2" t="n">
        <v>477</v>
      </c>
      <c r="C479" s="2" t="n">
        <v>2.17578139261653</v>
      </c>
      <c r="D479" s="2" t="n">
        <v>2.4967486009414</v>
      </c>
      <c r="E479" s="2" t="n">
        <v>1.88926990926778</v>
      </c>
    </row>
    <row r="480" customFormat="false" ht="13.8" hidden="false" customHeight="false" outlineLevel="0" collapsed="false">
      <c r="B480" s="2" t="n">
        <v>478</v>
      </c>
      <c r="C480" s="2" t="n">
        <v>2.11662728295123</v>
      </c>
      <c r="D480" s="2" t="n">
        <v>2.4461079482704</v>
      </c>
      <c r="E480" s="2" t="n">
        <v>1.77961783138155</v>
      </c>
    </row>
    <row r="481" customFormat="false" ht="13.8" hidden="false" customHeight="false" outlineLevel="0" collapsed="false">
      <c r="B481" s="2" t="n">
        <v>479</v>
      </c>
      <c r="C481" s="2" t="n">
        <v>2.06625165371592</v>
      </c>
      <c r="D481" s="2" t="n">
        <v>2.38539465385777</v>
      </c>
      <c r="E481" s="2" t="n">
        <v>1.74529972038646</v>
      </c>
    </row>
    <row r="482" customFormat="false" ht="13.8" hidden="false" customHeight="false" outlineLevel="0" collapsed="false">
      <c r="B482" s="2" t="n">
        <v>480</v>
      </c>
      <c r="C482" s="2" t="n">
        <v>2.04943099119986</v>
      </c>
      <c r="D482" s="2" t="n">
        <v>2.37460761472625</v>
      </c>
      <c r="E482" s="2" t="n">
        <v>1.70216726738731</v>
      </c>
    </row>
    <row r="483" customFormat="false" ht="13.8" hidden="false" customHeight="false" outlineLevel="0" collapsed="false">
      <c r="B483" s="2" t="n">
        <v>481</v>
      </c>
      <c r="C483" s="2" t="n">
        <v>2.03994444133487</v>
      </c>
      <c r="D483" s="2" t="n">
        <v>2.36637735013178</v>
      </c>
      <c r="E483" s="2" t="n">
        <v>1.65740700497195</v>
      </c>
    </row>
    <row r="484" customFormat="false" ht="13.8" hidden="false" customHeight="false" outlineLevel="0" collapsed="false">
      <c r="B484" s="2" t="n">
        <v>482</v>
      </c>
      <c r="C484" s="2" t="n">
        <v>1.99740257892797</v>
      </c>
      <c r="D484" s="2" t="n">
        <v>2.3414065196918</v>
      </c>
      <c r="E484" s="2" t="n">
        <v>1.62779506052957</v>
      </c>
    </row>
    <row r="485" customFormat="false" ht="13.8" hidden="false" customHeight="false" outlineLevel="0" collapsed="false">
      <c r="B485" s="2" t="n">
        <v>483</v>
      </c>
      <c r="C485" s="2" t="n">
        <v>1.91952910490266</v>
      </c>
      <c r="D485" s="2" t="n">
        <v>2.28462193896013</v>
      </c>
      <c r="E485" s="2" t="n">
        <v>1.55148074553998</v>
      </c>
    </row>
    <row r="486" customFormat="false" ht="13.8" hidden="false" customHeight="false" outlineLevel="0" collapsed="false">
      <c r="B486" s="2" t="n">
        <v>484</v>
      </c>
      <c r="C486" s="2" t="n">
        <v>1.87399013183431</v>
      </c>
      <c r="D486" s="2" t="n">
        <v>2.22459868533353</v>
      </c>
      <c r="E486" s="2" t="n">
        <v>1.53113089739723</v>
      </c>
    </row>
    <row r="487" customFormat="false" ht="13.8" hidden="false" customHeight="false" outlineLevel="0" collapsed="false">
      <c r="B487" s="2" t="n">
        <v>485</v>
      </c>
      <c r="C487" s="2" t="n">
        <v>1.81621172526682</v>
      </c>
      <c r="D487" s="2" t="n">
        <v>2.16192810601354</v>
      </c>
      <c r="E487" s="2" t="n">
        <v>1.45357795645668</v>
      </c>
    </row>
    <row r="488" customFormat="false" ht="13.8" hidden="false" customHeight="false" outlineLevel="0" collapsed="false">
      <c r="B488" s="2" t="n">
        <v>486</v>
      </c>
      <c r="C488" s="2" t="n">
        <v>1.7985821187056</v>
      </c>
      <c r="D488" s="2" t="n">
        <v>2.12116552376971</v>
      </c>
      <c r="E488" s="2" t="n">
        <v>1.39385956882331</v>
      </c>
    </row>
    <row r="489" customFormat="false" ht="13.8" hidden="false" customHeight="false" outlineLevel="0" collapsed="false">
      <c r="B489" s="2" t="n">
        <v>487</v>
      </c>
      <c r="C489" s="2" t="n">
        <v>1.77523022547748</v>
      </c>
      <c r="D489" s="2" t="n">
        <v>2.07251421952207</v>
      </c>
      <c r="E489" s="2" t="n">
        <v>1.33741948207752</v>
      </c>
    </row>
    <row r="490" customFormat="false" ht="13.8" hidden="false" customHeight="false" outlineLevel="0" collapsed="false">
      <c r="B490" s="2" t="n">
        <v>488</v>
      </c>
      <c r="C490" s="2" t="n">
        <v>1.76149019539793</v>
      </c>
      <c r="D490" s="2" t="n">
        <v>2.05971504993563</v>
      </c>
      <c r="E490" s="2" t="n">
        <v>1.2747762560289</v>
      </c>
    </row>
    <row r="491" customFormat="false" ht="13.8" hidden="false" customHeight="false" outlineLevel="0" collapsed="false">
      <c r="B491" s="2" t="n">
        <v>489</v>
      </c>
      <c r="C491" s="2" t="n">
        <v>1.65699108049645</v>
      </c>
      <c r="D491" s="2" t="n">
        <v>2.04591645278533</v>
      </c>
      <c r="E491" s="2" t="n">
        <v>1.21783745270883</v>
      </c>
    </row>
    <row r="492" customFormat="false" ht="13.8" hidden="false" customHeight="false" outlineLevel="0" collapsed="false">
      <c r="B492" s="2" t="n">
        <v>490</v>
      </c>
      <c r="C492" s="2" t="n">
        <v>1.64365965873427</v>
      </c>
      <c r="D492" s="2" t="n">
        <v>1.95693295658395</v>
      </c>
      <c r="E492" s="2" t="n">
        <v>1.17308418173975</v>
      </c>
    </row>
    <row r="493" customFormat="false" ht="13.8" hidden="false" customHeight="false" outlineLevel="0" collapsed="false">
      <c r="B493" s="2" t="n">
        <v>491</v>
      </c>
      <c r="C493" s="2" t="n">
        <v>1.54379133324927</v>
      </c>
      <c r="D493" s="2" t="n">
        <v>1.94367229466199</v>
      </c>
      <c r="E493" s="2" t="n">
        <v>1.11512761756265</v>
      </c>
    </row>
    <row r="494" customFormat="false" ht="13.8" hidden="false" customHeight="false" outlineLevel="0" collapsed="false">
      <c r="B494" s="2" t="n">
        <v>492</v>
      </c>
      <c r="C494" s="2" t="n">
        <v>1.52810904348456</v>
      </c>
      <c r="D494" s="2" t="n">
        <v>1.86767133942072</v>
      </c>
      <c r="E494" s="2" t="n">
        <v>1.0614312440623</v>
      </c>
    </row>
    <row r="495" customFormat="false" ht="13.8" hidden="false" customHeight="false" outlineLevel="0" collapsed="false">
      <c r="B495" s="2" t="n">
        <v>493</v>
      </c>
      <c r="C495" s="2" t="n">
        <v>1.41601950313535</v>
      </c>
      <c r="D495" s="2" t="n">
        <v>1.84522655159641</v>
      </c>
      <c r="E495" s="2" t="n">
        <v>0.980531481599762</v>
      </c>
    </row>
    <row r="496" customFormat="false" ht="13.8" hidden="false" customHeight="false" outlineLevel="0" collapsed="false">
      <c r="B496" s="2" t="n">
        <v>494</v>
      </c>
      <c r="C496" s="2" t="n">
        <v>1.36802369479265</v>
      </c>
      <c r="D496" s="2" t="n">
        <v>1.77337454377553</v>
      </c>
      <c r="E496" s="2" t="n">
        <v>0.92592884294966</v>
      </c>
    </row>
    <row r="497" customFormat="false" ht="13.8" hidden="false" customHeight="false" outlineLevel="0" collapsed="false">
      <c r="B497" s="2" t="n">
        <v>495</v>
      </c>
      <c r="C497" s="2" t="n">
        <v>1.25300992196358</v>
      </c>
      <c r="D497" s="2" t="n">
        <v>1.74919014336362</v>
      </c>
      <c r="E497" s="2" t="n">
        <v>0.84493797254817</v>
      </c>
    </row>
    <row r="498" customFormat="false" ht="13.8" hidden="false" customHeight="false" outlineLevel="0" collapsed="false">
      <c r="B498" s="2" t="n">
        <v>496</v>
      </c>
      <c r="C498" s="2" t="n">
        <v>1.21077491038336</v>
      </c>
      <c r="D498" s="2" t="n">
        <v>1.69995026257349</v>
      </c>
      <c r="E498" s="2" t="n">
        <v>0.793058856499825</v>
      </c>
    </row>
    <row r="499" customFormat="false" ht="13.8" hidden="false" customHeight="false" outlineLevel="0" collapsed="false">
      <c r="B499" s="2" t="n">
        <v>497</v>
      </c>
      <c r="C499" s="2" t="n">
        <v>1.10096637670881</v>
      </c>
      <c r="D499" s="2" t="n">
        <v>1.6782478001081</v>
      </c>
      <c r="E499" s="2" t="n">
        <v>0.712717499983382</v>
      </c>
    </row>
    <row r="500" customFormat="false" ht="13.8" hidden="false" customHeight="false" outlineLevel="0" collapsed="false">
      <c r="B500" s="2" t="n">
        <v>498</v>
      </c>
      <c r="C500" s="2" t="n">
        <v>1.06558479297144</v>
      </c>
      <c r="D500" s="2" t="n">
        <v>1.60634173985251</v>
      </c>
      <c r="E500" s="2" t="n">
        <v>0.661599169102726</v>
      </c>
    </row>
    <row r="501" customFormat="false" ht="13.8" hidden="false" customHeight="false" outlineLevel="0" collapsed="false">
      <c r="B501" s="2" t="n">
        <v>499</v>
      </c>
      <c r="C501" s="2" t="n">
        <v>0.963222248235104</v>
      </c>
      <c r="D501" s="2" t="n">
        <v>1.59395491717604</v>
      </c>
      <c r="E501" s="2" t="n">
        <v>0.583370164220193</v>
      </c>
    </row>
    <row r="502" customFormat="false" ht="13.8" hidden="false" customHeight="false" outlineLevel="0" collapsed="false">
      <c r="B502" s="2" t="n">
        <v>500</v>
      </c>
      <c r="C502" s="2" t="n">
        <v>0.929323727124211</v>
      </c>
      <c r="D502" s="2" t="n">
        <v>1.54471657021966</v>
      </c>
      <c r="E502" s="2" t="n">
        <v>0.537734608294376</v>
      </c>
    </row>
    <row r="503" customFormat="false" ht="13.8" hidden="false" customHeight="false" outlineLevel="0" collapsed="false">
      <c r="B503" s="2" t="n">
        <v>501</v>
      </c>
      <c r="C503" s="2" t="n">
        <v>0.827036507961491</v>
      </c>
      <c r="D503" s="2" t="n">
        <v>1.4816268823134</v>
      </c>
      <c r="E503" s="2" t="n">
        <v>0.465377342057452</v>
      </c>
    </row>
    <row r="504" customFormat="false" ht="13.8" hidden="false" customHeight="false" outlineLevel="0" collapsed="false">
      <c r="B504" s="2" t="n">
        <v>502</v>
      </c>
      <c r="C504" s="2" t="n">
        <v>0.792445669228533</v>
      </c>
      <c r="D504" s="2" t="n">
        <v>1.44224859199203</v>
      </c>
      <c r="E504" s="2" t="n">
        <v>0.423077613637741</v>
      </c>
    </row>
    <row r="505" customFormat="false" ht="13.8" hidden="false" customHeight="false" outlineLevel="0" collapsed="false">
      <c r="B505" s="2" t="n">
        <v>503</v>
      </c>
      <c r="C505" s="2" t="n">
        <v>0.690476218716599</v>
      </c>
      <c r="D505" s="2" t="n">
        <v>1.37052631368261</v>
      </c>
      <c r="E505" s="2" t="n">
        <v>0.352094344422426</v>
      </c>
    </row>
    <row r="506" customFormat="false" ht="13.8" hidden="false" customHeight="false" outlineLevel="0" collapsed="false">
      <c r="B506" s="2" t="n">
        <v>504</v>
      </c>
      <c r="C506" s="2" t="n">
        <v>0.657610645240421</v>
      </c>
      <c r="D506" s="2" t="n">
        <v>1.30575651912805</v>
      </c>
      <c r="E506" s="2" t="n">
        <v>0.310205599159659</v>
      </c>
    </row>
    <row r="507" customFormat="false" ht="13.8" hidden="false" customHeight="false" outlineLevel="0" collapsed="false">
      <c r="B507" s="2" t="n">
        <v>505</v>
      </c>
      <c r="C507" s="2" t="n">
        <v>0.556996239242711</v>
      </c>
      <c r="D507" s="2" t="n">
        <v>1.24873489806279</v>
      </c>
      <c r="E507" s="2" t="n">
        <v>0.239633198015311</v>
      </c>
    </row>
    <row r="508" customFormat="false" ht="13.8" hidden="false" customHeight="false" outlineLevel="0" collapsed="false">
      <c r="B508" s="2" t="n">
        <v>506</v>
      </c>
      <c r="C508" s="2" t="n">
        <v>0.527568506534624</v>
      </c>
      <c r="D508" s="2" t="n">
        <v>1.19235954940368</v>
      </c>
      <c r="E508" s="2" t="n">
        <v>0.200108028449065</v>
      </c>
    </row>
    <row r="509" customFormat="false" ht="13.8" hidden="false" customHeight="false" outlineLevel="0" collapsed="false">
      <c r="B509" s="2" t="n">
        <v>507</v>
      </c>
      <c r="C509" s="2" t="n">
        <v>0.430252531545723</v>
      </c>
      <c r="D509" s="2" t="n">
        <v>1.11744550372504</v>
      </c>
      <c r="E509" s="2" t="n">
        <v>0.131851909618232</v>
      </c>
    </row>
    <row r="510" customFormat="false" ht="13.8" hidden="false" customHeight="false" outlineLevel="0" collapsed="false">
      <c r="B510" s="2" t="n">
        <v>508</v>
      </c>
      <c r="C510" s="2" t="n">
        <v>0.403308400565837</v>
      </c>
      <c r="D510" s="2" t="n">
        <v>1.0810294093768</v>
      </c>
      <c r="E510" s="2" t="n">
        <v>0.0866429436471217</v>
      </c>
    </row>
    <row r="511" customFormat="false" ht="13.8" hidden="false" customHeight="false" outlineLevel="0" collapsed="false">
      <c r="B511" s="2" t="n">
        <v>509</v>
      </c>
      <c r="C511" s="2" t="n">
        <v>0.302476113580231</v>
      </c>
      <c r="D511" s="2" t="n">
        <v>1.05838945545352</v>
      </c>
      <c r="E511" s="2" t="n">
        <v>0.0116656222864268</v>
      </c>
    </row>
    <row r="512" customFormat="false" ht="13.8" hidden="false" customHeight="false" outlineLevel="0" collapsed="false">
      <c r="B512" s="2" t="n">
        <v>510</v>
      </c>
      <c r="C512" s="2" t="n">
        <v>0.293484316278714</v>
      </c>
      <c r="D512" s="2" t="n">
        <v>1.01551170030344</v>
      </c>
      <c r="E512" s="2" t="n">
        <v>0.00468600353219743</v>
      </c>
    </row>
    <row r="513" customFormat="false" ht="13.8" hidden="false" customHeight="false" outlineLevel="0" collapsed="false">
      <c r="B513" s="2" t="n">
        <v>511</v>
      </c>
      <c r="C513" s="2" t="n">
        <v>0.248258608774908</v>
      </c>
      <c r="D513" s="2" t="n">
        <v>1.02888580909167</v>
      </c>
      <c r="E513" s="2" t="n">
        <v>0</v>
      </c>
    </row>
    <row r="514" customFormat="false" ht="13.8" hidden="false" customHeight="false" outlineLevel="0" collapsed="false">
      <c r="B514" s="2" t="n">
        <v>512</v>
      </c>
      <c r="C514" s="2" t="n">
        <v>0.29419117023513</v>
      </c>
      <c r="D514" s="2" t="n">
        <v>1.05451641176149</v>
      </c>
      <c r="E514" s="2" t="n">
        <v>0.0533522669005992</v>
      </c>
    </row>
    <row r="515" customFormat="false" ht="13.8" hidden="false" customHeight="false" outlineLevel="0" collapsed="false">
      <c r="B515" s="2" t="n">
        <v>513</v>
      </c>
      <c r="C515" s="2" t="n">
        <v>0.309063087272325</v>
      </c>
      <c r="D515" s="2" t="n">
        <v>1.12310838574795</v>
      </c>
      <c r="E515" s="2" t="n">
        <v>0.0723521020734635</v>
      </c>
    </row>
    <row r="516" customFormat="false" ht="13.8" hidden="false" customHeight="false" outlineLevel="0" collapsed="false">
      <c r="B516" s="2" t="n">
        <v>514</v>
      </c>
      <c r="C516" s="2" t="n">
        <v>0.400046587896779</v>
      </c>
      <c r="D516" s="2" t="n">
        <v>1.20397992508287</v>
      </c>
      <c r="E516" s="2" t="n">
        <v>0.167715001638985</v>
      </c>
    </row>
    <row r="517" customFormat="false" ht="13.8" hidden="false" customHeight="false" outlineLevel="0" collapsed="false">
      <c r="B517" s="2" t="n">
        <v>515</v>
      </c>
      <c r="C517" s="2" t="n">
        <v>0.456965565992655</v>
      </c>
      <c r="D517" s="2" t="n">
        <v>1.2665604869706</v>
      </c>
      <c r="E517" s="2" t="n">
        <v>0.22899511196652</v>
      </c>
    </row>
    <row r="518" customFormat="false" ht="13.8" hidden="false" customHeight="false" outlineLevel="0" collapsed="false">
      <c r="B518" s="2" t="n">
        <v>516</v>
      </c>
      <c r="C518" s="2" t="n">
        <v>0.591195467205178</v>
      </c>
      <c r="D518" s="2" t="n">
        <v>1.34466025432091</v>
      </c>
      <c r="E518" s="2" t="n">
        <v>0.38394751888396</v>
      </c>
    </row>
    <row r="519" customFormat="false" ht="13.8" hidden="false" customHeight="false" outlineLevel="0" collapsed="false">
      <c r="B519" s="2" t="n">
        <v>517</v>
      </c>
      <c r="C519" s="2" t="n">
        <v>0.730676223425117</v>
      </c>
      <c r="D519" s="2" t="n">
        <v>1.44696435694175</v>
      </c>
      <c r="E519" s="2" t="n">
        <v>0.52844184066834</v>
      </c>
    </row>
    <row r="520" customFormat="false" ht="13.8" hidden="false" customHeight="false" outlineLevel="0" collapsed="false">
      <c r="B520" s="2" t="n">
        <v>518</v>
      </c>
      <c r="C520" s="2" t="n">
        <v>0.846765995192738</v>
      </c>
      <c r="D520" s="2" t="n">
        <v>1.54870699975696</v>
      </c>
      <c r="E520" s="2" t="n">
        <v>0.667234098047248</v>
      </c>
    </row>
    <row r="521" customFormat="false" ht="13.8" hidden="false" customHeight="false" outlineLevel="0" collapsed="false">
      <c r="B521" s="2" t="n">
        <v>519</v>
      </c>
      <c r="C521" s="2" t="n">
        <v>0.989594926417884</v>
      </c>
      <c r="D521" s="2" t="n">
        <v>1.66338817338114</v>
      </c>
      <c r="E521" s="2" t="n">
        <v>0.827279453041327</v>
      </c>
    </row>
    <row r="522" customFormat="false" ht="13.8" hidden="false" customHeight="false" outlineLevel="0" collapsed="false">
      <c r="B522" s="2" t="n">
        <v>520</v>
      </c>
      <c r="C522" s="2" t="n">
        <v>1.12961280970896</v>
      </c>
      <c r="D522" s="2" t="n">
        <v>1.77908256842899</v>
      </c>
      <c r="E522" s="2" t="n">
        <v>0.989077453119602</v>
      </c>
    </row>
    <row r="523" customFormat="false" ht="13.8" hidden="false" customHeight="false" outlineLevel="0" collapsed="false">
      <c r="B523" s="2" t="n">
        <v>521</v>
      </c>
      <c r="C523" s="2" t="n">
        <v>1.28343997317645</v>
      </c>
      <c r="D523" s="2" t="n">
        <v>1.90729533976829</v>
      </c>
      <c r="E523" s="2" t="n">
        <v>1.14220312575562</v>
      </c>
    </row>
    <row r="524" customFormat="false" ht="13.8" hidden="false" customHeight="false" outlineLevel="0" collapsed="false">
      <c r="B524" s="2" t="n">
        <v>522</v>
      </c>
      <c r="C524" s="2" t="n">
        <v>1.45856352409226</v>
      </c>
      <c r="D524" s="2" t="n">
        <v>2.05492880904355</v>
      </c>
      <c r="E524" s="2" t="n">
        <v>1.36386854147053</v>
      </c>
    </row>
    <row r="525" customFormat="false" ht="13.8" hidden="false" customHeight="false" outlineLevel="0" collapsed="false">
      <c r="B525" s="2" t="n">
        <v>523</v>
      </c>
      <c r="C525" s="2" t="n">
        <v>1.66668339949254</v>
      </c>
      <c r="D525" s="2" t="n">
        <v>2.23393772204779</v>
      </c>
      <c r="E525" s="2" t="n">
        <v>1.56894795486691</v>
      </c>
    </row>
    <row r="526" customFormat="false" ht="13.8" hidden="false" customHeight="false" outlineLevel="0" collapsed="false">
      <c r="B526" s="2" t="n">
        <v>524</v>
      </c>
      <c r="C526" s="2" t="n">
        <v>1.89407431441402</v>
      </c>
      <c r="D526" s="2" t="n">
        <v>2.44469696002658</v>
      </c>
      <c r="E526" s="2" t="n">
        <v>1.84504109680477</v>
      </c>
    </row>
    <row r="527" customFormat="false" ht="13.8" hidden="false" customHeight="false" outlineLevel="0" collapsed="false">
      <c r="B527" s="2" t="n">
        <v>525</v>
      </c>
      <c r="C527" s="2" t="n">
        <v>2.15311125614631</v>
      </c>
      <c r="D527" s="2" t="n">
        <v>2.69725638547666</v>
      </c>
      <c r="E527" s="2" t="n">
        <v>2.09037215214682</v>
      </c>
    </row>
    <row r="528" customFormat="false" ht="13.8" hidden="false" customHeight="false" outlineLevel="0" collapsed="false">
      <c r="B528" s="2" t="n">
        <v>526</v>
      </c>
      <c r="C528" s="2" t="n">
        <v>2.39224662147343</v>
      </c>
      <c r="D528" s="2" t="n">
        <v>2.9382510720468</v>
      </c>
      <c r="E528" s="2" t="n">
        <v>2.37440967965018</v>
      </c>
    </row>
    <row r="529" customFormat="false" ht="13.8" hidden="false" customHeight="false" outlineLevel="0" collapsed="false">
      <c r="B529" s="2" t="n">
        <v>527</v>
      </c>
      <c r="C529" s="2" t="n">
        <v>2.62228051941114</v>
      </c>
      <c r="D529" s="2" t="n">
        <v>3.16186115038437</v>
      </c>
      <c r="E529" s="2" t="n">
        <v>2.57130315725011</v>
      </c>
    </row>
    <row r="530" customFormat="false" ht="13.8" hidden="false" customHeight="false" outlineLevel="0" collapsed="false">
      <c r="B530" s="2" t="n">
        <v>528</v>
      </c>
      <c r="C530" s="2" t="n">
        <v>2.8274628609741</v>
      </c>
      <c r="D530" s="2" t="n">
        <v>3.31942668933548</v>
      </c>
      <c r="E530" s="2" t="n">
        <v>2.83786300638713</v>
      </c>
    </row>
    <row r="531" customFormat="false" ht="13.8" hidden="false" customHeight="false" outlineLevel="0" collapsed="false">
      <c r="B531" s="2" t="n">
        <v>529</v>
      </c>
      <c r="C531" s="2" t="n">
        <v>3.02864389467789</v>
      </c>
      <c r="D531" s="2" t="n">
        <v>3.5366180043455</v>
      </c>
      <c r="E531" s="2" t="n">
        <v>3.0544789503975</v>
      </c>
    </row>
    <row r="532" customFormat="false" ht="13.8" hidden="false" customHeight="false" outlineLevel="0" collapsed="false">
      <c r="B532" s="2" t="n">
        <v>530</v>
      </c>
      <c r="C532" s="2" t="n">
        <v>3.25273242651147</v>
      </c>
      <c r="D532" s="2" t="n">
        <v>3.7186566802921</v>
      </c>
      <c r="E532" s="2" t="n">
        <v>3.25608289965049</v>
      </c>
    </row>
    <row r="533" customFormat="false" ht="13.8" hidden="false" customHeight="false" outlineLevel="0" collapsed="false">
      <c r="B533" s="2" t="n">
        <v>531</v>
      </c>
      <c r="C533" s="2" t="n">
        <v>3.41706354239984</v>
      </c>
      <c r="D533" s="2" t="n">
        <v>3.91499877370167</v>
      </c>
      <c r="E533" s="2" t="n">
        <v>3.45479488426603</v>
      </c>
    </row>
    <row r="534" customFormat="false" ht="13.8" hidden="false" customHeight="false" outlineLevel="0" collapsed="false">
      <c r="B534" s="2" t="n">
        <v>532</v>
      </c>
      <c r="C534" s="2" t="n">
        <v>3.62017241991718</v>
      </c>
      <c r="D534" s="2" t="n">
        <v>4.08796409654002</v>
      </c>
      <c r="E534" s="2" t="n">
        <v>3.68523493316378</v>
      </c>
    </row>
    <row r="535" customFormat="false" ht="13.8" hidden="false" customHeight="false" outlineLevel="0" collapsed="false">
      <c r="B535" s="2" t="n">
        <v>533</v>
      </c>
      <c r="C535" s="2" t="n">
        <v>3.79352371628587</v>
      </c>
      <c r="D535" s="2" t="n">
        <v>4.25001756757488</v>
      </c>
      <c r="E535" s="2" t="n">
        <v>3.8816281340631</v>
      </c>
    </row>
    <row r="536" customFormat="false" ht="13.8" hidden="false" customHeight="false" outlineLevel="0" collapsed="false">
      <c r="B536" s="2" t="n">
        <v>534</v>
      </c>
      <c r="C536" s="2" t="n">
        <v>3.92143321860831</v>
      </c>
      <c r="D536" s="2" t="n">
        <v>4.38011301472143</v>
      </c>
      <c r="E536" s="2" t="n">
        <v>4.02586885757575</v>
      </c>
    </row>
    <row r="537" customFormat="false" ht="13.8" hidden="false" customHeight="false" outlineLevel="0" collapsed="false">
      <c r="B537" s="2" t="n">
        <v>535</v>
      </c>
      <c r="C537" s="2" t="n">
        <v>4.06285114130245</v>
      </c>
      <c r="D537" s="2" t="n">
        <v>4.4400007725599</v>
      </c>
      <c r="E537" s="2" t="n">
        <v>4.12773816522653</v>
      </c>
    </row>
    <row r="538" customFormat="false" ht="13.8" hidden="false" customHeight="false" outlineLevel="0" collapsed="false">
      <c r="B538" s="2" t="n">
        <v>536</v>
      </c>
      <c r="C538" s="2" t="n">
        <v>4.11922790428409</v>
      </c>
      <c r="D538" s="2" t="n">
        <v>4.5012316331672</v>
      </c>
      <c r="E538" s="2" t="n">
        <v>4.22808110572957</v>
      </c>
    </row>
    <row r="539" customFormat="false" ht="13.8" hidden="false" customHeight="false" outlineLevel="0" collapsed="false">
      <c r="B539" s="2" t="n">
        <v>537</v>
      </c>
      <c r="C539" s="2" t="n">
        <v>4.14241884796482</v>
      </c>
      <c r="D539" s="2" t="n">
        <v>4.50935540311229</v>
      </c>
      <c r="E539" s="2" t="n">
        <v>4.22975751434857</v>
      </c>
    </row>
    <row r="540" customFormat="false" ht="13.8" hidden="false" customHeight="false" outlineLevel="0" collapsed="false">
      <c r="B540" s="2" t="n">
        <v>538</v>
      </c>
      <c r="C540" s="2" t="n">
        <v>4.14368686070279</v>
      </c>
      <c r="D540" s="2" t="n">
        <v>4.53643163172841</v>
      </c>
      <c r="E540" s="2" t="n">
        <v>4.27067136871507</v>
      </c>
    </row>
    <row r="541" customFormat="false" ht="13.8" hidden="false" customHeight="false" outlineLevel="0" collapsed="false">
      <c r="B541" s="2" t="n">
        <v>539</v>
      </c>
      <c r="C541" s="2" t="n">
        <v>4.1345673964405</v>
      </c>
      <c r="D541" s="2" t="n">
        <v>4.48076752302017</v>
      </c>
      <c r="E541" s="2" t="n">
        <v>4.26102256873403</v>
      </c>
    </row>
    <row r="542" customFormat="false" ht="13.8" hidden="false" customHeight="false" outlineLevel="0" collapsed="false">
      <c r="B542" s="2" t="n">
        <v>540</v>
      </c>
      <c r="C542" s="2" t="n">
        <v>4.12890161098297</v>
      </c>
      <c r="D542" s="2" t="n">
        <v>4.48044609429577</v>
      </c>
      <c r="E542" s="2" t="n">
        <v>4.25814865846519</v>
      </c>
    </row>
    <row r="543" customFormat="false" ht="13.8" hidden="false" customHeight="false" outlineLevel="0" collapsed="false">
      <c r="B543" s="2" t="n">
        <v>541</v>
      </c>
      <c r="C543" s="2" t="n">
        <v>4.11909643274329</v>
      </c>
      <c r="D543" s="2" t="n">
        <v>4.38852227360411</v>
      </c>
      <c r="E543" s="2" t="n">
        <v>4.26550030645506</v>
      </c>
    </row>
    <row r="544" customFormat="false" ht="13.8" hidden="false" customHeight="false" outlineLevel="0" collapsed="false">
      <c r="B544" s="2" t="n">
        <v>542</v>
      </c>
      <c r="C544" s="2" t="n">
        <v>4.06961060356549</v>
      </c>
      <c r="D544" s="2" t="n">
        <v>4.36820601487573</v>
      </c>
      <c r="E544" s="2" t="n">
        <v>4.18459879460731</v>
      </c>
    </row>
    <row r="545" customFormat="false" ht="13.8" hidden="false" customHeight="false" outlineLevel="0" collapsed="false">
      <c r="B545" s="2" t="n">
        <v>543</v>
      </c>
      <c r="C545" s="2" t="n">
        <v>4.01062939062644</v>
      </c>
      <c r="D545" s="2" t="n">
        <v>4.27394112055354</v>
      </c>
      <c r="E545" s="2" t="n">
        <v>4.1698215010082</v>
      </c>
    </row>
    <row r="546" customFormat="false" ht="13.8" hidden="false" customHeight="false" outlineLevel="0" collapsed="false">
      <c r="B546" s="2" t="n">
        <v>544</v>
      </c>
      <c r="C546" s="2" t="n">
        <v>3.98604183332443</v>
      </c>
      <c r="D546" s="2" t="n">
        <v>4.248783941235</v>
      </c>
      <c r="E546" s="2" t="n">
        <v>4.09857513478592</v>
      </c>
    </row>
    <row r="547" customFormat="false" ht="13.8" hidden="false" customHeight="false" outlineLevel="0" collapsed="false">
      <c r="B547" s="2" t="n">
        <v>545</v>
      </c>
      <c r="C547" s="2" t="n">
        <v>3.92844066179698</v>
      </c>
      <c r="D547" s="2" t="n">
        <v>4.14560447102815</v>
      </c>
      <c r="E547" s="2" t="n">
        <v>4.09410090877934</v>
      </c>
    </row>
    <row r="548" customFormat="false" ht="13.8" hidden="false" customHeight="false" outlineLevel="0" collapsed="false">
      <c r="B548" s="2" t="n">
        <v>546</v>
      </c>
      <c r="C548" s="2" t="n">
        <v>3.86169126592536</v>
      </c>
      <c r="D548" s="2" t="n">
        <v>4.11323185375483</v>
      </c>
      <c r="E548" s="2" t="n">
        <v>4.02217402385293</v>
      </c>
    </row>
    <row r="549" customFormat="false" ht="13.8" hidden="false" customHeight="false" outlineLevel="0" collapsed="false">
      <c r="B549" s="2" t="n">
        <v>547</v>
      </c>
      <c r="C549" s="2" t="n">
        <v>3.8021822371918</v>
      </c>
      <c r="D549" s="2" t="n">
        <v>4.00805421467985</v>
      </c>
      <c r="E549" s="2" t="n">
        <v>3.97057235823698</v>
      </c>
    </row>
    <row r="550" customFormat="false" ht="13.8" hidden="false" customHeight="false" outlineLevel="0" collapsed="false">
      <c r="B550" s="2" t="n">
        <v>548</v>
      </c>
      <c r="C550" s="2" t="n">
        <v>3.73296955874821</v>
      </c>
      <c r="D550" s="2" t="n">
        <v>3.97470194852008</v>
      </c>
      <c r="E550" s="2" t="n">
        <v>3.89311056053115</v>
      </c>
    </row>
    <row r="551" customFormat="false" ht="13.8" hidden="false" customHeight="false" outlineLevel="0" collapsed="false">
      <c r="B551" s="2" t="n">
        <v>549</v>
      </c>
      <c r="C551" s="2" t="n">
        <v>3.66960860540884</v>
      </c>
      <c r="D551" s="2" t="n">
        <v>3.86410000368847</v>
      </c>
      <c r="E551" s="2" t="n">
        <v>3.84669687081823</v>
      </c>
    </row>
    <row r="552" customFormat="false" ht="13.8" hidden="false" customHeight="false" outlineLevel="0" collapsed="false">
      <c r="B552" s="2" t="n">
        <v>550</v>
      </c>
      <c r="C552" s="2" t="n">
        <v>3.5935513999097</v>
      </c>
      <c r="D552" s="2" t="n">
        <v>3.82813472821218</v>
      </c>
      <c r="E552" s="2" t="n">
        <v>3.74761808489417</v>
      </c>
    </row>
    <row r="553" customFormat="false" ht="13.8" hidden="false" customHeight="false" outlineLevel="0" collapsed="false">
      <c r="B553" s="2" t="n">
        <v>551</v>
      </c>
      <c r="C553" s="2" t="n">
        <v>3.52340893958369</v>
      </c>
      <c r="D553" s="2" t="n">
        <v>3.71999072757637</v>
      </c>
      <c r="E553" s="2" t="n">
        <v>3.68430056274325</v>
      </c>
    </row>
    <row r="554" customFormat="false" ht="13.8" hidden="false" customHeight="false" outlineLevel="0" collapsed="false">
      <c r="B554" s="2" t="n">
        <v>552</v>
      </c>
      <c r="C554" s="2" t="n">
        <v>3.44203323935742</v>
      </c>
      <c r="D554" s="2" t="n">
        <v>3.67233559393868</v>
      </c>
      <c r="E554" s="2" t="n">
        <v>3.62781739119729</v>
      </c>
    </row>
    <row r="555" customFormat="false" ht="13.8" hidden="false" customHeight="false" outlineLevel="0" collapsed="false">
      <c r="B555" s="2" t="n">
        <v>553</v>
      </c>
      <c r="C555" s="2" t="n">
        <v>3.36594231901636</v>
      </c>
      <c r="D555" s="2" t="n">
        <v>3.58394646317147</v>
      </c>
      <c r="E555" s="2" t="n">
        <v>3.57148377969012</v>
      </c>
    </row>
    <row r="556" customFormat="false" ht="13.8" hidden="false" customHeight="false" outlineLevel="0" collapsed="false">
      <c r="B556" s="2" t="n">
        <v>554</v>
      </c>
      <c r="C556" s="2" t="n">
        <v>3.25768564106599</v>
      </c>
      <c r="D556" s="2" t="n">
        <v>3.50085417925853</v>
      </c>
      <c r="E556" s="2" t="n">
        <v>3.50509393522278</v>
      </c>
    </row>
    <row r="557" customFormat="false" ht="13.8" hidden="false" customHeight="false" outlineLevel="0" collapsed="false">
      <c r="B557" s="2" t="n">
        <v>555</v>
      </c>
      <c r="C557" s="2" t="n">
        <v>3.15159604568239</v>
      </c>
      <c r="D557" s="2" t="n">
        <v>3.39061442997214</v>
      </c>
      <c r="E557" s="2" t="n">
        <v>3.44105695835758</v>
      </c>
    </row>
    <row r="558" customFormat="false" ht="13.8" hidden="false" customHeight="false" outlineLevel="0" collapsed="false">
      <c r="B558" s="2" t="n">
        <v>556</v>
      </c>
      <c r="C558" s="2" t="n">
        <v>3.02921021489845</v>
      </c>
      <c r="D558" s="2" t="n">
        <v>3.30035678308324</v>
      </c>
      <c r="E558" s="2" t="n">
        <v>3.30883528852882</v>
      </c>
    </row>
    <row r="559" customFormat="false" ht="13.8" hidden="false" customHeight="false" outlineLevel="0" collapsed="false">
      <c r="B559" s="2" t="n">
        <v>557</v>
      </c>
      <c r="C559" s="2" t="n">
        <v>2.90160305241726</v>
      </c>
      <c r="D559" s="2" t="n">
        <v>3.17885885358564</v>
      </c>
      <c r="E559" s="2" t="n">
        <v>3.20868807054638</v>
      </c>
    </row>
    <row r="560" customFormat="false" ht="13.8" hidden="false" customHeight="false" outlineLevel="0" collapsed="false">
      <c r="B560" s="2" t="n">
        <v>558</v>
      </c>
      <c r="C560" s="2" t="n">
        <v>2.78058907341511</v>
      </c>
      <c r="D560" s="2" t="n">
        <v>3.13000971314139</v>
      </c>
      <c r="E560" s="2" t="n">
        <v>3.09809655773983</v>
      </c>
    </row>
    <row r="561" customFormat="false" ht="13.8" hidden="false" customHeight="false" outlineLevel="0" collapsed="false">
      <c r="B561" s="2" t="n">
        <v>559</v>
      </c>
      <c r="C561" s="2" t="n">
        <v>2.71809389714533</v>
      </c>
      <c r="D561" s="2" t="n">
        <v>3.02192013526262</v>
      </c>
      <c r="E561" s="2" t="n">
        <v>2.99989587307063</v>
      </c>
    </row>
    <row r="562" customFormat="false" ht="13.8" hidden="false" customHeight="false" outlineLevel="0" collapsed="false">
      <c r="B562" s="2" t="n">
        <v>560</v>
      </c>
      <c r="C562" s="2" t="n">
        <v>2.62924760508658</v>
      </c>
      <c r="D562" s="2" t="n">
        <v>2.88586824939074</v>
      </c>
      <c r="E562" s="2" t="n">
        <v>2.86938131855643</v>
      </c>
    </row>
    <row r="563" customFormat="false" ht="13.8" hidden="false" customHeight="false" outlineLevel="0" collapsed="false">
      <c r="B563" s="2" t="n">
        <v>561</v>
      </c>
      <c r="C563" s="2" t="n">
        <v>2.51714279408333</v>
      </c>
      <c r="D563" s="2" t="n">
        <v>2.74698381663032</v>
      </c>
      <c r="E563" s="2" t="n">
        <v>2.8059595877063</v>
      </c>
    </row>
    <row r="564" customFormat="false" ht="13.8" hidden="false" customHeight="false" outlineLevel="0" collapsed="false">
      <c r="B564" s="2" t="n">
        <v>562</v>
      </c>
      <c r="C564" s="2" t="n">
        <v>2.43946404857265</v>
      </c>
      <c r="D564" s="2" t="n">
        <v>2.62365619864014</v>
      </c>
      <c r="E564" s="2" t="n">
        <v>2.71924223181421</v>
      </c>
    </row>
    <row r="565" customFormat="false" ht="13.8" hidden="false" customHeight="false" outlineLevel="0" collapsed="false">
      <c r="B565" s="2" t="n">
        <v>563</v>
      </c>
      <c r="C565" s="2" t="n">
        <v>2.35643506133089</v>
      </c>
      <c r="D565" s="2" t="n">
        <v>2.50312681392615</v>
      </c>
      <c r="E565" s="2" t="n">
        <v>2.6071931690216</v>
      </c>
    </row>
    <row r="566" customFormat="false" ht="13.8" hidden="false" customHeight="false" outlineLevel="0" collapsed="false">
      <c r="B566" s="2" t="n">
        <v>564</v>
      </c>
      <c r="C566" s="2" t="n">
        <v>2.23425951549012</v>
      </c>
      <c r="D566" s="2" t="n">
        <v>2.4034862270986</v>
      </c>
      <c r="E566" s="2" t="n">
        <v>2.49631133783073</v>
      </c>
    </row>
    <row r="567" customFormat="false" ht="13.8" hidden="false" customHeight="false" outlineLevel="0" collapsed="false">
      <c r="B567" s="2" t="n">
        <v>565</v>
      </c>
      <c r="C567" s="2" t="n">
        <v>2.1011405802937</v>
      </c>
      <c r="D567" s="2" t="n">
        <v>2.32740148852877</v>
      </c>
      <c r="E567" s="2" t="n">
        <v>2.38326372656929</v>
      </c>
    </row>
    <row r="568" customFormat="false" ht="13.8" hidden="false" customHeight="false" outlineLevel="0" collapsed="false">
      <c r="B568" s="2" t="n">
        <v>566</v>
      </c>
      <c r="C568" s="2" t="n">
        <v>1.9977079392496</v>
      </c>
      <c r="D568" s="2" t="n">
        <v>2.21367065895447</v>
      </c>
      <c r="E568" s="2" t="n">
        <v>2.27708761615433</v>
      </c>
    </row>
    <row r="569" customFormat="false" ht="13.8" hidden="false" customHeight="false" outlineLevel="0" collapsed="false">
      <c r="B569" s="2" t="n">
        <v>567</v>
      </c>
      <c r="C569" s="2" t="n">
        <v>1.90577668438375</v>
      </c>
      <c r="D569" s="2" t="n">
        <v>2.1237745037255</v>
      </c>
      <c r="E569" s="2" t="n">
        <v>2.19852354898196</v>
      </c>
    </row>
    <row r="570" customFormat="false" ht="13.8" hidden="false" customHeight="false" outlineLevel="0" collapsed="false">
      <c r="B570" s="2" t="n">
        <v>568</v>
      </c>
      <c r="C570" s="2" t="n">
        <v>1.8045489969786</v>
      </c>
      <c r="D570" s="2" t="n">
        <v>2.03071230301365</v>
      </c>
      <c r="E570" s="2" t="n">
        <v>2.08260756374655</v>
      </c>
    </row>
    <row r="571" customFormat="false" ht="13.8" hidden="false" customHeight="false" outlineLevel="0" collapsed="false">
      <c r="B571" s="2" t="n">
        <v>569</v>
      </c>
      <c r="C571" s="2" t="n">
        <v>1.73476663666515</v>
      </c>
      <c r="D571" s="2" t="n">
        <v>1.91848432922009</v>
      </c>
      <c r="E571" s="2" t="n">
        <v>2.00709968211544</v>
      </c>
    </row>
    <row r="572" customFormat="false" ht="13.8" hidden="false" customHeight="false" outlineLevel="0" collapsed="false">
      <c r="B572" s="2" t="n">
        <v>570</v>
      </c>
      <c r="C572" s="2" t="n">
        <v>1.63915165936048</v>
      </c>
      <c r="D572" s="2" t="n">
        <v>1.82936875548405</v>
      </c>
      <c r="E572" s="2" t="n">
        <v>1.92716722222981</v>
      </c>
    </row>
    <row r="573" customFormat="false" ht="13.8" hidden="false" customHeight="false" outlineLevel="0" collapsed="false">
      <c r="B573" s="2" t="n">
        <v>571</v>
      </c>
      <c r="C573" s="2" t="n">
        <v>1.53300084190928</v>
      </c>
      <c r="D573" s="2" t="n">
        <v>1.73297572105189</v>
      </c>
      <c r="E573" s="2" t="n">
        <v>1.84508813574285</v>
      </c>
    </row>
    <row r="574" customFormat="false" ht="13.8" hidden="false" customHeight="false" outlineLevel="0" collapsed="false">
      <c r="B574" s="2" t="n">
        <v>572</v>
      </c>
      <c r="C574" s="2" t="n">
        <v>1.45172208596626</v>
      </c>
      <c r="D574" s="2" t="n">
        <v>1.6853611690686</v>
      </c>
      <c r="E574" s="2" t="n">
        <v>1.76789877745416</v>
      </c>
    </row>
    <row r="575" customFormat="false" ht="13.8" hidden="false" customHeight="false" outlineLevel="0" collapsed="false">
      <c r="B575" s="2" t="n">
        <v>573</v>
      </c>
      <c r="C575" s="2" t="n">
        <v>1.38575849466265</v>
      </c>
      <c r="D575" s="2" t="n">
        <v>1.66413624137897</v>
      </c>
      <c r="E575" s="2" t="n">
        <v>1.65895067254054</v>
      </c>
    </row>
    <row r="576" customFormat="false" ht="13.8" hidden="false" customHeight="false" outlineLevel="0" collapsed="false">
      <c r="B576" s="2" t="n">
        <v>574</v>
      </c>
      <c r="C576" s="2" t="n">
        <v>1.33005552595792</v>
      </c>
      <c r="D576" s="2" t="n">
        <v>1.61443095186455</v>
      </c>
      <c r="E576" s="2" t="n">
        <v>1.59881849044131</v>
      </c>
    </row>
    <row r="577" customFormat="false" ht="13.8" hidden="false" customHeight="false" outlineLevel="0" collapsed="false">
      <c r="B577" s="2" t="n">
        <v>575</v>
      </c>
      <c r="C577" s="2" t="n">
        <v>1.27959450317176</v>
      </c>
      <c r="D577" s="2" t="n">
        <v>1.56372628903265</v>
      </c>
      <c r="E577" s="2" t="n">
        <v>1.53594735410834</v>
      </c>
    </row>
    <row r="578" customFormat="false" ht="13.8" hidden="false" customHeight="false" outlineLevel="0" collapsed="false">
      <c r="B578" s="2" t="n">
        <v>576</v>
      </c>
      <c r="C578" s="2" t="n">
        <v>1.22180011462546</v>
      </c>
      <c r="D578" s="2" t="n">
        <v>1.52281857769183</v>
      </c>
      <c r="E578" s="2" t="n">
        <v>1.48363227241266</v>
      </c>
    </row>
    <row r="579" customFormat="false" ht="13.8" hidden="false" customHeight="false" outlineLevel="0" collapsed="false">
      <c r="B579" s="2" t="n">
        <v>577</v>
      </c>
      <c r="C579" s="2" t="n">
        <v>1.17124828550453</v>
      </c>
      <c r="D579" s="2" t="n">
        <v>1.44204192357626</v>
      </c>
      <c r="E579" s="2" t="n">
        <v>1.41465178794187</v>
      </c>
    </row>
    <row r="580" customFormat="false" ht="13.8" hidden="false" customHeight="false" outlineLevel="0" collapsed="false">
      <c r="B580" s="2" t="n">
        <v>578</v>
      </c>
      <c r="C580" s="2" t="n">
        <v>1.139771073013</v>
      </c>
      <c r="D580" s="2" t="n">
        <v>1.42722889204206</v>
      </c>
      <c r="E580" s="2" t="n">
        <v>1.38624580809074</v>
      </c>
    </row>
    <row r="581" customFormat="false" ht="13.8" hidden="false" customHeight="false" outlineLevel="0" collapsed="false">
      <c r="B581" s="2" t="n">
        <v>579</v>
      </c>
      <c r="C581" s="2" t="n">
        <v>1.04596182344174</v>
      </c>
      <c r="D581" s="2" t="n">
        <v>1.35265728641595</v>
      </c>
      <c r="E581" s="2" t="n">
        <v>1.29758200118829</v>
      </c>
    </row>
    <row r="582" customFormat="false" ht="13.8" hidden="false" customHeight="false" outlineLevel="0" collapsed="false">
      <c r="B582" s="2" t="n">
        <v>580</v>
      </c>
      <c r="C582" s="2" t="n">
        <v>1.03030210455558</v>
      </c>
      <c r="D582" s="2" t="n">
        <v>1.31290114872811</v>
      </c>
      <c r="E582" s="2" t="n">
        <v>1.25945617351651</v>
      </c>
    </row>
    <row r="583" customFormat="false" ht="13.8" hidden="false" customHeight="false" outlineLevel="0" collapsed="false">
      <c r="B583" s="2" t="n">
        <v>581</v>
      </c>
      <c r="C583" s="2" t="n">
        <v>0.944772838562892</v>
      </c>
      <c r="D583" s="2" t="n">
        <v>1.23390592712017</v>
      </c>
      <c r="E583" s="2" t="n">
        <v>1.20247948636226</v>
      </c>
    </row>
    <row r="584" customFormat="false" ht="13.8" hidden="false" customHeight="false" outlineLevel="0" collapsed="false">
      <c r="B584" s="2" t="n">
        <v>582</v>
      </c>
      <c r="C584" s="2" t="n">
        <v>0.914855816751757</v>
      </c>
      <c r="D584" s="2" t="n">
        <v>1.18818975472371</v>
      </c>
      <c r="E584" s="2" t="n">
        <v>1.15644875786378</v>
      </c>
    </row>
    <row r="585" customFormat="false" ht="13.8" hidden="false" customHeight="false" outlineLevel="0" collapsed="false">
      <c r="B585" s="2" t="n">
        <v>583</v>
      </c>
      <c r="C585" s="2" t="n">
        <v>0.868513186703432</v>
      </c>
      <c r="D585" s="2" t="n">
        <v>1.1226589654149</v>
      </c>
      <c r="E585" s="2" t="n">
        <v>1.09830745263554</v>
      </c>
    </row>
    <row r="586" customFormat="false" ht="13.8" hidden="false" customHeight="false" outlineLevel="0" collapsed="false">
      <c r="B586" s="2" t="n">
        <v>584</v>
      </c>
      <c r="C586" s="2" t="n">
        <v>0.794448612674001</v>
      </c>
      <c r="D586" s="2" t="n">
        <v>1.0648699610436</v>
      </c>
      <c r="E586" s="2" t="n">
        <v>1.05568515474628</v>
      </c>
    </row>
    <row r="587" customFormat="false" ht="13.8" hidden="false" customHeight="false" outlineLevel="0" collapsed="false">
      <c r="B587" s="2" t="n">
        <v>585</v>
      </c>
      <c r="C587" s="2" t="n">
        <v>0.763588557068088</v>
      </c>
      <c r="D587" s="2" t="n">
        <v>0.99576670122902</v>
      </c>
      <c r="E587" s="2" t="n">
        <v>0.984970579376291</v>
      </c>
    </row>
    <row r="588" customFormat="false" ht="13.8" hidden="false" customHeight="false" outlineLevel="0" collapsed="false">
      <c r="B588" s="2" t="n">
        <v>586</v>
      </c>
      <c r="C588" s="2" t="n">
        <v>0.728599254507177</v>
      </c>
      <c r="D588" s="2" t="n">
        <v>0.936849243558149</v>
      </c>
      <c r="E588" s="2" t="n">
        <v>0.94884961855947</v>
      </c>
    </row>
    <row r="589" customFormat="false" ht="13.8" hidden="false" customHeight="false" outlineLevel="0" collapsed="false">
      <c r="B589" s="2" t="n">
        <v>587</v>
      </c>
      <c r="C589" s="2" t="n">
        <v>0.649480783320771</v>
      </c>
      <c r="D589" s="2" t="n">
        <v>0.865802634321112</v>
      </c>
      <c r="E589" s="2" t="n">
        <v>0.913006593026329</v>
      </c>
    </row>
    <row r="590" customFormat="false" ht="13.8" hidden="false" customHeight="false" outlineLevel="0" collapsed="false">
      <c r="B590" s="2" t="n">
        <v>588</v>
      </c>
      <c r="C590" s="2" t="n">
        <v>0.627974251467225</v>
      </c>
      <c r="D590" s="2" t="n">
        <v>0.805886476290907</v>
      </c>
      <c r="E590" s="2" t="n">
        <v>0.816460222219739</v>
      </c>
    </row>
    <row r="591" customFormat="false" ht="13.8" hidden="false" customHeight="false" outlineLevel="0" collapsed="false">
      <c r="B591" s="2" t="n">
        <v>589</v>
      </c>
      <c r="C591" s="2" t="n">
        <v>0.570930786530849</v>
      </c>
      <c r="D591" s="2" t="n">
        <v>0.738859787792654</v>
      </c>
      <c r="E591" s="2" t="n">
        <v>0.789285205765745</v>
      </c>
    </row>
    <row r="592" customFormat="false" ht="13.8" hidden="false" customHeight="false" outlineLevel="0" collapsed="false">
      <c r="B592" s="2" t="n">
        <v>590</v>
      </c>
      <c r="C592" s="2" t="n">
        <v>0.523980632769863</v>
      </c>
      <c r="D592" s="2" t="n">
        <v>0.68279673252425</v>
      </c>
      <c r="E592" s="2" t="n">
        <v>0.71096229439525</v>
      </c>
    </row>
    <row r="593" customFormat="false" ht="13.8" hidden="false" customHeight="false" outlineLevel="0" collapsed="false">
      <c r="B593" s="2" t="n">
        <v>591</v>
      </c>
      <c r="C593" s="2" t="n">
        <v>0.470104948510416</v>
      </c>
      <c r="D593" s="2" t="n">
        <v>0.616919367516026</v>
      </c>
      <c r="E593" s="2" t="n">
        <v>0.665195462550167</v>
      </c>
    </row>
    <row r="594" customFormat="false" ht="13.8" hidden="false" customHeight="false" outlineLevel="0" collapsed="false">
      <c r="B594" s="2" t="n">
        <v>592</v>
      </c>
      <c r="C594" s="2" t="n">
        <v>0.423637247452255</v>
      </c>
      <c r="D594" s="2" t="n">
        <v>0.560987179799971</v>
      </c>
      <c r="E594" s="2" t="n">
        <v>0.595521995780807</v>
      </c>
    </row>
    <row r="595" customFormat="false" ht="13.8" hidden="false" customHeight="false" outlineLevel="0" collapsed="false">
      <c r="B595" s="2" t="n">
        <v>593</v>
      </c>
      <c r="C595" s="2" t="n">
        <v>0.396021640700734</v>
      </c>
      <c r="D595" s="2" t="n">
        <v>0.4951109588132</v>
      </c>
      <c r="E595" s="2" t="n">
        <v>0.571589707227596</v>
      </c>
    </row>
    <row r="596" customFormat="false" ht="13.8" hidden="false" customHeight="false" outlineLevel="0" collapsed="false">
      <c r="B596" s="2" t="n">
        <v>594</v>
      </c>
      <c r="C596" s="2" t="n">
        <v>0.344147198994169</v>
      </c>
      <c r="D596" s="2" t="n">
        <v>0.438439341033083</v>
      </c>
      <c r="E596" s="2" t="n">
        <v>0.506639157997271</v>
      </c>
    </row>
    <row r="597" customFormat="false" ht="13.8" hidden="false" customHeight="false" outlineLevel="0" collapsed="false">
      <c r="B597" s="2" t="n">
        <v>595</v>
      </c>
      <c r="C597" s="2" t="n">
        <v>0.301125053809799</v>
      </c>
      <c r="D597" s="2" t="n">
        <v>0.373767956635811</v>
      </c>
      <c r="E597" s="2" t="n">
        <v>0.457708017531698</v>
      </c>
    </row>
    <row r="598" customFormat="false" ht="13.8" hidden="false" customHeight="false" outlineLevel="0" collapsed="false">
      <c r="B598" s="2" t="n">
        <v>596</v>
      </c>
      <c r="C598" s="2" t="n">
        <v>0.273714301809844</v>
      </c>
      <c r="D598" s="2" t="n">
        <v>0.317097552285716</v>
      </c>
      <c r="E598" s="2" t="n">
        <v>0.391018181192344</v>
      </c>
    </row>
    <row r="599" customFormat="false" ht="13.8" hidden="false" customHeight="false" outlineLevel="0" collapsed="false">
      <c r="B599" s="2" t="n">
        <v>597</v>
      </c>
      <c r="C599" s="2" t="n">
        <v>0.217026194287778</v>
      </c>
      <c r="D599" s="2" t="n">
        <v>0.252242529454479</v>
      </c>
      <c r="E599" s="2" t="n">
        <v>0.344699382121723</v>
      </c>
    </row>
    <row r="600" customFormat="false" ht="13.8" hidden="false" customHeight="false" outlineLevel="0" collapsed="false">
      <c r="B600" s="2" t="n">
        <v>598</v>
      </c>
      <c r="C600" s="2" t="n">
        <v>0.192617821420553</v>
      </c>
      <c r="D600" s="2" t="n">
        <v>0.203437466269302</v>
      </c>
      <c r="E600" s="2" t="n">
        <v>0.232060363851869</v>
      </c>
    </row>
    <row r="601" customFormat="false" ht="13.8" hidden="false" customHeight="false" outlineLevel="0" collapsed="false">
      <c r="B601" s="2" t="n">
        <v>599</v>
      </c>
      <c r="C601" s="2" t="n">
        <v>0.131656453049083</v>
      </c>
      <c r="D601" s="2" t="n">
        <v>0.152274535584246</v>
      </c>
      <c r="E601" s="2" t="n">
        <v>0.214972178473438</v>
      </c>
    </row>
    <row r="602" customFormat="false" ht="13.8" hidden="false" customHeight="false" outlineLevel="0" collapsed="false">
      <c r="B602" s="2" t="n">
        <v>600</v>
      </c>
      <c r="C602" s="2" t="n">
        <v>0.0710492695181355</v>
      </c>
      <c r="D602" s="2" t="n">
        <v>0.102994872089099</v>
      </c>
      <c r="E602" s="2" t="n">
        <v>0.116341259366989</v>
      </c>
    </row>
    <row r="603" customFormat="false" ht="13.8" hidden="false" customHeight="false" outlineLevel="0" collapsed="false">
      <c r="B603" s="2" t="n">
        <v>601</v>
      </c>
      <c r="C603" s="2" t="n">
        <v>0.0416105821006788</v>
      </c>
      <c r="D603" s="2" t="n">
        <v>0.0493020310252627</v>
      </c>
      <c r="E603" s="2" t="n">
        <v>0.110224107145047</v>
      </c>
    </row>
    <row r="604" customFormat="false" ht="13.8" hidden="false" customHeight="false" outlineLevel="0" collapsed="false">
      <c r="B604" s="2" t="n">
        <v>602</v>
      </c>
      <c r="C604" s="2" t="n">
        <v>0.0238719695331548</v>
      </c>
      <c r="D604" s="2" t="n">
        <v>0.0280570521921408</v>
      </c>
      <c r="E604" s="2" t="n">
        <v>0.0213574279750506</v>
      </c>
    </row>
    <row r="605" customFormat="false" ht="13.8" hidden="false" customHeight="false" outlineLevel="0" collapsed="false">
      <c r="B605" s="2" t="n">
        <v>603</v>
      </c>
      <c r="C605" s="2" t="n">
        <v>0</v>
      </c>
      <c r="D605" s="2" t="n">
        <v>0</v>
      </c>
      <c r="E605" s="2" t="n">
        <v>0.0456987657112896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0.00475466853950535</v>
      </c>
      <c r="E606" s="2" t="n">
        <v>5.75475860387087E-014</v>
      </c>
    </row>
    <row r="607" customFormat="false" ht="13.8" hidden="false" customHeight="false" outlineLevel="0" collapsed="false">
      <c r="B607" s="2" t="n">
        <v>605</v>
      </c>
      <c r="C607" s="2" t="n">
        <v>5.02853056059394E-010</v>
      </c>
      <c r="D607" s="2" t="n">
        <v>5.74800651520491E-017</v>
      </c>
      <c r="E607" s="2" t="n">
        <v>1.85949786968448E-015</v>
      </c>
    </row>
    <row r="608" customFormat="false" ht="13.8" hidden="false" customHeight="false" outlineLevel="0" collapsed="false">
      <c r="B608" s="2" t="n">
        <v>606</v>
      </c>
      <c r="C608" s="2" t="n">
        <v>4.30376694930601E-011</v>
      </c>
      <c r="D608" s="2" t="n">
        <v>1.9201555684939E-015</v>
      </c>
      <c r="E608" s="2" t="n">
        <v>8.20669332978222E-015</v>
      </c>
    </row>
    <row r="609" customFormat="false" ht="13.8" hidden="false" customHeight="false" outlineLevel="0" collapsed="false">
      <c r="B609" s="2" t="n">
        <v>607</v>
      </c>
      <c r="C609" s="2" t="n">
        <v>4.30372390837875E-011</v>
      </c>
      <c r="D609" s="2" t="n">
        <v>8.47048971970836E-015</v>
      </c>
      <c r="E609" s="2" t="n">
        <v>1.33430445879925E-014</v>
      </c>
    </row>
    <row r="610" customFormat="false" ht="13.8" hidden="false" customHeight="false" outlineLevel="0" collapsed="false">
      <c r="B610" s="2" t="n">
        <v>608</v>
      </c>
      <c r="C610" s="2" t="n">
        <v>4.30368087108946E-011</v>
      </c>
      <c r="D610" s="2" t="n">
        <v>1.37468611228776E-014</v>
      </c>
      <c r="E610" s="2" t="n">
        <v>1.72308598757426E-014</v>
      </c>
    </row>
    <row r="611" customFormat="false" ht="13.8" hidden="false" customHeight="false" outlineLevel="0" collapsed="false">
      <c r="B611" s="2" t="n">
        <v>609</v>
      </c>
      <c r="C611" s="2" t="n">
        <v>4.30363783380017E-011</v>
      </c>
      <c r="D611" s="2" t="n">
        <v>1.76803751633273E-014</v>
      </c>
      <c r="E611" s="2" t="n">
        <v>2.08289650195649E-014</v>
      </c>
    </row>
    <row r="612" customFormat="false" ht="13.8" hidden="false" customHeight="false" outlineLevel="0" collapsed="false">
      <c r="B612" s="2" t="n">
        <v>610</v>
      </c>
      <c r="C612" s="2" t="n">
        <v>4.30359479651088E-011</v>
      </c>
      <c r="D612" s="2" t="n">
        <v>2.12428397401583E-014</v>
      </c>
      <c r="E612" s="2" t="n">
        <v>2.41371973206963E-014</v>
      </c>
    </row>
    <row r="613" customFormat="false" ht="13.8" hidden="false" customHeight="false" outlineLevel="0" collapsed="false">
      <c r="B613" s="2" t="n">
        <v>611</v>
      </c>
      <c r="C613" s="2" t="n">
        <v>4.30355176285957E-011</v>
      </c>
      <c r="D613" s="2" t="n">
        <v>2.44264383236932E-014</v>
      </c>
      <c r="E613" s="2" t="n">
        <v>2.71557667901912E-014</v>
      </c>
    </row>
    <row r="614" customFormat="false" ht="13.8" hidden="false" customHeight="false" outlineLevel="0" collapsed="false">
      <c r="B614" s="2" t="n">
        <v>612</v>
      </c>
      <c r="C614" s="2" t="n">
        <v>4.30350872557029E-011</v>
      </c>
      <c r="D614" s="2" t="n">
        <v>2.72285628243478E-014</v>
      </c>
      <c r="E614" s="2" t="n">
        <v>2.98845955698599E-014</v>
      </c>
    </row>
    <row r="615" customFormat="false" ht="13.8" hidden="false" customHeight="false" outlineLevel="0" collapsed="false">
      <c r="B615" s="2" t="n">
        <v>613</v>
      </c>
      <c r="C615" s="2" t="n">
        <v>4.30346569191898E-011</v>
      </c>
      <c r="D615" s="2" t="n">
        <v>2.96486706656635E-014</v>
      </c>
      <c r="E615" s="2" t="n">
        <v>3.23237702030218E-014</v>
      </c>
    </row>
    <row r="616" customFormat="false" ht="13.8" hidden="false" customHeight="false" outlineLevel="0" collapsed="false">
      <c r="B616" s="2" t="n">
        <v>614</v>
      </c>
      <c r="C616" s="2" t="n">
        <v>4.30342265462969E-011</v>
      </c>
      <c r="D616" s="2" t="n">
        <v>3.16870633727047E-014</v>
      </c>
      <c r="E616" s="2" t="n">
        <v>3.44733773239464E-014</v>
      </c>
    </row>
    <row r="617" customFormat="false" ht="13.8" hidden="false" customHeight="false" outlineLevel="0" collapsed="false">
      <c r="B617" s="2" t="n">
        <v>615</v>
      </c>
      <c r="C617" s="2" t="n">
        <v>5.68776410364081E-011</v>
      </c>
      <c r="D617" s="2" t="n">
        <v>3.33452260446712E-014</v>
      </c>
      <c r="E617" s="2" t="n">
        <v>3.6333297015924E-014</v>
      </c>
    </row>
    <row r="618" customFormat="false" ht="13.8" hidden="false" customHeight="false" outlineLevel="0" collapsed="false">
      <c r="B618" s="2" t="n">
        <v>616</v>
      </c>
      <c r="C618" s="2" t="n">
        <v>4.82226057683875E-010</v>
      </c>
      <c r="D618" s="2" t="n">
        <v>3.4626430543185E-014</v>
      </c>
      <c r="E618" s="2" t="n">
        <v>3.79036144269538E-014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3.55368924487933E-014</v>
      </c>
      <c r="E619" s="2" t="n">
        <v>3.91842098224263E-014</v>
      </c>
    </row>
    <row r="620" customFormat="false" ht="13.8" hidden="false" customHeight="false" outlineLevel="0" collapsed="false">
      <c r="B620" s="2" t="n">
        <v>618</v>
      </c>
      <c r="C620" s="2" t="n">
        <v>4.48194507043809E-017</v>
      </c>
      <c r="D620" s="2" t="n">
        <v>3.61011929292479E-014</v>
      </c>
      <c r="E620" s="2" t="n">
        <v>4.01723903386976E-014</v>
      </c>
    </row>
    <row r="621" customFormat="false" ht="13.8" hidden="false" customHeight="false" outlineLevel="0" collapsed="false">
      <c r="B621" s="2" t="n">
        <v>619</v>
      </c>
      <c r="C621" s="2" t="n">
        <v>0.0127979636683203</v>
      </c>
      <c r="D621" s="2" t="n">
        <v>0.00181353489577003</v>
      </c>
      <c r="E621" s="2" t="n">
        <v>4.08644541595089E-014</v>
      </c>
    </row>
    <row r="622" customFormat="false" ht="13.8" hidden="false" customHeight="false" outlineLevel="0" collapsed="false">
      <c r="B622" s="2" t="n">
        <v>620</v>
      </c>
      <c r="C622" s="2" t="n">
        <v>0.0648447315100287</v>
      </c>
      <c r="D622" s="2" t="n">
        <v>0.0350886330228009</v>
      </c>
      <c r="E622" s="2" t="n">
        <v>4.1287316364595E-014</v>
      </c>
    </row>
    <row r="623" customFormat="false" ht="13.8" hidden="false" customHeight="false" outlineLevel="0" collapsed="false">
      <c r="B623" s="2" t="n">
        <v>621</v>
      </c>
      <c r="C623" s="2" t="n">
        <v>0.218252750335437</v>
      </c>
      <c r="D623" s="2" t="n">
        <v>0.108525851982248</v>
      </c>
      <c r="E623" s="2" t="n">
        <v>0.00963897444670433</v>
      </c>
    </row>
    <row r="624" customFormat="false" ht="13.8" hidden="false" customHeight="false" outlineLevel="0" collapsed="false">
      <c r="B624" s="2" t="n">
        <v>622</v>
      </c>
      <c r="C624" s="2" t="n">
        <v>0.325807425808119</v>
      </c>
      <c r="D624" s="2" t="n">
        <v>0.245043153864672</v>
      </c>
      <c r="E624" s="2" t="n">
        <v>0.0683507259040058</v>
      </c>
    </row>
    <row r="625" customFormat="false" ht="13.8" hidden="false" customHeight="false" outlineLevel="0" collapsed="false">
      <c r="B625" s="2" t="n">
        <v>623</v>
      </c>
      <c r="C625" s="2" t="n">
        <v>0.612355848483968</v>
      </c>
      <c r="D625" s="2" t="n">
        <v>0.505274465343046</v>
      </c>
      <c r="E625" s="2" t="n">
        <v>0.200293868166186</v>
      </c>
    </row>
    <row r="626" customFormat="false" ht="13.8" hidden="false" customHeight="false" outlineLevel="0" collapsed="false">
      <c r="B626" s="2" t="n">
        <v>624</v>
      </c>
      <c r="C626" s="2" t="n">
        <v>0.880238254636414</v>
      </c>
      <c r="D626" s="2" t="n">
        <v>0.764168019067562</v>
      </c>
      <c r="E626" s="2" t="n">
        <v>0.37691433561464</v>
      </c>
    </row>
    <row r="627" customFormat="false" ht="13.8" hidden="false" customHeight="false" outlineLevel="0" collapsed="false">
      <c r="B627" s="2" t="n">
        <v>625</v>
      </c>
      <c r="C627" s="2" t="n">
        <v>1.20873381270731</v>
      </c>
      <c r="D627" s="2" t="n">
        <v>1.03654100593702</v>
      </c>
      <c r="E627" s="2" t="n">
        <v>0.732714036993253</v>
      </c>
    </row>
    <row r="628" customFormat="false" ht="13.8" hidden="false" customHeight="false" outlineLevel="0" collapsed="false">
      <c r="B628" s="2" t="n">
        <v>626</v>
      </c>
      <c r="C628" s="2" t="n">
        <v>1.43933561221166</v>
      </c>
      <c r="D628" s="2" t="n">
        <v>1.24282991512063</v>
      </c>
      <c r="E628" s="2" t="n">
        <v>0.973398619076174</v>
      </c>
    </row>
    <row r="629" customFormat="false" ht="13.8" hidden="false" customHeight="false" outlineLevel="0" collapsed="false">
      <c r="B629" s="2" t="n">
        <v>627</v>
      </c>
      <c r="C629" s="2" t="n">
        <v>1.68596925708703</v>
      </c>
      <c r="D629" s="2" t="n">
        <v>1.45440566245918</v>
      </c>
      <c r="E629" s="2" t="n">
        <v>1.24499042306884</v>
      </c>
    </row>
    <row r="630" customFormat="false" ht="13.8" hidden="false" customHeight="false" outlineLevel="0" collapsed="false">
      <c r="B630" s="2" t="n">
        <v>628</v>
      </c>
      <c r="C630" s="2" t="n">
        <v>1.83475499201498</v>
      </c>
      <c r="D630" s="2" t="n">
        <v>1.58105849508427</v>
      </c>
      <c r="E630" s="2" t="n">
        <v>1.40618973989902</v>
      </c>
    </row>
    <row r="631" customFormat="false" ht="13.8" hidden="false" customHeight="false" outlineLevel="0" collapsed="false">
      <c r="B631" s="2" t="n">
        <v>629</v>
      </c>
      <c r="C631" s="2" t="n">
        <v>2.00363873547461</v>
      </c>
      <c r="D631" s="2" t="n">
        <v>1.72081373722506</v>
      </c>
      <c r="E631" s="2" t="n">
        <v>1.58424289849159</v>
      </c>
    </row>
    <row r="632" customFormat="false" ht="13.8" hidden="false" customHeight="false" outlineLevel="0" collapsed="false">
      <c r="B632" s="2" t="n">
        <v>630</v>
      </c>
      <c r="C632" s="2" t="n">
        <v>2.1087760915863</v>
      </c>
      <c r="D632" s="2" t="n">
        <v>1.81623304349717</v>
      </c>
      <c r="E632" s="2" t="n">
        <v>1.69402092526558</v>
      </c>
    </row>
    <row r="633" customFormat="false" ht="13.8" hidden="false" customHeight="false" outlineLevel="0" collapsed="false">
      <c r="B633" s="2" t="n">
        <v>631</v>
      </c>
      <c r="C633" s="2" t="n">
        <v>2.27736757781394</v>
      </c>
      <c r="D633" s="2" t="n">
        <v>1.96033226225998</v>
      </c>
      <c r="E633" s="2" t="n">
        <v>1.85948442797229</v>
      </c>
    </row>
    <row r="634" customFormat="false" ht="13.8" hidden="false" customHeight="false" outlineLevel="0" collapsed="false">
      <c r="B634" s="2" t="n">
        <v>632</v>
      </c>
      <c r="C634" s="2" t="n">
        <v>2.41821314461622</v>
      </c>
      <c r="D634" s="2" t="n">
        <v>2.04517108671434</v>
      </c>
      <c r="E634" s="2" t="n">
        <v>1.96433777475697</v>
      </c>
    </row>
    <row r="635" customFormat="false" ht="13.8" hidden="false" customHeight="false" outlineLevel="0" collapsed="false">
      <c r="B635" s="2" t="n">
        <v>633</v>
      </c>
      <c r="C635" s="2" t="n">
        <v>2.57199257445234</v>
      </c>
      <c r="D635" s="2" t="n">
        <v>2.19152931446421</v>
      </c>
      <c r="E635" s="2" t="n">
        <v>2.12144116672118</v>
      </c>
    </row>
    <row r="636" customFormat="false" ht="13.8" hidden="false" customHeight="false" outlineLevel="0" collapsed="false">
      <c r="B636" s="2" t="n">
        <v>634</v>
      </c>
      <c r="C636" s="2" t="n">
        <v>2.6501185618975</v>
      </c>
      <c r="D636" s="2" t="n">
        <v>2.28538298847246</v>
      </c>
      <c r="E636" s="2" t="n">
        <v>2.2078906014985</v>
      </c>
    </row>
    <row r="637" customFormat="false" ht="13.8" hidden="false" customHeight="false" outlineLevel="0" collapsed="false">
      <c r="B637" s="2" t="n">
        <v>635</v>
      </c>
      <c r="C637" s="2" t="n">
        <v>2.77259160848613</v>
      </c>
      <c r="D637" s="2" t="n">
        <v>2.35005722878463</v>
      </c>
      <c r="E637" s="2" t="n">
        <v>2.33798716062849</v>
      </c>
    </row>
    <row r="638" customFormat="false" ht="13.8" hidden="false" customHeight="false" outlineLevel="0" collapsed="false">
      <c r="B638" s="2" t="n">
        <v>636</v>
      </c>
      <c r="C638" s="2" t="n">
        <v>2.82241149574764</v>
      </c>
      <c r="D638" s="2" t="n">
        <v>2.43445225219505</v>
      </c>
      <c r="E638" s="2" t="n">
        <v>2.40673013763992</v>
      </c>
    </row>
    <row r="639" customFormat="false" ht="13.8" hidden="false" customHeight="false" outlineLevel="0" collapsed="false">
      <c r="B639" s="2" t="n">
        <v>637</v>
      </c>
      <c r="C639" s="2" t="n">
        <v>2.91657862021361</v>
      </c>
      <c r="D639" s="2" t="n">
        <v>2.5002429214959</v>
      </c>
      <c r="E639" s="2" t="n">
        <v>2.49542004106861</v>
      </c>
    </row>
    <row r="640" customFormat="false" ht="13.8" hidden="false" customHeight="false" outlineLevel="0" collapsed="false">
      <c r="B640" s="2" t="n">
        <v>638</v>
      </c>
      <c r="C640" s="2" t="n">
        <v>2.94420155556223</v>
      </c>
      <c r="D640" s="2" t="n">
        <v>2.5131889587317</v>
      </c>
      <c r="E640" s="2" t="n">
        <v>2.52120510519354</v>
      </c>
    </row>
    <row r="641" customFormat="false" ht="13.8" hidden="false" customHeight="false" outlineLevel="0" collapsed="false">
      <c r="B641" s="2" t="n">
        <v>639</v>
      </c>
      <c r="C641" s="2" t="n">
        <v>2.96333099723539</v>
      </c>
      <c r="D641" s="2" t="n">
        <v>2.51424089234879</v>
      </c>
      <c r="E641" s="2" t="n">
        <v>2.52473594406308</v>
      </c>
    </row>
    <row r="642" customFormat="false" ht="13.8" hidden="false" customHeight="false" outlineLevel="0" collapsed="false">
      <c r="B642" s="2" t="n">
        <v>640</v>
      </c>
      <c r="C642" s="2" t="n">
        <v>2.9253577234842</v>
      </c>
      <c r="D642" s="2" t="n">
        <v>2.46475043061681</v>
      </c>
      <c r="E642" s="2" t="n">
        <v>2.50764540474791</v>
      </c>
    </row>
    <row r="643" customFormat="false" ht="13.8" hidden="false" customHeight="false" outlineLevel="0" collapsed="false">
      <c r="B643" s="2" t="n">
        <v>641</v>
      </c>
      <c r="C643" s="2" t="n">
        <v>2.88356602397672</v>
      </c>
      <c r="D643" s="2" t="n">
        <v>2.43668765618656</v>
      </c>
      <c r="E643" s="2" t="n">
        <v>2.47493252102364</v>
      </c>
    </row>
    <row r="644" customFormat="false" ht="13.8" hidden="false" customHeight="false" outlineLevel="0" collapsed="false">
      <c r="B644" s="2" t="n">
        <v>642</v>
      </c>
      <c r="C644" s="2" t="n">
        <v>2.86547621850214</v>
      </c>
      <c r="D644" s="2" t="n">
        <v>2.35997742494764</v>
      </c>
      <c r="E644" s="2" t="n">
        <v>2.39960782097593</v>
      </c>
    </row>
    <row r="645" customFormat="false" ht="13.8" hidden="false" customHeight="false" outlineLevel="0" collapsed="false">
      <c r="B645" s="2" t="n">
        <v>643</v>
      </c>
      <c r="C645" s="2" t="n">
        <v>2.79034758856002</v>
      </c>
      <c r="D645" s="2" t="n">
        <v>2.31434255670795</v>
      </c>
      <c r="E645" s="2" t="n">
        <v>2.33463480479702</v>
      </c>
    </row>
    <row r="646" customFormat="false" ht="13.8" hidden="false" customHeight="false" outlineLevel="0" collapsed="false">
      <c r="B646" s="2" t="n">
        <v>644</v>
      </c>
      <c r="C646" s="2" t="n">
        <v>2.74188411194603</v>
      </c>
      <c r="D646" s="2" t="n">
        <v>2.2406160740472</v>
      </c>
      <c r="E646" s="2" t="n">
        <v>2.28334675785895</v>
      </c>
    </row>
    <row r="647" customFormat="false" ht="13.8" hidden="false" customHeight="false" outlineLevel="0" collapsed="false">
      <c r="B647" s="2" t="n">
        <v>645</v>
      </c>
      <c r="C647" s="2" t="n">
        <v>2.65712287386048</v>
      </c>
      <c r="D647" s="2" t="n">
        <v>2.19055749862228</v>
      </c>
      <c r="E647" s="2" t="n">
        <v>2.20481732108982</v>
      </c>
    </row>
    <row r="648" customFormat="false" ht="13.8" hidden="false" customHeight="false" outlineLevel="0" collapsed="false">
      <c r="B648" s="2" t="n">
        <v>646</v>
      </c>
      <c r="C648" s="2" t="n">
        <v>2.59701817430952</v>
      </c>
      <c r="D648" s="2" t="n">
        <v>2.09946674850657</v>
      </c>
      <c r="E648" s="2" t="n">
        <v>2.14656751025525</v>
      </c>
    </row>
    <row r="649" customFormat="false" ht="13.8" hidden="false" customHeight="false" outlineLevel="0" collapsed="false">
      <c r="B649" s="2" t="n">
        <v>647</v>
      </c>
      <c r="C649" s="2" t="n">
        <v>2.50712472969074</v>
      </c>
      <c r="D649" s="2" t="n">
        <v>2.08188099328106</v>
      </c>
      <c r="E649" s="2" t="n">
        <v>2.09418978922566</v>
      </c>
    </row>
    <row r="650" customFormat="false" ht="13.8" hidden="false" customHeight="false" outlineLevel="0" collapsed="false">
      <c r="B650" s="2" t="n">
        <v>648</v>
      </c>
      <c r="C650" s="2" t="n">
        <v>2.43309163418789</v>
      </c>
      <c r="D650" s="2" t="n">
        <v>2.00937416456249</v>
      </c>
      <c r="E650" s="2" t="n">
        <v>2.01099926594681</v>
      </c>
    </row>
    <row r="651" customFormat="false" ht="13.8" hidden="false" customHeight="false" outlineLevel="0" collapsed="false">
      <c r="B651" s="2" t="n">
        <v>649</v>
      </c>
      <c r="C651" s="2" t="n">
        <v>2.32754769216044</v>
      </c>
      <c r="D651" s="2" t="n">
        <v>1.92111314489491</v>
      </c>
      <c r="E651" s="2" t="n">
        <v>1.93501465595415</v>
      </c>
    </row>
    <row r="652" customFormat="false" ht="13.8" hidden="false" customHeight="false" outlineLevel="0" collapsed="false">
      <c r="B652" s="2" t="n">
        <v>650</v>
      </c>
      <c r="C652" s="2" t="n">
        <v>2.24478223149833</v>
      </c>
      <c r="D652" s="2" t="n">
        <v>1.85490813746717</v>
      </c>
      <c r="E652" s="2" t="n">
        <v>1.84340026877055</v>
      </c>
    </row>
    <row r="653" customFormat="false" ht="13.8" hidden="false" customHeight="false" outlineLevel="0" collapsed="false">
      <c r="B653" s="2" t="n">
        <v>651</v>
      </c>
      <c r="C653" s="2" t="n">
        <v>2.12514720960194</v>
      </c>
      <c r="D653" s="2" t="n">
        <v>1.78735177357098</v>
      </c>
      <c r="E653" s="2" t="n">
        <v>1.81310033476786</v>
      </c>
    </row>
    <row r="654" customFormat="false" ht="13.8" hidden="false" customHeight="false" outlineLevel="0" collapsed="false">
      <c r="B654" s="2" t="n">
        <v>652</v>
      </c>
      <c r="C654" s="2" t="n">
        <v>2.0385492173891</v>
      </c>
      <c r="D654" s="2" t="n">
        <v>1.70285082597917</v>
      </c>
      <c r="E654" s="2" t="n">
        <v>1.68548616672747</v>
      </c>
    </row>
    <row r="655" customFormat="false" ht="13.8" hidden="false" customHeight="false" outlineLevel="0" collapsed="false">
      <c r="B655" s="2" t="n">
        <v>653</v>
      </c>
      <c r="C655" s="2" t="n">
        <v>1.94669196152656</v>
      </c>
      <c r="D655" s="2" t="n">
        <v>1.60222090858202</v>
      </c>
      <c r="E655" s="2" t="n">
        <v>1.60026116371765</v>
      </c>
    </row>
    <row r="656" customFormat="false" ht="13.8" hidden="false" customHeight="false" outlineLevel="0" collapsed="false">
      <c r="B656" s="2" t="n">
        <v>654</v>
      </c>
      <c r="C656" s="2" t="n">
        <v>1.82229886497731</v>
      </c>
      <c r="D656" s="2" t="n">
        <v>1.47494360859516</v>
      </c>
      <c r="E656" s="2" t="n">
        <v>1.48833356851342</v>
      </c>
    </row>
    <row r="657" customFormat="false" ht="13.8" hidden="false" customHeight="false" outlineLevel="0" collapsed="false">
      <c r="B657" s="2" t="n">
        <v>655</v>
      </c>
      <c r="C657" s="2" t="n">
        <v>1.6916111790257</v>
      </c>
      <c r="D657" s="2" t="n">
        <v>1.38350009989981</v>
      </c>
      <c r="E657" s="2" t="n">
        <v>1.36198111110365</v>
      </c>
    </row>
    <row r="658" customFormat="false" ht="13.8" hidden="false" customHeight="false" outlineLevel="0" collapsed="false">
      <c r="B658" s="2" t="n">
        <v>656</v>
      </c>
      <c r="C658" s="2" t="n">
        <v>1.55464620735835</v>
      </c>
      <c r="D658" s="2" t="n">
        <v>1.26502057971362</v>
      </c>
      <c r="E658" s="2" t="n">
        <v>1.26098221351476</v>
      </c>
    </row>
    <row r="659" customFormat="false" ht="13.8" hidden="false" customHeight="false" outlineLevel="0" collapsed="false">
      <c r="B659" s="2" t="n">
        <v>657</v>
      </c>
      <c r="C659" s="2" t="n">
        <v>1.44984884608146</v>
      </c>
      <c r="D659" s="2" t="n">
        <v>1.17370913321153</v>
      </c>
      <c r="E659" s="2" t="n">
        <v>1.1685948814704</v>
      </c>
    </row>
    <row r="660" customFormat="false" ht="13.8" hidden="false" customHeight="false" outlineLevel="0" collapsed="false">
      <c r="B660" s="2" t="n">
        <v>658</v>
      </c>
      <c r="C660" s="2" t="n">
        <v>1.31938603277819</v>
      </c>
      <c r="D660" s="2" t="n">
        <v>1.12049047019427</v>
      </c>
      <c r="E660" s="2" t="n">
        <v>1.08457923255862</v>
      </c>
    </row>
    <row r="661" customFormat="false" ht="13.8" hidden="false" customHeight="false" outlineLevel="0" collapsed="false">
      <c r="B661" s="2" t="n">
        <v>659</v>
      </c>
      <c r="C661" s="2" t="n">
        <v>1.22012813521416</v>
      </c>
      <c r="D661" s="2" t="n">
        <v>1.00779061714142</v>
      </c>
      <c r="E661" s="2" t="n">
        <v>1.00884172009963</v>
      </c>
    </row>
    <row r="662" customFormat="false" ht="13.8" hidden="false" customHeight="false" outlineLevel="0" collapsed="false">
      <c r="B662" s="2" t="n">
        <v>660</v>
      </c>
      <c r="C662" s="2" t="n">
        <v>1.09648237837725</v>
      </c>
      <c r="D662" s="2" t="n">
        <v>0.948517483679693</v>
      </c>
      <c r="E662" s="2" t="n">
        <v>0.942401131682422</v>
      </c>
    </row>
    <row r="663" customFormat="false" ht="13.8" hidden="false" customHeight="false" outlineLevel="0" collapsed="false">
      <c r="B663" s="2" t="n">
        <v>661</v>
      </c>
      <c r="C663" s="2" t="n">
        <v>0.976559969109019</v>
      </c>
      <c r="D663" s="2" t="n">
        <v>0.827336961467819</v>
      </c>
      <c r="E663" s="2" t="n">
        <v>0.819387133597028</v>
      </c>
    </row>
    <row r="664" customFormat="false" ht="13.8" hidden="false" customHeight="false" outlineLevel="0" collapsed="false">
      <c r="B664" s="2" t="n">
        <v>662</v>
      </c>
      <c r="C664" s="2" t="n">
        <v>0.835842277583402</v>
      </c>
      <c r="D664" s="2" t="n">
        <v>0.743788076987092</v>
      </c>
      <c r="E664" s="2" t="n">
        <v>0.775207087873837</v>
      </c>
    </row>
    <row r="665" customFormat="false" ht="13.8" hidden="false" customHeight="false" outlineLevel="0" collapsed="false">
      <c r="B665" s="2" t="n">
        <v>663</v>
      </c>
      <c r="C665" s="2" t="n">
        <v>0.750865882123588</v>
      </c>
      <c r="D665" s="2" t="n">
        <v>0.609295305772989</v>
      </c>
      <c r="E665" s="2" t="n">
        <v>0.649323798765918</v>
      </c>
    </row>
    <row r="666" customFormat="false" ht="13.8" hidden="false" customHeight="false" outlineLevel="0" collapsed="false">
      <c r="B666" s="2" t="n">
        <v>664</v>
      </c>
      <c r="C666" s="2" t="n">
        <v>0.636742391983285</v>
      </c>
      <c r="D666" s="2" t="n">
        <v>0.547914953560671</v>
      </c>
      <c r="E666" s="2" t="n">
        <v>0.574626842564964</v>
      </c>
    </row>
    <row r="667" customFormat="false" ht="13.8" hidden="false" customHeight="false" outlineLevel="0" collapsed="false">
      <c r="B667" s="2" t="n">
        <v>665</v>
      </c>
      <c r="C667" s="2" t="n">
        <v>0.562045746781587</v>
      </c>
      <c r="D667" s="2" t="n">
        <v>0.413350178114838</v>
      </c>
      <c r="E667" s="2" t="n">
        <v>0.468690244444683</v>
      </c>
    </row>
    <row r="668" customFormat="false" ht="13.8" hidden="false" customHeight="false" outlineLevel="0" collapsed="false">
      <c r="B668" s="2" t="n">
        <v>666</v>
      </c>
      <c r="C668" s="2" t="n">
        <v>0.456090552250044</v>
      </c>
      <c r="D668" s="2" t="n">
        <v>0.358175581650094</v>
      </c>
      <c r="E668" s="2" t="n">
        <v>0.383087909394087</v>
      </c>
    </row>
    <row r="669" customFormat="false" ht="13.8" hidden="false" customHeight="false" outlineLevel="0" collapsed="false">
      <c r="B669" s="2" t="n">
        <v>667</v>
      </c>
      <c r="C669" s="2" t="n">
        <v>0.369063065418595</v>
      </c>
      <c r="D669" s="2" t="n">
        <v>0.244056666560943</v>
      </c>
      <c r="E669" s="2" t="n">
        <v>0.290801263700175</v>
      </c>
    </row>
    <row r="670" customFormat="false" ht="13.8" hidden="false" customHeight="false" outlineLevel="0" collapsed="false">
      <c r="B670" s="2" t="n">
        <v>668</v>
      </c>
      <c r="C670" s="2" t="n">
        <v>0.251758967380533</v>
      </c>
      <c r="D670" s="2" t="n">
        <v>0.193476170438721</v>
      </c>
      <c r="E670" s="2" t="n">
        <v>0.203460892724572</v>
      </c>
    </row>
    <row r="671" customFormat="false" ht="13.8" hidden="false" customHeight="false" outlineLevel="0" collapsed="false">
      <c r="B671" s="2" t="n">
        <v>669</v>
      </c>
      <c r="C671" s="2" t="n">
        <v>0.179529634976044</v>
      </c>
      <c r="D671" s="2" t="n">
        <v>0.102915754195534</v>
      </c>
      <c r="E671" s="2" t="n">
        <v>0.118973209967494</v>
      </c>
    </row>
    <row r="672" customFormat="false" ht="13.8" hidden="false" customHeight="false" outlineLevel="0" collapsed="false">
      <c r="B672" s="2" t="n">
        <v>670</v>
      </c>
      <c r="C672" s="2" t="n">
        <v>0.0839679693093233</v>
      </c>
      <c r="D672" s="2" t="n">
        <v>0.0410223176305844</v>
      </c>
      <c r="E672" s="2" t="n">
        <v>0.0409124276427982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2.90058080251009</v>
      </c>
      <c r="D674" s="2" t="n">
        <v>3.17550214221791</v>
      </c>
      <c r="E674" s="2" t="n">
        <v>3.05823956745611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1" sqref="B13:E16 C2"/>
    </sheetView>
  </sheetViews>
  <sheetFormatPr defaultColWidth="8.54296875" defaultRowHeight="13.8" zeroHeight="false" outlineLevelRow="0" outlineLevelCol="0"/>
  <cols>
    <col collapsed="false" customWidth="true" hidden="false" outlineLevel="0" max="3" min="3" style="5" width="8.85"/>
  </cols>
  <sheetData>
    <row r="2" customFormat="false" ht="13.8" hidden="false" customHeight="false" outlineLevel="0" collapsed="false">
      <c r="B2" s="2" t="n">
        <v>1</v>
      </c>
      <c r="C2" s="5" t="n">
        <v>0</v>
      </c>
    </row>
    <row r="3" customFormat="false" ht="13.8" hidden="false" customHeight="false" outlineLevel="0" collapsed="false">
      <c r="B3" s="2" t="n">
        <v>2</v>
      </c>
      <c r="C3" s="5" t="n">
        <v>0</v>
      </c>
    </row>
    <row r="4" customFormat="false" ht="13.8" hidden="false" customHeight="false" outlineLevel="0" collapsed="false">
      <c r="B4" s="2" t="n">
        <v>3</v>
      </c>
      <c r="C4" s="5" t="n">
        <v>0</v>
      </c>
    </row>
    <row r="5" customFormat="false" ht="13.8" hidden="false" customHeight="false" outlineLevel="0" collapsed="false">
      <c r="B5" s="2" t="n">
        <v>4</v>
      </c>
      <c r="C5" s="5" t="n">
        <v>0</v>
      </c>
    </row>
    <row r="6" customFormat="false" ht="13.8" hidden="false" customHeight="false" outlineLevel="0" collapsed="false">
      <c r="B6" s="2" t="n">
        <v>5</v>
      </c>
      <c r="C6" s="5" t="n">
        <v>0</v>
      </c>
    </row>
    <row r="7" customFormat="false" ht="13.8" hidden="false" customHeight="false" outlineLevel="0" collapsed="false">
      <c r="B7" s="2" t="n">
        <v>6</v>
      </c>
      <c r="C7" s="5" t="n">
        <v>0</v>
      </c>
    </row>
    <row r="8" customFormat="false" ht="13.8" hidden="false" customHeight="false" outlineLevel="0" collapsed="false">
      <c r="B8" s="2" t="n">
        <v>7</v>
      </c>
      <c r="C8" s="5" t="n">
        <v>0</v>
      </c>
    </row>
    <row r="9" customFormat="false" ht="13.8" hidden="false" customHeight="false" outlineLevel="0" collapsed="false">
      <c r="B9" s="2" t="n">
        <v>8</v>
      </c>
      <c r="C9" s="5" t="n">
        <v>0</v>
      </c>
    </row>
    <row r="10" customFormat="false" ht="13.8" hidden="false" customHeight="false" outlineLevel="0" collapsed="false">
      <c r="B10" s="2" t="n">
        <v>9</v>
      </c>
      <c r="C10" s="5" t="n">
        <v>0</v>
      </c>
    </row>
    <row r="11" customFormat="false" ht="13.8" hidden="false" customHeight="false" outlineLevel="0" collapsed="false">
      <c r="B11" s="2" t="n">
        <v>10</v>
      </c>
      <c r="C11" s="5" t="n">
        <v>0</v>
      </c>
    </row>
    <row r="12" customFormat="false" ht="13.8" hidden="false" customHeight="false" outlineLevel="0" collapsed="false">
      <c r="B12" s="2" t="n">
        <v>11</v>
      </c>
      <c r="C12" s="5" t="n">
        <v>0</v>
      </c>
    </row>
    <row r="13" customFormat="false" ht="13.8" hidden="false" customHeight="false" outlineLevel="0" collapsed="false">
      <c r="B13" s="2" t="n">
        <v>12</v>
      </c>
      <c r="C13" s="5" t="n">
        <v>0</v>
      </c>
    </row>
    <row r="14" customFormat="false" ht="13.8" hidden="false" customHeight="false" outlineLevel="0" collapsed="false">
      <c r="B14" s="2" t="n">
        <v>13</v>
      </c>
      <c r="C14" s="5" t="n">
        <v>0</v>
      </c>
    </row>
    <row r="15" customFormat="false" ht="13.8" hidden="false" customHeight="false" outlineLevel="0" collapsed="false">
      <c r="B15" s="2" t="n">
        <v>14</v>
      </c>
      <c r="C15" s="5" t="n">
        <v>0</v>
      </c>
    </row>
    <row r="16" customFormat="false" ht="13.8" hidden="false" customHeight="false" outlineLevel="0" collapsed="false">
      <c r="B16" s="2" t="n">
        <v>15</v>
      </c>
      <c r="C16" s="5" t="n">
        <v>0</v>
      </c>
    </row>
    <row r="17" customFormat="false" ht="13.8" hidden="false" customHeight="false" outlineLevel="0" collapsed="false">
      <c r="B17" s="2" t="n">
        <v>16</v>
      </c>
      <c r="C17" s="5" t="n">
        <v>0</v>
      </c>
    </row>
    <row r="18" customFormat="false" ht="13.8" hidden="false" customHeight="false" outlineLevel="0" collapsed="false">
      <c r="B18" s="2" t="n">
        <v>17</v>
      </c>
      <c r="C18" s="5" t="n">
        <v>0</v>
      </c>
    </row>
    <row r="19" customFormat="false" ht="13.8" hidden="false" customHeight="false" outlineLevel="0" collapsed="false">
      <c r="B19" s="2" t="n">
        <v>18</v>
      </c>
      <c r="C19" s="5" t="n">
        <v>0</v>
      </c>
    </row>
    <row r="20" customFormat="false" ht="13.8" hidden="false" customHeight="false" outlineLevel="0" collapsed="false">
      <c r="B20" s="2" t="n">
        <v>19</v>
      </c>
      <c r="C20" s="5" t="n">
        <v>0</v>
      </c>
    </row>
    <row r="21" customFormat="false" ht="13.8" hidden="false" customHeight="false" outlineLevel="0" collapsed="false">
      <c r="B21" s="2" t="n">
        <v>20</v>
      </c>
      <c r="C21" s="5" t="n">
        <v>0</v>
      </c>
    </row>
    <row r="22" customFormat="false" ht="13.8" hidden="false" customHeight="false" outlineLevel="0" collapsed="false">
      <c r="B22" s="2" t="n">
        <v>21</v>
      </c>
      <c r="C22" s="5" t="n">
        <v>0</v>
      </c>
    </row>
    <row r="23" customFormat="false" ht="13.8" hidden="false" customHeight="false" outlineLevel="0" collapsed="false">
      <c r="B23" s="2" t="n">
        <v>22</v>
      </c>
      <c r="C23" s="5" t="n">
        <v>0</v>
      </c>
    </row>
    <row r="24" customFormat="false" ht="13.8" hidden="false" customHeight="false" outlineLevel="0" collapsed="false">
      <c r="B24" s="2" t="n">
        <v>23</v>
      </c>
      <c r="C24" s="5" t="n">
        <v>0</v>
      </c>
    </row>
    <row r="25" customFormat="false" ht="13.8" hidden="false" customHeight="false" outlineLevel="0" collapsed="false">
      <c r="B25" s="2" t="n">
        <v>24</v>
      </c>
      <c r="C25" s="5" t="n">
        <v>0</v>
      </c>
    </row>
    <row r="26" customFormat="false" ht="13.8" hidden="false" customHeight="false" outlineLevel="0" collapsed="false">
      <c r="B26" s="2" t="n">
        <v>25</v>
      </c>
      <c r="C26" s="5" t="n">
        <v>0</v>
      </c>
    </row>
    <row r="27" customFormat="false" ht="13.8" hidden="false" customHeight="false" outlineLevel="0" collapsed="false">
      <c r="B27" s="2" t="n">
        <v>26</v>
      </c>
      <c r="C27" s="5" t="n">
        <v>0</v>
      </c>
    </row>
    <row r="28" customFormat="false" ht="13.8" hidden="false" customHeight="false" outlineLevel="0" collapsed="false">
      <c r="B28" s="2" t="n">
        <v>27</v>
      </c>
      <c r="C28" s="5" t="n">
        <v>0</v>
      </c>
    </row>
    <row r="29" customFormat="false" ht="13.8" hidden="false" customHeight="false" outlineLevel="0" collapsed="false">
      <c r="B29" s="2" t="n">
        <v>28</v>
      </c>
      <c r="C29" s="5" t="n">
        <v>0</v>
      </c>
    </row>
    <row r="30" customFormat="false" ht="13.8" hidden="false" customHeight="false" outlineLevel="0" collapsed="false">
      <c r="B30" s="2" t="n">
        <v>29</v>
      </c>
      <c r="C30" s="5" t="n">
        <v>0</v>
      </c>
    </row>
    <row r="31" customFormat="false" ht="13.8" hidden="false" customHeight="false" outlineLevel="0" collapsed="false">
      <c r="B31" s="2" t="n">
        <v>30</v>
      </c>
      <c r="C31" s="5" t="n">
        <v>0</v>
      </c>
    </row>
    <row r="32" customFormat="false" ht="13.8" hidden="false" customHeight="false" outlineLevel="0" collapsed="false">
      <c r="B32" s="2" t="n">
        <v>31</v>
      </c>
      <c r="C32" s="5" t="n">
        <v>0</v>
      </c>
    </row>
    <row r="33" customFormat="false" ht="13.8" hidden="false" customHeight="false" outlineLevel="0" collapsed="false">
      <c r="B33" s="2" t="n">
        <v>32</v>
      </c>
      <c r="C33" s="5" t="n">
        <v>0</v>
      </c>
    </row>
    <row r="34" customFormat="false" ht="13.8" hidden="false" customHeight="false" outlineLevel="0" collapsed="false">
      <c r="B34" s="2" t="n">
        <v>33</v>
      </c>
      <c r="C34" s="5" t="n">
        <v>0</v>
      </c>
    </row>
    <row r="35" customFormat="false" ht="13.8" hidden="false" customHeight="false" outlineLevel="0" collapsed="false">
      <c r="B35" s="2" t="n">
        <v>34</v>
      </c>
      <c r="C35" s="5" t="n">
        <v>0</v>
      </c>
    </row>
    <row r="36" customFormat="false" ht="13.8" hidden="false" customHeight="false" outlineLevel="0" collapsed="false">
      <c r="B36" s="2" t="n">
        <v>35</v>
      </c>
      <c r="C36" s="5" t="n">
        <v>0</v>
      </c>
    </row>
    <row r="37" customFormat="false" ht="13.8" hidden="false" customHeight="false" outlineLevel="0" collapsed="false">
      <c r="B37" s="2" t="n">
        <v>36</v>
      </c>
      <c r="C37" s="5" t="n">
        <v>0</v>
      </c>
    </row>
    <row r="38" customFormat="false" ht="13.8" hidden="false" customHeight="false" outlineLevel="0" collapsed="false">
      <c r="B38" s="2" t="n">
        <v>37</v>
      </c>
      <c r="C38" s="5" t="n">
        <v>0</v>
      </c>
    </row>
    <row r="39" customFormat="false" ht="13.8" hidden="false" customHeight="false" outlineLevel="0" collapsed="false">
      <c r="B39" s="2" t="n">
        <v>38</v>
      </c>
      <c r="C39" s="5" t="n">
        <v>0</v>
      </c>
    </row>
    <row r="40" customFormat="false" ht="13.8" hidden="false" customHeight="false" outlineLevel="0" collapsed="false">
      <c r="B40" s="2" t="n">
        <v>39</v>
      </c>
      <c r="C40" s="5" t="n">
        <v>0</v>
      </c>
    </row>
    <row r="41" customFormat="false" ht="13.8" hidden="false" customHeight="false" outlineLevel="0" collapsed="false">
      <c r="B41" s="2" t="n">
        <v>40</v>
      </c>
      <c r="C41" s="5" t="n">
        <v>0</v>
      </c>
    </row>
    <row r="42" customFormat="false" ht="13.8" hidden="false" customHeight="false" outlineLevel="0" collapsed="false">
      <c r="B42" s="2" t="n">
        <v>41</v>
      </c>
      <c r="C42" s="5" t="n">
        <v>0</v>
      </c>
    </row>
    <row r="43" customFormat="false" ht="13.8" hidden="false" customHeight="false" outlineLevel="0" collapsed="false">
      <c r="B43" s="2" t="n">
        <v>42</v>
      </c>
      <c r="C43" s="5" t="n">
        <v>0</v>
      </c>
    </row>
    <row r="44" customFormat="false" ht="13.8" hidden="false" customHeight="false" outlineLevel="0" collapsed="false">
      <c r="B44" s="2" t="n">
        <v>43</v>
      </c>
      <c r="C44" s="5" t="n">
        <v>0</v>
      </c>
    </row>
    <row r="45" customFormat="false" ht="13.8" hidden="false" customHeight="false" outlineLevel="0" collapsed="false">
      <c r="B45" s="2" t="n">
        <v>44</v>
      </c>
      <c r="C45" s="5" t="n">
        <v>0</v>
      </c>
    </row>
    <row r="46" customFormat="false" ht="13.8" hidden="false" customHeight="false" outlineLevel="0" collapsed="false">
      <c r="B46" s="2" t="n">
        <v>45</v>
      </c>
      <c r="C46" s="5" t="n">
        <v>0</v>
      </c>
    </row>
    <row r="47" customFormat="false" ht="13.8" hidden="false" customHeight="false" outlineLevel="0" collapsed="false">
      <c r="B47" s="2" t="n">
        <v>46</v>
      </c>
      <c r="C47" s="5" t="n">
        <v>0</v>
      </c>
    </row>
    <row r="48" customFormat="false" ht="13.8" hidden="false" customHeight="false" outlineLevel="0" collapsed="false">
      <c r="B48" s="2" t="n">
        <v>47</v>
      </c>
      <c r="C48" s="5" t="n">
        <v>0</v>
      </c>
    </row>
    <row r="49" customFormat="false" ht="13.8" hidden="false" customHeight="false" outlineLevel="0" collapsed="false">
      <c r="B49" s="2" t="n">
        <v>48</v>
      </c>
      <c r="C49" s="5" t="n">
        <v>0</v>
      </c>
    </row>
    <row r="50" customFormat="false" ht="13.8" hidden="false" customHeight="false" outlineLevel="0" collapsed="false">
      <c r="B50" s="2" t="n">
        <v>49</v>
      </c>
      <c r="C50" s="5" t="n">
        <v>0</v>
      </c>
    </row>
    <row r="51" customFormat="false" ht="13.8" hidden="false" customHeight="false" outlineLevel="0" collapsed="false">
      <c r="B51" s="2" t="n">
        <v>50</v>
      </c>
      <c r="C51" s="5" t="n">
        <v>0</v>
      </c>
    </row>
    <row r="52" customFormat="false" ht="13.8" hidden="false" customHeight="false" outlineLevel="0" collapsed="false">
      <c r="B52" s="2" t="n">
        <v>51</v>
      </c>
      <c r="C52" s="5" t="n">
        <v>0</v>
      </c>
    </row>
    <row r="53" customFormat="false" ht="13.8" hidden="false" customHeight="false" outlineLevel="0" collapsed="false">
      <c r="B53" s="2" t="n">
        <v>52</v>
      </c>
      <c r="C53" s="5" t="n">
        <v>0</v>
      </c>
    </row>
    <row r="54" customFormat="false" ht="13.8" hidden="false" customHeight="false" outlineLevel="0" collapsed="false">
      <c r="B54" s="2" t="n">
        <v>53</v>
      </c>
      <c r="C54" s="5" t="n">
        <v>0</v>
      </c>
    </row>
    <row r="55" customFormat="false" ht="13.8" hidden="false" customHeight="false" outlineLevel="0" collapsed="false">
      <c r="B55" s="2" t="n">
        <v>54</v>
      </c>
      <c r="C55" s="5" t="n">
        <v>0</v>
      </c>
    </row>
    <row r="56" customFormat="false" ht="13.8" hidden="false" customHeight="false" outlineLevel="0" collapsed="false">
      <c r="B56" s="2" t="n">
        <v>55</v>
      </c>
      <c r="C56" s="5" t="n">
        <v>0</v>
      </c>
    </row>
    <row r="57" customFormat="false" ht="13.8" hidden="false" customHeight="false" outlineLevel="0" collapsed="false">
      <c r="B57" s="2" t="n">
        <v>56</v>
      </c>
      <c r="C57" s="5" t="n">
        <v>0</v>
      </c>
    </row>
    <row r="58" customFormat="false" ht="13.8" hidden="false" customHeight="false" outlineLevel="0" collapsed="false">
      <c r="B58" s="2" t="n">
        <v>57</v>
      </c>
      <c r="C58" s="5" t="n">
        <v>0</v>
      </c>
    </row>
    <row r="59" customFormat="false" ht="13.8" hidden="false" customHeight="false" outlineLevel="0" collapsed="false">
      <c r="B59" s="2" t="n">
        <v>58</v>
      </c>
      <c r="C59" s="5" t="n">
        <v>0</v>
      </c>
    </row>
    <row r="60" customFormat="false" ht="13.8" hidden="false" customHeight="false" outlineLevel="0" collapsed="false">
      <c r="B60" s="2" t="n">
        <v>59</v>
      </c>
      <c r="C60" s="5" t="n">
        <v>0</v>
      </c>
    </row>
    <row r="61" customFormat="false" ht="13.8" hidden="false" customHeight="false" outlineLevel="0" collapsed="false">
      <c r="B61" s="2" t="n">
        <v>60</v>
      </c>
      <c r="C61" s="5" t="n">
        <v>0</v>
      </c>
    </row>
    <row r="62" customFormat="false" ht="13.8" hidden="false" customHeight="false" outlineLevel="0" collapsed="false">
      <c r="B62" s="2" t="n">
        <v>61</v>
      </c>
      <c r="C62" s="5" t="n">
        <v>0</v>
      </c>
    </row>
    <row r="63" customFormat="false" ht="13.8" hidden="false" customHeight="false" outlineLevel="0" collapsed="false">
      <c r="B63" s="2" t="n">
        <v>62</v>
      </c>
      <c r="C63" s="5" t="n">
        <v>0</v>
      </c>
    </row>
    <row r="64" customFormat="false" ht="13.8" hidden="false" customHeight="false" outlineLevel="0" collapsed="false">
      <c r="B64" s="2" t="n">
        <v>63</v>
      </c>
      <c r="C64" s="5" t="n">
        <v>0</v>
      </c>
    </row>
    <row r="65" customFormat="false" ht="13.8" hidden="false" customHeight="false" outlineLevel="0" collapsed="false">
      <c r="B65" s="2" t="n">
        <v>64</v>
      </c>
      <c r="C65" s="5" t="n">
        <v>0</v>
      </c>
    </row>
    <row r="66" customFormat="false" ht="13.8" hidden="false" customHeight="false" outlineLevel="0" collapsed="false">
      <c r="B66" s="2" t="n">
        <v>65</v>
      </c>
      <c r="C66" s="5" t="n">
        <v>0</v>
      </c>
    </row>
    <row r="67" customFormat="false" ht="13.8" hidden="false" customHeight="false" outlineLevel="0" collapsed="false">
      <c r="B67" s="2" t="n">
        <v>66</v>
      </c>
      <c r="C67" s="5" t="n">
        <v>0</v>
      </c>
    </row>
    <row r="68" customFormat="false" ht="13.8" hidden="false" customHeight="false" outlineLevel="0" collapsed="false">
      <c r="B68" s="2" t="n">
        <v>67</v>
      </c>
      <c r="C68" s="5" t="n">
        <v>0</v>
      </c>
    </row>
    <row r="69" customFormat="false" ht="13.8" hidden="false" customHeight="false" outlineLevel="0" collapsed="false">
      <c r="B69" s="2" t="n">
        <v>68</v>
      </c>
      <c r="C69" s="5" t="n">
        <v>0</v>
      </c>
    </row>
    <row r="70" customFormat="false" ht="13.8" hidden="false" customHeight="false" outlineLevel="0" collapsed="false">
      <c r="B70" s="2" t="n">
        <v>69</v>
      </c>
      <c r="C70" s="5" t="n">
        <v>0</v>
      </c>
    </row>
    <row r="71" customFormat="false" ht="13.8" hidden="false" customHeight="false" outlineLevel="0" collapsed="false">
      <c r="B71" s="2" t="n">
        <v>70</v>
      </c>
      <c r="C71" s="5" t="n">
        <v>0</v>
      </c>
    </row>
    <row r="72" customFormat="false" ht="13.8" hidden="false" customHeight="false" outlineLevel="0" collapsed="false">
      <c r="B72" s="2" t="n">
        <v>71</v>
      </c>
      <c r="C72" s="5" t="n">
        <v>0</v>
      </c>
    </row>
    <row r="73" customFormat="false" ht="13.8" hidden="false" customHeight="false" outlineLevel="0" collapsed="false">
      <c r="B73" s="2" t="n">
        <v>72</v>
      </c>
      <c r="C73" s="5" t="n">
        <v>0</v>
      </c>
    </row>
    <row r="74" customFormat="false" ht="13.8" hidden="false" customHeight="false" outlineLevel="0" collapsed="false">
      <c r="B74" s="2" t="n">
        <v>73</v>
      </c>
      <c r="C74" s="5" t="n">
        <v>0</v>
      </c>
    </row>
    <row r="75" customFormat="false" ht="13.8" hidden="false" customHeight="false" outlineLevel="0" collapsed="false">
      <c r="B75" s="2" t="n">
        <v>74</v>
      </c>
      <c r="C75" s="5" t="n">
        <v>0</v>
      </c>
    </row>
    <row r="76" customFormat="false" ht="13.8" hidden="false" customHeight="false" outlineLevel="0" collapsed="false">
      <c r="B76" s="2" t="n">
        <v>75</v>
      </c>
      <c r="C76" s="5" t="n">
        <v>0</v>
      </c>
    </row>
    <row r="77" customFormat="false" ht="13.8" hidden="false" customHeight="false" outlineLevel="0" collapsed="false">
      <c r="B77" s="2" t="n">
        <v>76</v>
      </c>
      <c r="C77" s="5" t="n">
        <v>0</v>
      </c>
    </row>
    <row r="78" customFormat="false" ht="13.8" hidden="false" customHeight="false" outlineLevel="0" collapsed="false">
      <c r="B78" s="2" t="n">
        <v>77</v>
      </c>
      <c r="C78" s="5" t="n">
        <v>0</v>
      </c>
    </row>
    <row r="79" customFormat="false" ht="13.8" hidden="false" customHeight="false" outlineLevel="0" collapsed="false">
      <c r="B79" s="2" t="n">
        <v>78</v>
      </c>
      <c r="C79" s="5" t="n">
        <v>0</v>
      </c>
    </row>
    <row r="80" customFormat="false" ht="13.8" hidden="false" customHeight="false" outlineLevel="0" collapsed="false">
      <c r="B80" s="2" t="n">
        <v>79</v>
      </c>
      <c r="C80" s="5" t="n">
        <v>0</v>
      </c>
    </row>
    <row r="81" customFormat="false" ht="13.8" hidden="false" customHeight="false" outlineLevel="0" collapsed="false">
      <c r="B81" s="2" t="n">
        <v>80</v>
      </c>
      <c r="C81" s="5" t="n">
        <v>0</v>
      </c>
    </row>
    <row r="82" customFormat="false" ht="13.8" hidden="false" customHeight="false" outlineLevel="0" collapsed="false">
      <c r="B82" s="2" t="n">
        <v>81</v>
      </c>
      <c r="C82" s="5" t="n">
        <v>0</v>
      </c>
    </row>
    <row r="83" customFormat="false" ht="13.8" hidden="false" customHeight="false" outlineLevel="0" collapsed="false">
      <c r="B83" s="2" t="n">
        <v>82</v>
      </c>
      <c r="C83" s="5" t="n">
        <v>0</v>
      </c>
    </row>
    <row r="84" customFormat="false" ht="13.8" hidden="false" customHeight="false" outlineLevel="0" collapsed="false">
      <c r="B84" s="2" t="n">
        <v>83</v>
      </c>
      <c r="C84" s="5" t="n">
        <v>0</v>
      </c>
    </row>
    <row r="85" customFormat="false" ht="13.8" hidden="false" customHeight="false" outlineLevel="0" collapsed="false">
      <c r="B85" s="2" t="n">
        <v>84</v>
      </c>
      <c r="C85" s="5" t="n">
        <v>0</v>
      </c>
    </row>
    <row r="86" customFormat="false" ht="13.8" hidden="false" customHeight="false" outlineLevel="0" collapsed="false">
      <c r="B86" s="2" t="n">
        <v>85</v>
      </c>
      <c r="C86" s="5" t="n">
        <v>0</v>
      </c>
    </row>
    <row r="87" customFormat="false" ht="13.8" hidden="false" customHeight="false" outlineLevel="0" collapsed="false">
      <c r="B87" s="2" t="n">
        <v>86</v>
      </c>
      <c r="C87" s="5" t="n">
        <v>0</v>
      </c>
    </row>
    <row r="88" customFormat="false" ht="13.8" hidden="false" customHeight="false" outlineLevel="0" collapsed="false">
      <c r="B88" s="2" t="n">
        <v>87</v>
      </c>
      <c r="C88" s="5" t="n">
        <v>0</v>
      </c>
    </row>
    <row r="89" customFormat="false" ht="13.8" hidden="false" customHeight="false" outlineLevel="0" collapsed="false">
      <c r="B89" s="2" t="n">
        <v>88</v>
      </c>
      <c r="C89" s="5" t="n">
        <v>0</v>
      </c>
    </row>
    <row r="90" customFormat="false" ht="13.8" hidden="false" customHeight="false" outlineLevel="0" collapsed="false">
      <c r="B90" s="2" t="n">
        <v>89</v>
      </c>
      <c r="C90" s="5" t="n">
        <v>0</v>
      </c>
    </row>
    <row r="91" customFormat="false" ht="13.8" hidden="false" customHeight="false" outlineLevel="0" collapsed="false">
      <c r="B91" s="2" t="n">
        <v>90</v>
      </c>
      <c r="C91" s="5" t="n">
        <v>0</v>
      </c>
    </row>
    <row r="92" customFormat="false" ht="13.8" hidden="false" customHeight="false" outlineLevel="0" collapsed="false">
      <c r="B92" s="2" t="n">
        <v>91</v>
      </c>
      <c r="C92" s="5" t="n">
        <v>0</v>
      </c>
    </row>
    <row r="93" customFormat="false" ht="13.8" hidden="false" customHeight="false" outlineLevel="0" collapsed="false">
      <c r="B93" s="2" t="n">
        <v>92</v>
      </c>
      <c r="C93" s="5" t="n">
        <v>0</v>
      </c>
    </row>
    <row r="94" customFormat="false" ht="13.8" hidden="false" customHeight="false" outlineLevel="0" collapsed="false">
      <c r="B94" s="2" t="n">
        <v>93</v>
      </c>
      <c r="C94" s="5" t="n">
        <v>0</v>
      </c>
    </row>
    <row r="95" customFormat="false" ht="13.8" hidden="false" customHeight="false" outlineLevel="0" collapsed="false">
      <c r="B95" s="2" t="n">
        <v>94</v>
      </c>
      <c r="C95" s="5" t="n">
        <v>0</v>
      </c>
    </row>
    <row r="96" customFormat="false" ht="13.8" hidden="false" customHeight="false" outlineLevel="0" collapsed="false">
      <c r="B96" s="2" t="n">
        <v>95</v>
      </c>
      <c r="C96" s="5" t="n">
        <v>0</v>
      </c>
    </row>
    <row r="97" customFormat="false" ht="13.8" hidden="false" customHeight="false" outlineLevel="0" collapsed="false">
      <c r="B97" s="2" t="n">
        <v>96</v>
      </c>
      <c r="C97" s="5" t="n">
        <v>0</v>
      </c>
    </row>
    <row r="98" customFormat="false" ht="13.8" hidden="false" customHeight="false" outlineLevel="0" collapsed="false">
      <c r="B98" s="2" t="n">
        <v>97</v>
      </c>
      <c r="C98" s="5" t="n">
        <v>0</v>
      </c>
    </row>
    <row r="99" customFormat="false" ht="13.8" hidden="false" customHeight="false" outlineLevel="0" collapsed="false">
      <c r="B99" s="2" t="n">
        <v>98</v>
      </c>
      <c r="C99" s="5" t="n">
        <v>0</v>
      </c>
    </row>
    <row r="100" customFormat="false" ht="13.8" hidden="false" customHeight="false" outlineLevel="0" collapsed="false">
      <c r="B100" s="2" t="n">
        <v>99</v>
      </c>
      <c r="C100" s="5" t="n">
        <v>0</v>
      </c>
    </row>
    <row r="101" customFormat="false" ht="13.8" hidden="false" customHeight="false" outlineLevel="0" collapsed="false">
      <c r="B101" s="2" t="n">
        <v>100</v>
      </c>
      <c r="C101" s="5" t="n">
        <v>0</v>
      </c>
    </row>
    <row r="102" customFormat="false" ht="13.8" hidden="false" customHeight="false" outlineLevel="0" collapsed="false">
      <c r="B102" s="2" t="n">
        <v>101</v>
      </c>
      <c r="C102" s="5" t="n">
        <v>0</v>
      </c>
    </row>
    <row r="103" customFormat="false" ht="13.8" hidden="false" customHeight="false" outlineLevel="0" collapsed="false">
      <c r="B103" s="2" t="n">
        <v>102</v>
      </c>
      <c r="C103" s="5" t="n">
        <v>0</v>
      </c>
    </row>
    <row r="104" customFormat="false" ht="13.8" hidden="false" customHeight="false" outlineLevel="0" collapsed="false">
      <c r="B104" s="2" t="n">
        <v>103</v>
      </c>
      <c r="C104" s="5" t="n">
        <v>0</v>
      </c>
    </row>
    <row r="105" customFormat="false" ht="13.8" hidden="false" customHeight="false" outlineLevel="0" collapsed="false">
      <c r="B105" s="2" t="n">
        <v>104</v>
      </c>
      <c r="C105" s="5" t="n">
        <v>0</v>
      </c>
    </row>
    <row r="106" customFormat="false" ht="13.8" hidden="false" customHeight="false" outlineLevel="0" collapsed="false">
      <c r="B106" s="2" t="n">
        <v>105</v>
      </c>
      <c r="C106" s="5" t="n">
        <v>0</v>
      </c>
    </row>
    <row r="107" customFormat="false" ht="13.8" hidden="false" customHeight="false" outlineLevel="0" collapsed="false">
      <c r="B107" s="2" t="n">
        <v>106</v>
      </c>
      <c r="C107" s="5" t="n">
        <v>0</v>
      </c>
    </row>
    <row r="108" customFormat="false" ht="13.8" hidden="false" customHeight="false" outlineLevel="0" collapsed="false">
      <c r="B108" s="2" t="n">
        <v>107</v>
      </c>
      <c r="C108" s="5" t="n">
        <v>0</v>
      </c>
    </row>
    <row r="109" customFormat="false" ht="13.8" hidden="false" customHeight="false" outlineLevel="0" collapsed="false">
      <c r="B109" s="2" t="n">
        <v>108</v>
      </c>
      <c r="C109" s="5" t="n">
        <v>0</v>
      </c>
    </row>
    <row r="110" customFormat="false" ht="13.8" hidden="false" customHeight="false" outlineLevel="0" collapsed="false">
      <c r="B110" s="2" t="n">
        <v>109</v>
      </c>
      <c r="C110" s="5" t="n">
        <v>0</v>
      </c>
    </row>
    <row r="111" customFormat="false" ht="13.8" hidden="false" customHeight="false" outlineLevel="0" collapsed="false">
      <c r="B111" s="2" t="n">
        <v>110</v>
      </c>
      <c r="C111" s="5" t="n">
        <v>0</v>
      </c>
    </row>
    <row r="112" customFormat="false" ht="13.8" hidden="false" customHeight="false" outlineLevel="0" collapsed="false">
      <c r="B112" s="2" t="n">
        <v>111</v>
      </c>
      <c r="C112" s="5" t="n">
        <v>0</v>
      </c>
    </row>
    <row r="113" customFormat="false" ht="13.8" hidden="false" customHeight="false" outlineLevel="0" collapsed="false">
      <c r="B113" s="2" t="n">
        <v>112</v>
      </c>
      <c r="C113" s="5" t="n">
        <v>0</v>
      </c>
    </row>
    <row r="114" customFormat="false" ht="13.8" hidden="false" customHeight="false" outlineLevel="0" collapsed="false">
      <c r="B114" s="2" t="n">
        <v>113</v>
      </c>
      <c r="C114" s="5" t="n">
        <v>0</v>
      </c>
    </row>
    <row r="115" customFormat="false" ht="13.8" hidden="false" customHeight="false" outlineLevel="0" collapsed="false">
      <c r="B115" s="2" t="n">
        <v>114</v>
      </c>
      <c r="C115" s="5" t="n">
        <v>0</v>
      </c>
    </row>
    <row r="116" customFormat="false" ht="13.8" hidden="false" customHeight="false" outlineLevel="0" collapsed="false">
      <c r="B116" s="2" t="n">
        <v>115</v>
      </c>
      <c r="C116" s="5" t="n">
        <v>0</v>
      </c>
    </row>
    <row r="117" customFormat="false" ht="13.8" hidden="false" customHeight="false" outlineLevel="0" collapsed="false">
      <c r="B117" s="2" t="n">
        <v>116</v>
      </c>
      <c r="C117" s="5" t="n">
        <v>0</v>
      </c>
    </row>
    <row r="118" customFormat="false" ht="13.8" hidden="false" customHeight="false" outlineLevel="0" collapsed="false">
      <c r="B118" s="2" t="n">
        <v>117</v>
      </c>
      <c r="C118" s="5" t="n">
        <v>0</v>
      </c>
    </row>
    <row r="119" customFormat="false" ht="13.8" hidden="false" customHeight="false" outlineLevel="0" collapsed="false">
      <c r="B119" s="2" t="n">
        <v>118</v>
      </c>
      <c r="C119" s="5" t="n">
        <v>0</v>
      </c>
    </row>
    <row r="120" customFormat="false" ht="13.8" hidden="false" customHeight="false" outlineLevel="0" collapsed="false">
      <c r="B120" s="2" t="n">
        <v>119</v>
      </c>
      <c r="C120" s="5" t="n">
        <v>0</v>
      </c>
    </row>
    <row r="121" customFormat="false" ht="13.8" hidden="false" customHeight="false" outlineLevel="0" collapsed="false">
      <c r="B121" s="2" t="n">
        <v>120</v>
      </c>
      <c r="C121" s="5" t="n">
        <v>0</v>
      </c>
    </row>
    <row r="122" customFormat="false" ht="13.8" hidden="false" customHeight="false" outlineLevel="0" collapsed="false">
      <c r="B122" s="2" t="n">
        <v>121</v>
      </c>
      <c r="C122" s="5" t="n">
        <v>0</v>
      </c>
    </row>
    <row r="123" customFormat="false" ht="13.8" hidden="false" customHeight="false" outlineLevel="0" collapsed="false">
      <c r="B123" s="2" t="n">
        <v>122</v>
      </c>
      <c r="C123" s="5" t="n">
        <v>0</v>
      </c>
    </row>
    <row r="124" customFormat="false" ht="13.8" hidden="false" customHeight="false" outlineLevel="0" collapsed="false">
      <c r="B124" s="2" t="n">
        <v>123</v>
      </c>
      <c r="C124" s="5" t="n">
        <v>0</v>
      </c>
    </row>
    <row r="125" customFormat="false" ht="13.8" hidden="false" customHeight="false" outlineLevel="0" collapsed="false">
      <c r="B125" s="2" t="n">
        <v>124</v>
      </c>
      <c r="C125" s="5" t="n">
        <v>0</v>
      </c>
    </row>
    <row r="126" customFormat="false" ht="13.8" hidden="false" customHeight="false" outlineLevel="0" collapsed="false">
      <c r="B126" s="2" t="n">
        <v>125</v>
      </c>
      <c r="C126" s="5" t="n">
        <v>0</v>
      </c>
    </row>
    <row r="127" customFormat="false" ht="13.8" hidden="false" customHeight="false" outlineLevel="0" collapsed="false">
      <c r="B127" s="2" t="n">
        <v>126</v>
      </c>
      <c r="C127" s="5" t="n">
        <v>0</v>
      </c>
    </row>
    <row r="128" customFormat="false" ht="13.8" hidden="false" customHeight="false" outlineLevel="0" collapsed="false">
      <c r="B128" s="2" t="n">
        <v>127</v>
      </c>
      <c r="C128" s="5" t="n">
        <v>0</v>
      </c>
    </row>
    <row r="129" customFormat="false" ht="13.8" hidden="false" customHeight="false" outlineLevel="0" collapsed="false">
      <c r="B129" s="2" t="n">
        <v>128</v>
      </c>
      <c r="C129" s="5" t="n">
        <v>0</v>
      </c>
    </row>
    <row r="130" customFormat="false" ht="13.8" hidden="false" customHeight="false" outlineLevel="0" collapsed="false">
      <c r="B130" s="2" t="n">
        <v>129</v>
      </c>
      <c r="C130" s="5" t="n">
        <v>0</v>
      </c>
    </row>
    <row r="131" customFormat="false" ht="13.8" hidden="false" customHeight="false" outlineLevel="0" collapsed="false">
      <c r="B131" s="2" t="n">
        <v>130</v>
      </c>
      <c r="C131" s="5" t="n">
        <v>0</v>
      </c>
    </row>
    <row r="132" customFormat="false" ht="13.8" hidden="false" customHeight="false" outlineLevel="0" collapsed="false">
      <c r="B132" s="2" t="n">
        <v>131</v>
      </c>
      <c r="C132" s="5" t="n">
        <v>0</v>
      </c>
    </row>
    <row r="133" customFormat="false" ht="13.8" hidden="false" customHeight="false" outlineLevel="0" collapsed="false">
      <c r="B133" s="2" t="n">
        <v>132</v>
      </c>
      <c r="C133" s="5" t="n">
        <v>0</v>
      </c>
    </row>
    <row r="134" customFormat="false" ht="13.8" hidden="false" customHeight="false" outlineLevel="0" collapsed="false">
      <c r="B134" s="2" t="n">
        <v>133</v>
      </c>
      <c r="C134" s="5" t="n">
        <v>0</v>
      </c>
    </row>
    <row r="135" customFormat="false" ht="13.8" hidden="false" customHeight="false" outlineLevel="0" collapsed="false">
      <c r="B135" s="2" t="n">
        <v>134</v>
      </c>
      <c r="C135" s="5" t="n">
        <v>0</v>
      </c>
    </row>
    <row r="136" customFormat="false" ht="13.8" hidden="false" customHeight="false" outlineLevel="0" collapsed="false">
      <c r="B136" s="2" t="n">
        <v>135</v>
      </c>
      <c r="C136" s="5" t="n">
        <v>0</v>
      </c>
    </row>
    <row r="137" customFormat="false" ht="13.8" hidden="false" customHeight="false" outlineLevel="0" collapsed="false">
      <c r="B137" s="2" t="n">
        <v>136</v>
      </c>
      <c r="C137" s="5" t="n">
        <v>0</v>
      </c>
    </row>
    <row r="138" customFormat="false" ht="13.8" hidden="false" customHeight="false" outlineLevel="0" collapsed="false">
      <c r="B138" s="2" t="n">
        <v>137</v>
      </c>
      <c r="C138" s="5" t="n">
        <v>0</v>
      </c>
    </row>
    <row r="139" customFormat="false" ht="13.8" hidden="false" customHeight="false" outlineLevel="0" collapsed="false">
      <c r="B139" s="2" t="n">
        <v>138</v>
      </c>
      <c r="C139" s="5" t="n">
        <v>0</v>
      </c>
    </row>
    <row r="140" customFormat="false" ht="13.8" hidden="false" customHeight="false" outlineLevel="0" collapsed="false">
      <c r="B140" s="2" t="n">
        <v>139</v>
      </c>
      <c r="C140" s="5" t="n">
        <v>0</v>
      </c>
    </row>
    <row r="141" customFormat="false" ht="13.8" hidden="false" customHeight="false" outlineLevel="0" collapsed="false">
      <c r="B141" s="2" t="n">
        <v>140</v>
      </c>
      <c r="C141" s="5" t="n">
        <v>0</v>
      </c>
    </row>
    <row r="142" customFormat="false" ht="13.8" hidden="false" customHeight="false" outlineLevel="0" collapsed="false">
      <c r="B142" s="2" t="n">
        <v>141</v>
      </c>
      <c r="C142" s="5" t="n">
        <v>0</v>
      </c>
    </row>
    <row r="143" customFormat="false" ht="13.8" hidden="false" customHeight="false" outlineLevel="0" collapsed="false">
      <c r="B143" s="2" t="n">
        <v>142</v>
      </c>
      <c r="C143" s="5" t="n">
        <v>0</v>
      </c>
    </row>
    <row r="144" customFormat="false" ht="13.8" hidden="false" customHeight="false" outlineLevel="0" collapsed="false">
      <c r="B144" s="2" t="n">
        <v>143</v>
      </c>
      <c r="C144" s="5" t="n">
        <v>0</v>
      </c>
    </row>
    <row r="145" customFormat="false" ht="13.8" hidden="false" customHeight="false" outlineLevel="0" collapsed="false">
      <c r="B145" s="2" t="n">
        <v>144</v>
      </c>
      <c r="C145" s="5" t="n">
        <v>0</v>
      </c>
    </row>
    <row r="146" customFormat="false" ht="13.8" hidden="false" customHeight="false" outlineLevel="0" collapsed="false">
      <c r="B146" s="2" t="n">
        <v>145</v>
      </c>
      <c r="C146" s="5" t="n">
        <v>0</v>
      </c>
    </row>
    <row r="147" customFormat="false" ht="13.8" hidden="false" customHeight="false" outlineLevel="0" collapsed="false">
      <c r="B147" s="2" t="n">
        <v>146</v>
      </c>
      <c r="C147" s="5" t="n">
        <v>0</v>
      </c>
    </row>
    <row r="148" customFormat="false" ht="13.8" hidden="false" customHeight="false" outlineLevel="0" collapsed="false">
      <c r="B148" s="2" t="n">
        <v>147</v>
      </c>
      <c r="C148" s="5" t="n">
        <v>0</v>
      </c>
    </row>
    <row r="149" customFormat="false" ht="13.8" hidden="false" customHeight="false" outlineLevel="0" collapsed="false">
      <c r="B149" s="2" t="n">
        <v>148</v>
      </c>
      <c r="C149" s="5" t="n">
        <v>0</v>
      </c>
    </row>
    <row r="150" customFormat="false" ht="13.8" hidden="false" customHeight="false" outlineLevel="0" collapsed="false">
      <c r="B150" s="2" t="n">
        <v>149</v>
      </c>
      <c r="C150" s="5" t="n">
        <v>0</v>
      </c>
    </row>
    <row r="151" customFormat="false" ht="13.8" hidden="false" customHeight="false" outlineLevel="0" collapsed="false">
      <c r="B151" s="2" t="n">
        <v>150</v>
      </c>
      <c r="C151" s="5" t="n">
        <v>0</v>
      </c>
    </row>
    <row r="152" customFormat="false" ht="13.8" hidden="false" customHeight="false" outlineLevel="0" collapsed="false">
      <c r="B152" s="2" t="n">
        <v>151</v>
      </c>
      <c r="C152" s="5" t="n">
        <v>0</v>
      </c>
    </row>
    <row r="153" customFormat="false" ht="13.8" hidden="false" customHeight="false" outlineLevel="0" collapsed="false">
      <c r="B153" s="2" t="n">
        <v>152</v>
      </c>
      <c r="C153" s="5" t="n">
        <v>0</v>
      </c>
    </row>
    <row r="154" customFormat="false" ht="13.8" hidden="false" customHeight="false" outlineLevel="0" collapsed="false">
      <c r="B154" s="2" t="n">
        <v>153</v>
      </c>
      <c r="C154" s="5" t="n">
        <v>0</v>
      </c>
    </row>
    <row r="155" customFormat="false" ht="13.8" hidden="false" customHeight="false" outlineLevel="0" collapsed="false">
      <c r="B155" s="2" t="n">
        <v>154</v>
      </c>
      <c r="C155" s="5" t="n">
        <v>0</v>
      </c>
    </row>
    <row r="156" customFormat="false" ht="13.8" hidden="false" customHeight="false" outlineLevel="0" collapsed="false">
      <c r="B156" s="2" t="n">
        <v>155</v>
      </c>
      <c r="C156" s="5" t="n">
        <v>0</v>
      </c>
    </row>
    <row r="157" customFormat="false" ht="13.8" hidden="false" customHeight="false" outlineLevel="0" collapsed="false">
      <c r="B157" s="2" t="n">
        <v>156</v>
      </c>
      <c r="C157" s="5" t="n">
        <v>0</v>
      </c>
    </row>
    <row r="158" customFormat="false" ht="13.8" hidden="false" customHeight="false" outlineLevel="0" collapsed="false">
      <c r="B158" s="2" t="n">
        <v>157</v>
      </c>
      <c r="C158" s="5" t="n">
        <v>0</v>
      </c>
    </row>
    <row r="159" customFormat="false" ht="13.8" hidden="false" customHeight="false" outlineLevel="0" collapsed="false">
      <c r="B159" s="2" t="n">
        <v>158</v>
      </c>
      <c r="C159" s="5" t="n">
        <v>0</v>
      </c>
    </row>
    <row r="160" customFormat="false" ht="13.8" hidden="false" customHeight="false" outlineLevel="0" collapsed="false">
      <c r="B160" s="2" t="n">
        <v>159</v>
      </c>
      <c r="C160" s="5" t="n">
        <v>0</v>
      </c>
    </row>
    <row r="161" customFormat="false" ht="13.8" hidden="false" customHeight="false" outlineLevel="0" collapsed="false">
      <c r="B161" s="2" t="n">
        <v>160</v>
      </c>
      <c r="C161" s="5" t="n">
        <v>0</v>
      </c>
    </row>
    <row r="162" customFormat="false" ht="13.8" hidden="false" customHeight="false" outlineLevel="0" collapsed="false">
      <c r="B162" s="2" t="n">
        <v>161</v>
      </c>
      <c r="C162" s="5" t="n">
        <v>0</v>
      </c>
    </row>
    <row r="163" customFormat="false" ht="13.8" hidden="false" customHeight="false" outlineLevel="0" collapsed="false">
      <c r="B163" s="2" t="n">
        <v>162</v>
      </c>
      <c r="C163" s="5" t="n">
        <v>0</v>
      </c>
    </row>
    <row r="164" customFormat="false" ht="13.8" hidden="false" customHeight="false" outlineLevel="0" collapsed="false">
      <c r="B164" s="2" t="n">
        <v>163</v>
      </c>
      <c r="C164" s="5" t="n">
        <v>0</v>
      </c>
    </row>
    <row r="165" customFormat="false" ht="13.8" hidden="false" customHeight="false" outlineLevel="0" collapsed="false">
      <c r="B165" s="2" t="n">
        <v>164</v>
      </c>
      <c r="C165" s="5" t="n">
        <v>0</v>
      </c>
    </row>
    <row r="166" customFormat="false" ht="13.8" hidden="false" customHeight="false" outlineLevel="0" collapsed="false">
      <c r="B166" s="2" t="n">
        <v>165</v>
      </c>
      <c r="C166" s="5" t="n">
        <v>0</v>
      </c>
    </row>
    <row r="167" customFormat="false" ht="13.8" hidden="false" customHeight="false" outlineLevel="0" collapsed="false">
      <c r="B167" s="2" t="n">
        <v>166</v>
      </c>
      <c r="C167" s="5" t="n">
        <v>0</v>
      </c>
    </row>
    <row r="168" customFormat="false" ht="13.8" hidden="false" customHeight="false" outlineLevel="0" collapsed="false">
      <c r="B168" s="2" t="n">
        <v>167</v>
      </c>
      <c r="C168" s="5" t="n">
        <v>0</v>
      </c>
    </row>
    <row r="169" customFormat="false" ht="13.8" hidden="false" customHeight="false" outlineLevel="0" collapsed="false">
      <c r="B169" s="2" t="n">
        <v>168</v>
      </c>
      <c r="C169" s="5" t="n">
        <v>0</v>
      </c>
    </row>
    <row r="170" customFormat="false" ht="13.8" hidden="false" customHeight="false" outlineLevel="0" collapsed="false">
      <c r="B170" s="2" t="n">
        <v>169</v>
      </c>
      <c r="C170" s="5" t="n">
        <v>0</v>
      </c>
    </row>
    <row r="171" customFormat="false" ht="13.8" hidden="false" customHeight="false" outlineLevel="0" collapsed="false">
      <c r="B171" s="2" t="n">
        <v>170</v>
      </c>
      <c r="C171" s="5" t="n">
        <v>0</v>
      </c>
    </row>
    <row r="172" customFormat="false" ht="13.8" hidden="false" customHeight="false" outlineLevel="0" collapsed="false">
      <c r="B172" s="2" t="n">
        <v>171</v>
      </c>
      <c r="C172" s="5" t="n">
        <v>0</v>
      </c>
    </row>
    <row r="173" customFormat="false" ht="13.8" hidden="false" customHeight="false" outlineLevel="0" collapsed="false">
      <c r="B173" s="2" t="n">
        <v>172</v>
      </c>
      <c r="C173" s="5" t="n">
        <v>0</v>
      </c>
    </row>
    <row r="174" customFormat="false" ht="13.8" hidden="false" customHeight="false" outlineLevel="0" collapsed="false">
      <c r="B174" s="2" t="n">
        <v>173</v>
      </c>
      <c r="C174" s="5" t="n">
        <v>0</v>
      </c>
    </row>
    <row r="175" customFormat="false" ht="13.8" hidden="false" customHeight="false" outlineLevel="0" collapsed="false">
      <c r="B175" s="2" t="n">
        <v>174</v>
      </c>
      <c r="C175" s="5" t="n">
        <v>0</v>
      </c>
    </row>
    <row r="176" customFormat="false" ht="13.8" hidden="false" customHeight="false" outlineLevel="0" collapsed="false">
      <c r="B176" s="2" t="n">
        <v>175</v>
      </c>
      <c r="C176" s="5" t="n">
        <v>0</v>
      </c>
    </row>
    <row r="177" customFormat="false" ht="13.8" hidden="false" customHeight="false" outlineLevel="0" collapsed="false">
      <c r="B177" s="2" t="n">
        <v>176</v>
      </c>
      <c r="C177" s="5" t="n">
        <v>0</v>
      </c>
    </row>
    <row r="178" customFormat="false" ht="13.8" hidden="false" customHeight="false" outlineLevel="0" collapsed="false">
      <c r="B178" s="2" t="n">
        <v>177</v>
      </c>
      <c r="C178" s="5" t="n">
        <v>0</v>
      </c>
    </row>
    <row r="179" customFormat="false" ht="13.8" hidden="false" customHeight="false" outlineLevel="0" collapsed="false">
      <c r="B179" s="2" t="n">
        <v>178</v>
      </c>
      <c r="C179" s="5" t="n">
        <v>0</v>
      </c>
    </row>
    <row r="180" customFormat="false" ht="13.8" hidden="false" customHeight="false" outlineLevel="0" collapsed="false">
      <c r="B180" s="2" t="n">
        <v>179</v>
      </c>
      <c r="C180" s="5" t="n">
        <v>0</v>
      </c>
    </row>
    <row r="181" customFormat="false" ht="13.8" hidden="false" customHeight="false" outlineLevel="0" collapsed="false">
      <c r="B181" s="2" t="n">
        <v>180</v>
      </c>
      <c r="C181" s="5" t="n">
        <v>0</v>
      </c>
    </row>
    <row r="182" customFormat="false" ht="13.8" hidden="false" customHeight="false" outlineLevel="0" collapsed="false">
      <c r="B182" s="2" t="n">
        <v>181</v>
      </c>
      <c r="C182" s="5" t="n">
        <v>0</v>
      </c>
    </row>
    <row r="183" customFormat="false" ht="13.8" hidden="false" customHeight="false" outlineLevel="0" collapsed="false">
      <c r="B183" s="2" t="n">
        <v>182</v>
      </c>
      <c r="C183" s="5" t="n">
        <v>0</v>
      </c>
    </row>
    <row r="184" customFormat="false" ht="13.8" hidden="false" customHeight="false" outlineLevel="0" collapsed="false">
      <c r="B184" s="2" t="n">
        <v>183</v>
      </c>
      <c r="C184" s="5" t="n">
        <v>0</v>
      </c>
    </row>
    <row r="185" customFormat="false" ht="13.8" hidden="false" customHeight="false" outlineLevel="0" collapsed="false">
      <c r="B185" s="2" t="n">
        <v>184</v>
      </c>
      <c r="C185" s="5" t="n">
        <v>0</v>
      </c>
    </row>
    <row r="186" customFormat="false" ht="13.8" hidden="false" customHeight="false" outlineLevel="0" collapsed="false">
      <c r="B186" s="2" t="n">
        <v>185</v>
      </c>
      <c r="C186" s="5" t="n">
        <v>0</v>
      </c>
    </row>
    <row r="187" customFormat="false" ht="13.8" hidden="false" customHeight="false" outlineLevel="0" collapsed="false">
      <c r="B187" s="2" t="n">
        <v>186</v>
      </c>
      <c r="C187" s="5" t="n">
        <v>0</v>
      </c>
    </row>
    <row r="188" customFormat="false" ht="13.8" hidden="false" customHeight="false" outlineLevel="0" collapsed="false">
      <c r="B188" s="2" t="n">
        <v>187</v>
      </c>
      <c r="C188" s="5" t="n">
        <v>0</v>
      </c>
    </row>
    <row r="189" customFormat="false" ht="13.8" hidden="false" customHeight="false" outlineLevel="0" collapsed="false">
      <c r="B189" s="2" t="n">
        <v>188</v>
      </c>
      <c r="C189" s="5" t="n">
        <v>0</v>
      </c>
    </row>
    <row r="190" customFormat="false" ht="13.8" hidden="false" customHeight="false" outlineLevel="0" collapsed="false">
      <c r="B190" s="2" t="n">
        <v>189</v>
      </c>
      <c r="C190" s="5" t="n">
        <v>0</v>
      </c>
    </row>
    <row r="191" customFormat="false" ht="13.8" hidden="false" customHeight="false" outlineLevel="0" collapsed="false">
      <c r="B191" s="2" t="n">
        <v>190</v>
      </c>
      <c r="C191" s="5" t="n">
        <v>0</v>
      </c>
    </row>
    <row r="192" customFormat="false" ht="13.8" hidden="false" customHeight="false" outlineLevel="0" collapsed="false">
      <c r="B192" s="2" t="n">
        <v>191</v>
      </c>
      <c r="C192" s="5" t="n">
        <v>0</v>
      </c>
    </row>
    <row r="193" customFormat="false" ht="13.8" hidden="false" customHeight="false" outlineLevel="0" collapsed="false">
      <c r="B193" s="2" t="n">
        <v>192</v>
      </c>
      <c r="C193" s="5" t="n">
        <v>0</v>
      </c>
    </row>
    <row r="194" customFormat="false" ht="13.8" hidden="false" customHeight="false" outlineLevel="0" collapsed="false">
      <c r="B194" s="2" t="n">
        <v>193</v>
      </c>
      <c r="C194" s="5" t="n">
        <v>0</v>
      </c>
    </row>
    <row r="195" customFormat="false" ht="13.8" hidden="false" customHeight="false" outlineLevel="0" collapsed="false">
      <c r="B195" s="2" t="n">
        <v>194</v>
      </c>
      <c r="C195" s="5" t="n">
        <v>0</v>
      </c>
    </row>
    <row r="196" customFormat="false" ht="13.8" hidden="false" customHeight="false" outlineLevel="0" collapsed="false">
      <c r="B196" s="2" t="n">
        <v>195</v>
      </c>
      <c r="C196" s="5" t="n">
        <v>0</v>
      </c>
    </row>
    <row r="197" customFormat="false" ht="13.8" hidden="false" customHeight="false" outlineLevel="0" collapsed="false">
      <c r="B197" s="2" t="n">
        <v>196</v>
      </c>
      <c r="C197" s="5" t="n">
        <v>0</v>
      </c>
    </row>
    <row r="198" customFormat="false" ht="13.8" hidden="false" customHeight="false" outlineLevel="0" collapsed="false">
      <c r="B198" s="2" t="n">
        <v>197</v>
      </c>
      <c r="C198" s="5" t="n">
        <v>0</v>
      </c>
    </row>
    <row r="199" customFormat="false" ht="13.8" hidden="false" customHeight="false" outlineLevel="0" collapsed="false">
      <c r="B199" s="2" t="n">
        <v>198</v>
      </c>
      <c r="C199" s="5" t="n">
        <v>0</v>
      </c>
    </row>
    <row r="200" customFormat="false" ht="13.8" hidden="false" customHeight="false" outlineLevel="0" collapsed="false">
      <c r="B200" s="2" t="n">
        <v>199</v>
      </c>
      <c r="C200" s="5" t="n">
        <v>0</v>
      </c>
    </row>
    <row r="201" customFormat="false" ht="13.8" hidden="false" customHeight="false" outlineLevel="0" collapsed="false">
      <c r="B201" s="2" t="n">
        <v>200</v>
      </c>
      <c r="C201" s="5" t="n">
        <v>0</v>
      </c>
    </row>
    <row r="202" customFormat="false" ht="13.8" hidden="false" customHeight="false" outlineLevel="0" collapsed="false">
      <c r="B202" s="2" t="n">
        <v>201</v>
      </c>
      <c r="C202" s="5" t="n">
        <v>0</v>
      </c>
    </row>
    <row r="203" customFormat="false" ht="13.8" hidden="false" customHeight="false" outlineLevel="0" collapsed="false">
      <c r="B203" s="2" t="n">
        <v>202</v>
      </c>
      <c r="C203" s="5" t="n">
        <v>0</v>
      </c>
    </row>
    <row r="204" customFormat="false" ht="13.8" hidden="false" customHeight="false" outlineLevel="0" collapsed="false">
      <c r="B204" s="2" t="n">
        <v>203</v>
      </c>
      <c r="C204" s="5" t="n">
        <v>0</v>
      </c>
    </row>
    <row r="205" customFormat="false" ht="13.8" hidden="false" customHeight="false" outlineLevel="0" collapsed="false">
      <c r="B205" s="2" t="n">
        <v>204</v>
      </c>
      <c r="C205" s="5" t="n">
        <v>0</v>
      </c>
    </row>
    <row r="206" customFormat="false" ht="13.8" hidden="false" customHeight="false" outlineLevel="0" collapsed="false">
      <c r="B206" s="2" t="n">
        <v>205</v>
      </c>
      <c r="C206" s="5" t="n">
        <v>0</v>
      </c>
    </row>
    <row r="207" customFormat="false" ht="13.8" hidden="false" customHeight="false" outlineLevel="0" collapsed="false">
      <c r="B207" s="2" t="n">
        <v>206</v>
      </c>
      <c r="C207" s="5" t="n">
        <v>0</v>
      </c>
    </row>
    <row r="208" customFormat="false" ht="13.8" hidden="false" customHeight="false" outlineLevel="0" collapsed="false">
      <c r="B208" s="2" t="n">
        <v>207</v>
      </c>
      <c r="C208" s="5" t="n">
        <v>0</v>
      </c>
    </row>
    <row r="209" customFormat="false" ht="13.8" hidden="false" customHeight="false" outlineLevel="0" collapsed="false">
      <c r="B209" s="2" t="n">
        <v>208</v>
      </c>
      <c r="C209" s="5" t="n">
        <v>0</v>
      </c>
    </row>
    <row r="210" customFormat="false" ht="13.8" hidden="false" customHeight="false" outlineLevel="0" collapsed="false">
      <c r="B210" s="2" t="n">
        <v>209</v>
      </c>
      <c r="C210" s="5" t="n">
        <v>0</v>
      </c>
    </row>
    <row r="211" customFormat="false" ht="13.8" hidden="false" customHeight="false" outlineLevel="0" collapsed="false">
      <c r="B211" s="2" t="n">
        <v>210</v>
      </c>
      <c r="C211" s="5" t="n">
        <v>0</v>
      </c>
    </row>
    <row r="212" customFormat="false" ht="13.8" hidden="false" customHeight="false" outlineLevel="0" collapsed="false">
      <c r="B212" s="2" t="n">
        <v>211</v>
      </c>
      <c r="C212" s="5" t="n">
        <v>0</v>
      </c>
    </row>
    <row r="213" customFormat="false" ht="13.8" hidden="false" customHeight="false" outlineLevel="0" collapsed="false">
      <c r="B213" s="2" t="n">
        <v>212</v>
      </c>
      <c r="C213" s="5" t="n">
        <v>0</v>
      </c>
    </row>
    <row r="214" customFormat="false" ht="13.8" hidden="false" customHeight="false" outlineLevel="0" collapsed="false">
      <c r="B214" s="2" t="n">
        <v>213</v>
      </c>
      <c r="C214" s="5" t="n">
        <v>0</v>
      </c>
    </row>
    <row r="215" customFormat="false" ht="13.8" hidden="false" customHeight="false" outlineLevel="0" collapsed="false">
      <c r="B215" s="2" t="n">
        <v>214</v>
      </c>
      <c r="C215" s="5" t="n">
        <v>0</v>
      </c>
    </row>
    <row r="216" customFormat="false" ht="13.8" hidden="false" customHeight="false" outlineLevel="0" collapsed="false">
      <c r="B216" s="2" t="n">
        <v>215</v>
      </c>
      <c r="C216" s="5" t="n">
        <v>0</v>
      </c>
    </row>
    <row r="217" customFormat="false" ht="13.8" hidden="false" customHeight="false" outlineLevel="0" collapsed="false">
      <c r="B217" s="2" t="n">
        <v>216</v>
      </c>
      <c r="C217" s="5" t="n">
        <v>0</v>
      </c>
    </row>
    <row r="218" customFormat="false" ht="13.8" hidden="false" customHeight="false" outlineLevel="0" collapsed="false">
      <c r="B218" s="2" t="n">
        <v>217</v>
      </c>
      <c r="C218" s="5" t="n">
        <v>0</v>
      </c>
    </row>
    <row r="219" customFormat="false" ht="13.8" hidden="false" customHeight="false" outlineLevel="0" collapsed="false">
      <c r="B219" s="2" t="n">
        <v>218</v>
      </c>
      <c r="C219" s="5" t="n">
        <v>0</v>
      </c>
    </row>
    <row r="220" customFormat="false" ht="13.8" hidden="false" customHeight="false" outlineLevel="0" collapsed="false">
      <c r="B220" s="2" t="n">
        <v>219</v>
      </c>
      <c r="C220" s="5" t="n">
        <v>0</v>
      </c>
    </row>
    <row r="221" customFormat="false" ht="13.8" hidden="false" customHeight="false" outlineLevel="0" collapsed="false">
      <c r="B221" s="2" t="n">
        <v>220</v>
      </c>
      <c r="C221" s="5" t="n">
        <v>0</v>
      </c>
    </row>
    <row r="222" customFormat="false" ht="13.8" hidden="false" customHeight="false" outlineLevel="0" collapsed="false">
      <c r="B222" s="2" t="n">
        <v>221</v>
      </c>
      <c r="C222" s="5" t="n">
        <v>0</v>
      </c>
    </row>
    <row r="223" customFormat="false" ht="13.8" hidden="false" customHeight="false" outlineLevel="0" collapsed="false">
      <c r="B223" s="2" t="n">
        <v>222</v>
      </c>
      <c r="C223" s="5" t="n">
        <v>0</v>
      </c>
    </row>
    <row r="224" customFormat="false" ht="13.8" hidden="false" customHeight="false" outlineLevel="0" collapsed="false">
      <c r="B224" s="2" t="n">
        <v>223</v>
      </c>
      <c r="C224" s="5" t="n">
        <v>0</v>
      </c>
    </row>
    <row r="225" customFormat="false" ht="13.8" hidden="false" customHeight="false" outlineLevel="0" collapsed="false">
      <c r="B225" s="2" t="n">
        <v>224</v>
      </c>
      <c r="C225" s="5" t="n">
        <v>0</v>
      </c>
    </row>
    <row r="226" customFormat="false" ht="13.8" hidden="false" customHeight="false" outlineLevel="0" collapsed="false">
      <c r="B226" s="2" t="n">
        <v>225</v>
      </c>
      <c r="C226" s="5" t="n">
        <v>0</v>
      </c>
    </row>
    <row r="227" customFormat="false" ht="13.8" hidden="false" customHeight="false" outlineLevel="0" collapsed="false">
      <c r="B227" s="2" t="n">
        <v>226</v>
      </c>
      <c r="C227" s="5" t="n">
        <v>0</v>
      </c>
    </row>
    <row r="228" customFormat="false" ht="13.8" hidden="false" customHeight="false" outlineLevel="0" collapsed="false">
      <c r="B228" s="2" t="n">
        <v>227</v>
      </c>
      <c r="C228" s="5" t="n">
        <v>0</v>
      </c>
    </row>
    <row r="229" customFormat="false" ht="13.8" hidden="false" customHeight="false" outlineLevel="0" collapsed="false">
      <c r="B229" s="2" t="n">
        <v>228</v>
      </c>
      <c r="C229" s="5" t="n">
        <v>0</v>
      </c>
    </row>
    <row r="230" customFormat="false" ht="13.8" hidden="false" customHeight="false" outlineLevel="0" collapsed="false">
      <c r="B230" s="2" t="n">
        <v>229</v>
      </c>
      <c r="C230" s="5" t="n">
        <v>0</v>
      </c>
    </row>
    <row r="231" customFormat="false" ht="13.8" hidden="false" customHeight="false" outlineLevel="0" collapsed="false">
      <c r="B231" s="2" t="n">
        <v>230</v>
      </c>
      <c r="C231" s="5" t="n">
        <v>0</v>
      </c>
    </row>
    <row r="232" customFormat="false" ht="13.8" hidden="false" customHeight="false" outlineLevel="0" collapsed="false">
      <c r="B232" s="2" t="n">
        <v>231</v>
      </c>
      <c r="C232" s="5" t="n">
        <v>0</v>
      </c>
    </row>
    <row r="233" customFormat="false" ht="13.8" hidden="false" customHeight="false" outlineLevel="0" collapsed="false">
      <c r="B233" s="2" t="n">
        <v>232</v>
      </c>
      <c r="C233" s="5" t="n">
        <v>0</v>
      </c>
    </row>
    <row r="234" customFormat="false" ht="13.8" hidden="false" customHeight="false" outlineLevel="0" collapsed="false">
      <c r="B234" s="2" t="n">
        <v>233</v>
      </c>
      <c r="C234" s="5" t="n">
        <v>0</v>
      </c>
    </row>
    <row r="235" customFormat="false" ht="13.8" hidden="false" customHeight="false" outlineLevel="0" collapsed="false">
      <c r="B235" s="2" t="n">
        <v>234</v>
      </c>
      <c r="C235" s="5" t="n">
        <v>0</v>
      </c>
    </row>
    <row r="236" customFormat="false" ht="13.8" hidden="false" customHeight="false" outlineLevel="0" collapsed="false">
      <c r="B236" s="2" t="n">
        <v>235</v>
      </c>
      <c r="C236" s="5" t="n">
        <v>0</v>
      </c>
    </row>
    <row r="237" customFormat="false" ht="13.8" hidden="false" customHeight="false" outlineLevel="0" collapsed="false">
      <c r="B237" s="2" t="n">
        <v>236</v>
      </c>
      <c r="C237" s="5" t="n">
        <v>0</v>
      </c>
    </row>
    <row r="238" customFormat="false" ht="13.8" hidden="false" customHeight="false" outlineLevel="0" collapsed="false">
      <c r="B238" s="2" t="n">
        <v>237</v>
      </c>
      <c r="C238" s="5" t="n">
        <v>0</v>
      </c>
    </row>
    <row r="239" customFormat="false" ht="13.8" hidden="false" customHeight="false" outlineLevel="0" collapsed="false">
      <c r="B239" s="2" t="n">
        <v>238</v>
      </c>
      <c r="C239" s="5" t="n">
        <v>0</v>
      </c>
    </row>
    <row r="240" customFormat="false" ht="13.8" hidden="false" customHeight="false" outlineLevel="0" collapsed="false">
      <c r="B240" s="2" t="n">
        <v>239</v>
      </c>
      <c r="C240" s="5" t="n">
        <v>0</v>
      </c>
    </row>
    <row r="241" customFormat="false" ht="13.8" hidden="false" customHeight="false" outlineLevel="0" collapsed="false">
      <c r="B241" s="2" t="n">
        <v>240</v>
      </c>
      <c r="C241" s="5" t="n">
        <v>0</v>
      </c>
    </row>
    <row r="242" customFormat="false" ht="13.8" hidden="false" customHeight="false" outlineLevel="0" collapsed="false">
      <c r="B242" s="2" t="n">
        <v>241</v>
      </c>
      <c r="C242" s="5" t="n">
        <v>0</v>
      </c>
    </row>
    <row r="243" customFormat="false" ht="13.8" hidden="false" customHeight="false" outlineLevel="0" collapsed="false">
      <c r="B243" s="2" t="n">
        <v>242</v>
      </c>
      <c r="C243" s="5" t="n">
        <v>0</v>
      </c>
    </row>
    <row r="244" customFormat="false" ht="13.8" hidden="false" customHeight="false" outlineLevel="0" collapsed="false">
      <c r="B244" s="2" t="n">
        <v>243</v>
      </c>
      <c r="C244" s="5" t="n">
        <v>0</v>
      </c>
    </row>
    <row r="245" customFormat="false" ht="13.8" hidden="false" customHeight="false" outlineLevel="0" collapsed="false">
      <c r="B245" s="2" t="n">
        <v>244</v>
      </c>
      <c r="C245" s="5" t="n">
        <v>0</v>
      </c>
    </row>
    <row r="246" customFormat="false" ht="13.8" hidden="false" customHeight="false" outlineLevel="0" collapsed="false">
      <c r="B246" s="2" t="n">
        <v>245</v>
      </c>
      <c r="C246" s="5" t="n">
        <v>0</v>
      </c>
    </row>
    <row r="247" customFormat="false" ht="13.8" hidden="false" customHeight="false" outlineLevel="0" collapsed="false">
      <c r="B247" s="2" t="n">
        <v>246</v>
      </c>
      <c r="C247" s="5" t="n">
        <v>0</v>
      </c>
    </row>
    <row r="248" customFormat="false" ht="13.8" hidden="false" customHeight="false" outlineLevel="0" collapsed="false">
      <c r="B248" s="2" t="n">
        <v>247</v>
      </c>
      <c r="C248" s="5" t="n">
        <v>0</v>
      </c>
    </row>
    <row r="249" customFormat="false" ht="13.8" hidden="false" customHeight="false" outlineLevel="0" collapsed="false">
      <c r="B249" s="2" t="n">
        <v>248</v>
      </c>
      <c r="C249" s="5" t="n">
        <v>0</v>
      </c>
    </row>
    <row r="250" customFormat="false" ht="13.8" hidden="false" customHeight="false" outlineLevel="0" collapsed="false">
      <c r="B250" s="2" t="n">
        <v>249</v>
      </c>
      <c r="C250" s="5" t="n">
        <v>0</v>
      </c>
    </row>
    <row r="251" customFormat="false" ht="13.8" hidden="false" customHeight="false" outlineLevel="0" collapsed="false">
      <c r="B251" s="2" t="n">
        <v>250</v>
      </c>
      <c r="C251" s="5" t="n">
        <v>0</v>
      </c>
    </row>
    <row r="252" customFormat="false" ht="13.8" hidden="false" customHeight="false" outlineLevel="0" collapsed="false">
      <c r="B252" s="2" t="n">
        <v>251</v>
      </c>
      <c r="C252" s="5" t="n">
        <v>0</v>
      </c>
    </row>
    <row r="253" customFormat="false" ht="13.8" hidden="false" customHeight="false" outlineLevel="0" collapsed="false">
      <c r="B253" s="2" t="n">
        <v>252</v>
      </c>
      <c r="C253" s="5" t="n">
        <v>0</v>
      </c>
    </row>
    <row r="254" customFormat="false" ht="13.8" hidden="false" customHeight="false" outlineLevel="0" collapsed="false">
      <c r="B254" s="2" t="n">
        <v>253</v>
      </c>
      <c r="C254" s="5" t="n">
        <v>0</v>
      </c>
    </row>
    <row r="255" customFormat="false" ht="13.8" hidden="false" customHeight="false" outlineLevel="0" collapsed="false">
      <c r="B255" s="2" t="n">
        <v>254</v>
      </c>
      <c r="C255" s="5" t="n">
        <v>0</v>
      </c>
    </row>
    <row r="256" customFormat="false" ht="13.8" hidden="false" customHeight="false" outlineLevel="0" collapsed="false">
      <c r="B256" s="2" t="n">
        <v>255</v>
      </c>
      <c r="C256" s="5" t="n">
        <v>0</v>
      </c>
    </row>
    <row r="257" customFormat="false" ht="13.8" hidden="false" customHeight="false" outlineLevel="0" collapsed="false">
      <c r="B257" s="2" t="n">
        <v>256</v>
      </c>
      <c r="C257" s="5" t="n">
        <v>0</v>
      </c>
    </row>
    <row r="258" customFormat="false" ht="13.8" hidden="false" customHeight="false" outlineLevel="0" collapsed="false">
      <c r="B258" s="2" t="n">
        <v>257</v>
      </c>
      <c r="C258" s="5" t="n">
        <v>0</v>
      </c>
    </row>
    <row r="259" customFormat="false" ht="13.8" hidden="false" customHeight="false" outlineLevel="0" collapsed="false">
      <c r="B259" s="2" t="n">
        <v>258</v>
      </c>
      <c r="C259" s="5" t="n">
        <v>0</v>
      </c>
    </row>
    <row r="260" customFormat="false" ht="13.8" hidden="false" customHeight="false" outlineLevel="0" collapsed="false">
      <c r="B260" s="2" t="n">
        <v>259</v>
      </c>
      <c r="C260" s="5" t="n">
        <v>0</v>
      </c>
    </row>
    <row r="261" customFormat="false" ht="13.8" hidden="false" customHeight="false" outlineLevel="0" collapsed="false">
      <c r="B261" s="2" t="n">
        <v>260</v>
      </c>
      <c r="C261" s="5" t="n">
        <v>0</v>
      </c>
    </row>
    <row r="262" customFormat="false" ht="13.8" hidden="false" customHeight="false" outlineLevel="0" collapsed="false">
      <c r="B262" s="2" t="n">
        <v>261</v>
      </c>
      <c r="C262" s="5" t="n">
        <v>0</v>
      </c>
    </row>
    <row r="263" customFormat="false" ht="13.8" hidden="false" customHeight="false" outlineLevel="0" collapsed="false">
      <c r="B263" s="2" t="n">
        <v>262</v>
      </c>
      <c r="C263" s="5" t="n">
        <v>0</v>
      </c>
    </row>
    <row r="264" customFormat="false" ht="13.8" hidden="false" customHeight="false" outlineLevel="0" collapsed="false">
      <c r="B264" s="2" t="n">
        <v>263</v>
      </c>
      <c r="C264" s="5" t="n">
        <v>0</v>
      </c>
    </row>
    <row r="265" customFormat="false" ht="13.8" hidden="false" customHeight="false" outlineLevel="0" collapsed="false">
      <c r="B265" s="2" t="n">
        <v>264</v>
      </c>
      <c r="C265" s="5" t="n">
        <v>0</v>
      </c>
    </row>
    <row r="266" customFormat="false" ht="13.8" hidden="false" customHeight="false" outlineLevel="0" collapsed="false">
      <c r="B266" s="2" t="n">
        <v>265</v>
      </c>
      <c r="C266" s="5" t="n">
        <v>0</v>
      </c>
    </row>
    <row r="267" customFormat="false" ht="13.8" hidden="false" customHeight="false" outlineLevel="0" collapsed="false">
      <c r="B267" s="2" t="n">
        <v>266</v>
      </c>
      <c r="C267" s="5" t="n">
        <v>0</v>
      </c>
    </row>
    <row r="268" customFormat="false" ht="13.8" hidden="false" customHeight="false" outlineLevel="0" collapsed="false">
      <c r="B268" s="2" t="n">
        <v>267</v>
      </c>
      <c r="C268" s="5" t="n">
        <v>0</v>
      </c>
    </row>
    <row r="269" customFormat="false" ht="13.8" hidden="false" customHeight="false" outlineLevel="0" collapsed="false">
      <c r="B269" s="2" t="n">
        <v>268</v>
      </c>
      <c r="C269" s="5" t="n">
        <v>0</v>
      </c>
    </row>
    <row r="270" customFormat="false" ht="13.8" hidden="false" customHeight="false" outlineLevel="0" collapsed="false">
      <c r="B270" s="2" t="n">
        <v>269</v>
      </c>
      <c r="C270" s="5" t="n">
        <v>0</v>
      </c>
    </row>
    <row r="271" customFormat="false" ht="13.8" hidden="false" customHeight="false" outlineLevel="0" collapsed="false">
      <c r="B271" s="2" t="n">
        <v>270</v>
      </c>
      <c r="C271" s="5" t="n">
        <v>0</v>
      </c>
    </row>
    <row r="272" customFormat="false" ht="13.8" hidden="false" customHeight="false" outlineLevel="0" collapsed="false">
      <c r="B272" s="2" t="n">
        <v>271</v>
      </c>
      <c r="C272" s="5" t="n">
        <v>0</v>
      </c>
    </row>
    <row r="273" customFormat="false" ht="13.8" hidden="false" customHeight="false" outlineLevel="0" collapsed="false">
      <c r="B273" s="2" t="n">
        <v>272</v>
      </c>
      <c r="C273" s="5" t="n">
        <v>0</v>
      </c>
    </row>
    <row r="274" customFormat="false" ht="13.8" hidden="false" customHeight="false" outlineLevel="0" collapsed="false">
      <c r="B274" s="2" t="n">
        <v>273</v>
      </c>
      <c r="C274" s="5" t="n">
        <v>0</v>
      </c>
    </row>
    <row r="275" customFormat="false" ht="13.8" hidden="false" customHeight="false" outlineLevel="0" collapsed="false">
      <c r="B275" s="2" t="n">
        <v>274</v>
      </c>
      <c r="C275" s="5" t="n">
        <v>0</v>
      </c>
    </row>
    <row r="276" customFormat="false" ht="13.8" hidden="false" customHeight="false" outlineLevel="0" collapsed="false">
      <c r="B276" s="2" t="n">
        <v>275</v>
      </c>
      <c r="C276" s="5" t="n">
        <v>0</v>
      </c>
    </row>
    <row r="277" customFormat="false" ht="13.8" hidden="false" customHeight="false" outlineLevel="0" collapsed="false">
      <c r="B277" s="2" t="n">
        <v>276</v>
      </c>
      <c r="C277" s="5" t="n">
        <v>0</v>
      </c>
    </row>
    <row r="278" customFormat="false" ht="13.8" hidden="false" customHeight="false" outlineLevel="0" collapsed="false">
      <c r="B278" s="2" t="n">
        <v>277</v>
      </c>
      <c r="C278" s="5" t="n">
        <v>0</v>
      </c>
    </row>
    <row r="279" customFormat="false" ht="13.8" hidden="false" customHeight="false" outlineLevel="0" collapsed="false">
      <c r="B279" s="2" t="n">
        <v>278</v>
      </c>
      <c r="C279" s="5" t="n">
        <v>0</v>
      </c>
    </row>
    <row r="280" customFormat="false" ht="13.8" hidden="false" customHeight="false" outlineLevel="0" collapsed="false">
      <c r="B280" s="2" t="n">
        <v>279</v>
      </c>
      <c r="C280" s="5" t="n">
        <v>0</v>
      </c>
    </row>
    <row r="281" customFormat="false" ht="13.8" hidden="false" customHeight="false" outlineLevel="0" collapsed="false">
      <c r="B281" s="2" t="n">
        <v>280</v>
      </c>
      <c r="C281" s="5" t="n">
        <v>0</v>
      </c>
    </row>
    <row r="282" customFormat="false" ht="13.8" hidden="false" customHeight="false" outlineLevel="0" collapsed="false">
      <c r="B282" s="2" t="n">
        <v>281</v>
      </c>
      <c r="C282" s="5" t="n">
        <v>0</v>
      </c>
    </row>
    <row r="283" customFormat="false" ht="13.8" hidden="false" customHeight="false" outlineLevel="0" collapsed="false">
      <c r="B283" s="2" t="n">
        <v>282</v>
      </c>
      <c r="C283" s="5" t="n">
        <v>0</v>
      </c>
    </row>
    <row r="284" customFormat="false" ht="13.8" hidden="false" customHeight="false" outlineLevel="0" collapsed="false">
      <c r="B284" s="2" t="n">
        <v>283</v>
      </c>
      <c r="C284" s="5" t="n">
        <v>0</v>
      </c>
    </row>
    <row r="285" customFormat="false" ht="13.8" hidden="false" customHeight="false" outlineLevel="0" collapsed="false">
      <c r="B285" s="2" t="n">
        <v>284</v>
      </c>
      <c r="C285" s="5" t="n">
        <v>0</v>
      </c>
    </row>
    <row r="286" customFormat="false" ht="13.8" hidden="false" customHeight="false" outlineLevel="0" collapsed="false">
      <c r="B286" s="2" t="n">
        <v>285</v>
      </c>
      <c r="C286" s="5" t="n">
        <v>0</v>
      </c>
    </row>
    <row r="287" customFormat="false" ht="13.8" hidden="false" customHeight="false" outlineLevel="0" collapsed="false">
      <c r="B287" s="2" t="n">
        <v>286</v>
      </c>
      <c r="C287" s="5" t="n">
        <v>0</v>
      </c>
    </row>
    <row r="288" customFormat="false" ht="13.8" hidden="false" customHeight="false" outlineLevel="0" collapsed="false">
      <c r="B288" s="2" t="n">
        <v>287</v>
      </c>
      <c r="C288" s="5" t="n">
        <v>0</v>
      </c>
    </row>
    <row r="289" customFormat="false" ht="13.8" hidden="false" customHeight="false" outlineLevel="0" collapsed="false">
      <c r="B289" s="2" t="n">
        <v>288</v>
      </c>
      <c r="C289" s="5" t="n">
        <v>0</v>
      </c>
    </row>
    <row r="290" customFormat="false" ht="13.8" hidden="false" customHeight="false" outlineLevel="0" collapsed="false">
      <c r="B290" s="2" t="n">
        <v>289</v>
      </c>
      <c r="C290" s="5" t="n">
        <v>0</v>
      </c>
    </row>
    <row r="291" customFormat="false" ht="13.8" hidden="false" customHeight="false" outlineLevel="0" collapsed="false">
      <c r="B291" s="2" t="n">
        <v>290</v>
      </c>
      <c r="C291" s="5" t="n">
        <v>0</v>
      </c>
    </row>
    <row r="292" customFormat="false" ht="13.8" hidden="false" customHeight="false" outlineLevel="0" collapsed="false">
      <c r="B292" s="2" t="n">
        <v>291</v>
      </c>
      <c r="C292" s="5" t="n">
        <v>0</v>
      </c>
    </row>
    <row r="293" customFormat="false" ht="13.8" hidden="false" customHeight="false" outlineLevel="0" collapsed="false">
      <c r="B293" s="2" t="n">
        <v>292</v>
      </c>
      <c r="C293" s="5" t="n">
        <v>0</v>
      </c>
    </row>
    <row r="294" customFormat="false" ht="13.8" hidden="false" customHeight="false" outlineLevel="0" collapsed="false">
      <c r="B294" s="2" t="n">
        <v>293</v>
      </c>
      <c r="C294" s="5" t="n">
        <v>0</v>
      </c>
    </row>
    <row r="295" customFormat="false" ht="13.8" hidden="false" customHeight="false" outlineLevel="0" collapsed="false">
      <c r="B295" s="2" t="n">
        <v>294</v>
      </c>
      <c r="C295" s="5" t="n">
        <v>0</v>
      </c>
    </row>
    <row r="296" customFormat="false" ht="13.8" hidden="false" customHeight="false" outlineLevel="0" collapsed="false">
      <c r="B296" s="2" t="n">
        <v>295</v>
      </c>
      <c r="C296" s="5" t="n">
        <v>0</v>
      </c>
    </row>
    <row r="297" customFormat="false" ht="13.8" hidden="false" customHeight="false" outlineLevel="0" collapsed="false">
      <c r="B297" s="2" t="n">
        <v>296</v>
      </c>
      <c r="C297" s="5" t="n">
        <v>0</v>
      </c>
    </row>
    <row r="298" customFormat="false" ht="13.8" hidden="false" customHeight="false" outlineLevel="0" collapsed="false">
      <c r="B298" s="2" t="n">
        <v>297</v>
      </c>
      <c r="C298" s="5" t="n">
        <v>0</v>
      </c>
    </row>
    <row r="299" customFormat="false" ht="13.8" hidden="false" customHeight="false" outlineLevel="0" collapsed="false">
      <c r="B299" s="2" t="n">
        <v>298</v>
      </c>
      <c r="C299" s="5" t="n">
        <v>0</v>
      </c>
    </row>
    <row r="300" customFormat="false" ht="13.8" hidden="false" customHeight="false" outlineLevel="0" collapsed="false">
      <c r="B300" s="2" t="n">
        <v>299</v>
      </c>
      <c r="C300" s="5" t="n">
        <v>0</v>
      </c>
    </row>
    <row r="301" customFormat="false" ht="13.8" hidden="false" customHeight="false" outlineLevel="0" collapsed="false">
      <c r="B301" s="2" t="n">
        <v>300</v>
      </c>
      <c r="C301" s="5" t="n">
        <v>0</v>
      </c>
    </row>
    <row r="302" customFormat="false" ht="13.8" hidden="false" customHeight="false" outlineLevel="0" collapsed="false">
      <c r="B302" s="2" t="n">
        <v>301</v>
      </c>
      <c r="C302" s="5" t="n">
        <v>0</v>
      </c>
    </row>
    <row r="303" customFormat="false" ht="13.8" hidden="false" customHeight="false" outlineLevel="0" collapsed="false">
      <c r="B303" s="2" t="n">
        <v>302</v>
      </c>
      <c r="C303" s="5" t="n">
        <v>0</v>
      </c>
    </row>
    <row r="304" customFormat="false" ht="13.8" hidden="false" customHeight="false" outlineLevel="0" collapsed="false">
      <c r="B304" s="2" t="n">
        <v>303</v>
      </c>
      <c r="C304" s="5" t="n">
        <v>0</v>
      </c>
    </row>
    <row r="305" customFormat="false" ht="13.8" hidden="false" customHeight="false" outlineLevel="0" collapsed="false">
      <c r="B305" s="2" t="n">
        <v>304</v>
      </c>
      <c r="C305" s="5" t="n">
        <v>0</v>
      </c>
    </row>
    <row r="306" customFormat="false" ht="13.8" hidden="false" customHeight="false" outlineLevel="0" collapsed="false">
      <c r="B306" s="2" t="n">
        <v>305</v>
      </c>
      <c r="C306" s="5" t="n">
        <v>0</v>
      </c>
    </row>
    <row r="307" customFormat="false" ht="13.8" hidden="false" customHeight="false" outlineLevel="0" collapsed="false">
      <c r="B307" s="2" t="n">
        <v>306</v>
      </c>
      <c r="C307" s="5" t="n">
        <v>0</v>
      </c>
    </row>
    <row r="308" customFormat="false" ht="13.8" hidden="false" customHeight="false" outlineLevel="0" collapsed="false">
      <c r="B308" s="2" t="n">
        <v>307</v>
      </c>
      <c r="C308" s="5" t="n">
        <v>0</v>
      </c>
    </row>
    <row r="309" customFormat="false" ht="13.8" hidden="false" customHeight="false" outlineLevel="0" collapsed="false">
      <c r="B309" s="2" t="n">
        <v>308</v>
      </c>
      <c r="C309" s="5" t="n">
        <v>0</v>
      </c>
    </row>
    <row r="310" customFormat="false" ht="13.8" hidden="false" customHeight="false" outlineLevel="0" collapsed="false">
      <c r="B310" s="2" t="n">
        <v>309</v>
      </c>
      <c r="C310" s="5" t="n">
        <v>0</v>
      </c>
    </row>
    <row r="311" customFormat="false" ht="13.8" hidden="false" customHeight="false" outlineLevel="0" collapsed="false">
      <c r="B311" s="2" t="n">
        <v>310</v>
      </c>
      <c r="C311" s="5" t="n">
        <v>0</v>
      </c>
    </row>
    <row r="312" customFormat="false" ht="13.8" hidden="false" customHeight="false" outlineLevel="0" collapsed="false">
      <c r="B312" s="2" t="n">
        <v>311</v>
      </c>
      <c r="C312" s="5" t="n">
        <v>0</v>
      </c>
    </row>
    <row r="313" customFormat="false" ht="13.8" hidden="false" customHeight="false" outlineLevel="0" collapsed="false">
      <c r="B313" s="2" t="n">
        <v>312</v>
      </c>
      <c r="C313" s="5" t="n">
        <v>0</v>
      </c>
    </row>
    <row r="314" customFormat="false" ht="13.8" hidden="false" customHeight="false" outlineLevel="0" collapsed="false">
      <c r="B314" s="2" t="n">
        <v>313</v>
      </c>
      <c r="C314" s="5" t="n">
        <v>0</v>
      </c>
    </row>
    <row r="315" customFormat="false" ht="13.8" hidden="false" customHeight="false" outlineLevel="0" collapsed="false">
      <c r="B315" s="2" t="n">
        <v>314</v>
      </c>
      <c r="C315" s="5" t="n">
        <v>0</v>
      </c>
    </row>
    <row r="316" customFormat="false" ht="13.8" hidden="false" customHeight="false" outlineLevel="0" collapsed="false">
      <c r="B316" s="2" t="n">
        <v>315</v>
      </c>
      <c r="C316" s="5" t="n">
        <v>0</v>
      </c>
    </row>
    <row r="317" customFormat="false" ht="13.8" hidden="false" customHeight="false" outlineLevel="0" collapsed="false">
      <c r="B317" s="2" t="n">
        <v>316</v>
      </c>
      <c r="C317" s="5" t="n">
        <v>0</v>
      </c>
    </row>
    <row r="318" customFormat="false" ht="13.8" hidden="false" customHeight="false" outlineLevel="0" collapsed="false">
      <c r="B318" s="2" t="n">
        <v>317</v>
      </c>
      <c r="C318" s="5" t="n">
        <v>0</v>
      </c>
    </row>
    <row r="319" customFormat="false" ht="13.8" hidden="false" customHeight="false" outlineLevel="0" collapsed="false">
      <c r="B319" s="2" t="n">
        <v>318</v>
      </c>
      <c r="C319" s="5" t="n">
        <v>0</v>
      </c>
    </row>
    <row r="320" customFormat="false" ht="13.8" hidden="false" customHeight="false" outlineLevel="0" collapsed="false">
      <c r="B320" s="2" t="n">
        <v>319</v>
      </c>
      <c r="C320" s="5" t="n">
        <v>0</v>
      </c>
    </row>
    <row r="321" customFormat="false" ht="13.8" hidden="false" customHeight="false" outlineLevel="0" collapsed="false">
      <c r="B321" s="2" t="n">
        <v>320</v>
      </c>
      <c r="C321" s="5" t="n">
        <v>0</v>
      </c>
    </row>
    <row r="322" customFormat="false" ht="13.8" hidden="false" customHeight="false" outlineLevel="0" collapsed="false">
      <c r="B322" s="2" t="n">
        <v>321</v>
      </c>
      <c r="C322" s="5" t="n">
        <v>0</v>
      </c>
    </row>
    <row r="323" customFormat="false" ht="13.8" hidden="false" customHeight="false" outlineLevel="0" collapsed="false">
      <c r="B323" s="2" t="n">
        <v>322</v>
      </c>
      <c r="C323" s="5" t="n">
        <v>0</v>
      </c>
    </row>
    <row r="324" customFormat="false" ht="13.8" hidden="false" customHeight="false" outlineLevel="0" collapsed="false">
      <c r="B324" s="2" t="n">
        <v>323</v>
      </c>
      <c r="C324" s="5" t="n">
        <v>0</v>
      </c>
    </row>
    <row r="325" customFormat="false" ht="13.8" hidden="false" customHeight="false" outlineLevel="0" collapsed="false">
      <c r="B325" s="2" t="n">
        <v>324</v>
      </c>
      <c r="C325" s="5" t="n">
        <v>0</v>
      </c>
    </row>
    <row r="326" customFormat="false" ht="13.8" hidden="false" customHeight="false" outlineLevel="0" collapsed="false">
      <c r="B326" s="2" t="n">
        <v>325</v>
      </c>
      <c r="C326" s="5" t="n">
        <v>0</v>
      </c>
    </row>
    <row r="327" customFormat="false" ht="13.8" hidden="false" customHeight="false" outlineLevel="0" collapsed="false">
      <c r="B327" s="2" t="n">
        <v>326</v>
      </c>
      <c r="C327" s="5" t="n">
        <v>0</v>
      </c>
    </row>
    <row r="328" customFormat="false" ht="13.8" hidden="false" customHeight="false" outlineLevel="0" collapsed="false">
      <c r="B328" s="2" t="n">
        <v>327</v>
      </c>
      <c r="C328" s="5" t="n">
        <v>0</v>
      </c>
    </row>
    <row r="329" customFormat="false" ht="13.8" hidden="false" customHeight="false" outlineLevel="0" collapsed="false">
      <c r="B329" s="2" t="n">
        <v>328</v>
      </c>
      <c r="C329" s="5" t="n">
        <v>0</v>
      </c>
    </row>
    <row r="330" customFormat="false" ht="13.8" hidden="false" customHeight="false" outlineLevel="0" collapsed="false">
      <c r="B330" s="2" t="n">
        <v>329</v>
      </c>
      <c r="C330" s="5" t="n">
        <v>0</v>
      </c>
    </row>
    <row r="331" customFormat="false" ht="13.8" hidden="false" customHeight="false" outlineLevel="0" collapsed="false">
      <c r="B331" s="2" t="n">
        <v>330</v>
      </c>
      <c r="C331" s="5" t="n">
        <v>0</v>
      </c>
    </row>
    <row r="332" customFormat="false" ht="13.8" hidden="false" customHeight="false" outlineLevel="0" collapsed="false">
      <c r="B332" s="2" t="n">
        <v>331</v>
      </c>
      <c r="C332" s="5" t="n">
        <v>0</v>
      </c>
    </row>
    <row r="333" customFormat="false" ht="13.8" hidden="false" customHeight="false" outlineLevel="0" collapsed="false">
      <c r="B333" s="2" t="n">
        <v>332</v>
      </c>
      <c r="C333" s="5" t="n">
        <v>0</v>
      </c>
    </row>
    <row r="334" customFormat="false" ht="13.8" hidden="false" customHeight="false" outlineLevel="0" collapsed="false">
      <c r="B334" s="2" t="n">
        <v>333</v>
      </c>
      <c r="C334" s="5" t="n">
        <v>0</v>
      </c>
    </row>
    <row r="335" customFormat="false" ht="13.8" hidden="false" customHeight="false" outlineLevel="0" collapsed="false">
      <c r="B335" s="2" t="n">
        <v>334</v>
      </c>
      <c r="C335" s="5" t="n">
        <v>0</v>
      </c>
    </row>
    <row r="336" customFormat="false" ht="13.8" hidden="false" customHeight="false" outlineLevel="0" collapsed="false">
      <c r="B336" s="2" t="n">
        <v>335</v>
      </c>
      <c r="C336" s="5" t="n">
        <v>0</v>
      </c>
    </row>
    <row r="337" customFormat="false" ht="13.8" hidden="false" customHeight="false" outlineLevel="0" collapsed="false">
      <c r="B337" s="2" t="n">
        <v>336</v>
      </c>
      <c r="C337" s="5" t="n">
        <v>0</v>
      </c>
    </row>
    <row r="338" customFormat="false" ht="13.8" hidden="false" customHeight="false" outlineLevel="0" collapsed="false">
      <c r="B338" s="2" t="n">
        <v>337</v>
      </c>
      <c r="C338" s="5" t="n">
        <v>0</v>
      </c>
    </row>
    <row r="339" customFormat="false" ht="13.8" hidden="false" customHeight="false" outlineLevel="0" collapsed="false">
      <c r="B339" s="2" t="n">
        <v>338</v>
      </c>
      <c r="C339" s="5" t="n">
        <v>0</v>
      </c>
    </row>
    <row r="340" customFormat="false" ht="13.8" hidden="false" customHeight="false" outlineLevel="0" collapsed="false">
      <c r="B340" s="2" t="n">
        <v>339</v>
      </c>
      <c r="C340" s="5" t="n">
        <v>0</v>
      </c>
    </row>
    <row r="341" customFormat="false" ht="13.8" hidden="false" customHeight="false" outlineLevel="0" collapsed="false">
      <c r="B341" s="2" t="n">
        <v>340</v>
      </c>
      <c r="C341" s="5" t="n">
        <v>0</v>
      </c>
    </row>
    <row r="342" customFormat="false" ht="13.8" hidden="false" customHeight="false" outlineLevel="0" collapsed="false">
      <c r="B342" s="2" t="n">
        <v>341</v>
      </c>
      <c r="C342" s="5" t="n">
        <v>0</v>
      </c>
    </row>
    <row r="343" customFormat="false" ht="13.8" hidden="false" customHeight="false" outlineLevel="0" collapsed="false">
      <c r="B343" s="2" t="n">
        <v>342</v>
      </c>
      <c r="C343" s="5" t="n">
        <v>0</v>
      </c>
    </row>
    <row r="344" customFormat="false" ht="13.8" hidden="false" customHeight="false" outlineLevel="0" collapsed="false">
      <c r="B344" s="2" t="n">
        <v>343</v>
      </c>
      <c r="C344" s="5" t="n">
        <v>0</v>
      </c>
    </row>
    <row r="345" customFormat="false" ht="13.8" hidden="false" customHeight="false" outlineLevel="0" collapsed="false">
      <c r="B345" s="2" t="n">
        <v>344</v>
      </c>
      <c r="C345" s="5" t="n">
        <v>0</v>
      </c>
    </row>
    <row r="346" customFormat="false" ht="13.8" hidden="false" customHeight="false" outlineLevel="0" collapsed="false">
      <c r="B346" s="2" t="n">
        <v>345</v>
      </c>
      <c r="C346" s="5" t="n">
        <v>0</v>
      </c>
    </row>
    <row r="347" customFormat="false" ht="13.8" hidden="false" customHeight="false" outlineLevel="0" collapsed="false">
      <c r="B347" s="2" t="n">
        <v>346</v>
      </c>
      <c r="C347" s="5" t="n">
        <v>0</v>
      </c>
    </row>
    <row r="348" customFormat="false" ht="13.8" hidden="false" customHeight="false" outlineLevel="0" collapsed="false">
      <c r="B348" s="2" t="n">
        <v>347</v>
      </c>
      <c r="C348" s="5" t="n">
        <v>0</v>
      </c>
    </row>
    <row r="349" customFormat="false" ht="13.8" hidden="false" customHeight="false" outlineLevel="0" collapsed="false">
      <c r="B349" s="2" t="n">
        <v>348</v>
      </c>
      <c r="C349" s="5" t="n">
        <v>0</v>
      </c>
    </row>
    <row r="350" customFormat="false" ht="13.8" hidden="false" customHeight="false" outlineLevel="0" collapsed="false">
      <c r="B350" s="2" t="n">
        <v>349</v>
      </c>
      <c r="C350" s="5" t="n">
        <v>0</v>
      </c>
    </row>
    <row r="351" customFormat="false" ht="13.8" hidden="false" customHeight="false" outlineLevel="0" collapsed="false">
      <c r="B351" s="2" t="n">
        <v>350</v>
      </c>
      <c r="C351" s="5" t="n">
        <v>0</v>
      </c>
    </row>
    <row r="352" customFormat="false" ht="13.8" hidden="false" customHeight="false" outlineLevel="0" collapsed="false">
      <c r="B352" s="2" t="n">
        <v>351</v>
      </c>
      <c r="C352" s="5" t="n">
        <v>0</v>
      </c>
    </row>
    <row r="353" customFormat="false" ht="13.8" hidden="false" customHeight="false" outlineLevel="0" collapsed="false">
      <c r="B353" s="2" t="n">
        <v>352</v>
      </c>
      <c r="C353" s="5" t="n">
        <v>0</v>
      </c>
    </row>
    <row r="354" customFormat="false" ht="13.8" hidden="false" customHeight="false" outlineLevel="0" collapsed="false">
      <c r="B354" s="2" t="n">
        <v>353</v>
      </c>
      <c r="C354" s="5" t="n">
        <v>0</v>
      </c>
    </row>
    <row r="355" customFormat="false" ht="13.8" hidden="false" customHeight="false" outlineLevel="0" collapsed="false">
      <c r="B355" s="2" t="n">
        <v>354</v>
      </c>
      <c r="C355" s="5" t="n">
        <v>0</v>
      </c>
    </row>
    <row r="356" customFormat="false" ht="13.8" hidden="false" customHeight="false" outlineLevel="0" collapsed="false">
      <c r="B356" s="2" t="n">
        <v>355</v>
      </c>
      <c r="C356" s="5" t="n">
        <v>0</v>
      </c>
    </row>
    <row r="357" customFormat="false" ht="13.8" hidden="false" customHeight="false" outlineLevel="0" collapsed="false">
      <c r="B357" s="2" t="n">
        <v>356</v>
      </c>
      <c r="C357" s="5" t="n">
        <v>0</v>
      </c>
    </row>
    <row r="358" customFormat="false" ht="13.8" hidden="false" customHeight="false" outlineLevel="0" collapsed="false">
      <c r="B358" s="2" t="n">
        <v>357</v>
      </c>
      <c r="C358" s="5" t="n">
        <v>0</v>
      </c>
    </row>
    <row r="359" customFormat="false" ht="13.8" hidden="false" customHeight="false" outlineLevel="0" collapsed="false">
      <c r="B359" s="2" t="n">
        <v>358</v>
      </c>
      <c r="C359" s="5" t="n">
        <v>0</v>
      </c>
    </row>
    <row r="360" customFormat="false" ht="13.8" hidden="false" customHeight="false" outlineLevel="0" collapsed="false">
      <c r="B360" s="2" t="n">
        <v>359</v>
      </c>
      <c r="C360" s="5" t="n">
        <v>0</v>
      </c>
    </row>
    <row r="361" customFormat="false" ht="13.8" hidden="false" customHeight="false" outlineLevel="0" collapsed="false">
      <c r="B361" s="2" t="n">
        <v>360</v>
      </c>
      <c r="C361" s="5" t="n">
        <v>0</v>
      </c>
    </row>
    <row r="362" customFormat="false" ht="13.8" hidden="false" customHeight="false" outlineLevel="0" collapsed="false">
      <c r="B362" s="2" t="n">
        <v>361</v>
      </c>
      <c r="C362" s="5" t="n">
        <v>0</v>
      </c>
    </row>
    <row r="363" customFormat="false" ht="13.8" hidden="false" customHeight="false" outlineLevel="0" collapsed="false">
      <c r="B363" s="2" t="n">
        <v>362</v>
      </c>
      <c r="C363" s="5" t="n">
        <v>0</v>
      </c>
    </row>
    <row r="364" customFormat="false" ht="13.8" hidden="false" customHeight="false" outlineLevel="0" collapsed="false">
      <c r="B364" s="2" t="n">
        <v>363</v>
      </c>
      <c r="C364" s="5" t="n">
        <v>0</v>
      </c>
    </row>
    <row r="365" customFormat="false" ht="13.8" hidden="false" customHeight="false" outlineLevel="0" collapsed="false">
      <c r="B365" s="2" t="n">
        <v>364</v>
      </c>
      <c r="C365" s="5" t="n">
        <v>0</v>
      </c>
    </row>
    <row r="366" customFormat="false" ht="13.8" hidden="false" customHeight="false" outlineLevel="0" collapsed="false">
      <c r="B366" s="2" t="n">
        <v>365</v>
      </c>
      <c r="C366" s="5" t="n">
        <v>0</v>
      </c>
    </row>
    <row r="367" customFormat="false" ht="13.8" hidden="false" customHeight="false" outlineLevel="0" collapsed="false">
      <c r="B367" s="2" t="n">
        <v>366</v>
      </c>
      <c r="C367" s="5" t="n">
        <v>0</v>
      </c>
    </row>
    <row r="368" customFormat="false" ht="13.8" hidden="false" customHeight="false" outlineLevel="0" collapsed="false">
      <c r="B368" s="2" t="n">
        <v>367</v>
      </c>
      <c r="C368" s="5" t="n">
        <v>0</v>
      </c>
    </row>
    <row r="369" customFormat="false" ht="13.8" hidden="false" customHeight="false" outlineLevel="0" collapsed="false">
      <c r="B369" s="2" t="n">
        <v>368</v>
      </c>
      <c r="C369" s="5" t="n">
        <v>0</v>
      </c>
    </row>
    <row r="370" customFormat="false" ht="13.8" hidden="false" customHeight="false" outlineLevel="0" collapsed="false">
      <c r="B370" s="2" t="n">
        <v>369</v>
      </c>
      <c r="C370" s="5" t="n">
        <v>0</v>
      </c>
    </row>
    <row r="371" customFormat="false" ht="13.8" hidden="false" customHeight="false" outlineLevel="0" collapsed="false">
      <c r="B371" s="2" t="n">
        <v>370</v>
      </c>
      <c r="C371" s="5" t="n">
        <v>0</v>
      </c>
    </row>
    <row r="372" customFormat="false" ht="13.8" hidden="false" customHeight="false" outlineLevel="0" collapsed="false">
      <c r="B372" s="2" t="n">
        <v>371</v>
      </c>
      <c r="C372" s="5" t="n">
        <v>0</v>
      </c>
    </row>
    <row r="373" customFormat="false" ht="13.8" hidden="false" customHeight="false" outlineLevel="0" collapsed="false">
      <c r="B373" s="2" t="n">
        <v>372</v>
      </c>
      <c r="C373" s="5" t="n">
        <v>0</v>
      </c>
    </row>
    <row r="374" customFormat="false" ht="13.8" hidden="false" customHeight="false" outlineLevel="0" collapsed="false">
      <c r="B374" s="2" t="n">
        <v>373</v>
      </c>
      <c r="C374" s="5" t="n">
        <v>0</v>
      </c>
    </row>
    <row r="375" customFormat="false" ht="13.8" hidden="false" customHeight="false" outlineLevel="0" collapsed="false">
      <c r="B375" s="2" t="n">
        <v>374</v>
      </c>
      <c r="C375" s="5" t="n">
        <v>0</v>
      </c>
    </row>
    <row r="376" customFormat="false" ht="13.8" hidden="false" customHeight="false" outlineLevel="0" collapsed="false">
      <c r="B376" s="2" t="n">
        <v>375</v>
      </c>
      <c r="C376" s="5" t="n">
        <v>0</v>
      </c>
    </row>
    <row r="377" customFormat="false" ht="13.8" hidden="false" customHeight="false" outlineLevel="0" collapsed="false">
      <c r="B377" s="2" t="n">
        <v>376</v>
      </c>
      <c r="C377" s="5" t="n">
        <v>0</v>
      </c>
    </row>
    <row r="378" customFormat="false" ht="13.8" hidden="false" customHeight="false" outlineLevel="0" collapsed="false">
      <c r="B378" s="2" t="n">
        <v>377</v>
      </c>
      <c r="C378" s="5" t="n">
        <v>0</v>
      </c>
    </row>
    <row r="379" customFormat="false" ht="13.8" hidden="false" customHeight="false" outlineLevel="0" collapsed="false">
      <c r="B379" s="2" t="n">
        <v>378</v>
      </c>
      <c r="C379" s="5" t="n">
        <v>0</v>
      </c>
    </row>
    <row r="380" customFormat="false" ht="13.8" hidden="false" customHeight="false" outlineLevel="0" collapsed="false">
      <c r="B380" s="2" t="n">
        <v>379</v>
      </c>
      <c r="C380" s="5" t="n">
        <v>0</v>
      </c>
    </row>
    <row r="381" customFormat="false" ht="13.8" hidden="false" customHeight="false" outlineLevel="0" collapsed="false">
      <c r="B381" s="2" t="n">
        <v>380</v>
      </c>
      <c r="C381" s="5" t="n">
        <v>0</v>
      </c>
    </row>
    <row r="382" customFormat="false" ht="13.8" hidden="false" customHeight="false" outlineLevel="0" collapsed="false">
      <c r="B382" s="2" t="n">
        <v>381</v>
      </c>
      <c r="C382" s="5" t="n">
        <v>0</v>
      </c>
    </row>
    <row r="383" customFormat="false" ht="13.8" hidden="false" customHeight="false" outlineLevel="0" collapsed="false">
      <c r="B383" s="2" t="n">
        <v>382</v>
      </c>
      <c r="C383" s="5" t="n">
        <v>0</v>
      </c>
    </row>
    <row r="384" customFormat="false" ht="13.8" hidden="false" customHeight="false" outlineLevel="0" collapsed="false">
      <c r="B384" s="2" t="n">
        <v>383</v>
      </c>
      <c r="C384" s="5" t="n">
        <v>0</v>
      </c>
    </row>
    <row r="385" customFormat="false" ht="13.8" hidden="false" customHeight="false" outlineLevel="0" collapsed="false">
      <c r="B385" s="2" t="n">
        <v>384</v>
      </c>
      <c r="C385" s="5" t="n">
        <v>0</v>
      </c>
    </row>
    <row r="386" customFormat="false" ht="13.8" hidden="false" customHeight="false" outlineLevel="0" collapsed="false">
      <c r="B386" s="2" t="n">
        <v>385</v>
      </c>
      <c r="C386" s="5" t="n">
        <v>0</v>
      </c>
    </row>
    <row r="387" customFormat="false" ht="13.8" hidden="false" customHeight="false" outlineLevel="0" collapsed="false">
      <c r="B387" s="2" t="n">
        <v>386</v>
      </c>
      <c r="C387" s="5" t="n">
        <v>0</v>
      </c>
    </row>
    <row r="388" customFormat="false" ht="13.8" hidden="false" customHeight="false" outlineLevel="0" collapsed="false">
      <c r="B388" s="2" t="n">
        <v>387</v>
      </c>
      <c r="C388" s="5" t="n">
        <v>0</v>
      </c>
    </row>
    <row r="389" customFormat="false" ht="13.8" hidden="false" customHeight="false" outlineLevel="0" collapsed="false">
      <c r="B389" s="2" t="n">
        <v>388</v>
      </c>
      <c r="C389" s="5" t="n">
        <v>0</v>
      </c>
    </row>
    <row r="390" customFormat="false" ht="13.8" hidden="false" customHeight="false" outlineLevel="0" collapsed="false">
      <c r="B390" s="2" t="n">
        <v>389</v>
      </c>
      <c r="C390" s="5" t="n">
        <v>0</v>
      </c>
    </row>
    <row r="391" customFormat="false" ht="13.8" hidden="false" customHeight="false" outlineLevel="0" collapsed="false">
      <c r="B391" s="2" t="n">
        <v>390</v>
      </c>
      <c r="C391" s="5" t="n">
        <v>0</v>
      </c>
    </row>
    <row r="392" customFormat="false" ht="13.8" hidden="false" customHeight="false" outlineLevel="0" collapsed="false">
      <c r="B392" s="2" t="n">
        <v>391</v>
      </c>
      <c r="C392" s="5" t="n">
        <v>0</v>
      </c>
    </row>
    <row r="393" customFormat="false" ht="13.8" hidden="false" customHeight="false" outlineLevel="0" collapsed="false">
      <c r="B393" s="2" t="n">
        <v>392</v>
      </c>
      <c r="C393" s="5" t="n">
        <v>0</v>
      </c>
    </row>
    <row r="394" customFormat="false" ht="13.8" hidden="false" customHeight="false" outlineLevel="0" collapsed="false">
      <c r="B394" s="2" t="n">
        <v>393</v>
      </c>
      <c r="C394" s="5" t="n">
        <v>0</v>
      </c>
    </row>
    <row r="395" customFormat="false" ht="13.8" hidden="false" customHeight="false" outlineLevel="0" collapsed="false">
      <c r="B395" s="2" t="n">
        <v>394</v>
      </c>
      <c r="C395" s="5" t="n">
        <v>0</v>
      </c>
    </row>
    <row r="396" customFormat="false" ht="13.8" hidden="false" customHeight="false" outlineLevel="0" collapsed="false">
      <c r="B396" s="2" t="n">
        <v>395</v>
      </c>
      <c r="C396" s="5" t="n">
        <v>0</v>
      </c>
    </row>
    <row r="397" customFormat="false" ht="13.8" hidden="false" customHeight="false" outlineLevel="0" collapsed="false">
      <c r="B397" s="2" t="n">
        <v>396</v>
      </c>
      <c r="C397" s="5" t="n">
        <v>0</v>
      </c>
    </row>
    <row r="398" customFormat="false" ht="13.8" hidden="false" customHeight="false" outlineLevel="0" collapsed="false">
      <c r="B398" s="2" t="n">
        <v>397</v>
      </c>
      <c r="C398" s="5" t="n">
        <v>0</v>
      </c>
    </row>
    <row r="399" customFormat="false" ht="13.8" hidden="false" customHeight="false" outlineLevel="0" collapsed="false">
      <c r="B399" s="2" t="n">
        <v>398</v>
      </c>
      <c r="C399" s="5" t="n">
        <v>0</v>
      </c>
    </row>
    <row r="400" customFormat="false" ht="13.8" hidden="false" customHeight="false" outlineLevel="0" collapsed="false">
      <c r="B400" s="2" t="n">
        <v>399</v>
      </c>
      <c r="C400" s="5" t="n">
        <v>0</v>
      </c>
    </row>
    <row r="401" customFormat="false" ht="13.8" hidden="false" customHeight="false" outlineLevel="0" collapsed="false">
      <c r="B401" s="2" t="n">
        <v>400</v>
      </c>
      <c r="C401" s="5" t="n">
        <v>0</v>
      </c>
    </row>
    <row r="402" customFormat="false" ht="13.8" hidden="false" customHeight="false" outlineLevel="0" collapsed="false">
      <c r="B402" s="2" t="n">
        <v>401</v>
      </c>
      <c r="C402" s="5" t="n">
        <v>0</v>
      </c>
    </row>
    <row r="403" customFormat="false" ht="13.8" hidden="false" customHeight="false" outlineLevel="0" collapsed="false">
      <c r="B403" s="2" t="n">
        <v>402</v>
      </c>
      <c r="C403" s="5" t="n">
        <v>0</v>
      </c>
    </row>
    <row r="404" customFormat="false" ht="13.8" hidden="false" customHeight="false" outlineLevel="0" collapsed="false">
      <c r="B404" s="2" t="n">
        <v>403</v>
      </c>
      <c r="C404" s="5" t="n">
        <v>0</v>
      </c>
    </row>
    <row r="405" customFormat="false" ht="13.8" hidden="false" customHeight="false" outlineLevel="0" collapsed="false">
      <c r="B405" s="2" t="n">
        <v>404</v>
      </c>
      <c r="C405" s="5" t="n">
        <v>0</v>
      </c>
    </row>
    <row r="406" customFormat="false" ht="13.8" hidden="false" customHeight="false" outlineLevel="0" collapsed="false">
      <c r="B406" s="2" t="n">
        <v>405</v>
      </c>
      <c r="C406" s="5" t="n">
        <v>0</v>
      </c>
    </row>
    <row r="407" customFormat="false" ht="13.8" hidden="false" customHeight="false" outlineLevel="0" collapsed="false">
      <c r="B407" s="2" t="n">
        <v>406</v>
      </c>
      <c r="C407" s="5" t="n">
        <v>0</v>
      </c>
    </row>
    <row r="408" customFormat="false" ht="13.8" hidden="false" customHeight="false" outlineLevel="0" collapsed="false">
      <c r="B408" s="2" t="n">
        <v>407</v>
      </c>
      <c r="C408" s="5" t="n">
        <v>0</v>
      </c>
    </row>
    <row r="409" customFormat="false" ht="13.8" hidden="false" customHeight="false" outlineLevel="0" collapsed="false">
      <c r="B409" s="2" t="n">
        <v>408</v>
      </c>
      <c r="C409" s="5" t="n">
        <v>0</v>
      </c>
    </row>
    <row r="410" customFormat="false" ht="13.8" hidden="false" customHeight="false" outlineLevel="0" collapsed="false">
      <c r="B410" s="2" t="n">
        <v>409</v>
      </c>
      <c r="C410" s="5" t="n">
        <v>0</v>
      </c>
    </row>
    <row r="411" customFormat="false" ht="13.8" hidden="false" customHeight="false" outlineLevel="0" collapsed="false">
      <c r="B411" s="2" t="n">
        <v>410</v>
      </c>
      <c r="C411" s="5" t="n">
        <v>0</v>
      </c>
    </row>
    <row r="412" customFormat="false" ht="13.8" hidden="false" customHeight="false" outlineLevel="0" collapsed="false">
      <c r="B412" s="2" t="n">
        <v>411</v>
      </c>
      <c r="C412" s="5" t="n">
        <v>0</v>
      </c>
    </row>
    <row r="413" customFormat="false" ht="13.8" hidden="false" customHeight="false" outlineLevel="0" collapsed="false">
      <c r="B413" s="2" t="n">
        <v>412</v>
      </c>
      <c r="C413" s="5" t="n">
        <v>0</v>
      </c>
    </row>
    <row r="414" customFormat="false" ht="13.8" hidden="false" customHeight="false" outlineLevel="0" collapsed="false">
      <c r="B414" s="2" t="n">
        <v>413</v>
      </c>
      <c r="C414" s="5" t="n">
        <v>0</v>
      </c>
    </row>
    <row r="415" customFormat="false" ht="13.8" hidden="false" customHeight="false" outlineLevel="0" collapsed="false">
      <c r="B415" s="2" t="n">
        <v>414</v>
      </c>
      <c r="C415" s="5" t="n">
        <v>0</v>
      </c>
    </row>
    <row r="416" customFormat="false" ht="13.8" hidden="false" customHeight="false" outlineLevel="0" collapsed="false">
      <c r="B416" s="2" t="n">
        <v>415</v>
      </c>
      <c r="C416" s="5" t="n">
        <v>0</v>
      </c>
    </row>
    <row r="417" customFormat="false" ht="13.8" hidden="false" customHeight="false" outlineLevel="0" collapsed="false">
      <c r="B417" s="2" t="n">
        <v>416</v>
      </c>
      <c r="C417" s="5" t="n">
        <v>0</v>
      </c>
    </row>
    <row r="418" customFormat="false" ht="13.8" hidden="false" customHeight="false" outlineLevel="0" collapsed="false">
      <c r="B418" s="2" t="n">
        <v>417</v>
      </c>
      <c r="C418" s="5" t="n">
        <v>0</v>
      </c>
    </row>
    <row r="419" customFormat="false" ht="13.8" hidden="false" customHeight="false" outlineLevel="0" collapsed="false">
      <c r="B419" s="2" t="n">
        <v>418</v>
      </c>
      <c r="C419" s="5" t="n">
        <v>0</v>
      </c>
    </row>
    <row r="420" customFormat="false" ht="13.8" hidden="false" customHeight="false" outlineLevel="0" collapsed="false">
      <c r="B420" s="2" t="n">
        <v>419</v>
      </c>
      <c r="C420" s="5" t="n">
        <v>0</v>
      </c>
    </row>
    <row r="421" customFormat="false" ht="13.8" hidden="false" customHeight="false" outlineLevel="0" collapsed="false">
      <c r="B421" s="2" t="n">
        <v>420</v>
      </c>
      <c r="C421" s="5" t="n">
        <v>0</v>
      </c>
    </row>
    <row r="422" customFormat="false" ht="13.8" hidden="false" customHeight="false" outlineLevel="0" collapsed="false">
      <c r="B422" s="2" t="n">
        <v>421</v>
      </c>
      <c r="C422" s="5" t="n">
        <v>0</v>
      </c>
    </row>
    <row r="423" customFormat="false" ht="13.8" hidden="false" customHeight="false" outlineLevel="0" collapsed="false">
      <c r="B423" s="2" t="n">
        <v>422</v>
      </c>
      <c r="C423" s="5" t="n">
        <v>0</v>
      </c>
    </row>
    <row r="424" customFormat="false" ht="13.8" hidden="false" customHeight="false" outlineLevel="0" collapsed="false">
      <c r="B424" s="2" t="n">
        <v>423</v>
      </c>
      <c r="C424" s="5" t="n">
        <v>0</v>
      </c>
    </row>
    <row r="425" customFormat="false" ht="13.8" hidden="false" customHeight="false" outlineLevel="0" collapsed="false">
      <c r="B425" s="2" t="n">
        <v>424</v>
      </c>
      <c r="C425" s="5" t="n">
        <v>0</v>
      </c>
    </row>
    <row r="426" customFormat="false" ht="13.8" hidden="false" customHeight="false" outlineLevel="0" collapsed="false">
      <c r="B426" s="2" t="n">
        <v>425</v>
      </c>
      <c r="C426" s="5" t="n">
        <v>0</v>
      </c>
    </row>
    <row r="427" customFormat="false" ht="13.8" hidden="false" customHeight="false" outlineLevel="0" collapsed="false">
      <c r="B427" s="2" t="n">
        <v>426</v>
      </c>
      <c r="C427" s="5" t="n">
        <v>0</v>
      </c>
    </row>
    <row r="428" customFormat="false" ht="13.8" hidden="false" customHeight="false" outlineLevel="0" collapsed="false">
      <c r="B428" s="2" t="n">
        <v>427</v>
      </c>
      <c r="C428" s="5" t="n">
        <v>0</v>
      </c>
    </row>
    <row r="429" customFormat="false" ht="13.8" hidden="false" customHeight="false" outlineLevel="0" collapsed="false">
      <c r="B429" s="2" t="n">
        <v>428</v>
      </c>
      <c r="C429" s="5" t="n">
        <v>0</v>
      </c>
    </row>
    <row r="430" customFormat="false" ht="13.8" hidden="false" customHeight="false" outlineLevel="0" collapsed="false">
      <c r="B430" s="2" t="n">
        <v>429</v>
      </c>
      <c r="C430" s="5" t="n">
        <v>0</v>
      </c>
    </row>
    <row r="431" customFormat="false" ht="13.8" hidden="false" customHeight="false" outlineLevel="0" collapsed="false">
      <c r="B431" s="2" t="n">
        <v>430</v>
      </c>
      <c r="C431" s="5" t="n">
        <v>0</v>
      </c>
    </row>
    <row r="432" customFormat="false" ht="13.8" hidden="false" customHeight="false" outlineLevel="0" collapsed="false">
      <c r="B432" s="2" t="n">
        <v>431</v>
      </c>
      <c r="C432" s="5" t="n">
        <v>0</v>
      </c>
    </row>
    <row r="433" customFormat="false" ht="13.8" hidden="false" customHeight="false" outlineLevel="0" collapsed="false">
      <c r="B433" s="2" t="n">
        <v>432</v>
      </c>
      <c r="C433" s="5" t="n">
        <v>0</v>
      </c>
    </row>
    <row r="434" customFormat="false" ht="13.8" hidden="false" customHeight="false" outlineLevel="0" collapsed="false">
      <c r="B434" s="2" t="n">
        <v>433</v>
      </c>
      <c r="C434" s="5" t="n">
        <v>0</v>
      </c>
    </row>
    <row r="435" customFormat="false" ht="13.8" hidden="false" customHeight="false" outlineLevel="0" collapsed="false">
      <c r="B435" s="2" t="n">
        <v>434</v>
      </c>
      <c r="C435" s="5" t="n">
        <v>0</v>
      </c>
    </row>
    <row r="436" customFormat="false" ht="13.8" hidden="false" customHeight="false" outlineLevel="0" collapsed="false">
      <c r="B436" s="2" t="n">
        <v>435</v>
      </c>
      <c r="C436" s="5" t="n">
        <v>0</v>
      </c>
    </row>
    <row r="437" customFormat="false" ht="13.8" hidden="false" customHeight="false" outlineLevel="0" collapsed="false">
      <c r="B437" s="2" t="n">
        <v>436</v>
      </c>
      <c r="C437" s="5" t="n">
        <v>0</v>
      </c>
    </row>
    <row r="438" customFormat="false" ht="13.8" hidden="false" customHeight="false" outlineLevel="0" collapsed="false">
      <c r="B438" s="2" t="n">
        <v>437</v>
      </c>
      <c r="C438" s="5" t="n">
        <v>0</v>
      </c>
    </row>
    <row r="439" customFormat="false" ht="13.8" hidden="false" customHeight="false" outlineLevel="0" collapsed="false">
      <c r="B439" s="2" t="n">
        <v>438</v>
      </c>
      <c r="C439" s="5" t="n">
        <v>0</v>
      </c>
    </row>
    <row r="440" customFormat="false" ht="13.8" hidden="false" customHeight="false" outlineLevel="0" collapsed="false">
      <c r="B440" s="2" t="n">
        <v>439</v>
      </c>
      <c r="C440" s="5" t="n">
        <v>0</v>
      </c>
    </row>
    <row r="441" customFormat="false" ht="13.8" hidden="false" customHeight="false" outlineLevel="0" collapsed="false">
      <c r="B441" s="2" t="n">
        <v>440</v>
      </c>
      <c r="C441" s="5" t="n">
        <v>0</v>
      </c>
    </row>
    <row r="442" customFormat="false" ht="13.8" hidden="false" customHeight="false" outlineLevel="0" collapsed="false">
      <c r="B442" s="2" t="n">
        <v>441</v>
      </c>
      <c r="C442" s="5" t="n">
        <v>0</v>
      </c>
    </row>
    <row r="443" customFormat="false" ht="13.8" hidden="false" customHeight="false" outlineLevel="0" collapsed="false">
      <c r="B443" s="2" t="n">
        <v>442</v>
      </c>
      <c r="C443" s="5" t="n">
        <v>0</v>
      </c>
    </row>
    <row r="444" customFormat="false" ht="13.8" hidden="false" customHeight="false" outlineLevel="0" collapsed="false">
      <c r="B444" s="2" t="n">
        <v>443</v>
      </c>
      <c r="C444" s="5" t="n">
        <v>0</v>
      </c>
    </row>
    <row r="445" customFormat="false" ht="13.8" hidden="false" customHeight="false" outlineLevel="0" collapsed="false">
      <c r="B445" s="2" t="n">
        <v>444</v>
      </c>
      <c r="C445" s="5" t="n">
        <v>0</v>
      </c>
    </row>
    <row r="446" customFormat="false" ht="13.8" hidden="false" customHeight="false" outlineLevel="0" collapsed="false">
      <c r="B446" s="2" t="n">
        <v>445</v>
      </c>
      <c r="C446" s="5" t="n">
        <v>0</v>
      </c>
    </row>
    <row r="447" customFormat="false" ht="13.8" hidden="false" customHeight="false" outlineLevel="0" collapsed="false">
      <c r="B447" s="2" t="n">
        <v>446</v>
      </c>
      <c r="C447" s="5" t="n">
        <v>0</v>
      </c>
    </row>
    <row r="448" customFormat="false" ht="13.8" hidden="false" customHeight="false" outlineLevel="0" collapsed="false">
      <c r="B448" s="2" t="n">
        <v>447</v>
      </c>
      <c r="C448" s="5" t="n">
        <v>0</v>
      </c>
    </row>
    <row r="449" customFormat="false" ht="13.8" hidden="false" customHeight="false" outlineLevel="0" collapsed="false">
      <c r="B449" s="2" t="n">
        <v>448</v>
      </c>
      <c r="C449" s="5" t="n">
        <v>0</v>
      </c>
    </row>
    <row r="450" customFormat="false" ht="13.8" hidden="false" customHeight="false" outlineLevel="0" collapsed="false">
      <c r="B450" s="2" t="n">
        <v>449</v>
      </c>
      <c r="C450" s="5" t="n">
        <v>0</v>
      </c>
    </row>
    <row r="451" customFormat="false" ht="13.8" hidden="false" customHeight="false" outlineLevel="0" collapsed="false">
      <c r="B451" s="2" t="n">
        <v>450</v>
      </c>
      <c r="C451" s="5" t="n">
        <v>0</v>
      </c>
    </row>
    <row r="452" customFormat="false" ht="13.8" hidden="false" customHeight="false" outlineLevel="0" collapsed="false">
      <c r="B452" s="2" t="n">
        <v>451</v>
      </c>
      <c r="C452" s="5" t="n">
        <v>0</v>
      </c>
    </row>
    <row r="453" customFormat="false" ht="13.8" hidden="false" customHeight="false" outlineLevel="0" collapsed="false">
      <c r="B453" s="2" t="n">
        <v>452</v>
      </c>
      <c r="C453" s="5" t="n">
        <v>0</v>
      </c>
    </row>
    <row r="454" customFormat="false" ht="13.8" hidden="false" customHeight="false" outlineLevel="0" collapsed="false">
      <c r="B454" s="2" t="n">
        <v>453</v>
      </c>
      <c r="C454" s="5" t="n">
        <v>0</v>
      </c>
    </row>
    <row r="455" customFormat="false" ht="13.8" hidden="false" customHeight="false" outlineLevel="0" collapsed="false">
      <c r="B455" s="2" t="n">
        <v>454</v>
      </c>
      <c r="C455" s="5" t="n">
        <v>0</v>
      </c>
    </row>
    <row r="456" customFormat="false" ht="13.8" hidden="false" customHeight="false" outlineLevel="0" collapsed="false">
      <c r="B456" s="2" t="n">
        <v>455</v>
      </c>
      <c r="C456" s="5" t="n">
        <v>0</v>
      </c>
    </row>
    <row r="457" customFormat="false" ht="13.8" hidden="false" customHeight="false" outlineLevel="0" collapsed="false">
      <c r="B457" s="2" t="n">
        <v>456</v>
      </c>
      <c r="C457" s="5" t="n">
        <v>0</v>
      </c>
    </row>
    <row r="458" customFormat="false" ht="13.8" hidden="false" customHeight="false" outlineLevel="0" collapsed="false">
      <c r="B458" s="2" t="n">
        <v>457</v>
      </c>
      <c r="C458" s="5" t="n">
        <v>0</v>
      </c>
    </row>
    <row r="459" customFormat="false" ht="13.8" hidden="false" customHeight="false" outlineLevel="0" collapsed="false">
      <c r="B459" s="2" t="n">
        <v>458</v>
      </c>
      <c r="C459" s="5" t="n">
        <v>0</v>
      </c>
    </row>
    <row r="460" customFormat="false" ht="13.8" hidden="false" customHeight="false" outlineLevel="0" collapsed="false">
      <c r="B460" s="2" t="n">
        <v>459</v>
      </c>
      <c r="C460" s="5" t="n">
        <v>0</v>
      </c>
    </row>
    <row r="461" customFormat="false" ht="13.8" hidden="false" customHeight="false" outlineLevel="0" collapsed="false">
      <c r="B461" s="2" t="n">
        <v>460</v>
      </c>
      <c r="C461" s="5" t="n">
        <v>0</v>
      </c>
    </row>
    <row r="462" customFormat="false" ht="13.8" hidden="false" customHeight="false" outlineLevel="0" collapsed="false">
      <c r="B462" s="2" t="n">
        <v>461</v>
      </c>
      <c r="C462" s="5" t="n">
        <v>0</v>
      </c>
    </row>
    <row r="463" customFormat="false" ht="13.8" hidden="false" customHeight="false" outlineLevel="0" collapsed="false">
      <c r="B463" s="2" t="n">
        <v>462</v>
      </c>
      <c r="C463" s="5" t="n">
        <v>0</v>
      </c>
    </row>
    <row r="464" customFormat="false" ht="13.8" hidden="false" customHeight="false" outlineLevel="0" collapsed="false">
      <c r="B464" s="2" t="n">
        <v>463</v>
      </c>
      <c r="C464" s="5" t="n">
        <v>0</v>
      </c>
    </row>
    <row r="465" customFormat="false" ht="13.8" hidden="false" customHeight="false" outlineLevel="0" collapsed="false">
      <c r="B465" s="2" t="n">
        <v>464</v>
      </c>
      <c r="C465" s="5" t="n">
        <v>0</v>
      </c>
    </row>
    <row r="466" customFormat="false" ht="13.8" hidden="false" customHeight="false" outlineLevel="0" collapsed="false">
      <c r="B466" s="2" t="n">
        <v>465</v>
      </c>
      <c r="C466" s="5" t="n">
        <v>0</v>
      </c>
    </row>
    <row r="467" customFormat="false" ht="13.8" hidden="false" customHeight="false" outlineLevel="0" collapsed="false">
      <c r="B467" s="2" t="n">
        <v>466</v>
      </c>
      <c r="C467" s="5" t="n">
        <v>0</v>
      </c>
    </row>
    <row r="468" customFormat="false" ht="13.8" hidden="false" customHeight="false" outlineLevel="0" collapsed="false">
      <c r="B468" s="2" t="n">
        <v>467</v>
      </c>
      <c r="C468" s="5" t="n">
        <v>0</v>
      </c>
    </row>
    <row r="469" customFormat="false" ht="13.8" hidden="false" customHeight="false" outlineLevel="0" collapsed="false">
      <c r="B469" s="2" t="n">
        <v>468</v>
      </c>
      <c r="C469" s="5" t="n">
        <v>0</v>
      </c>
    </row>
    <row r="470" customFormat="false" ht="13.8" hidden="false" customHeight="false" outlineLevel="0" collapsed="false">
      <c r="B470" s="2" t="n">
        <v>469</v>
      </c>
      <c r="C470" s="5" t="n">
        <v>0</v>
      </c>
    </row>
    <row r="471" customFormat="false" ht="13.8" hidden="false" customHeight="false" outlineLevel="0" collapsed="false">
      <c r="B471" s="2" t="n">
        <v>470</v>
      </c>
      <c r="C471" s="5" t="n">
        <v>0</v>
      </c>
    </row>
    <row r="472" customFormat="false" ht="13.8" hidden="false" customHeight="false" outlineLevel="0" collapsed="false">
      <c r="B472" s="2" t="n">
        <v>471</v>
      </c>
      <c r="C472" s="5" t="n">
        <v>0</v>
      </c>
    </row>
    <row r="473" customFormat="false" ht="13.8" hidden="false" customHeight="false" outlineLevel="0" collapsed="false">
      <c r="B473" s="2" t="n">
        <v>472</v>
      </c>
      <c r="C473" s="5" t="n">
        <v>0</v>
      </c>
    </row>
    <row r="474" customFormat="false" ht="13.8" hidden="false" customHeight="false" outlineLevel="0" collapsed="false">
      <c r="B474" s="2" t="n">
        <v>473</v>
      </c>
      <c r="C474" s="5" t="n">
        <v>0</v>
      </c>
    </row>
    <row r="475" customFormat="false" ht="13.8" hidden="false" customHeight="false" outlineLevel="0" collapsed="false">
      <c r="B475" s="2" t="n">
        <v>474</v>
      </c>
      <c r="C475" s="5" t="n">
        <v>0</v>
      </c>
    </row>
    <row r="476" customFormat="false" ht="13.8" hidden="false" customHeight="false" outlineLevel="0" collapsed="false">
      <c r="B476" s="2" t="n">
        <v>475</v>
      </c>
      <c r="C476" s="5" t="n">
        <v>0</v>
      </c>
    </row>
    <row r="477" customFormat="false" ht="13.8" hidden="false" customHeight="false" outlineLevel="0" collapsed="false">
      <c r="B477" s="2" t="n">
        <v>476</v>
      </c>
      <c r="C477" s="5" t="n">
        <v>0</v>
      </c>
    </row>
    <row r="478" customFormat="false" ht="13.8" hidden="false" customHeight="false" outlineLevel="0" collapsed="false">
      <c r="B478" s="2" t="n">
        <v>477</v>
      </c>
      <c r="C478" s="5" t="n">
        <v>0</v>
      </c>
    </row>
    <row r="479" customFormat="false" ht="13.8" hidden="false" customHeight="false" outlineLevel="0" collapsed="false">
      <c r="B479" s="2" t="n">
        <v>478</v>
      </c>
      <c r="C479" s="5" t="n">
        <v>0</v>
      </c>
    </row>
    <row r="480" customFormat="false" ht="13.8" hidden="false" customHeight="false" outlineLevel="0" collapsed="false">
      <c r="B480" s="2" t="n">
        <v>479</v>
      </c>
      <c r="C480" s="5" t="n">
        <v>0</v>
      </c>
    </row>
    <row r="481" customFormat="false" ht="13.8" hidden="false" customHeight="false" outlineLevel="0" collapsed="false">
      <c r="B481" s="2" t="n">
        <v>480</v>
      </c>
      <c r="C481" s="5" t="n">
        <v>0</v>
      </c>
    </row>
    <row r="482" customFormat="false" ht="13.8" hidden="false" customHeight="false" outlineLevel="0" collapsed="false">
      <c r="B482" s="2" t="n">
        <v>481</v>
      </c>
      <c r="C482" s="5" t="n">
        <v>0</v>
      </c>
    </row>
    <row r="483" customFormat="false" ht="13.8" hidden="false" customHeight="false" outlineLevel="0" collapsed="false">
      <c r="B483" s="2" t="n">
        <v>482</v>
      </c>
      <c r="C483" s="5" t="n">
        <v>0</v>
      </c>
    </row>
    <row r="484" customFormat="false" ht="13.8" hidden="false" customHeight="false" outlineLevel="0" collapsed="false">
      <c r="B484" s="2" t="n">
        <v>483</v>
      </c>
      <c r="C484" s="5" t="n">
        <v>0</v>
      </c>
    </row>
    <row r="485" customFormat="false" ht="13.8" hidden="false" customHeight="false" outlineLevel="0" collapsed="false">
      <c r="B485" s="2" t="n">
        <v>484</v>
      </c>
      <c r="C485" s="5" t="n">
        <v>0</v>
      </c>
    </row>
    <row r="486" customFormat="false" ht="13.8" hidden="false" customHeight="false" outlineLevel="0" collapsed="false">
      <c r="B486" s="2" t="n">
        <v>485</v>
      </c>
      <c r="C486" s="5" t="n">
        <v>0</v>
      </c>
    </row>
    <row r="487" customFormat="false" ht="13.8" hidden="false" customHeight="false" outlineLevel="0" collapsed="false">
      <c r="B487" s="2" t="n">
        <v>486</v>
      </c>
      <c r="C487" s="5" t="n">
        <v>0</v>
      </c>
    </row>
    <row r="488" customFormat="false" ht="13.8" hidden="false" customHeight="false" outlineLevel="0" collapsed="false">
      <c r="B488" s="2" t="n">
        <v>487</v>
      </c>
      <c r="C488" s="5" t="n">
        <v>0</v>
      </c>
    </row>
    <row r="489" customFormat="false" ht="13.8" hidden="false" customHeight="false" outlineLevel="0" collapsed="false">
      <c r="B489" s="2" t="n">
        <v>488</v>
      </c>
      <c r="C489" s="5" t="n">
        <v>0</v>
      </c>
    </row>
    <row r="490" customFormat="false" ht="13.8" hidden="false" customHeight="false" outlineLevel="0" collapsed="false">
      <c r="B490" s="2" t="n">
        <v>489</v>
      </c>
      <c r="C490" s="5" t="n">
        <v>0</v>
      </c>
    </row>
    <row r="491" customFormat="false" ht="13.8" hidden="false" customHeight="false" outlineLevel="0" collapsed="false">
      <c r="B491" s="2" t="n">
        <v>490</v>
      </c>
      <c r="C491" s="5" t="n">
        <v>0</v>
      </c>
    </row>
    <row r="492" customFormat="false" ht="13.8" hidden="false" customHeight="false" outlineLevel="0" collapsed="false">
      <c r="B492" s="2" t="n">
        <v>491</v>
      </c>
      <c r="C492" s="5" t="n">
        <v>0</v>
      </c>
    </row>
    <row r="493" customFormat="false" ht="13.8" hidden="false" customHeight="false" outlineLevel="0" collapsed="false">
      <c r="B493" s="2" t="n">
        <v>492</v>
      </c>
      <c r="C493" s="5" t="n">
        <v>0</v>
      </c>
    </row>
    <row r="494" customFormat="false" ht="13.8" hidden="false" customHeight="false" outlineLevel="0" collapsed="false">
      <c r="B494" s="2" t="n">
        <v>493</v>
      </c>
      <c r="C494" s="5" t="n">
        <v>0</v>
      </c>
    </row>
    <row r="495" customFormat="false" ht="13.8" hidden="false" customHeight="false" outlineLevel="0" collapsed="false">
      <c r="B495" s="2" t="n">
        <v>494</v>
      </c>
      <c r="C495" s="5" t="n">
        <v>0</v>
      </c>
    </row>
    <row r="496" customFormat="false" ht="13.8" hidden="false" customHeight="false" outlineLevel="0" collapsed="false">
      <c r="B496" s="2" t="n">
        <v>495</v>
      </c>
      <c r="C496" s="5" t="n">
        <v>0</v>
      </c>
    </row>
    <row r="497" customFormat="false" ht="13.8" hidden="false" customHeight="false" outlineLevel="0" collapsed="false">
      <c r="B497" s="2" t="n">
        <v>496</v>
      </c>
      <c r="C497" s="5" t="n">
        <v>0</v>
      </c>
    </row>
    <row r="498" customFormat="false" ht="13.8" hidden="false" customHeight="false" outlineLevel="0" collapsed="false">
      <c r="B498" s="2" t="n">
        <v>497</v>
      </c>
      <c r="C498" s="5" t="n">
        <v>0</v>
      </c>
    </row>
    <row r="499" customFormat="false" ht="13.8" hidden="false" customHeight="false" outlineLevel="0" collapsed="false">
      <c r="B499" s="2" t="n">
        <v>498</v>
      </c>
      <c r="C499" s="5" t="n">
        <v>0</v>
      </c>
    </row>
    <row r="500" customFormat="false" ht="13.8" hidden="false" customHeight="false" outlineLevel="0" collapsed="false">
      <c r="B500" s="2" t="n">
        <v>499</v>
      </c>
      <c r="C500" s="5" t="n">
        <v>0</v>
      </c>
    </row>
    <row r="501" customFormat="false" ht="13.8" hidden="false" customHeight="false" outlineLevel="0" collapsed="false">
      <c r="B501" s="2" t="n">
        <v>500</v>
      </c>
      <c r="C501" s="5" t="n">
        <v>0</v>
      </c>
    </row>
    <row r="502" customFormat="false" ht="13.8" hidden="false" customHeight="false" outlineLevel="0" collapsed="false">
      <c r="B502" s="2" t="n">
        <v>501</v>
      </c>
      <c r="C502" s="5" t="n">
        <v>0</v>
      </c>
    </row>
    <row r="503" customFormat="false" ht="13.8" hidden="false" customHeight="false" outlineLevel="0" collapsed="false">
      <c r="B503" s="2" t="n">
        <v>502</v>
      </c>
      <c r="C503" s="5" t="n">
        <v>0</v>
      </c>
    </row>
    <row r="504" customFormat="false" ht="13.8" hidden="false" customHeight="false" outlineLevel="0" collapsed="false">
      <c r="B504" s="2" t="n">
        <v>503</v>
      </c>
      <c r="C504" s="5" t="n">
        <v>0</v>
      </c>
    </row>
    <row r="505" customFormat="false" ht="13.8" hidden="false" customHeight="false" outlineLevel="0" collapsed="false">
      <c r="B505" s="2" t="n">
        <v>504</v>
      </c>
      <c r="C505" s="5" t="n">
        <v>0</v>
      </c>
    </row>
    <row r="506" customFormat="false" ht="13.8" hidden="false" customHeight="false" outlineLevel="0" collapsed="false">
      <c r="B506" s="2" t="n">
        <v>505</v>
      </c>
      <c r="C506" s="5" t="n">
        <v>0</v>
      </c>
    </row>
    <row r="507" customFormat="false" ht="13.8" hidden="false" customHeight="false" outlineLevel="0" collapsed="false">
      <c r="B507" s="2" t="n">
        <v>506</v>
      </c>
      <c r="C507" s="5" t="n">
        <v>0</v>
      </c>
    </row>
    <row r="508" customFormat="false" ht="13.8" hidden="false" customHeight="false" outlineLevel="0" collapsed="false">
      <c r="B508" s="2" t="n">
        <v>507</v>
      </c>
      <c r="C508" s="5" t="n">
        <v>0</v>
      </c>
    </row>
    <row r="509" customFormat="false" ht="13.8" hidden="false" customHeight="false" outlineLevel="0" collapsed="false">
      <c r="B509" s="2" t="n">
        <v>508</v>
      </c>
      <c r="C509" s="5" t="n">
        <v>0</v>
      </c>
    </row>
    <row r="510" customFormat="false" ht="13.8" hidden="false" customHeight="false" outlineLevel="0" collapsed="false">
      <c r="B510" s="2" t="n">
        <v>509</v>
      </c>
      <c r="C510" s="5" t="n">
        <v>0</v>
      </c>
    </row>
    <row r="511" customFormat="false" ht="13.8" hidden="false" customHeight="false" outlineLevel="0" collapsed="false">
      <c r="B511" s="2" t="n">
        <v>510</v>
      </c>
      <c r="C511" s="5" t="n">
        <v>0</v>
      </c>
    </row>
    <row r="512" customFormat="false" ht="13.8" hidden="false" customHeight="false" outlineLevel="0" collapsed="false">
      <c r="B512" s="2" t="n">
        <v>511</v>
      </c>
      <c r="C512" s="5" t="n">
        <v>0</v>
      </c>
    </row>
    <row r="513" customFormat="false" ht="13.8" hidden="false" customHeight="false" outlineLevel="0" collapsed="false">
      <c r="B513" s="2" t="n">
        <v>512</v>
      </c>
      <c r="C513" s="5" t="n">
        <v>0</v>
      </c>
    </row>
    <row r="514" customFormat="false" ht="13.8" hidden="false" customHeight="false" outlineLevel="0" collapsed="false">
      <c r="B514" s="2" t="n">
        <v>513</v>
      </c>
      <c r="C514" s="5" t="n">
        <v>0</v>
      </c>
    </row>
    <row r="515" customFormat="false" ht="13.8" hidden="false" customHeight="false" outlineLevel="0" collapsed="false">
      <c r="B515" s="2" t="n">
        <v>514</v>
      </c>
      <c r="C515" s="5" t="n">
        <v>0</v>
      </c>
    </row>
    <row r="516" customFormat="false" ht="13.8" hidden="false" customHeight="false" outlineLevel="0" collapsed="false">
      <c r="B516" s="2" t="n">
        <v>515</v>
      </c>
      <c r="C516" s="5" t="n">
        <v>0</v>
      </c>
    </row>
    <row r="517" customFormat="false" ht="13.8" hidden="false" customHeight="false" outlineLevel="0" collapsed="false">
      <c r="B517" s="2" t="n">
        <v>516</v>
      </c>
      <c r="C517" s="5" t="n">
        <v>0</v>
      </c>
    </row>
    <row r="518" customFormat="false" ht="13.8" hidden="false" customHeight="false" outlineLevel="0" collapsed="false">
      <c r="B518" s="2" t="n">
        <v>517</v>
      </c>
      <c r="C518" s="5" t="n">
        <v>0</v>
      </c>
    </row>
    <row r="519" customFormat="false" ht="13.8" hidden="false" customHeight="false" outlineLevel="0" collapsed="false">
      <c r="B519" s="2" t="n">
        <v>518</v>
      </c>
      <c r="C519" s="5" t="n">
        <v>0</v>
      </c>
    </row>
    <row r="520" customFormat="false" ht="13.8" hidden="false" customHeight="false" outlineLevel="0" collapsed="false">
      <c r="B520" s="2" t="n">
        <v>519</v>
      </c>
      <c r="C520" s="5" t="n">
        <v>0</v>
      </c>
    </row>
    <row r="521" customFormat="false" ht="13.8" hidden="false" customHeight="false" outlineLevel="0" collapsed="false">
      <c r="B521" s="2" t="n">
        <v>520</v>
      </c>
      <c r="C521" s="5" t="n">
        <v>0</v>
      </c>
    </row>
    <row r="522" customFormat="false" ht="13.8" hidden="false" customHeight="false" outlineLevel="0" collapsed="false">
      <c r="B522" s="2" t="n">
        <v>521</v>
      </c>
      <c r="C522" s="5" t="n">
        <v>0</v>
      </c>
    </row>
    <row r="523" customFormat="false" ht="13.8" hidden="false" customHeight="false" outlineLevel="0" collapsed="false">
      <c r="B523" s="2" t="n">
        <v>522</v>
      </c>
      <c r="C523" s="5" t="n">
        <v>0</v>
      </c>
    </row>
    <row r="524" customFormat="false" ht="13.8" hidden="false" customHeight="false" outlineLevel="0" collapsed="false">
      <c r="B524" s="2" t="n">
        <v>523</v>
      </c>
      <c r="C524" s="5" t="n">
        <v>0</v>
      </c>
    </row>
    <row r="525" customFormat="false" ht="13.8" hidden="false" customHeight="false" outlineLevel="0" collapsed="false">
      <c r="B525" s="2" t="n">
        <v>524</v>
      </c>
      <c r="C525" s="5" t="n">
        <v>0</v>
      </c>
    </row>
    <row r="526" customFormat="false" ht="13.8" hidden="false" customHeight="false" outlineLevel="0" collapsed="false">
      <c r="B526" s="2" t="n">
        <v>525</v>
      </c>
      <c r="C526" s="5" t="n">
        <v>0</v>
      </c>
    </row>
    <row r="527" customFormat="false" ht="13.8" hidden="false" customHeight="false" outlineLevel="0" collapsed="false">
      <c r="B527" s="2" t="n">
        <v>526</v>
      </c>
      <c r="C527" s="5" t="n">
        <v>0</v>
      </c>
    </row>
    <row r="528" customFormat="false" ht="13.8" hidden="false" customHeight="false" outlineLevel="0" collapsed="false">
      <c r="B528" s="2" t="n">
        <v>527</v>
      </c>
      <c r="C528" s="5" t="n">
        <v>0</v>
      </c>
    </row>
    <row r="529" customFormat="false" ht="13.8" hidden="false" customHeight="false" outlineLevel="0" collapsed="false">
      <c r="B529" s="2" t="n">
        <v>528</v>
      </c>
      <c r="C529" s="5" t="n">
        <v>0</v>
      </c>
    </row>
    <row r="530" customFormat="false" ht="13.8" hidden="false" customHeight="false" outlineLevel="0" collapsed="false">
      <c r="B530" s="2" t="n">
        <v>529</v>
      </c>
      <c r="C530" s="5" t="n">
        <v>0</v>
      </c>
    </row>
    <row r="531" customFormat="false" ht="13.8" hidden="false" customHeight="false" outlineLevel="0" collapsed="false">
      <c r="B531" s="2" t="n">
        <v>530</v>
      </c>
      <c r="C531" s="5" t="n">
        <v>0</v>
      </c>
    </row>
    <row r="532" customFormat="false" ht="13.8" hidden="false" customHeight="false" outlineLevel="0" collapsed="false">
      <c r="B532" s="2" t="n">
        <v>531</v>
      </c>
      <c r="C532" s="5" t="n">
        <v>0</v>
      </c>
    </row>
    <row r="533" customFormat="false" ht="13.8" hidden="false" customHeight="false" outlineLevel="0" collapsed="false">
      <c r="B533" s="2" t="n">
        <v>532</v>
      </c>
      <c r="C533" s="5" t="n">
        <v>0</v>
      </c>
    </row>
    <row r="534" customFormat="false" ht="13.8" hidden="false" customHeight="false" outlineLevel="0" collapsed="false">
      <c r="B534" s="2" t="n">
        <v>533</v>
      </c>
      <c r="C534" s="5" t="n">
        <v>0</v>
      </c>
    </row>
    <row r="535" customFormat="false" ht="13.8" hidden="false" customHeight="false" outlineLevel="0" collapsed="false">
      <c r="B535" s="2" t="n">
        <v>534</v>
      </c>
      <c r="C535" s="5" t="n">
        <v>0</v>
      </c>
    </row>
    <row r="536" customFormat="false" ht="13.8" hidden="false" customHeight="false" outlineLevel="0" collapsed="false">
      <c r="B536" s="2" t="n">
        <v>535</v>
      </c>
      <c r="C536" s="5" t="n">
        <v>0</v>
      </c>
    </row>
    <row r="537" customFormat="false" ht="13.8" hidden="false" customHeight="false" outlineLevel="0" collapsed="false">
      <c r="B537" s="2" t="n">
        <v>536</v>
      </c>
      <c r="C537" s="5" t="n">
        <v>0</v>
      </c>
    </row>
    <row r="538" customFormat="false" ht="13.8" hidden="false" customHeight="false" outlineLevel="0" collapsed="false">
      <c r="B538" s="2" t="n">
        <v>537</v>
      </c>
      <c r="C538" s="5" t="n">
        <v>0</v>
      </c>
    </row>
    <row r="539" customFormat="false" ht="13.8" hidden="false" customHeight="false" outlineLevel="0" collapsed="false">
      <c r="B539" s="2" t="n">
        <v>538</v>
      </c>
      <c r="C539" s="5" t="n">
        <v>0</v>
      </c>
    </row>
    <row r="540" customFormat="false" ht="13.8" hidden="false" customHeight="false" outlineLevel="0" collapsed="false">
      <c r="B540" s="2" t="n">
        <v>539</v>
      </c>
      <c r="C540" s="5" t="n">
        <v>0</v>
      </c>
    </row>
    <row r="541" customFormat="false" ht="13.8" hidden="false" customHeight="false" outlineLevel="0" collapsed="false">
      <c r="B541" s="2" t="n">
        <v>540</v>
      </c>
      <c r="C541" s="5" t="n">
        <v>0</v>
      </c>
    </row>
    <row r="542" customFormat="false" ht="13.8" hidden="false" customHeight="false" outlineLevel="0" collapsed="false">
      <c r="B542" s="2" t="n">
        <v>541</v>
      </c>
      <c r="C542" s="5" t="n">
        <v>0</v>
      </c>
    </row>
    <row r="543" customFormat="false" ht="13.8" hidden="false" customHeight="false" outlineLevel="0" collapsed="false">
      <c r="B543" s="2" t="n">
        <v>542</v>
      </c>
      <c r="C543" s="5" t="n">
        <v>0</v>
      </c>
    </row>
    <row r="544" customFormat="false" ht="13.8" hidden="false" customHeight="false" outlineLevel="0" collapsed="false">
      <c r="B544" s="2" t="n">
        <v>543</v>
      </c>
      <c r="C544" s="5" t="n">
        <v>0</v>
      </c>
    </row>
    <row r="545" customFormat="false" ht="13.8" hidden="false" customHeight="false" outlineLevel="0" collapsed="false">
      <c r="B545" s="2" t="n">
        <v>544</v>
      </c>
      <c r="C545" s="5" t="n">
        <v>0</v>
      </c>
    </row>
    <row r="546" customFormat="false" ht="13.8" hidden="false" customHeight="false" outlineLevel="0" collapsed="false">
      <c r="B546" s="2" t="n">
        <v>545</v>
      </c>
      <c r="C546" s="5" t="n">
        <v>0</v>
      </c>
    </row>
    <row r="547" customFormat="false" ht="13.8" hidden="false" customHeight="false" outlineLevel="0" collapsed="false">
      <c r="B547" s="2" t="n">
        <v>546</v>
      </c>
      <c r="C547" s="5" t="n">
        <v>0</v>
      </c>
    </row>
    <row r="548" customFormat="false" ht="13.8" hidden="false" customHeight="false" outlineLevel="0" collapsed="false">
      <c r="B548" s="2" t="n">
        <v>547</v>
      </c>
      <c r="C548" s="5" t="n">
        <v>0</v>
      </c>
    </row>
    <row r="549" customFormat="false" ht="13.8" hidden="false" customHeight="false" outlineLevel="0" collapsed="false">
      <c r="B549" s="2" t="n">
        <v>548</v>
      </c>
      <c r="C549" s="5" t="n">
        <v>0</v>
      </c>
    </row>
    <row r="550" customFormat="false" ht="13.8" hidden="false" customHeight="false" outlineLevel="0" collapsed="false">
      <c r="B550" s="2" t="n">
        <v>549</v>
      </c>
      <c r="C550" s="5" t="n">
        <v>0</v>
      </c>
    </row>
    <row r="551" customFormat="false" ht="13.8" hidden="false" customHeight="false" outlineLevel="0" collapsed="false">
      <c r="B551" s="2" t="n">
        <v>550</v>
      </c>
      <c r="C551" s="5" t="n">
        <v>0</v>
      </c>
    </row>
    <row r="552" customFormat="false" ht="13.8" hidden="false" customHeight="false" outlineLevel="0" collapsed="false">
      <c r="B552" s="2" t="n">
        <v>551</v>
      </c>
      <c r="C552" s="5" t="n">
        <v>0</v>
      </c>
    </row>
    <row r="553" customFormat="false" ht="13.8" hidden="false" customHeight="false" outlineLevel="0" collapsed="false">
      <c r="B553" s="2" t="n">
        <v>552</v>
      </c>
      <c r="C553" s="5" t="n">
        <v>0</v>
      </c>
    </row>
    <row r="554" customFormat="false" ht="13.8" hidden="false" customHeight="false" outlineLevel="0" collapsed="false">
      <c r="B554" s="2" t="n">
        <v>553</v>
      </c>
      <c r="C554" s="5" t="n">
        <v>0</v>
      </c>
    </row>
    <row r="555" customFormat="false" ht="13.8" hidden="false" customHeight="false" outlineLevel="0" collapsed="false">
      <c r="B555" s="2" t="n">
        <v>554</v>
      </c>
      <c r="C555" s="5" t="n">
        <v>0</v>
      </c>
    </row>
    <row r="556" customFormat="false" ht="13.8" hidden="false" customHeight="false" outlineLevel="0" collapsed="false">
      <c r="B556" s="2" t="n">
        <v>555</v>
      </c>
      <c r="C556" s="5" t="n">
        <v>0</v>
      </c>
    </row>
    <row r="557" customFormat="false" ht="13.8" hidden="false" customHeight="false" outlineLevel="0" collapsed="false">
      <c r="B557" s="2" t="n">
        <v>556</v>
      </c>
      <c r="C557" s="5" t="n">
        <v>0</v>
      </c>
    </row>
    <row r="558" customFormat="false" ht="13.8" hidden="false" customHeight="false" outlineLevel="0" collapsed="false">
      <c r="B558" s="2" t="n">
        <v>557</v>
      </c>
      <c r="C558" s="5" t="n">
        <v>0</v>
      </c>
    </row>
    <row r="559" customFormat="false" ht="13.8" hidden="false" customHeight="false" outlineLevel="0" collapsed="false">
      <c r="B559" s="2" t="n">
        <v>558</v>
      </c>
      <c r="C559" s="5" t="n">
        <v>0</v>
      </c>
    </row>
    <row r="560" customFormat="false" ht="13.8" hidden="false" customHeight="false" outlineLevel="0" collapsed="false">
      <c r="B560" s="2" t="n">
        <v>559</v>
      </c>
      <c r="C560" s="5" t="n">
        <v>0</v>
      </c>
    </row>
    <row r="561" customFormat="false" ht="13.8" hidden="false" customHeight="false" outlineLevel="0" collapsed="false">
      <c r="B561" s="2" t="n">
        <v>560</v>
      </c>
      <c r="C561" s="5" t="n">
        <v>0</v>
      </c>
    </row>
    <row r="562" customFormat="false" ht="13.8" hidden="false" customHeight="false" outlineLevel="0" collapsed="false">
      <c r="B562" s="2" t="n">
        <v>561</v>
      </c>
      <c r="C562" s="5" t="n">
        <v>0</v>
      </c>
    </row>
    <row r="563" customFormat="false" ht="13.8" hidden="false" customHeight="false" outlineLevel="0" collapsed="false">
      <c r="B563" s="2" t="n">
        <v>562</v>
      </c>
      <c r="C563" s="5" t="n">
        <v>0</v>
      </c>
    </row>
    <row r="564" customFormat="false" ht="13.8" hidden="false" customHeight="false" outlineLevel="0" collapsed="false">
      <c r="B564" s="2" t="n">
        <v>563</v>
      </c>
      <c r="C564" s="5" t="n">
        <v>0</v>
      </c>
    </row>
    <row r="565" customFormat="false" ht="13.8" hidden="false" customHeight="false" outlineLevel="0" collapsed="false">
      <c r="B565" s="2" t="n">
        <v>564</v>
      </c>
      <c r="C565" s="5" t="n">
        <v>0</v>
      </c>
    </row>
    <row r="566" customFormat="false" ht="13.8" hidden="false" customHeight="false" outlineLevel="0" collapsed="false">
      <c r="B566" s="2" t="n">
        <v>565</v>
      </c>
      <c r="C566" s="5" t="n">
        <v>0</v>
      </c>
    </row>
    <row r="567" customFormat="false" ht="13.8" hidden="false" customHeight="false" outlineLevel="0" collapsed="false">
      <c r="B567" s="2" t="n">
        <v>566</v>
      </c>
      <c r="C567" s="5" t="n">
        <v>0</v>
      </c>
    </row>
    <row r="568" customFormat="false" ht="13.8" hidden="false" customHeight="false" outlineLevel="0" collapsed="false">
      <c r="B568" s="2" t="n">
        <v>567</v>
      </c>
      <c r="C568" s="5" t="n">
        <v>0</v>
      </c>
    </row>
    <row r="569" customFormat="false" ht="13.8" hidden="false" customHeight="false" outlineLevel="0" collapsed="false">
      <c r="B569" s="2" t="n">
        <v>568</v>
      </c>
      <c r="C569" s="5" t="n">
        <v>0</v>
      </c>
    </row>
    <row r="570" customFormat="false" ht="13.8" hidden="false" customHeight="false" outlineLevel="0" collapsed="false">
      <c r="B570" s="2" t="n">
        <v>569</v>
      </c>
      <c r="C570" s="5" t="n">
        <v>0</v>
      </c>
    </row>
    <row r="571" customFormat="false" ht="13.8" hidden="false" customHeight="false" outlineLevel="0" collapsed="false">
      <c r="B571" s="2" t="n">
        <v>570</v>
      </c>
      <c r="C571" s="5" t="n">
        <v>0</v>
      </c>
    </row>
    <row r="572" customFormat="false" ht="13.8" hidden="false" customHeight="false" outlineLevel="0" collapsed="false">
      <c r="B572" s="2" t="n">
        <v>571</v>
      </c>
      <c r="C572" s="5" t="n">
        <v>0</v>
      </c>
    </row>
    <row r="573" customFormat="false" ht="13.8" hidden="false" customHeight="false" outlineLevel="0" collapsed="false">
      <c r="B573" s="2" t="n">
        <v>572</v>
      </c>
      <c r="C573" s="5" t="n">
        <v>0</v>
      </c>
    </row>
    <row r="574" customFormat="false" ht="13.8" hidden="false" customHeight="false" outlineLevel="0" collapsed="false">
      <c r="B574" s="2" t="n">
        <v>573</v>
      </c>
      <c r="C574" s="5" t="n">
        <v>0</v>
      </c>
    </row>
    <row r="575" customFormat="false" ht="13.8" hidden="false" customHeight="false" outlineLevel="0" collapsed="false">
      <c r="B575" s="2" t="n">
        <v>574</v>
      </c>
      <c r="C575" s="5" t="n">
        <v>0</v>
      </c>
    </row>
    <row r="576" customFormat="false" ht="13.8" hidden="false" customHeight="false" outlineLevel="0" collapsed="false">
      <c r="B576" s="2" t="n">
        <v>575</v>
      </c>
      <c r="C576" s="5" t="n">
        <v>0</v>
      </c>
    </row>
    <row r="577" customFormat="false" ht="13.8" hidden="false" customHeight="false" outlineLevel="0" collapsed="false">
      <c r="B577" s="2" t="n">
        <v>576</v>
      </c>
      <c r="C577" s="5" t="n">
        <v>0</v>
      </c>
    </row>
    <row r="578" customFormat="false" ht="13.8" hidden="false" customHeight="false" outlineLevel="0" collapsed="false">
      <c r="B578" s="2" t="n">
        <v>577</v>
      </c>
      <c r="C578" s="5" t="n">
        <v>0</v>
      </c>
    </row>
    <row r="579" customFormat="false" ht="13.8" hidden="false" customHeight="false" outlineLevel="0" collapsed="false">
      <c r="B579" s="2" t="n">
        <v>578</v>
      </c>
      <c r="C579" s="5" t="n">
        <v>0</v>
      </c>
    </row>
    <row r="580" customFormat="false" ht="13.8" hidden="false" customHeight="false" outlineLevel="0" collapsed="false">
      <c r="B580" s="2" t="n">
        <v>579</v>
      </c>
      <c r="C580" s="5" t="n">
        <v>0</v>
      </c>
    </row>
    <row r="581" customFormat="false" ht="13.8" hidden="false" customHeight="false" outlineLevel="0" collapsed="false">
      <c r="B581" s="2" t="n">
        <v>580</v>
      </c>
      <c r="C581" s="5" t="n">
        <v>0</v>
      </c>
    </row>
    <row r="582" customFormat="false" ht="13.8" hidden="false" customHeight="false" outlineLevel="0" collapsed="false">
      <c r="B582" s="2" t="n">
        <v>581</v>
      </c>
      <c r="C582" s="5" t="n">
        <v>0</v>
      </c>
    </row>
    <row r="583" customFormat="false" ht="13.8" hidden="false" customHeight="false" outlineLevel="0" collapsed="false">
      <c r="B583" s="2" t="n">
        <v>582</v>
      </c>
      <c r="C583" s="5" t="n">
        <v>0</v>
      </c>
    </row>
    <row r="584" customFormat="false" ht="13.8" hidden="false" customHeight="false" outlineLevel="0" collapsed="false">
      <c r="B584" s="2" t="n">
        <v>583</v>
      </c>
      <c r="C584" s="5" t="n">
        <v>0</v>
      </c>
    </row>
    <row r="585" customFormat="false" ht="13.8" hidden="false" customHeight="false" outlineLevel="0" collapsed="false">
      <c r="B585" s="2" t="n">
        <v>584</v>
      </c>
      <c r="C585" s="5" t="n">
        <v>0</v>
      </c>
    </row>
    <row r="586" customFormat="false" ht="13.8" hidden="false" customHeight="false" outlineLevel="0" collapsed="false">
      <c r="B586" s="2" t="n">
        <v>585</v>
      </c>
      <c r="C586" s="5" t="n">
        <v>0</v>
      </c>
    </row>
    <row r="587" customFormat="false" ht="13.8" hidden="false" customHeight="false" outlineLevel="0" collapsed="false">
      <c r="B587" s="2" t="n">
        <v>586</v>
      </c>
      <c r="C587" s="5" t="n">
        <v>0</v>
      </c>
    </row>
    <row r="588" customFormat="false" ht="13.8" hidden="false" customHeight="false" outlineLevel="0" collapsed="false">
      <c r="B588" s="2" t="n">
        <v>587</v>
      </c>
      <c r="C588" s="5" t="n">
        <v>0</v>
      </c>
    </row>
    <row r="589" customFormat="false" ht="13.8" hidden="false" customHeight="false" outlineLevel="0" collapsed="false">
      <c r="B589" s="2" t="n">
        <v>588</v>
      </c>
      <c r="C589" s="5" t="n">
        <v>0</v>
      </c>
    </row>
    <row r="590" customFormat="false" ht="13.8" hidden="false" customHeight="false" outlineLevel="0" collapsed="false">
      <c r="B590" s="2" t="n">
        <v>589</v>
      </c>
      <c r="C590" s="5" t="n">
        <v>0</v>
      </c>
    </row>
    <row r="591" customFormat="false" ht="13.8" hidden="false" customHeight="false" outlineLevel="0" collapsed="false">
      <c r="B591" s="2" t="n">
        <v>590</v>
      </c>
      <c r="C591" s="5" t="n">
        <v>0</v>
      </c>
    </row>
    <row r="592" customFormat="false" ht="13.8" hidden="false" customHeight="false" outlineLevel="0" collapsed="false">
      <c r="B592" s="2" t="n">
        <v>591</v>
      </c>
      <c r="C592" s="5" t="n">
        <v>0</v>
      </c>
    </row>
    <row r="593" customFormat="false" ht="13.8" hidden="false" customHeight="false" outlineLevel="0" collapsed="false">
      <c r="B593" s="2" t="n">
        <v>592</v>
      </c>
      <c r="C593" s="5" t="n">
        <v>0</v>
      </c>
    </row>
    <row r="594" customFormat="false" ht="13.8" hidden="false" customHeight="false" outlineLevel="0" collapsed="false">
      <c r="B594" s="2" t="n">
        <v>593</v>
      </c>
      <c r="C594" s="5" t="n">
        <v>0</v>
      </c>
    </row>
    <row r="595" customFormat="false" ht="13.8" hidden="false" customHeight="false" outlineLevel="0" collapsed="false">
      <c r="B595" s="2" t="n">
        <v>594</v>
      </c>
      <c r="C595" s="5" t="n">
        <v>0</v>
      </c>
    </row>
    <row r="596" customFormat="false" ht="13.8" hidden="false" customHeight="false" outlineLevel="0" collapsed="false">
      <c r="B596" s="2" t="n">
        <v>595</v>
      </c>
      <c r="C596" s="5" t="n">
        <v>0</v>
      </c>
    </row>
    <row r="597" customFormat="false" ht="13.8" hidden="false" customHeight="false" outlineLevel="0" collapsed="false">
      <c r="B597" s="2" t="n">
        <v>596</v>
      </c>
      <c r="C597" s="5" t="n">
        <v>0</v>
      </c>
    </row>
    <row r="598" customFormat="false" ht="13.8" hidden="false" customHeight="false" outlineLevel="0" collapsed="false">
      <c r="B598" s="2" t="n">
        <v>597</v>
      </c>
      <c r="C598" s="5" t="n">
        <v>0</v>
      </c>
    </row>
    <row r="599" customFormat="false" ht="13.8" hidden="false" customHeight="false" outlineLevel="0" collapsed="false">
      <c r="B599" s="2" t="n">
        <v>598</v>
      </c>
      <c r="C599" s="5" t="n">
        <v>0</v>
      </c>
    </row>
    <row r="600" customFormat="false" ht="13.8" hidden="false" customHeight="false" outlineLevel="0" collapsed="false">
      <c r="B600" s="2" t="n">
        <v>599</v>
      </c>
      <c r="C600" s="5" t="n">
        <v>0</v>
      </c>
    </row>
    <row r="601" customFormat="false" ht="13.8" hidden="false" customHeight="false" outlineLevel="0" collapsed="false">
      <c r="B601" s="2" t="n">
        <v>600</v>
      </c>
      <c r="C601" s="5" t="n">
        <v>0</v>
      </c>
    </row>
    <row r="602" customFormat="false" ht="13.8" hidden="false" customHeight="false" outlineLevel="0" collapsed="false">
      <c r="B602" s="2" t="n">
        <v>601</v>
      </c>
      <c r="C602" s="5" t="n">
        <v>0</v>
      </c>
    </row>
    <row r="603" customFormat="false" ht="13.8" hidden="false" customHeight="false" outlineLevel="0" collapsed="false">
      <c r="B603" s="2" t="n">
        <v>602</v>
      </c>
      <c r="C603" s="5" t="n">
        <v>0</v>
      </c>
    </row>
    <row r="604" customFormat="false" ht="13.8" hidden="false" customHeight="false" outlineLevel="0" collapsed="false">
      <c r="B604" s="2" t="n">
        <v>603</v>
      </c>
      <c r="C604" s="5" t="n">
        <v>0</v>
      </c>
    </row>
    <row r="605" customFormat="false" ht="13.8" hidden="false" customHeight="false" outlineLevel="0" collapsed="false">
      <c r="B605" s="2" t="n">
        <v>604</v>
      </c>
      <c r="C605" s="5" t="n">
        <v>0</v>
      </c>
    </row>
    <row r="606" customFormat="false" ht="13.8" hidden="false" customHeight="false" outlineLevel="0" collapsed="false">
      <c r="B606" s="2" t="n">
        <v>605</v>
      </c>
      <c r="C606" s="5" t="n">
        <v>0</v>
      </c>
    </row>
    <row r="607" customFormat="false" ht="13.8" hidden="false" customHeight="false" outlineLevel="0" collapsed="false">
      <c r="B607" s="2" t="n">
        <v>606</v>
      </c>
      <c r="C607" s="5" t="n">
        <v>0</v>
      </c>
    </row>
    <row r="608" customFormat="false" ht="13.8" hidden="false" customHeight="false" outlineLevel="0" collapsed="false">
      <c r="B608" s="2" t="n">
        <v>607</v>
      </c>
      <c r="C608" s="5" t="n">
        <v>0</v>
      </c>
    </row>
    <row r="609" customFormat="false" ht="13.8" hidden="false" customHeight="false" outlineLevel="0" collapsed="false">
      <c r="B609" s="2" t="n">
        <v>608</v>
      </c>
      <c r="C609" s="5" t="n">
        <v>0</v>
      </c>
    </row>
    <row r="610" customFormat="false" ht="13.8" hidden="false" customHeight="false" outlineLevel="0" collapsed="false">
      <c r="B610" s="2" t="n">
        <v>609</v>
      </c>
      <c r="C610" s="5" t="n">
        <v>0</v>
      </c>
    </row>
    <row r="611" customFormat="false" ht="13.8" hidden="false" customHeight="false" outlineLevel="0" collapsed="false">
      <c r="B611" s="2" t="n">
        <v>610</v>
      </c>
      <c r="C611" s="5" t="n">
        <v>0</v>
      </c>
    </row>
    <row r="612" customFormat="false" ht="13.8" hidden="false" customHeight="false" outlineLevel="0" collapsed="false">
      <c r="B612" s="2" t="n">
        <v>611</v>
      </c>
      <c r="C612" s="5" t="n">
        <v>0</v>
      </c>
    </row>
    <row r="613" customFormat="false" ht="13.8" hidden="false" customHeight="false" outlineLevel="0" collapsed="false">
      <c r="B613" s="2" t="n">
        <v>612</v>
      </c>
      <c r="C613" s="5" t="n">
        <v>0</v>
      </c>
    </row>
    <row r="614" customFormat="false" ht="13.8" hidden="false" customHeight="false" outlineLevel="0" collapsed="false">
      <c r="B614" s="2" t="n">
        <v>613</v>
      </c>
      <c r="C614" s="5" t="n">
        <v>0</v>
      </c>
    </row>
    <row r="615" customFormat="false" ht="13.8" hidden="false" customHeight="false" outlineLevel="0" collapsed="false">
      <c r="B615" s="2" t="n">
        <v>614</v>
      </c>
      <c r="C615" s="5" t="n">
        <v>0</v>
      </c>
    </row>
    <row r="616" customFormat="false" ht="13.8" hidden="false" customHeight="false" outlineLevel="0" collapsed="false">
      <c r="B616" s="2" t="n">
        <v>615</v>
      </c>
      <c r="C616" s="5" t="n">
        <v>0</v>
      </c>
    </row>
    <row r="617" customFormat="false" ht="13.8" hidden="false" customHeight="false" outlineLevel="0" collapsed="false">
      <c r="B617" s="2" t="n">
        <v>616</v>
      </c>
      <c r="C617" s="5" t="n">
        <v>0</v>
      </c>
    </row>
    <row r="618" customFormat="false" ht="13.8" hidden="false" customHeight="false" outlineLevel="0" collapsed="false">
      <c r="B618" s="2" t="n">
        <v>617</v>
      </c>
      <c r="C618" s="5" t="n">
        <v>0</v>
      </c>
    </row>
    <row r="619" customFormat="false" ht="13.8" hidden="false" customHeight="false" outlineLevel="0" collapsed="false">
      <c r="B619" s="2" t="n">
        <v>618</v>
      </c>
      <c r="C619" s="5" t="n">
        <v>0</v>
      </c>
    </row>
    <row r="620" customFormat="false" ht="13.8" hidden="false" customHeight="false" outlineLevel="0" collapsed="false">
      <c r="B620" s="2" t="n">
        <v>619</v>
      </c>
      <c r="C620" s="5" t="n">
        <v>0</v>
      </c>
    </row>
    <row r="621" customFormat="false" ht="13.8" hidden="false" customHeight="false" outlineLevel="0" collapsed="false">
      <c r="B621" s="2" t="n">
        <v>620</v>
      </c>
      <c r="C621" s="5" t="n">
        <v>0</v>
      </c>
    </row>
    <row r="622" customFormat="false" ht="13.8" hidden="false" customHeight="false" outlineLevel="0" collapsed="false">
      <c r="B622" s="2" t="n">
        <v>621</v>
      </c>
      <c r="C622" s="5" t="n">
        <v>0</v>
      </c>
    </row>
    <row r="623" customFormat="false" ht="13.8" hidden="false" customHeight="false" outlineLevel="0" collapsed="false">
      <c r="B623" s="2" t="n">
        <v>622</v>
      </c>
      <c r="C623" s="5" t="n">
        <v>0</v>
      </c>
    </row>
    <row r="624" customFormat="false" ht="13.8" hidden="false" customHeight="false" outlineLevel="0" collapsed="false">
      <c r="B624" s="2" t="n">
        <v>623</v>
      </c>
      <c r="C624" s="5" t="n">
        <v>0</v>
      </c>
    </row>
    <row r="625" customFormat="false" ht="13.8" hidden="false" customHeight="false" outlineLevel="0" collapsed="false">
      <c r="B625" s="2" t="n">
        <v>624</v>
      </c>
      <c r="C625" s="5" t="n">
        <v>0</v>
      </c>
    </row>
    <row r="626" customFormat="false" ht="13.8" hidden="false" customHeight="false" outlineLevel="0" collapsed="false">
      <c r="B626" s="2" t="n">
        <v>625</v>
      </c>
      <c r="C626" s="5" t="n">
        <v>0</v>
      </c>
    </row>
    <row r="627" customFormat="false" ht="13.8" hidden="false" customHeight="false" outlineLevel="0" collapsed="false">
      <c r="B627" s="2" t="n">
        <v>626</v>
      </c>
      <c r="C627" s="5" t="n">
        <v>0</v>
      </c>
    </row>
    <row r="628" customFormat="false" ht="13.8" hidden="false" customHeight="false" outlineLevel="0" collapsed="false">
      <c r="B628" s="2" t="n">
        <v>627</v>
      </c>
      <c r="C628" s="5" t="n">
        <v>0</v>
      </c>
    </row>
    <row r="629" customFormat="false" ht="13.8" hidden="false" customHeight="false" outlineLevel="0" collapsed="false">
      <c r="B629" s="2" t="n">
        <v>628</v>
      </c>
      <c r="C629" s="5" t="n">
        <v>0</v>
      </c>
    </row>
    <row r="630" customFormat="false" ht="13.8" hidden="false" customHeight="false" outlineLevel="0" collapsed="false">
      <c r="B630" s="2" t="n">
        <v>629</v>
      </c>
      <c r="C630" s="5" t="n">
        <v>0</v>
      </c>
    </row>
    <row r="631" customFormat="false" ht="13.8" hidden="false" customHeight="false" outlineLevel="0" collapsed="false">
      <c r="B631" s="2" t="n">
        <v>630</v>
      </c>
      <c r="C631" s="5" t="n">
        <v>0</v>
      </c>
    </row>
    <row r="632" customFormat="false" ht="13.8" hidden="false" customHeight="false" outlineLevel="0" collapsed="false">
      <c r="B632" s="2" t="n">
        <v>631</v>
      </c>
      <c r="C632" s="5" t="n">
        <v>0</v>
      </c>
    </row>
    <row r="633" customFormat="false" ht="13.8" hidden="false" customHeight="false" outlineLevel="0" collapsed="false">
      <c r="B633" s="2" t="n">
        <v>632</v>
      </c>
      <c r="C633" s="5" t="n">
        <v>0</v>
      </c>
    </row>
    <row r="634" customFormat="false" ht="13.8" hidden="false" customHeight="false" outlineLevel="0" collapsed="false">
      <c r="B634" s="2" t="n">
        <v>633</v>
      </c>
      <c r="C634" s="5" t="n">
        <v>0</v>
      </c>
    </row>
    <row r="635" customFormat="false" ht="13.8" hidden="false" customHeight="false" outlineLevel="0" collapsed="false">
      <c r="B635" s="2" t="n">
        <v>634</v>
      </c>
      <c r="C635" s="5" t="n">
        <v>0</v>
      </c>
    </row>
    <row r="636" customFormat="false" ht="13.8" hidden="false" customHeight="false" outlineLevel="0" collapsed="false">
      <c r="B636" s="2" t="n">
        <v>635</v>
      </c>
      <c r="C636" s="5" t="n">
        <v>0</v>
      </c>
    </row>
    <row r="637" customFormat="false" ht="13.8" hidden="false" customHeight="false" outlineLevel="0" collapsed="false">
      <c r="B637" s="2" t="n">
        <v>636</v>
      </c>
      <c r="C637" s="5" t="n">
        <v>0</v>
      </c>
    </row>
    <row r="638" customFormat="false" ht="13.8" hidden="false" customHeight="false" outlineLevel="0" collapsed="false">
      <c r="B638" s="2" t="n">
        <v>637</v>
      </c>
      <c r="C638" s="5" t="n">
        <v>0</v>
      </c>
    </row>
    <row r="639" customFormat="false" ht="13.8" hidden="false" customHeight="false" outlineLevel="0" collapsed="false">
      <c r="B639" s="2" t="n">
        <v>638</v>
      </c>
      <c r="C639" s="5" t="n">
        <v>0</v>
      </c>
    </row>
    <row r="640" customFormat="false" ht="13.8" hidden="false" customHeight="false" outlineLevel="0" collapsed="false">
      <c r="B640" s="2" t="n">
        <v>639</v>
      </c>
      <c r="C640" s="5" t="n">
        <v>0</v>
      </c>
    </row>
    <row r="641" customFormat="false" ht="13.8" hidden="false" customHeight="false" outlineLevel="0" collapsed="false">
      <c r="B641" s="2" t="n">
        <v>640</v>
      </c>
      <c r="C641" s="5" t="n">
        <v>0</v>
      </c>
    </row>
    <row r="642" customFormat="false" ht="13.8" hidden="false" customHeight="false" outlineLevel="0" collapsed="false">
      <c r="B642" s="2" t="n">
        <v>641</v>
      </c>
      <c r="C642" s="5" t="n">
        <v>0</v>
      </c>
    </row>
    <row r="643" customFormat="false" ht="13.8" hidden="false" customHeight="false" outlineLevel="0" collapsed="false">
      <c r="B643" s="2" t="n">
        <v>642</v>
      </c>
      <c r="C643" s="5" t="n">
        <v>0</v>
      </c>
    </row>
    <row r="644" customFormat="false" ht="13.8" hidden="false" customHeight="false" outlineLevel="0" collapsed="false">
      <c r="B644" s="2" t="n">
        <v>643</v>
      </c>
      <c r="C644" s="5" t="n">
        <v>0</v>
      </c>
    </row>
    <row r="645" customFormat="false" ht="13.8" hidden="false" customHeight="false" outlineLevel="0" collapsed="false">
      <c r="B645" s="2" t="n">
        <v>644</v>
      </c>
      <c r="C645" s="5" t="n">
        <v>0</v>
      </c>
    </row>
    <row r="646" customFormat="false" ht="13.8" hidden="false" customHeight="false" outlineLevel="0" collapsed="false">
      <c r="B646" s="2" t="n">
        <v>645</v>
      </c>
      <c r="C646" s="5" t="n">
        <v>0</v>
      </c>
    </row>
    <row r="647" customFormat="false" ht="13.8" hidden="false" customHeight="false" outlineLevel="0" collapsed="false">
      <c r="B647" s="2" t="n">
        <v>646</v>
      </c>
      <c r="C647" s="5" t="n">
        <v>0</v>
      </c>
    </row>
    <row r="648" customFormat="false" ht="13.8" hidden="false" customHeight="false" outlineLevel="0" collapsed="false">
      <c r="B648" s="2" t="n">
        <v>647</v>
      </c>
      <c r="C648" s="5" t="n">
        <v>0</v>
      </c>
    </row>
    <row r="649" customFormat="false" ht="13.8" hidden="false" customHeight="false" outlineLevel="0" collapsed="false">
      <c r="B649" s="2" t="n">
        <v>648</v>
      </c>
      <c r="C649" s="5" t="n">
        <v>0</v>
      </c>
    </row>
    <row r="650" customFormat="false" ht="13.8" hidden="false" customHeight="false" outlineLevel="0" collapsed="false">
      <c r="B650" s="2" t="n">
        <v>649</v>
      </c>
      <c r="C650" s="5" t="n">
        <v>0</v>
      </c>
    </row>
    <row r="651" customFormat="false" ht="13.8" hidden="false" customHeight="false" outlineLevel="0" collapsed="false">
      <c r="B651" s="2" t="n">
        <v>650</v>
      </c>
      <c r="C651" s="5" t="n">
        <v>0</v>
      </c>
    </row>
    <row r="652" customFormat="false" ht="13.8" hidden="false" customHeight="false" outlineLevel="0" collapsed="false">
      <c r="B652" s="2" t="n">
        <v>651</v>
      </c>
      <c r="C652" s="5" t="n">
        <v>0</v>
      </c>
    </row>
    <row r="653" customFormat="false" ht="13.8" hidden="false" customHeight="false" outlineLevel="0" collapsed="false">
      <c r="B653" s="2" t="n">
        <v>652</v>
      </c>
      <c r="C653" s="5" t="n">
        <v>0</v>
      </c>
    </row>
    <row r="654" customFormat="false" ht="13.8" hidden="false" customHeight="false" outlineLevel="0" collapsed="false">
      <c r="B654" s="2" t="n">
        <v>653</v>
      </c>
      <c r="C654" s="5" t="n">
        <v>0</v>
      </c>
    </row>
    <row r="655" customFormat="false" ht="13.8" hidden="false" customHeight="false" outlineLevel="0" collapsed="false">
      <c r="B655" s="2" t="n">
        <v>654</v>
      </c>
      <c r="C655" s="5" t="n">
        <v>0</v>
      </c>
    </row>
    <row r="656" customFormat="false" ht="13.8" hidden="false" customHeight="false" outlineLevel="0" collapsed="false">
      <c r="B656" s="2" t="n">
        <v>655</v>
      </c>
      <c r="C656" s="5" t="n">
        <v>0</v>
      </c>
    </row>
    <row r="657" customFormat="false" ht="13.8" hidden="false" customHeight="false" outlineLevel="0" collapsed="false">
      <c r="B657" s="2" t="n">
        <v>656</v>
      </c>
      <c r="C657" s="5" t="n">
        <v>0</v>
      </c>
    </row>
    <row r="658" customFormat="false" ht="13.8" hidden="false" customHeight="false" outlineLevel="0" collapsed="false">
      <c r="B658" s="2" t="n">
        <v>657</v>
      </c>
      <c r="C658" s="5" t="n">
        <v>0</v>
      </c>
    </row>
    <row r="659" customFormat="false" ht="13.8" hidden="false" customHeight="false" outlineLevel="0" collapsed="false">
      <c r="B659" s="2" t="n">
        <v>658</v>
      </c>
      <c r="C659" s="5" t="n">
        <v>0</v>
      </c>
    </row>
    <row r="660" customFormat="false" ht="13.8" hidden="false" customHeight="false" outlineLevel="0" collapsed="false">
      <c r="B660" s="2" t="n">
        <v>659</v>
      </c>
      <c r="C660" s="5" t="n">
        <v>0</v>
      </c>
    </row>
    <row r="661" customFormat="false" ht="13.8" hidden="false" customHeight="false" outlineLevel="0" collapsed="false">
      <c r="B661" s="2" t="n">
        <v>660</v>
      </c>
      <c r="C661" s="5" t="n">
        <v>0</v>
      </c>
    </row>
    <row r="662" customFormat="false" ht="13.8" hidden="false" customHeight="false" outlineLevel="0" collapsed="false">
      <c r="B662" s="2" t="n">
        <v>661</v>
      </c>
      <c r="C662" s="5" t="n">
        <v>0</v>
      </c>
    </row>
    <row r="663" customFormat="false" ht="13.8" hidden="false" customHeight="false" outlineLevel="0" collapsed="false">
      <c r="B663" s="2" t="n">
        <v>662</v>
      </c>
      <c r="C663" s="5" t="n">
        <v>0</v>
      </c>
    </row>
    <row r="664" customFormat="false" ht="13.8" hidden="false" customHeight="false" outlineLevel="0" collapsed="false">
      <c r="B664" s="2" t="n">
        <v>663</v>
      </c>
      <c r="C664" s="5" t="n">
        <v>0</v>
      </c>
    </row>
    <row r="665" customFormat="false" ht="13.8" hidden="false" customHeight="false" outlineLevel="0" collapsed="false">
      <c r="B665" s="2" t="n">
        <v>664</v>
      </c>
      <c r="C665" s="5" t="n">
        <v>0</v>
      </c>
    </row>
    <row r="666" customFormat="false" ht="13.8" hidden="false" customHeight="false" outlineLevel="0" collapsed="false">
      <c r="B666" s="2" t="n">
        <v>665</v>
      </c>
      <c r="C666" s="5" t="n">
        <v>0</v>
      </c>
    </row>
    <row r="667" customFormat="false" ht="13.8" hidden="false" customHeight="false" outlineLevel="0" collapsed="false">
      <c r="B667" s="2" t="n">
        <v>666</v>
      </c>
      <c r="C667" s="5" t="n">
        <v>0</v>
      </c>
    </row>
    <row r="668" customFormat="false" ht="13.8" hidden="false" customHeight="false" outlineLevel="0" collapsed="false">
      <c r="B668" s="2" t="n">
        <v>667</v>
      </c>
      <c r="C668" s="5" t="n">
        <v>0</v>
      </c>
    </row>
    <row r="669" customFormat="false" ht="13.8" hidden="false" customHeight="false" outlineLevel="0" collapsed="false">
      <c r="B669" s="2" t="n">
        <v>668</v>
      </c>
      <c r="C669" s="5" t="n">
        <v>0</v>
      </c>
    </row>
    <row r="670" customFormat="false" ht="13.8" hidden="false" customHeight="false" outlineLevel="0" collapsed="false">
      <c r="B670" s="2" t="n">
        <v>669</v>
      </c>
      <c r="C670" s="5" t="n">
        <v>0</v>
      </c>
    </row>
    <row r="671" customFormat="false" ht="13.8" hidden="false" customHeight="false" outlineLevel="0" collapsed="false">
      <c r="B671" s="2" t="n">
        <v>670</v>
      </c>
      <c r="C671" s="5" t="n">
        <v>0</v>
      </c>
    </row>
    <row r="672" customFormat="false" ht="13.8" hidden="false" customHeight="false" outlineLevel="0" collapsed="false">
      <c r="B672" s="2" t="n">
        <v>671</v>
      </c>
      <c r="C672" s="5" t="n">
        <v>0</v>
      </c>
    </row>
    <row r="673" customFormat="false" ht="13.8" hidden="false" customHeight="false" outlineLevel="0" collapsed="false">
      <c r="B673" s="2" t="n">
        <v>672</v>
      </c>
      <c r="C673" s="5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2" activeCellId="1" sqref="B13:E16 N172"/>
    </sheetView>
  </sheetViews>
  <sheetFormatPr defaultColWidth="8.54296875" defaultRowHeight="13.8" zeroHeight="false" outlineLevelRow="0" outlineLevelCol="0"/>
  <cols>
    <col collapsed="false" customWidth="true" hidden="false" outlineLevel="0" max="2" min="2" style="6" width="8.85"/>
    <col collapsed="false" customWidth="true" hidden="false" outlineLevel="0" max="5" min="5" style="6" width="8.85"/>
    <col collapsed="false" customWidth="true" hidden="false" outlineLevel="0" max="6" min="6" style="7" width="8.85"/>
    <col collapsed="false" customWidth="true" hidden="false" outlineLevel="0" max="14" min="14" style="5" width="10.43"/>
  </cols>
  <sheetData>
    <row r="2" customFormat="false" ht="13.8" hidden="false" customHeight="false" outlineLevel="0" collapsed="false">
      <c r="B2" s="8" t="s">
        <v>5</v>
      </c>
      <c r="C2" s="9" t="n">
        <v>1</v>
      </c>
      <c r="D2" s="9"/>
      <c r="E2" s="10" t="s">
        <v>6</v>
      </c>
    </row>
    <row r="4" customFormat="false" ht="13.8" hidden="false" customHeight="false" outlineLevel="0" collapsed="false">
      <c r="B4" s="11" t="s">
        <v>7</v>
      </c>
      <c r="C4" s="12"/>
      <c r="D4" s="12" t="s">
        <v>8</v>
      </c>
      <c r="E4" s="13" t="s">
        <v>9</v>
      </c>
      <c r="F4" s="14" t="s">
        <v>10</v>
      </c>
      <c r="G4" s="15" t="s">
        <v>11</v>
      </c>
      <c r="H4" s="15" t="s">
        <v>12</v>
      </c>
      <c r="I4" s="15" t="s">
        <v>13</v>
      </c>
      <c r="J4" s="15" t="s">
        <v>14</v>
      </c>
      <c r="K4" s="15" t="s">
        <v>15</v>
      </c>
      <c r="L4" s="15" t="s">
        <v>16</v>
      </c>
      <c r="M4" s="15" t="s">
        <v>17</v>
      </c>
      <c r="N4" s="16" t="s">
        <v>18</v>
      </c>
    </row>
    <row r="5" customFormat="false" ht="13.8" hidden="false" customHeight="false" outlineLevel="0" collapsed="false">
      <c r="B5" s="11" t="n">
        <f aca="false">_xlfn.NUMBERVALUE(solar!B2)</f>
        <v>8</v>
      </c>
      <c r="C5" s="12" t="n">
        <f aca="false">solar!C2</f>
        <v>0</v>
      </c>
      <c r="D5" s="12" t="n">
        <v>1</v>
      </c>
      <c r="E5" s="6" t="n">
        <v>1</v>
      </c>
      <c r="F5" s="17" t="n">
        <f aca="false">IFERROR(INDEX($B$5:$C$173, MATCH($E5, $B$5:$B$175, 0), 2), 0)*investment!$C$2</f>
        <v>0</v>
      </c>
      <c r="G5" s="6" t="n">
        <f aca="false">demand!C3</f>
        <v>0</v>
      </c>
      <c r="H5" s="3" t="n">
        <f aca="false">solgen!C3</f>
        <v>0</v>
      </c>
      <c r="I5" s="3" t="n">
        <f aca="false">import!C3</f>
        <v>0</v>
      </c>
      <c r="J5" s="3" t="n">
        <f aca="false">-export!C3</f>
        <v>-0</v>
      </c>
      <c r="K5" s="3" t="n">
        <f aca="false">-charge!C3</f>
        <v>-0</v>
      </c>
      <c r="L5" s="3" t="n">
        <f aca="false">discharge!C3</f>
        <v>0</v>
      </c>
      <c r="M5" s="3" t="n">
        <f aca="false">soc!C3/investment!$E$2 *100</f>
        <v>65.4470856453318</v>
      </c>
      <c r="N5" s="5" t="n">
        <f aca="false">p_micro!C2</f>
        <v>0</v>
      </c>
    </row>
    <row r="6" customFormat="false" ht="13.8" hidden="false" customHeight="false" outlineLevel="0" collapsed="false">
      <c r="B6" s="11" t="n">
        <f aca="false">_xlfn.NUMBERVALUE(solar!B3)</f>
        <v>9</v>
      </c>
      <c r="C6" s="12" t="n">
        <f aca="false">solar!C3</f>
        <v>0</v>
      </c>
      <c r="D6" s="12" t="n">
        <v>2</v>
      </c>
      <c r="E6" s="6" t="n">
        <v>2</v>
      </c>
      <c r="F6" s="17" t="n">
        <f aca="false">IFERROR(INDEX($B$5:$C$173, MATCH($E6, $B$5:$B$175, 0), 2), 0)*investment!$C$2</f>
        <v>0</v>
      </c>
      <c r="G6" s="6" t="n">
        <f aca="false">demand!C4</f>
        <v>0</v>
      </c>
      <c r="H6" s="3" t="n">
        <f aca="false">solgen!C4</f>
        <v>0</v>
      </c>
      <c r="I6" s="3" t="n">
        <f aca="false">import!C4</f>
        <v>0</v>
      </c>
      <c r="J6" s="3" t="n">
        <f aca="false">-export!C4</f>
        <v>-0</v>
      </c>
      <c r="K6" s="3" t="n">
        <f aca="false">-charge!C4</f>
        <v>-0</v>
      </c>
      <c r="L6" s="3" t="n">
        <f aca="false">discharge!C4</f>
        <v>0</v>
      </c>
      <c r="M6" s="3" t="n">
        <f aca="false">soc!C4/investment!$E$2 *100</f>
        <v>60.3432663886295</v>
      </c>
      <c r="N6" s="5" t="n">
        <f aca="false">p_micro!C3</f>
        <v>0</v>
      </c>
    </row>
    <row r="7" customFormat="false" ht="13.8" hidden="false" customHeight="false" outlineLevel="0" collapsed="false">
      <c r="B7" s="11" t="n">
        <f aca="false">_xlfn.NUMBERVALUE(solar!B4)</f>
        <v>10</v>
      </c>
      <c r="C7" s="12" t="n">
        <f aca="false">solar!C4</f>
        <v>0</v>
      </c>
      <c r="D7" s="12" t="n">
        <v>3</v>
      </c>
      <c r="E7" s="6" t="n">
        <v>3</v>
      </c>
      <c r="F7" s="17" t="n">
        <f aca="false">IFERROR(INDEX($B$5:$C$173, MATCH($E7, $B$5:$B$175, 0), 2), 0)*investment!$C$2</f>
        <v>0</v>
      </c>
      <c r="G7" s="6" t="n">
        <f aca="false">demand!C5</f>
        <v>0</v>
      </c>
      <c r="H7" s="3" t="n">
        <f aca="false">solgen!C5</f>
        <v>0</v>
      </c>
      <c r="I7" s="3" t="n">
        <f aca="false">import!C5</f>
        <v>0</v>
      </c>
      <c r="J7" s="3" t="n">
        <f aca="false">-export!C5</f>
        <v>-0</v>
      </c>
      <c r="K7" s="3" t="n">
        <f aca="false">-charge!C5</f>
        <v>-0</v>
      </c>
      <c r="L7" s="3" t="n">
        <f aca="false">discharge!C5</f>
        <v>0</v>
      </c>
      <c r="M7" s="3" t="n">
        <f aca="false">soc!C5/investment!$E$2 *100</f>
        <v>55.8079248245468</v>
      </c>
      <c r="N7" s="5" t="n">
        <f aca="false">p_micro!C4</f>
        <v>0</v>
      </c>
    </row>
    <row r="8" customFormat="false" ht="13.8" hidden="false" customHeight="false" outlineLevel="0" collapsed="false">
      <c r="B8" s="11" t="n">
        <f aca="false">_xlfn.NUMBERVALUE(solar!B5)</f>
        <v>11</v>
      </c>
      <c r="C8" s="12" t="n">
        <f aca="false">solar!C5</f>
        <v>0</v>
      </c>
      <c r="D8" s="12" t="n">
        <v>4</v>
      </c>
      <c r="E8" s="6" t="n">
        <v>4</v>
      </c>
      <c r="F8" s="17" t="n">
        <f aca="false">IFERROR(INDEX($B$5:$C$173, MATCH($E8, $B$5:$B$175, 0), 2), 0)*investment!$C$2</f>
        <v>0</v>
      </c>
      <c r="G8" s="6" t="n">
        <f aca="false">demand!C6</f>
        <v>0</v>
      </c>
      <c r="H8" s="3" t="n">
        <f aca="false">solgen!C6</f>
        <v>0</v>
      </c>
      <c r="I8" s="3" t="n">
        <f aca="false">import!C6</f>
        <v>0</v>
      </c>
      <c r="J8" s="3" t="n">
        <f aca="false">-export!C6</f>
        <v>-0</v>
      </c>
      <c r="K8" s="3" t="n">
        <f aca="false">-charge!C6</f>
        <v>-0</v>
      </c>
      <c r="L8" s="3" t="n">
        <f aca="false">discharge!C6</f>
        <v>0</v>
      </c>
      <c r="M8" s="3" t="n">
        <f aca="false">soc!C6/investment!$E$2 *100</f>
        <v>48.2192052344633</v>
      </c>
      <c r="N8" s="5" t="n">
        <f aca="false">p_micro!C5</f>
        <v>0</v>
      </c>
    </row>
    <row r="9" customFormat="false" ht="13.8" hidden="false" customHeight="false" outlineLevel="0" collapsed="false">
      <c r="B9" s="11" t="n">
        <f aca="false">_xlfn.NUMBERVALUE(solar!B6)</f>
        <v>12</v>
      </c>
      <c r="C9" s="12" t="n">
        <f aca="false">solar!C6</f>
        <v>0</v>
      </c>
      <c r="D9" s="12" t="n">
        <v>5</v>
      </c>
      <c r="E9" s="6" t="n">
        <v>5</v>
      </c>
      <c r="F9" s="17" t="n">
        <f aca="false">IFERROR(INDEX($B$5:$C$173, MATCH($E9, $B$5:$B$175, 0), 2), 0)*investment!$C$2</f>
        <v>0</v>
      </c>
      <c r="G9" s="6" t="n">
        <f aca="false">demand!C7</f>
        <v>0</v>
      </c>
      <c r="H9" s="3" t="n">
        <f aca="false">solgen!C7</f>
        <v>0</v>
      </c>
      <c r="I9" s="3" t="n">
        <f aca="false">import!C7</f>
        <v>0</v>
      </c>
      <c r="J9" s="3" t="n">
        <f aca="false">-export!C7</f>
        <v>-0</v>
      </c>
      <c r="K9" s="3" t="n">
        <f aca="false">-charge!C7</f>
        <v>-0</v>
      </c>
      <c r="L9" s="3" t="n">
        <f aca="false">discharge!C7</f>
        <v>0</v>
      </c>
      <c r="M9" s="3" t="n">
        <f aca="false">soc!C7/investment!$E$2 *100</f>
        <v>42.5327535030768</v>
      </c>
      <c r="N9" s="5" t="n">
        <f aca="false">p_micro!C6</f>
        <v>0</v>
      </c>
    </row>
    <row r="10" customFormat="false" ht="13.8" hidden="false" customHeight="false" outlineLevel="0" collapsed="false">
      <c r="B10" s="11" t="n">
        <f aca="false">_xlfn.NUMBERVALUE(solar!B7)</f>
        <v>13</v>
      </c>
      <c r="C10" s="12" t="n">
        <f aca="false">solar!C7</f>
        <v>0</v>
      </c>
      <c r="D10" s="12" t="n">
        <v>6</v>
      </c>
      <c r="E10" s="6" t="n">
        <v>6</v>
      </c>
      <c r="F10" s="17" t="n">
        <f aca="false">IFERROR(INDEX($B$5:$C$173, MATCH($E10, $B$5:$B$175, 0), 2), 0)*investment!$C$2</f>
        <v>0</v>
      </c>
      <c r="G10" s="6" t="n">
        <f aca="false">demand!C8</f>
        <v>0</v>
      </c>
      <c r="H10" s="3" t="n">
        <f aca="false">solgen!C8</f>
        <v>0</v>
      </c>
      <c r="I10" s="3" t="n">
        <f aca="false">import!C8</f>
        <v>0</v>
      </c>
      <c r="J10" s="3" t="n">
        <f aca="false">-export!C8</f>
        <v>-0</v>
      </c>
      <c r="K10" s="3" t="n">
        <f aca="false">-charge!C8</f>
        <v>-0</v>
      </c>
      <c r="L10" s="3" t="n">
        <f aca="false">discharge!C8</f>
        <v>0</v>
      </c>
      <c r="M10" s="3" t="n">
        <f aca="false">soc!C8/investment!$E$2 *100</f>
        <v>35.3206641500829</v>
      </c>
      <c r="N10" s="5" t="n">
        <f aca="false">p_micro!C7</f>
        <v>0</v>
      </c>
    </row>
    <row r="11" customFormat="false" ht="13.8" hidden="false" customHeight="false" outlineLevel="0" collapsed="false">
      <c r="B11" s="11" t="n">
        <f aca="false">_xlfn.NUMBERVALUE(solar!B8)</f>
        <v>14</v>
      </c>
      <c r="C11" s="12" t="n">
        <f aca="false">solar!C8</f>
        <v>0</v>
      </c>
      <c r="D11" s="12" t="n">
        <v>7</v>
      </c>
      <c r="E11" s="6" t="n">
        <v>7</v>
      </c>
      <c r="F11" s="17" t="n">
        <f aca="false">IFERROR(INDEX($B$5:$C$173, MATCH($E11, $B$5:$B$175, 0), 2), 0)*investment!$C$2</f>
        <v>0</v>
      </c>
      <c r="G11" s="6" t="n">
        <f aca="false">demand!C9</f>
        <v>0</v>
      </c>
      <c r="H11" s="3" t="n">
        <f aca="false">solgen!C9</f>
        <v>0</v>
      </c>
      <c r="I11" s="3" t="n">
        <f aca="false">import!C9</f>
        <v>0</v>
      </c>
      <c r="J11" s="3" t="n">
        <f aca="false">-export!C9</f>
        <v>-0</v>
      </c>
      <c r="K11" s="3" t="n">
        <f aca="false">-charge!C9</f>
        <v>-0</v>
      </c>
      <c r="L11" s="3" t="n">
        <f aca="false">discharge!C9</f>
        <v>0</v>
      </c>
      <c r="M11" s="3" t="n">
        <f aca="false">soc!C9/investment!$E$2 *100</f>
        <v>28.8701182902498</v>
      </c>
      <c r="N11" s="5" t="n">
        <f aca="false">p_micro!C8</f>
        <v>0</v>
      </c>
    </row>
    <row r="12" customFormat="false" ht="13.8" hidden="false" customHeight="false" outlineLevel="0" collapsed="false">
      <c r="B12" s="11" t="n">
        <f aca="false">_xlfn.NUMBERVALUE(solar!B9)</f>
        <v>15</v>
      </c>
      <c r="C12" s="12" t="n">
        <f aca="false">solar!C9</f>
        <v>0</v>
      </c>
      <c r="D12" s="12" t="n">
        <v>8</v>
      </c>
      <c r="E12" s="6" t="n">
        <v>8</v>
      </c>
      <c r="F12" s="17" t="n">
        <f aca="false">IFERROR(INDEX($B$5:$C$173, MATCH($E12, $B$5:$B$175, 0), 2), 0)*investment!$C$2</f>
        <v>0</v>
      </c>
      <c r="G12" s="6" t="n">
        <f aca="false">demand!C10</f>
        <v>0</v>
      </c>
      <c r="H12" s="3" t="n">
        <f aca="false">solgen!C10</f>
        <v>0</v>
      </c>
      <c r="I12" s="3" t="n">
        <f aca="false">import!C10</f>
        <v>0</v>
      </c>
      <c r="J12" s="3" t="n">
        <f aca="false">-export!C10</f>
        <v>-0</v>
      </c>
      <c r="K12" s="3" t="n">
        <f aca="false">-charge!C10</f>
        <v>-0</v>
      </c>
      <c r="L12" s="3" t="n">
        <f aca="false">discharge!C10</f>
        <v>0</v>
      </c>
      <c r="M12" s="3" t="n">
        <f aca="false">soc!C10/investment!$E$2 *100</f>
        <v>29.0365063846508</v>
      </c>
      <c r="N12" s="5" t="n">
        <f aca="false">p_micro!C9</f>
        <v>0</v>
      </c>
    </row>
    <row r="13" customFormat="false" ht="13.8" hidden="false" customHeight="false" outlineLevel="0" collapsed="false">
      <c r="B13" s="11" t="n">
        <f aca="false">_xlfn.NUMBERVALUE(solar!B10)</f>
        <v>16</v>
      </c>
      <c r="C13" s="12" t="n">
        <f aca="false">solar!C10</f>
        <v>0</v>
      </c>
      <c r="D13" s="12" t="n">
        <v>9</v>
      </c>
      <c r="E13" s="6" t="n">
        <v>9</v>
      </c>
      <c r="F13" s="17" t="n">
        <f aca="false">IFERROR(INDEX($B$5:$C$173, MATCH($E13, $B$5:$B$175, 0), 2), 0)*investment!$C$2</f>
        <v>0</v>
      </c>
      <c r="G13" s="6" t="n">
        <f aca="false">demand!C11</f>
        <v>0</v>
      </c>
      <c r="H13" s="3" t="n">
        <f aca="false">solgen!C11</f>
        <v>0</v>
      </c>
      <c r="I13" s="3" t="n">
        <f aca="false">import!C11</f>
        <v>0</v>
      </c>
      <c r="J13" s="3" t="n">
        <f aca="false">-export!C11</f>
        <v>-0</v>
      </c>
      <c r="K13" s="3" t="n">
        <f aca="false">-charge!C11</f>
        <v>-0</v>
      </c>
      <c r="L13" s="3" t="n">
        <f aca="false">discharge!C11</f>
        <v>0</v>
      </c>
      <c r="M13" s="3" t="n">
        <f aca="false">soc!C11/investment!$E$2 *100</f>
        <v>29.036216019587</v>
      </c>
      <c r="N13" s="5" t="n">
        <f aca="false">p_micro!C10</f>
        <v>0</v>
      </c>
    </row>
    <row r="14" customFormat="false" ht="13.8" hidden="false" customHeight="false" outlineLevel="0" collapsed="false">
      <c r="B14" s="11" t="n">
        <f aca="false">_xlfn.NUMBERVALUE(solar!B11)</f>
        <v>17</v>
      </c>
      <c r="C14" s="12" t="n">
        <f aca="false">solar!C11</f>
        <v>0</v>
      </c>
      <c r="D14" s="12" t="n">
        <v>10</v>
      </c>
      <c r="E14" s="6" t="n">
        <v>10</v>
      </c>
      <c r="F14" s="17" t="n">
        <f aca="false">IFERROR(INDEX($B$5:$C$173, MATCH($E14, $B$5:$B$175, 0), 2), 0)*investment!$C$2</f>
        <v>0</v>
      </c>
      <c r="G14" s="6" t="n">
        <f aca="false">demand!C12</f>
        <v>0</v>
      </c>
      <c r="H14" s="3" t="n">
        <f aca="false">solgen!C12</f>
        <v>0</v>
      </c>
      <c r="I14" s="3" t="n">
        <f aca="false">import!C12</f>
        <v>0</v>
      </c>
      <c r="J14" s="3" t="n">
        <f aca="false">-export!C12</f>
        <v>-0</v>
      </c>
      <c r="K14" s="3" t="n">
        <f aca="false">-charge!C12</f>
        <v>-0</v>
      </c>
      <c r="L14" s="3" t="n">
        <f aca="false">discharge!C12</f>
        <v>0</v>
      </c>
      <c r="M14" s="3" t="n">
        <f aca="false">soc!C12/investment!$E$2 *100</f>
        <v>29.0359256574268</v>
      </c>
      <c r="N14" s="5" t="n">
        <f aca="false">p_micro!C11</f>
        <v>0</v>
      </c>
    </row>
    <row r="15" customFormat="false" ht="13.8" hidden="false" customHeight="false" outlineLevel="0" collapsed="false">
      <c r="B15" s="11" t="n">
        <f aca="false">_xlfn.NUMBERVALUE(solar!B12)</f>
        <v>18</v>
      </c>
      <c r="C15" s="12" t="n">
        <f aca="false">solar!C12</f>
        <v>0</v>
      </c>
      <c r="D15" s="12" t="n">
        <v>11</v>
      </c>
      <c r="E15" s="6" t="n">
        <v>11</v>
      </c>
      <c r="F15" s="17" t="n">
        <f aca="false">IFERROR(INDEX($B$5:$C$173, MATCH($E15, $B$5:$B$175, 0), 2), 0)*investment!$C$2</f>
        <v>0</v>
      </c>
      <c r="G15" s="6" t="n">
        <f aca="false">demand!C13</f>
        <v>0</v>
      </c>
      <c r="H15" s="3" t="n">
        <f aca="false">solgen!C13</f>
        <v>0</v>
      </c>
      <c r="I15" s="3" t="n">
        <f aca="false">import!C13</f>
        <v>0</v>
      </c>
      <c r="J15" s="3" t="n">
        <f aca="false">-export!C13</f>
        <v>-0</v>
      </c>
      <c r="K15" s="3" t="n">
        <f aca="false">-charge!C13</f>
        <v>-0</v>
      </c>
      <c r="L15" s="3" t="n">
        <f aca="false">discharge!C13</f>
        <v>0</v>
      </c>
      <c r="M15" s="3" t="n">
        <f aca="false">soc!C13/investment!$E$2 *100</f>
        <v>29.0356352981703</v>
      </c>
      <c r="N15" s="5" t="n">
        <f aca="false">p_micro!C12</f>
        <v>0</v>
      </c>
    </row>
    <row r="16" customFormat="false" ht="13.8" hidden="false" customHeight="false" outlineLevel="0" collapsed="false">
      <c r="B16" s="11" t="n">
        <f aca="false">_xlfn.NUMBERVALUE(solar!B13)</f>
        <v>19</v>
      </c>
      <c r="C16" s="12" t="n">
        <f aca="false">solar!C13</f>
        <v>0</v>
      </c>
      <c r="D16" s="12" t="n">
        <v>12</v>
      </c>
      <c r="E16" s="6" t="n">
        <v>12</v>
      </c>
      <c r="F16" s="17" t="n">
        <f aca="false">IFERROR(INDEX($B$5:$C$173, MATCH($E16, $B$5:$B$175, 0), 2), 0)*investment!$C$2</f>
        <v>0</v>
      </c>
      <c r="G16" s="6" t="n">
        <f aca="false">demand!C14</f>
        <v>0</v>
      </c>
      <c r="H16" s="3" t="n">
        <f aca="false">solgen!C14</f>
        <v>0</v>
      </c>
      <c r="I16" s="3" t="n">
        <f aca="false">import!C14</f>
        <v>0</v>
      </c>
      <c r="J16" s="3" t="n">
        <f aca="false">-export!C14</f>
        <v>-0</v>
      </c>
      <c r="K16" s="3" t="n">
        <f aca="false">-charge!C14</f>
        <v>-0</v>
      </c>
      <c r="L16" s="3" t="n">
        <f aca="false">discharge!C14</f>
        <v>0</v>
      </c>
      <c r="M16" s="3" t="n">
        <f aca="false">soc!C14/investment!$E$2 *100</f>
        <v>29.0353449418173</v>
      </c>
      <c r="N16" s="5" t="n">
        <f aca="false">p_micro!C13</f>
        <v>0</v>
      </c>
    </row>
    <row r="17" customFormat="false" ht="13.8" hidden="false" customHeight="false" outlineLevel="0" collapsed="false">
      <c r="B17" s="11" t="n">
        <f aca="false">_xlfn.NUMBERVALUE(solar!B14)</f>
        <v>32</v>
      </c>
      <c r="C17" s="12" t="n">
        <f aca="false">solar!C14</f>
        <v>0</v>
      </c>
      <c r="D17" s="12" t="n">
        <v>13</v>
      </c>
      <c r="E17" s="6" t="n">
        <v>13</v>
      </c>
      <c r="F17" s="17" t="n">
        <f aca="false">IFERROR(INDEX($B$5:$C$173, MATCH($E17, $B$5:$B$175, 0), 2), 0)*investment!$C$2</f>
        <v>0</v>
      </c>
      <c r="G17" s="6" t="n">
        <f aca="false">demand!C15</f>
        <v>0</v>
      </c>
      <c r="H17" s="3" t="n">
        <f aca="false">solgen!C15</f>
        <v>0</v>
      </c>
      <c r="I17" s="3" t="n">
        <f aca="false">import!C15</f>
        <v>0</v>
      </c>
      <c r="J17" s="3" t="n">
        <f aca="false">-export!C15</f>
        <v>-0</v>
      </c>
      <c r="K17" s="3" t="n">
        <f aca="false">-charge!C15</f>
        <v>-0</v>
      </c>
      <c r="L17" s="3" t="n">
        <f aca="false">discharge!C15</f>
        <v>0</v>
      </c>
      <c r="M17" s="3" t="n">
        <f aca="false">soc!C15/investment!$E$2 *100</f>
        <v>29.0350545883679</v>
      </c>
      <c r="N17" s="5" t="n">
        <f aca="false">p_micro!C14</f>
        <v>0</v>
      </c>
    </row>
    <row r="18" customFormat="false" ht="13.8" hidden="false" customHeight="false" outlineLevel="0" collapsed="false">
      <c r="B18" s="11" t="n">
        <f aca="false">_xlfn.NUMBERVALUE(solar!B15)</f>
        <v>33</v>
      </c>
      <c r="C18" s="12" t="n">
        <f aca="false">solar!C15</f>
        <v>0</v>
      </c>
      <c r="D18" s="12" t="n">
        <v>14</v>
      </c>
      <c r="E18" s="6" t="n">
        <v>14</v>
      </c>
      <c r="F18" s="17" t="n">
        <f aca="false">IFERROR(INDEX($B$5:$C$173, MATCH($E18, $B$5:$B$175, 0), 2), 0)*investment!$C$2</f>
        <v>0</v>
      </c>
      <c r="G18" s="6" t="n">
        <f aca="false">demand!C16</f>
        <v>0</v>
      </c>
      <c r="H18" s="3" t="n">
        <f aca="false">solgen!C16</f>
        <v>0</v>
      </c>
      <c r="I18" s="3" t="n">
        <f aca="false">import!C16</f>
        <v>0</v>
      </c>
      <c r="J18" s="3" t="n">
        <f aca="false">-export!C16</f>
        <v>-0</v>
      </c>
      <c r="K18" s="3" t="n">
        <f aca="false">-charge!C16</f>
        <v>-0</v>
      </c>
      <c r="L18" s="3" t="n">
        <f aca="false">discharge!C16</f>
        <v>0</v>
      </c>
      <c r="M18" s="3" t="n">
        <f aca="false">soc!C16/investment!$E$2 *100</f>
        <v>48.979021713616</v>
      </c>
      <c r="N18" s="5" t="n">
        <f aca="false">p_micro!C15</f>
        <v>0</v>
      </c>
    </row>
    <row r="19" customFormat="false" ht="13.8" hidden="false" customHeight="false" outlineLevel="0" collapsed="false">
      <c r="B19" s="11" t="n">
        <f aca="false">_xlfn.NUMBERVALUE(solar!B16)</f>
        <v>34</v>
      </c>
      <c r="C19" s="12" t="n">
        <f aca="false">solar!C16</f>
        <v>0</v>
      </c>
      <c r="D19" s="12" t="n">
        <v>15</v>
      </c>
      <c r="E19" s="6" t="n">
        <v>15</v>
      </c>
      <c r="F19" s="17" t="n">
        <f aca="false">IFERROR(INDEX($B$5:$C$173, MATCH($E19, $B$5:$B$175, 0), 2), 0)*investment!$C$2</f>
        <v>0</v>
      </c>
      <c r="G19" s="6" t="n">
        <f aca="false">demand!C17</f>
        <v>0</v>
      </c>
      <c r="H19" s="3" t="n">
        <f aca="false">solgen!C17</f>
        <v>0</v>
      </c>
      <c r="I19" s="3" t="n">
        <f aca="false">import!C17</f>
        <v>0</v>
      </c>
      <c r="J19" s="3" t="n">
        <f aca="false">-export!C17</f>
        <v>-0</v>
      </c>
      <c r="K19" s="3" t="n">
        <f aca="false">-charge!C17</f>
        <v>-0</v>
      </c>
      <c r="L19" s="3" t="n">
        <f aca="false">discharge!C17</f>
        <v>0</v>
      </c>
      <c r="M19" s="3" t="n">
        <f aca="false">soc!C17/investment!$E$2 *100</f>
        <v>69.3533492433928</v>
      </c>
      <c r="N19" s="5" t="n">
        <f aca="false">p_micro!C16</f>
        <v>0</v>
      </c>
    </row>
    <row r="20" customFormat="false" ht="13.8" hidden="false" customHeight="false" outlineLevel="0" collapsed="false">
      <c r="B20" s="11" t="n">
        <f aca="false">_xlfn.NUMBERVALUE(solar!B17)</f>
        <v>35</v>
      </c>
      <c r="C20" s="12" t="n">
        <f aca="false">solar!C17</f>
        <v>0</v>
      </c>
      <c r="D20" s="12" t="n">
        <v>16</v>
      </c>
      <c r="E20" s="6" t="n">
        <v>16</v>
      </c>
      <c r="F20" s="17" t="n">
        <f aca="false">IFERROR(INDEX($B$5:$C$173, MATCH($E20, $B$5:$B$175, 0), 2), 0)*investment!$C$2</f>
        <v>0</v>
      </c>
      <c r="G20" s="6" t="n">
        <f aca="false">demand!C18</f>
        <v>0</v>
      </c>
      <c r="H20" s="3" t="n">
        <f aca="false">solgen!C18</f>
        <v>0</v>
      </c>
      <c r="I20" s="3" t="n">
        <f aca="false">import!C18</f>
        <v>0</v>
      </c>
      <c r="J20" s="3" t="n">
        <f aca="false">-export!C18</f>
        <v>-0</v>
      </c>
      <c r="K20" s="3" t="n">
        <f aca="false">-charge!C18</f>
        <v>-0</v>
      </c>
      <c r="L20" s="3" t="n">
        <f aca="false">discharge!C18</f>
        <v>0</v>
      </c>
      <c r="M20" s="3" t="n">
        <f aca="false">soc!C18/investment!$E$2 *100</f>
        <v>78.7713492934807</v>
      </c>
      <c r="N20" s="5" t="n">
        <f aca="false">p_micro!C17</f>
        <v>0</v>
      </c>
    </row>
    <row r="21" customFormat="false" ht="13.8" hidden="false" customHeight="false" outlineLevel="0" collapsed="false">
      <c r="B21" s="11" t="n">
        <f aca="false">_xlfn.NUMBERVALUE(solar!B18)</f>
        <v>36</v>
      </c>
      <c r="C21" s="12" t="n">
        <f aca="false">solar!C18</f>
        <v>0</v>
      </c>
      <c r="D21" s="12" t="n">
        <v>17</v>
      </c>
      <c r="E21" s="6" t="n">
        <v>17</v>
      </c>
      <c r="F21" s="17" t="n">
        <f aca="false">IFERROR(INDEX($B$5:$C$173, MATCH($E21, $B$5:$B$175, 0), 2), 0)*investment!$C$2</f>
        <v>0</v>
      </c>
      <c r="G21" s="6" t="n">
        <f aca="false">demand!C19</f>
        <v>0</v>
      </c>
      <c r="H21" s="3" t="n">
        <f aca="false">solgen!C19</f>
        <v>0</v>
      </c>
      <c r="I21" s="3" t="n">
        <f aca="false">import!C19</f>
        <v>0</v>
      </c>
      <c r="J21" s="3" t="n">
        <f aca="false">-export!C19</f>
        <v>-0</v>
      </c>
      <c r="K21" s="3" t="n">
        <f aca="false">-charge!C19</f>
        <v>-0</v>
      </c>
      <c r="L21" s="3" t="n">
        <f aca="false">discharge!C19</f>
        <v>0</v>
      </c>
      <c r="M21" s="3" t="n">
        <f aca="false">soc!C19/investment!$E$2 *100</f>
        <v>81.5290815751769</v>
      </c>
      <c r="N21" s="5" t="n">
        <f aca="false">p_micro!C18</f>
        <v>0</v>
      </c>
    </row>
    <row r="22" customFormat="false" ht="13.8" hidden="false" customHeight="false" outlineLevel="0" collapsed="false">
      <c r="B22" s="11" t="n">
        <f aca="false">_xlfn.NUMBERVALUE(solar!B19)</f>
        <v>37</v>
      </c>
      <c r="C22" s="12" t="n">
        <f aca="false">solar!C19</f>
        <v>0</v>
      </c>
      <c r="D22" s="12" t="n">
        <v>18</v>
      </c>
      <c r="E22" s="6" t="n">
        <v>18</v>
      </c>
      <c r="F22" s="17" t="n">
        <f aca="false">IFERROR(INDEX($B$5:$C$173, MATCH($E22, $B$5:$B$175, 0), 2), 0)*investment!$C$2</f>
        <v>0</v>
      </c>
      <c r="G22" s="6" t="n">
        <f aca="false">demand!C20</f>
        <v>0</v>
      </c>
      <c r="H22" s="3" t="n">
        <f aca="false">solgen!C20</f>
        <v>0</v>
      </c>
      <c r="I22" s="3" t="n">
        <f aca="false">import!C20</f>
        <v>0</v>
      </c>
      <c r="J22" s="3" t="n">
        <f aca="false">-export!C20</f>
        <v>-0</v>
      </c>
      <c r="K22" s="3" t="n">
        <f aca="false">-charge!C20</f>
        <v>-0</v>
      </c>
      <c r="L22" s="3" t="n">
        <f aca="false">discharge!C20</f>
        <v>0</v>
      </c>
      <c r="M22" s="3" t="n">
        <f aca="false">soc!C20/investment!$E$2 *100</f>
        <v>77.6739817505003</v>
      </c>
      <c r="N22" s="5" t="n">
        <f aca="false">p_micro!C19</f>
        <v>0</v>
      </c>
    </row>
    <row r="23" customFormat="false" ht="13.8" hidden="false" customHeight="false" outlineLevel="0" collapsed="false">
      <c r="B23" s="11" t="n">
        <f aca="false">_xlfn.NUMBERVALUE(solar!B20)</f>
        <v>38</v>
      </c>
      <c r="C23" s="12" t="n">
        <f aca="false">solar!C20</f>
        <v>0</v>
      </c>
      <c r="D23" s="12" t="n">
        <v>19</v>
      </c>
      <c r="E23" s="6" t="n">
        <v>19</v>
      </c>
      <c r="F23" s="17" t="n">
        <f aca="false">IFERROR(INDEX($B$5:$C$173, MATCH($E23, $B$5:$B$175, 0), 2), 0)*investment!$C$2</f>
        <v>0</v>
      </c>
      <c r="G23" s="6" t="n">
        <f aca="false">demand!C21</f>
        <v>0</v>
      </c>
      <c r="H23" s="3" t="n">
        <f aca="false">solgen!C21</f>
        <v>0</v>
      </c>
      <c r="I23" s="3" t="n">
        <f aca="false">import!C21</f>
        <v>0</v>
      </c>
      <c r="J23" s="3" t="n">
        <f aca="false">-export!C21</f>
        <v>-0</v>
      </c>
      <c r="K23" s="3" t="n">
        <f aca="false">-charge!C21</f>
        <v>-0</v>
      </c>
      <c r="L23" s="3" t="n">
        <f aca="false">discharge!C21</f>
        <v>0</v>
      </c>
      <c r="M23" s="3" t="n">
        <f aca="false">soc!C21/investment!$E$2 *100</f>
        <v>70.0970193280807</v>
      </c>
      <c r="N23" s="5" t="n">
        <f aca="false">p_micro!C20</f>
        <v>0</v>
      </c>
    </row>
    <row r="24" customFormat="false" ht="13.8" hidden="false" customHeight="false" outlineLevel="0" collapsed="false">
      <c r="B24" s="11" t="n">
        <f aca="false">_xlfn.NUMBERVALUE(solar!B21)</f>
        <v>39</v>
      </c>
      <c r="C24" s="12" t="n">
        <f aca="false">solar!C21</f>
        <v>0</v>
      </c>
      <c r="D24" s="12" t="n">
        <v>20</v>
      </c>
      <c r="E24" s="6" t="n">
        <v>20</v>
      </c>
      <c r="F24" s="17" t="n">
        <f aca="false">IFERROR(INDEX($B$5:$C$173, MATCH($E24, $B$5:$B$175, 0), 2), 0)*investment!$C$2</f>
        <v>0</v>
      </c>
      <c r="G24" s="6" t="n">
        <f aca="false">demand!C22</f>
        <v>0</v>
      </c>
      <c r="H24" s="3" t="n">
        <f aca="false">solgen!C22</f>
        <v>0</v>
      </c>
      <c r="I24" s="3" t="n">
        <f aca="false">import!C22</f>
        <v>0</v>
      </c>
      <c r="J24" s="3" t="n">
        <f aca="false">-export!C22</f>
        <v>-0</v>
      </c>
      <c r="K24" s="3" t="n">
        <f aca="false">-charge!C22</f>
        <v>-0</v>
      </c>
      <c r="L24" s="3" t="n">
        <f aca="false">discharge!C22</f>
        <v>0</v>
      </c>
      <c r="M24" s="3" t="n">
        <f aca="false">soc!C22/investment!$E$2 *100</f>
        <v>60.6635878967722</v>
      </c>
      <c r="N24" s="5" t="n">
        <f aca="false">p_micro!C21</f>
        <v>0</v>
      </c>
    </row>
    <row r="25" customFormat="false" ht="13.8" hidden="false" customHeight="false" outlineLevel="0" collapsed="false">
      <c r="B25" s="11" t="n">
        <f aca="false">_xlfn.NUMBERVALUE(solar!B22)</f>
        <v>40</v>
      </c>
      <c r="C25" s="12" t="n">
        <f aca="false">solar!C22</f>
        <v>0</v>
      </c>
      <c r="D25" s="12" t="n">
        <v>21</v>
      </c>
      <c r="E25" s="6" t="n">
        <v>21</v>
      </c>
      <c r="F25" s="17" t="n">
        <f aca="false">IFERROR(INDEX($B$5:$C$173, MATCH($E25, $B$5:$B$175, 0), 2), 0)*investment!$C$2</f>
        <v>0</v>
      </c>
      <c r="G25" s="6" t="n">
        <f aca="false">demand!C23</f>
        <v>0</v>
      </c>
      <c r="H25" s="3" t="n">
        <f aca="false">solgen!C23</f>
        <v>0</v>
      </c>
      <c r="I25" s="3" t="n">
        <f aca="false">import!C23</f>
        <v>0</v>
      </c>
      <c r="J25" s="3" t="n">
        <f aca="false">-export!C23</f>
        <v>-0</v>
      </c>
      <c r="K25" s="3" t="n">
        <f aca="false">-charge!C23</f>
        <v>-0</v>
      </c>
      <c r="L25" s="3" t="n">
        <f aca="false">discharge!C23</f>
        <v>0</v>
      </c>
      <c r="M25" s="3" t="n">
        <f aca="false">soc!C23/investment!$E$2 *100</f>
        <v>50.513847050453</v>
      </c>
      <c r="N25" s="5" t="n">
        <f aca="false">p_micro!C22</f>
        <v>0</v>
      </c>
    </row>
    <row r="26" customFormat="false" ht="13.8" hidden="false" customHeight="false" outlineLevel="0" collapsed="false">
      <c r="B26" s="11" t="n">
        <f aca="false">_xlfn.NUMBERVALUE(solar!B23)</f>
        <v>41</v>
      </c>
      <c r="C26" s="12" t="n">
        <f aca="false">solar!C23</f>
        <v>0</v>
      </c>
      <c r="D26" s="12" t="n">
        <v>22</v>
      </c>
      <c r="E26" s="6" t="n">
        <v>22</v>
      </c>
      <c r="F26" s="17" t="n">
        <f aca="false">IFERROR(INDEX($B$5:$C$173, MATCH($E26, $B$5:$B$175, 0), 2), 0)*investment!$C$2</f>
        <v>0</v>
      </c>
      <c r="G26" s="6" t="n">
        <f aca="false">demand!C24</f>
        <v>0</v>
      </c>
      <c r="H26" s="3" t="n">
        <f aca="false">solgen!C24</f>
        <v>0</v>
      </c>
      <c r="I26" s="3" t="n">
        <f aca="false">import!C24</f>
        <v>0</v>
      </c>
      <c r="J26" s="3" t="n">
        <f aca="false">-export!C24</f>
        <v>-0</v>
      </c>
      <c r="K26" s="3" t="n">
        <f aca="false">-charge!C24</f>
        <v>-0</v>
      </c>
      <c r="L26" s="3" t="n">
        <f aca="false">discharge!C24</f>
        <v>0</v>
      </c>
      <c r="M26" s="3" t="n">
        <f aca="false">soc!C24/investment!$E$2 *100</f>
        <v>41.4713806889961</v>
      </c>
      <c r="N26" s="5" t="n">
        <f aca="false">p_micro!C23</f>
        <v>0</v>
      </c>
    </row>
    <row r="27" customFormat="false" ht="13.8" hidden="false" customHeight="false" outlineLevel="0" collapsed="false">
      <c r="B27" s="11" t="n">
        <f aca="false">_xlfn.NUMBERVALUE(solar!B24)</f>
        <v>42</v>
      </c>
      <c r="C27" s="12" t="n">
        <f aca="false">solar!C24</f>
        <v>0</v>
      </c>
      <c r="D27" s="12" t="n">
        <v>23</v>
      </c>
      <c r="E27" s="6" t="n">
        <v>23</v>
      </c>
      <c r="F27" s="17" t="n">
        <f aca="false">IFERROR(INDEX($B$5:$C$173, MATCH($E27, $B$5:$B$175, 0), 2), 0)*investment!$C$2</f>
        <v>0</v>
      </c>
      <c r="G27" s="6" t="n">
        <f aca="false">demand!C25</f>
        <v>0</v>
      </c>
      <c r="H27" s="3" t="n">
        <f aca="false">solgen!C25</f>
        <v>0</v>
      </c>
      <c r="I27" s="3" t="n">
        <f aca="false">import!C25</f>
        <v>0</v>
      </c>
      <c r="J27" s="3" t="n">
        <f aca="false">-export!C25</f>
        <v>-0</v>
      </c>
      <c r="K27" s="3" t="n">
        <f aca="false">-charge!C25</f>
        <v>-0</v>
      </c>
      <c r="L27" s="3" t="n">
        <f aca="false">discharge!C25</f>
        <v>0</v>
      </c>
      <c r="M27" s="3" t="n">
        <f aca="false">soc!C25/investment!$E$2 *100</f>
        <v>34.5039155892284</v>
      </c>
      <c r="N27" s="5" t="n">
        <f aca="false">p_micro!C24</f>
        <v>0</v>
      </c>
    </row>
    <row r="28" customFormat="false" ht="13.8" hidden="false" customHeight="false" outlineLevel="0" collapsed="false">
      <c r="B28" s="11" t="n">
        <f aca="false">_xlfn.NUMBERVALUE(solar!B25)</f>
        <v>43</v>
      </c>
      <c r="C28" s="12" t="n">
        <f aca="false">solar!C25</f>
        <v>0</v>
      </c>
      <c r="D28" s="12" t="n">
        <v>24</v>
      </c>
      <c r="E28" s="6" t="n">
        <v>24</v>
      </c>
      <c r="F28" s="17" t="n">
        <f aca="false">IFERROR(INDEX($B$5:$C$173, MATCH($E28, $B$5:$B$175, 0), 2), 0)*investment!$C$2</f>
        <v>0</v>
      </c>
      <c r="G28" s="6" t="n">
        <f aca="false">demand!C26</f>
        <v>0</v>
      </c>
      <c r="H28" s="3" t="n">
        <f aca="false">solgen!C26</f>
        <v>0</v>
      </c>
      <c r="I28" s="3" t="n">
        <f aca="false">import!C26</f>
        <v>0</v>
      </c>
      <c r="J28" s="3" t="n">
        <f aca="false">-export!C26</f>
        <v>-0</v>
      </c>
      <c r="K28" s="3" t="n">
        <f aca="false">-charge!C26</f>
        <v>-0</v>
      </c>
      <c r="L28" s="3" t="n">
        <f aca="false">discharge!C26</f>
        <v>0</v>
      </c>
      <c r="M28" s="3" t="n">
        <f aca="false">soc!C26/investment!$E$2 *100</f>
        <v>28.0290702265239</v>
      </c>
      <c r="N28" s="5" t="n">
        <f aca="false">p_micro!C25</f>
        <v>0</v>
      </c>
    </row>
    <row r="29" customFormat="false" ht="13.8" hidden="false" customHeight="false" outlineLevel="0" collapsed="false">
      <c r="B29" s="11" t="n">
        <f aca="false">_xlfn.NUMBERVALUE(solar!B26)</f>
        <v>56</v>
      </c>
      <c r="C29" s="12" t="n">
        <f aca="false">solar!C26</f>
        <v>0</v>
      </c>
      <c r="D29" s="12" t="n">
        <v>1</v>
      </c>
      <c r="E29" s="6" t="n">
        <v>25</v>
      </c>
      <c r="F29" s="17" t="n">
        <f aca="false">IFERROR(INDEX($B$5:$C$173, MATCH($E29, $B$5:$B$175, 0), 2), 0)*investment!$C$2</f>
        <v>0</v>
      </c>
      <c r="G29" s="6" t="n">
        <f aca="false">demand!C27</f>
        <v>0</v>
      </c>
      <c r="H29" s="3" t="n">
        <f aca="false">solgen!C27</f>
        <v>0</v>
      </c>
      <c r="I29" s="3" t="n">
        <f aca="false">import!C27</f>
        <v>0</v>
      </c>
      <c r="J29" s="3" t="n">
        <f aca="false">-export!C27</f>
        <v>-0</v>
      </c>
      <c r="K29" s="3" t="n">
        <f aca="false">-charge!C27</f>
        <v>-0</v>
      </c>
      <c r="L29" s="3" t="n">
        <f aca="false">discharge!C27</f>
        <v>0</v>
      </c>
      <c r="M29" s="3" t="n">
        <f aca="false">soc!C27/investment!$E$2 *100</f>
        <v>22.0125733634113</v>
      </c>
      <c r="N29" s="5" t="n">
        <f aca="false">p_micro!C26</f>
        <v>0</v>
      </c>
    </row>
    <row r="30" customFormat="false" ht="13.8" hidden="false" customHeight="false" outlineLevel="0" collapsed="false">
      <c r="B30" s="11" t="n">
        <f aca="false">_xlfn.NUMBERVALUE(solar!B27)</f>
        <v>57</v>
      </c>
      <c r="C30" s="12" t="n">
        <f aca="false">solar!C27</f>
        <v>0</v>
      </c>
      <c r="D30" s="12" t="n">
        <v>2</v>
      </c>
      <c r="E30" s="6" t="n">
        <v>26</v>
      </c>
      <c r="F30" s="17" t="n">
        <f aca="false">IFERROR(INDEX($B$5:$C$173, MATCH($E30, $B$5:$B$175, 0), 2), 0)*investment!$C$2</f>
        <v>0</v>
      </c>
      <c r="G30" s="6" t="n">
        <f aca="false">demand!C28</f>
        <v>0</v>
      </c>
      <c r="H30" s="3" t="n">
        <f aca="false">solgen!C28</f>
        <v>0</v>
      </c>
      <c r="I30" s="3" t="n">
        <f aca="false">import!C28</f>
        <v>0</v>
      </c>
      <c r="J30" s="3" t="n">
        <f aca="false">-export!C28</f>
        <v>-0</v>
      </c>
      <c r="K30" s="3" t="n">
        <f aca="false">-charge!C28</f>
        <v>-0</v>
      </c>
      <c r="L30" s="3" t="n">
        <f aca="false">discharge!C28</f>
        <v>0</v>
      </c>
      <c r="M30" s="3" t="n">
        <f aca="false">soc!C28/investment!$E$2 *100</f>
        <v>17.6993093576576</v>
      </c>
      <c r="N30" s="5" t="n">
        <f aca="false">p_micro!C27</f>
        <v>0</v>
      </c>
    </row>
    <row r="31" customFormat="false" ht="13.8" hidden="false" customHeight="false" outlineLevel="0" collapsed="false">
      <c r="B31" s="11" t="n">
        <f aca="false">_xlfn.NUMBERVALUE(solar!B28)</f>
        <v>58</v>
      </c>
      <c r="C31" s="12" t="n">
        <f aca="false">solar!C28</f>
        <v>0</v>
      </c>
      <c r="D31" s="12" t="n">
        <v>3</v>
      </c>
      <c r="E31" s="6" t="n">
        <v>27</v>
      </c>
      <c r="F31" s="17" t="n">
        <f aca="false">IFERROR(INDEX($B$5:$C$173, MATCH($E31, $B$5:$B$175, 0), 2), 0)*investment!$C$2</f>
        <v>0</v>
      </c>
      <c r="G31" s="6" t="n">
        <f aca="false">demand!C29</f>
        <v>0</v>
      </c>
      <c r="H31" s="3" t="n">
        <f aca="false">solgen!C29</f>
        <v>0</v>
      </c>
      <c r="I31" s="3" t="n">
        <f aca="false">import!C29</f>
        <v>0</v>
      </c>
      <c r="J31" s="3" t="n">
        <f aca="false">-export!C29</f>
        <v>-0</v>
      </c>
      <c r="K31" s="3" t="n">
        <f aca="false">-charge!C29</f>
        <v>-0</v>
      </c>
      <c r="L31" s="3" t="n">
        <f aca="false">discharge!C29</f>
        <v>0</v>
      </c>
      <c r="M31" s="3" t="n">
        <f aca="false">soc!C29/investment!$E$2 *100</f>
        <v>13.5335844057642</v>
      </c>
      <c r="N31" s="5" t="n">
        <f aca="false">p_micro!C28</f>
        <v>0</v>
      </c>
    </row>
    <row r="32" customFormat="false" ht="13.8" hidden="false" customHeight="false" outlineLevel="0" collapsed="false">
      <c r="B32" s="11" t="n">
        <f aca="false">_xlfn.NUMBERVALUE(solar!B29)</f>
        <v>59</v>
      </c>
      <c r="C32" s="12" t="n">
        <f aca="false">solar!C29</f>
        <v>0</v>
      </c>
      <c r="D32" s="12" t="n">
        <v>4</v>
      </c>
      <c r="E32" s="6" t="n">
        <v>28</v>
      </c>
      <c r="F32" s="17" t="n">
        <f aca="false">IFERROR(INDEX($B$5:$C$173, MATCH($E32, $B$5:$B$175, 0), 2), 0)*investment!$C$2</f>
        <v>0</v>
      </c>
      <c r="G32" s="6" t="n">
        <f aca="false">demand!C30</f>
        <v>0</v>
      </c>
      <c r="H32" s="3" t="n">
        <f aca="false">solgen!C30</f>
        <v>0</v>
      </c>
      <c r="I32" s="3" t="n">
        <f aca="false">import!C30</f>
        <v>0</v>
      </c>
      <c r="J32" s="3" t="n">
        <f aca="false">-export!C30</f>
        <v>-0</v>
      </c>
      <c r="K32" s="3" t="n">
        <f aca="false">-charge!C30</f>
        <v>-0</v>
      </c>
      <c r="L32" s="3" t="n">
        <f aca="false">discharge!C30</f>
        <v>0</v>
      </c>
      <c r="M32" s="3" t="n">
        <f aca="false">soc!C30/investment!$E$2 *100</f>
        <v>8.64973635607417</v>
      </c>
      <c r="N32" s="5" t="n">
        <f aca="false">p_micro!C29</f>
        <v>0</v>
      </c>
    </row>
    <row r="33" customFormat="false" ht="13.8" hidden="false" customHeight="false" outlineLevel="0" collapsed="false">
      <c r="B33" s="11" t="n">
        <f aca="false">_xlfn.NUMBERVALUE(solar!B30)</f>
        <v>60</v>
      </c>
      <c r="C33" s="12" t="n">
        <f aca="false">solar!C30</f>
        <v>0</v>
      </c>
      <c r="D33" s="12" t="n">
        <v>5</v>
      </c>
      <c r="E33" s="6" t="n">
        <v>29</v>
      </c>
      <c r="F33" s="17" t="n">
        <f aca="false">IFERROR(INDEX($B$5:$C$173, MATCH($E33, $B$5:$B$175, 0), 2), 0)*investment!$C$2</f>
        <v>0</v>
      </c>
      <c r="G33" s="6" t="n">
        <f aca="false">demand!C31</f>
        <v>0</v>
      </c>
      <c r="H33" s="3" t="n">
        <f aca="false">solgen!C31</f>
        <v>0</v>
      </c>
      <c r="I33" s="3" t="n">
        <f aca="false">import!C31</f>
        <v>0</v>
      </c>
      <c r="J33" s="3" t="n">
        <f aca="false">-export!C31</f>
        <v>-0</v>
      </c>
      <c r="K33" s="3" t="n">
        <f aca="false">-charge!C31</f>
        <v>-0</v>
      </c>
      <c r="L33" s="3" t="n">
        <f aca="false">discharge!C31</f>
        <v>0</v>
      </c>
      <c r="M33" s="3" t="n">
        <f aca="false">soc!C31/investment!$E$2 *100</f>
        <v>4.4863647652808</v>
      </c>
      <c r="N33" s="5" t="n">
        <f aca="false">p_micro!C30</f>
        <v>0</v>
      </c>
    </row>
    <row r="34" customFormat="false" ht="13.8" hidden="false" customHeight="false" outlineLevel="0" collapsed="false">
      <c r="B34" s="11" t="n">
        <f aca="false">_xlfn.NUMBERVALUE(solar!B31)</f>
        <v>61</v>
      </c>
      <c r="C34" s="12" t="n">
        <f aca="false">solar!C31</f>
        <v>0</v>
      </c>
      <c r="D34" s="12" t="n">
        <v>6</v>
      </c>
      <c r="E34" s="6" t="n">
        <v>30</v>
      </c>
      <c r="F34" s="17" t="n">
        <f aca="false">IFERROR(INDEX($B$5:$C$173, MATCH($E34, $B$5:$B$175, 0), 2), 0)*investment!$C$2</f>
        <v>0</v>
      </c>
      <c r="G34" s="6" t="n">
        <f aca="false">demand!C32</f>
        <v>0</v>
      </c>
      <c r="H34" s="3" t="n">
        <f aca="false">solgen!C32</f>
        <v>0</v>
      </c>
      <c r="I34" s="3" t="n">
        <f aca="false">import!C32</f>
        <v>0</v>
      </c>
      <c r="J34" s="3" t="n">
        <f aca="false">-export!C32</f>
        <v>-0</v>
      </c>
      <c r="K34" s="3" t="n">
        <f aca="false">-charge!C32</f>
        <v>-0</v>
      </c>
      <c r="L34" s="3" t="n">
        <f aca="false">discharge!C32</f>
        <v>0</v>
      </c>
      <c r="M34" s="3" t="n">
        <f aca="false">soc!C32/investment!$E$2 *100</f>
        <v>0.385617015577318</v>
      </c>
      <c r="N34" s="5" t="n">
        <f aca="false">p_micro!C31</f>
        <v>0</v>
      </c>
    </row>
    <row r="35" customFormat="false" ht="13.8" hidden="false" customHeight="false" outlineLevel="0" collapsed="false">
      <c r="B35" s="11" t="n">
        <f aca="false">_xlfn.NUMBERVALUE(solar!B32)</f>
        <v>62</v>
      </c>
      <c r="C35" s="12" t="n">
        <f aca="false">solar!C32</f>
        <v>0</v>
      </c>
      <c r="D35" s="12" t="n">
        <v>7</v>
      </c>
      <c r="E35" s="6" t="n">
        <v>31</v>
      </c>
      <c r="F35" s="17" t="n">
        <f aca="false">IFERROR(INDEX($B$5:$C$173, MATCH($E35, $B$5:$B$175, 0), 2), 0)*investment!$C$2</f>
        <v>0</v>
      </c>
      <c r="G35" s="6" t="n">
        <f aca="false">demand!C33</f>
        <v>0</v>
      </c>
      <c r="H35" s="3" t="n">
        <f aca="false">solgen!C33</f>
        <v>0</v>
      </c>
      <c r="I35" s="3" t="n">
        <f aca="false">import!C33</f>
        <v>0</v>
      </c>
      <c r="J35" s="3" t="n">
        <f aca="false">-export!C33</f>
        <v>-0</v>
      </c>
      <c r="K35" s="3" t="n">
        <f aca="false">-charge!C33</f>
        <v>-0</v>
      </c>
      <c r="L35" s="3" t="n">
        <f aca="false">discharge!C33</f>
        <v>0</v>
      </c>
      <c r="M35" s="3" t="n">
        <f aca="false">soc!C33/investment!$E$2 *100</f>
        <v>0</v>
      </c>
      <c r="N35" s="5" t="n">
        <f aca="false">p_micro!C32</f>
        <v>0</v>
      </c>
    </row>
    <row r="36" customFormat="false" ht="13.8" hidden="false" customHeight="false" outlineLevel="0" collapsed="false">
      <c r="B36" s="11" t="n">
        <f aca="false">_xlfn.NUMBERVALUE(solar!B33)</f>
        <v>63</v>
      </c>
      <c r="C36" s="12" t="n">
        <f aca="false">solar!C33</f>
        <v>0</v>
      </c>
      <c r="D36" s="12" t="n">
        <v>8</v>
      </c>
      <c r="E36" s="6" t="n">
        <v>32</v>
      </c>
      <c r="F36" s="17" t="n">
        <f aca="false">IFERROR(INDEX($B$5:$C$173, MATCH($E36, $B$5:$B$175, 0), 2), 0)*investment!$C$2</f>
        <v>0</v>
      </c>
      <c r="G36" s="6" t="n">
        <f aca="false">demand!C34</f>
        <v>0</v>
      </c>
      <c r="H36" s="3" t="n">
        <f aca="false">solgen!C34</f>
        <v>0</v>
      </c>
      <c r="I36" s="3" t="n">
        <f aca="false">import!C34</f>
        <v>0</v>
      </c>
      <c r="J36" s="3" t="n">
        <f aca="false">-export!C34</f>
        <v>-0</v>
      </c>
      <c r="K36" s="3" t="n">
        <f aca="false">-charge!C34</f>
        <v>-0</v>
      </c>
      <c r="L36" s="3" t="n">
        <f aca="false">discharge!C34</f>
        <v>0</v>
      </c>
      <c r="M36" s="3" t="n">
        <f aca="false">soc!C34/investment!$E$2 *100</f>
        <v>0</v>
      </c>
      <c r="N36" s="5" t="n">
        <f aca="false">p_micro!C33</f>
        <v>0</v>
      </c>
    </row>
    <row r="37" customFormat="false" ht="13.8" hidden="false" customHeight="false" outlineLevel="0" collapsed="false">
      <c r="B37" s="11" t="n">
        <f aca="false">_xlfn.NUMBERVALUE(solar!B34)</f>
        <v>64</v>
      </c>
      <c r="C37" s="12" t="n">
        <f aca="false">solar!C34</f>
        <v>0</v>
      </c>
      <c r="D37" s="12" t="n">
        <v>9</v>
      </c>
      <c r="E37" s="6" t="n">
        <v>33</v>
      </c>
      <c r="F37" s="17" t="n">
        <f aca="false">IFERROR(INDEX($B$5:$C$173, MATCH($E37, $B$5:$B$175, 0), 2), 0)*investment!$C$2</f>
        <v>0</v>
      </c>
      <c r="G37" s="6" t="n">
        <f aca="false">demand!C35</f>
        <v>0</v>
      </c>
      <c r="H37" s="3" t="n">
        <f aca="false">solgen!C35</f>
        <v>0</v>
      </c>
      <c r="I37" s="3" t="n">
        <f aca="false">import!C35</f>
        <v>0</v>
      </c>
      <c r="J37" s="3" t="n">
        <f aca="false">-export!C35</f>
        <v>-0</v>
      </c>
      <c r="K37" s="3" t="n">
        <f aca="false">-charge!C35</f>
        <v>-0</v>
      </c>
      <c r="L37" s="3" t="n">
        <f aca="false">discharge!C35</f>
        <v>0</v>
      </c>
      <c r="M37" s="3" t="n">
        <f aca="false">soc!C35/investment!$E$2 *100</f>
        <v>0</v>
      </c>
      <c r="N37" s="5" t="n">
        <f aca="false">p_micro!C34</f>
        <v>0</v>
      </c>
    </row>
    <row r="38" customFormat="false" ht="13.8" hidden="false" customHeight="false" outlineLevel="0" collapsed="false">
      <c r="B38" s="11" t="n">
        <f aca="false">_xlfn.NUMBERVALUE(solar!B35)</f>
        <v>65</v>
      </c>
      <c r="C38" s="12" t="n">
        <f aca="false">solar!C35</f>
        <v>0</v>
      </c>
      <c r="D38" s="12" t="n">
        <v>10</v>
      </c>
      <c r="E38" s="6" t="n">
        <v>34</v>
      </c>
      <c r="F38" s="17" t="n">
        <f aca="false">IFERROR(INDEX($B$5:$C$173, MATCH($E38, $B$5:$B$175, 0), 2), 0)*investment!$C$2</f>
        <v>0</v>
      </c>
      <c r="G38" s="6" t="n">
        <f aca="false">demand!C36</f>
        <v>0</v>
      </c>
      <c r="H38" s="3" t="n">
        <f aca="false">solgen!C36</f>
        <v>0</v>
      </c>
      <c r="I38" s="3" t="n">
        <f aca="false">import!C36</f>
        <v>0</v>
      </c>
      <c r="J38" s="3" t="n">
        <f aca="false">-export!C36</f>
        <v>-0</v>
      </c>
      <c r="K38" s="3" t="n">
        <f aca="false">-charge!C36</f>
        <v>-0</v>
      </c>
      <c r="L38" s="3" t="n">
        <f aca="false">discharge!C36</f>
        <v>0</v>
      </c>
      <c r="M38" s="3" t="n">
        <f aca="false">soc!C36/investment!$E$2 *100</f>
        <v>0</v>
      </c>
      <c r="N38" s="5" t="n">
        <f aca="false">p_micro!C35</f>
        <v>0</v>
      </c>
    </row>
    <row r="39" customFormat="false" ht="13.8" hidden="false" customHeight="false" outlineLevel="0" collapsed="false">
      <c r="B39" s="11" t="n">
        <f aca="false">_xlfn.NUMBERVALUE(solar!B36)</f>
        <v>66</v>
      </c>
      <c r="C39" s="12" t="n">
        <f aca="false">solar!C36</f>
        <v>0</v>
      </c>
      <c r="D39" s="12" t="n">
        <v>11</v>
      </c>
      <c r="E39" s="6" t="n">
        <v>35</v>
      </c>
      <c r="F39" s="17" t="n">
        <f aca="false">IFERROR(INDEX($B$5:$C$173, MATCH($E39, $B$5:$B$175, 0), 2), 0)*investment!$C$2</f>
        <v>0</v>
      </c>
      <c r="G39" s="6" t="n">
        <f aca="false">demand!C37</f>
        <v>0</v>
      </c>
      <c r="H39" s="3" t="n">
        <f aca="false">solgen!C37</f>
        <v>0</v>
      </c>
      <c r="I39" s="3" t="n">
        <f aca="false">import!C37</f>
        <v>0</v>
      </c>
      <c r="J39" s="3" t="n">
        <f aca="false">-export!C37</f>
        <v>-0</v>
      </c>
      <c r="K39" s="3" t="n">
        <f aca="false">-charge!C37</f>
        <v>-0</v>
      </c>
      <c r="L39" s="3" t="n">
        <f aca="false">discharge!C37</f>
        <v>0</v>
      </c>
      <c r="M39" s="3" t="n">
        <f aca="false">soc!C37/investment!$E$2 *100</f>
        <v>0</v>
      </c>
      <c r="N39" s="5" t="n">
        <f aca="false">p_micro!C36</f>
        <v>0</v>
      </c>
    </row>
    <row r="40" customFormat="false" ht="13.8" hidden="false" customHeight="false" outlineLevel="0" collapsed="false">
      <c r="B40" s="11" t="n">
        <f aca="false">_xlfn.NUMBERVALUE(solar!B37)</f>
        <v>67</v>
      </c>
      <c r="C40" s="12" t="n">
        <f aca="false">solar!C37</f>
        <v>0</v>
      </c>
      <c r="D40" s="12" t="n">
        <v>12</v>
      </c>
      <c r="E40" s="6" t="n">
        <v>36</v>
      </c>
      <c r="F40" s="17" t="n">
        <f aca="false">IFERROR(INDEX($B$5:$C$173, MATCH($E40, $B$5:$B$175, 0), 2), 0)*investment!$C$2</f>
        <v>0</v>
      </c>
      <c r="G40" s="6" t="n">
        <f aca="false">demand!C38</f>
        <v>0</v>
      </c>
      <c r="H40" s="3" t="n">
        <f aca="false">solgen!C38</f>
        <v>0</v>
      </c>
      <c r="I40" s="3" t="n">
        <f aca="false">import!C38</f>
        <v>0</v>
      </c>
      <c r="J40" s="3" t="n">
        <f aca="false">-export!C38</f>
        <v>-0</v>
      </c>
      <c r="K40" s="3" t="n">
        <f aca="false">-charge!C38</f>
        <v>-0</v>
      </c>
      <c r="L40" s="3" t="n">
        <f aca="false">discharge!C38</f>
        <v>0</v>
      </c>
      <c r="M40" s="3" t="n">
        <f aca="false">soc!C38/investment!$E$2 *100</f>
        <v>0</v>
      </c>
      <c r="N40" s="5" t="n">
        <f aca="false">p_micro!C37</f>
        <v>0</v>
      </c>
    </row>
    <row r="41" customFormat="false" ht="13.8" hidden="false" customHeight="false" outlineLevel="0" collapsed="false">
      <c r="B41" s="11" t="n">
        <f aca="false">_xlfn.NUMBERVALUE(solar!B38)</f>
        <v>80</v>
      </c>
      <c r="C41" s="12" t="n">
        <f aca="false">solar!C38</f>
        <v>0</v>
      </c>
      <c r="D41" s="12" t="n">
        <v>13</v>
      </c>
      <c r="E41" s="6" t="n">
        <v>37</v>
      </c>
      <c r="F41" s="17" t="n">
        <f aca="false">IFERROR(INDEX($B$5:$C$173, MATCH($E41, $B$5:$B$175, 0), 2), 0)*investment!$C$2</f>
        <v>0</v>
      </c>
      <c r="G41" s="6" t="n">
        <f aca="false">demand!C39</f>
        <v>0</v>
      </c>
      <c r="H41" s="3" t="n">
        <f aca="false">solgen!C39</f>
        <v>0</v>
      </c>
      <c r="I41" s="3" t="n">
        <f aca="false">import!C39</f>
        <v>0</v>
      </c>
      <c r="J41" s="3" t="n">
        <f aca="false">-export!C39</f>
        <v>-0</v>
      </c>
      <c r="K41" s="3" t="n">
        <f aca="false">-charge!C39</f>
        <v>-0</v>
      </c>
      <c r="L41" s="3" t="n">
        <f aca="false">discharge!C39</f>
        <v>0</v>
      </c>
      <c r="M41" s="3" t="n">
        <f aca="false">soc!C39/investment!$E$2 *100</f>
        <v>13.6799656644303</v>
      </c>
      <c r="N41" s="5" t="n">
        <f aca="false">p_micro!C38</f>
        <v>0</v>
      </c>
    </row>
    <row r="42" customFormat="false" ht="13.8" hidden="false" customHeight="false" outlineLevel="0" collapsed="false">
      <c r="B42" s="11" t="n">
        <f aca="false">_xlfn.NUMBERVALUE(solar!B39)</f>
        <v>81</v>
      </c>
      <c r="C42" s="12" t="n">
        <f aca="false">solar!C39</f>
        <v>0</v>
      </c>
      <c r="D42" s="12" t="n">
        <v>14</v>
      </c>
      <c r="E42" s="6" t="n">
        <v>38</v>
      </c>
      <c r="F42" s="17" t="n">
        <f aca="false">IFERROR(INDEX($B$5:$C$173, MATCH($E42, $B$5:$B$175, 0), 2), 0)*investment!$C$2</f>
        <v>0</v>
      </c>
      <c r="G42" s="6" t="n">
        <f aca="false">demand!C40</f>
        <v>0</v>
      </c>
      <c r="H42" s="3" t="n">
        <f aca="false">solgen!C40</f>
        <v>0</v>
      </c>
      <c r="I42" s="3" t="n">
        <f aca="false">import!C40</f>
        <v>0</v>
      </c>
      <c r="J42" s="3" t="n">
        <f aca="false">-export!C40</f>
        <v>-0</v>
      </c>
      <c r="K42" s="3" t="n">
        <f aca="false">-charge!C40</f>
        <v>-0</v>
      </c>
      <c r="L42" s="3" t="n">
        <f aca="false">discharge!C40</f>
        <v>0</v>
      </c>
      <c r="M42" s="3" t="n">
        <f aca="false">soc!C40/investment!$E$2 *100</f>
        <v>41.7743065149336</v>
      </c>
      <c r="N42" s="5" t="n">
        <f aca="false">p_micro!C39</f>
        <v>0</v>
      </c>
    </row>
    <row r="43" customFormat="false" ht="13.8" hidden="false" customHeight="false" outlineLevel="0" collapsed="false">
      <c r="B43" s="11" t="n">
        <f aca="false">_xlfn.NUMBERVALUE(solar!B40)</f>
        <v>82</v>
      </c>
      <c r="C43" s="12" t="n">
        <f aca="false">solar!C40</f>
        <v>0</v>
      </c>
      <c r="D43" s="12" t="n">
        <v>15</v>
      </c>
      <c r="E43" s="6" t="n">
        <v>39</v>
      </c>
      <c r="F43" s="17" t="n">
        <f aca="false">IFERROR(INDEX($B$5:$C$173, MATCH($E43, $B$5:$B$175, 0), 2), 0)*investment!$C$2</f>
        <v>0</v>
      </c>
      <c r="G43" s="6" t="n">
        <f aca="false">demand!C41</f>
        <v>0</v>
      </c>
      <c r="H43" s="3" t="n">
        <f aca="false">solgen!C41</f>
        <v>0</v>
      </c>
      <c r="I43" s="3" t="n">
        <f aca="false">import!C41</f>
        <v>0</v>
      </c>
      <c r="J43" s="3" t="n">
        <f aca="false">-export!C41</f>
        <v>-0</v>
      </c>
      <c r="K43" s="3" t="n">
        <f aca="false">-charge!C41</f>
        <v>-0</v>
      </c>
      <c r="L43" s="3" t="n">
        <f aca="false">discharge!C41</f>
        <v>0</v>
      </c>
      <c r="M43" s="3" t="n">
        <f aca="false">soc!C41/investment!$E$2 *100</f>
        <v>64.1098838136406</v>
      </c>
      <c r="N43" s="5" t="n">
        <f aca="false">p_micro!C40</f>
        <v>0</v>
      </c>
    </row>
    <row r="44" customFormat="false" ht="13.8" hidden="false" customHeight="false" outlineLevel="0" collapsed="false">
      <c r="B44" s="11" t="n">
        <f aca="false">_xlfn.NUMBERVALUE(solar!B41)</f>
        <v>83</v>
      </c>
      <c r="C44" s="12" t="n">
        <f aca="false">solar!C41</f>
        <v>0</v>
      </c>
      <c r="D44" s="12" t="n">
        <v>16</v>
      </c>
      <c r="E44" s="6" t="n">
        <v>40</v>
      </c>
      <c r="F44" s="17" t="n">
        <f aca="false">IFERROR(INDEX($B$5:$C$173, MATCH($E44, $B$5:$B$175, 0), 2), 0)*investment!$C$2</f>
        <v>0</v>
      </c>
      <c r="G44" s="6" t="n">
        <f aca="false">demand!C42</f>
        <v>0</v>
      </c>
      <c r="H44" s="3" t="n">
        <f aca="false">solgen!C42</f>
        <v>0</v>
      </c>
      <c r="I44" s="3" t="n">
        <f aca="false">import!C42</f>
        <v>0</v>
      </c>
      <c r="J44" s="3" t="n">
        <f aca="false">-export!C42</f>
        <v>-0</v>
      </c>
      <c r="K44" s="3" t="n">
        <f aca="false">-charge!C42</f>
        <v>-0</v>
      </c>
      <c r="L44" s="3" t="n">
        <f aca="false">discharge!C42</f>
        <v>0</v>
      </c>
      <c r="M44" s="3" t="n">
        <f aca="false">soc!C42/investment!$E$2 *100</f>
        <v>76.1026033523669</v>
      </c>
      <c r="N44" s="5" t="n">
        <f aca="false">p_micro!C41</f>
        <v>0</v>
      </c>
    </row>
    <row r="45" customFormat="false" ht="13.8" hidden="false" customHeight="false" outlineLevel="0" collapsed="false">
      <c r="B45" s="11" t="n">
        <f aca="false">_xlfn.NUMBERVALUE(solar!B42)</f>
        <v>84</v>
      </c>
      <c r="C45" s="12" t="n">
        <f aca="false">solar!C42</f>
        <v>0</v>
      </c>
      <c r="D45" s="12" t="n">
        <v>17</v>
      </c>
      <c r="E45" s="6" t="n">
        <v>41</v>
      </c>
      <c r="F45" s="17" t="n">
        <f aca="false">IFERROR(INDEX($B$5:$C$173, MATCH($E45, $B$5:$B$175, 0), 2), 0)*investment!$C$2</f>
        <v>0</v>
      </c>
      <c r="G45" s="6" t="n">
        <f aca="false">demand!C43</f>
        <v>0</v>
      </c>
      <c r="H45" s="3" t="n">
        <f aca="false">solgen!C43</f>
        <v>0</v>
      </c>
      <c r="I45" s="3" t="n">
        <f aca="false">import!C43</f>
        <v>0</v>
      </c>
      <c r="J45" s="3" t="n">
        <f aca="false">-export!C43</f>
        <v>-0</v>
      </c>
      <c r="K45" s="3" t="n">
        <f aca="false">-charge!C43</f>
        <v>-0</v>
      </c>
      <c r="L45" s="3" t="n">
        <f aca="false">discharge!C43</f>
        <v>0</v>
      </c>
      <c r="M45" s="3" t="n">
        <f aca="false">soc!C43/investment!$E$2 *100</f>
        <v>82.2425594880569</v>
      </c>
      <c r="N45" s="5" t="n">
        <f aca="false">p_micro!C42</f>
        <v>0</v>
      </c>
    </row>
    <row r="46" customFormat="false" ht="13.8" hidden="false" customHeight="false" outlineLevel="0" collapsed="false">
      <c r="B46" s="11" t="n">
        <f aca="false">_xlfn.NUMBERVALUE(solar!B43)</f>
        <v>85</v>
      </c>
      <c r="C46" s="12" t="n">
        <f aca="false">solar!C43</f>
        <v>0</v>
      </c>
      <c r="D46" s="12" t="n">
        <v>18</v>
      </c>
      <c r="E46" s="6" t="n">
        <v>42</v>
      </c>
      <c r="F46" s="17" t="n">
        <f aca="false">IFERROR(INDEX($B$5:$C$173, MATCH($E46, $B$5:$B$175, 0), 2), 0)*investment!$C$2</f>
        <v>0</v>
      </c>
      <c r="G46" s="6" t="n">
        <f aca="false">demand!C44</f>
        <v>0</v>
      </c>
      <c r="H46" s="3" t="n">
        <f aca="false">solgen!C44</f>
        <v>0</v>
      </c>
      <c r="I46" s="3" t="n">
        <f aca="false">import!C44</f>
        <v>0</v>
      </c>
      <c r="J46" s="3" t="n">
        <f aca="false">-export!C44</f>
        <v>-0</v>
      </c>
      <c r="K46" s="3" t="n">
        <f aca="false">-charge!C44</f>
        <v>-0</v>
      </c>
      <c r="L46" s="3" t="n">
        <f aca="false">discharge!C44</f>
        <v>0</v>
      </c>
      <c r="M46" s="3" t="n">
        <f aca="false">soc!C44/investment!$E$2 *100</f>
        <v>79.1820020799221</v>
      </c>
      <c r="N46" s="5" t="n">
        <f aca="false">p_micro!C43</f>
        <v>0</v>
      </c>
    </row>
    <row r="47" customFormat="false" ht="13.8" hidden="false" customHeight="false" outlineLevel="0" collapsed="false">
      <c r="B47" s="11" t="n">
        <f aca="false">_xlfn.NUMBERVALUE(solar!B44)</f>
        <v>86</v>
      </c>
      <c r="C47" s="12" t="n">
        <f aca="false">solar!C44</f>
        <v>0</v>
      </c>
      <c r="D47" s="12" t="n">
        <v>19</v>
      </c>
      <c r="E47" s="6" t="n">
        <v>43</v>
      </c>
      <c r="F47" s="17" t="n">
        <f aca="false">IFERROR(INDEX($B$5:$C$173, MATCH($E47, $B$5:$B$175, 0), 2), 0)*investment!$C$2</f>
        <v>0</v>
      </c>
      <c r="G47" s="6" t="n">
        <f aca="false">demand!C45</f>
        <v>0</v>
      </c>
      <c r="H47" s="3" t="n">
        <f aca="false">solgen!C45</f>
        <v>0</v>
      </c>
      <c r="I47" s="3" t="n">
        <f aca="false">import!C45</f>
        <v>0</v>
      </c>
      <c r="J47" s="3" t="n">
        <f aca="false">-export!C45</f>
        <v>-0</v>
      </c>
      <c r="K47" s="3" t="n">
        <f aca="false">-charge!C45</f>
        <v>-0</v>
      </c>
      <c r="L47" s="3" t="n">
        <f aca="false">discharge!C45</f>
        <v>0</v>
      </c>
      <c r="M47" s="3" t="n">
        <f aca="false">soc!C45/investment!$E$2 *100</f>
        <v>72.0042424995445</v>
      </c>
      <c r="N47" s="5" t="n">
        <f aca="false">p_micro!C44</f>
        <v>0</v>
      </c>
    </row>
    <row r="48" customFormat="false" ht="13.8" hidden="false" customHeight="false" outlineLevel="0" collapsed="false">
      <c r="B48" s="11" t="n">
        <f aca="false">_xlfn.NUMBERVALUE(solar!B45)</f>
        <v>87</v>
      </c>
      <c r="C48" s="12" t="n">
        <f aca="false">solar!C45</f>
        <v>0</v>
      </c>
      <c r="D48" s="12" t="n">
        <v>20</v>
      </c>
      <c r="E48" s="6" t="n">
        <v>44</v>
      </c>
      <c r="F48" s="17" t="n">
        <f aca="false">IFERROR(INDEX($B$5:$C$173, MATCH($E48, $B$5:$B$175, 0), 2), 0)*investment!$C$2</f>
        <v>0</v>
      </c>
      <c r="G48" s="6" t="n">
        <f aca="false">demand!C46</f>
        <v>0</v>
      </c>
      <c r="H48" s="3" t="n">
        <f aca="false">solgen!C46</f>
        <v>0</v>
      </c>
      <c r="I48" s="3" t="n">
        <f aca="false">import!C46</f>
        <v>0</v>
      </c>
      <c r="J48" s="3" t="n">
        <f aca="false">-export!C46</f>
        <v>-0</v>
      </c>
      <c r="K48" s="3" t="n">
        <f aca="false">-charge!C46</f>
        <v>-0</v>
      </c>
      <c r="L48" s="3" t="n">
        <f aca="false">discharge!C46</f>
        <v>0</v>
      </c>
      <c r="M48" s="3" t="n">
        <f aca="false">soc!C46/investment!$E$2 *100</f>
        <v>62.3373777928421</v>
      </c>
      <c r="N48" s="5" t="n">
        <f aca="false">p_micro!C45</f>
        <v>0</v>
      </c>
    </row>
    <row r="49" customFormat="false" ht="13.8" hidden="false" customHeight="false" outlineLevel="0" collapsed="false">
      <c r="B49" s="11" t="n">
        <f aca="false">_xlfn.NUMBERVALUE(solar!B46)</f>
        <v>88</v>
      </c>
      <c r="C49" s="12" t="n">
        <f aca="false">solar!C46</f>
        <v>0</v>
      </c>
      <c r="D49" s="12" t="n">
        <v>21</v>
      </c>
      <c r="E49" s="6" t="n">
        <v>45</v>
      </c>
      <c r="F49" s="17" t="n">
        <f aca="false">IFERROR(INDEX($B$5:$C$173, MATCH($E49, $B$5:$B$175, 0), 2), 0)*investment!$C$2</f>
        <v>0</v>
      </c>
      <c r="G49" s="6" t="n">
        <f aca="false">demand!C47</f>
        <v>0</v>
      </c>
      <c r="H49" s="3" t="n">
        <f aca="false">solgen!C47</f>
        <v>0</v>
      </c>
      <c r="I49" s="3" t="n">
        <f aca="false">import!C47</f>
        <v>0</v>
      </c>
      <c r="J49" s="3" t="n">
        <f aca="false">-export!C47</f>
        <v>-0</v>
      </c>
      <c r="K49" s="3" t="n">
        <f aca="false">-charge!C47</f>
        <v>-0</v>
      </c>
      <c r="L49" s="3" t="n">
        <f aca="false">discharge!C47</f>
        <v>0</v>
      </c>
      <c r="M49" s="3" t="n">
        <f aca="false">soc!C47/investment!$E$2 *100</f>
        <v>52.0238808533754</v>
      </c>
      <c r="N49" s="5" t="n">
        <f aca="false">p_micro!C46</f>
        <v>0</v>
      </c>
    </row>
    <row r="50" customFormat="false" ht="13.8" hidden="false" customHeight="false" outlineLevel="0" collapsed="false">
      <c r="B50" s="11" t="n">
        <f aca="false">_xlfn.NUMBERVALUE(solar!B47)</f>
        <v>89</v>
      </c>
      <c r="C50" s="12" t="n">
        <f aca="false">solar!C47</f>
        <v>0</v>
      </c>
      <c r="D50" s="12" t="n">
        <v>22</v>
      </c>
      <c r="E50" s="6" t="n">
        <v>46</v>
      </c>
      <c r="F50" s="17" t="n">
        <f aca="false">IFERROR(INDEX($B$5:$C$173, MATCH($E50, $B$5:$B$175, 0), 2), 0)*investment!$C$2</f>
        <v>0</v>
      </c>
      <c r="G50" s="6" t="n">
        <f aca="false">demand!C48</f>
        <v>0</v>
      </c>
      <c r="H50" s="3" t="n">
        <f aca="false">solgen!C48</f>
        <v>0</v>
      </c>
      <c r="I50" s="3" t="n">
        <f aca="false">import!C48</f>
        <v>0</v>
      </c>
      <c r="J50" s="3" t="n">
        <f aca="false">-export!C48</f>
        <v>-0</v>
      </c>
      <c r="K50" s="3" t="n">
        <f aca="false">-charge!C48</f>
        <v>-0</v>
      </c>
      <c r="L50" s="3" t="n">
        <f aca="false">discharge!C48</f>
        <v>0</v>
      </c>
      <c r="M50" s="3" t="n">
        <f aca="false">soc!C48/investment!$E$2 *100</f>
        <v>45.0167010907301</v>
      </c>
      <c r="N50" s="5" t="n">
        <f aca="false">p_micro!C47</f>
        <v>0</v>
      </c>
    </row>
    <row r="51" customFormat="false" ht="13.8" hidden="false" customHeight="false" outlineLevel="0" collapsed="false">
      <c r="B51" s="11" t="n">
        <f aca="false">_xlfn.NUMBERVALUE(solar!B48)</f>
        <v>90</v>
      </c>
      <c r="C51" s="12" t="n">
        <f aca="false">solar!C48</f>
        <v>0</v>
      </c>
      <c r="D51" s="12" t="n">
        <v>23</v>
      </c>
      <c r="E51" s="6" t="n">
        <v>47</v>
      </c>
      <c r="F51" s="17" t="n">
        <f aca="false">IFERROR(INDEX($B$5:$C$173, MATCH($E51, $B$5:$B$175, 0), 2), 0)*investment!$C$2</f>
        <v>0</v>
      </c>
      <c r="G51" s="6" t="n">
        <f aca="false">demand!C49</f>
        <v>0</v>
      </c>
      <c r="H51" s="3" t="n">
        <f aca="false">solgen!C49</f>
        <v>0</v>
      </c>
      <c r="I51" s="3" t="n">
        <f aca="false">import!C49</f>
        <v>0</v>
      </c>
      <c r="J51" s="3" t="n">
        <f aca="false">-export!C49</f>
        <v>-0</v>
      </c>
      <c r="K51" s="3" t="n">
        <f aca="false">-charge!C49</f>
        <v>-0</v>
      </c>
      <c r="L51" s="3" t="n">
        <f aca="false">discharge!C49</f>
        <v>0</v>
      </c>
      <c r="M51" s="3" t="n">
        <f aca="false">soc!C49/investment!$E$2 *100</f>
        <v>36.2445595591277</v>
      </c>
      <c r="N51" s="5" t="n">
        <f aca="false">p_micro!C48</f>
        <v>0</v>
      </c>
    </row>
    <row r="52" customFormat="false" ht="13.8" hidden="false" customHeight="false" outlineLevel="0" collapsed="false">
      <c r="B52" s="11" t="n">
        <f aca="false">_xlfn.NUMBERVALUE(solar!B49)</f>
        <v>91</v>
      </c>
      <c r="C52" s="12" t="n">
        <f aca="false">solar!C49</f>
        <v>0</v>
      </c>
      <c r="D52" s="12" t="n">
        <v>24</v>
      </c>
      <c r="E52" s="6" t="n">
        <v>48</v>
      </c>
      <c r="F52" s="17" t="n">
        <f aca="false">IFERROR(INDEX($B$5:$C$173, MATCH($E52, $B$5:$B$175, 0), 2), 0)*investment!$C$2</f>
        <v>0</v>
      </c>
      <c r="G52" s="6" t="n">
        <f aca="false">demand!C50</f>
        <v>0</v>
      </c>
      <c r="H52" s="3" t="n">
        <f aca="false">solgen!C50</f>
        <v>0</v>
      </c>
      <c r="I52" s="3" t="n">
        <f aca="false">import!C50</f>
        <v>0</v>
      </c>
      <c r="J52" s="3" t="n">
        <f aca="false">-export!C50</f>
        <v>-0</v>
      </c>
      <c r="K52" s="3" t="n">
        <f aca="false">-charge!C50</f>
        <v>-0</v>
      </c>
      <c r="L52" s="3" t="n">
        <f aca="false">discharge!C50</f>
        <v>0</v>
      </c>
      <c r="M52" s="3" t="n">
        <f aca="false">soc!C50/investment!$E$2 *100</f>
        <v>31.0948904701699</v>
      </c>
      <c r="N52" s="5" t="n">
        <f aca="false">p_micro!C49</f>
        <v>0</v>
      </c>
    </row>
    <row r="53" customFormat="false" ht="13.8" hidden="false" customHeight="false" outlineLevel="0" collapsed="false">
      <c r="B53" s="11" t="n">
        <f aca="false">_xlfn.NUMBERVALUE(solar!B50)</f>
        <v>104</v>
      </c>
      <c r="C53" s="12" t="n">
        <f aca="false">solar!C50</f>
        <v>0</v>
      </c>
      <c r="D53" s="12" t="n">
        <v>1</v>
      </c>
      <c r="E53" s="6" t="n">
        <v>49</v>
      </c>
      <c r="F53" s="17" t="n">
        <f aca="false">IFERROR(INDEX($B$5:$C$173, MATCH($E53, $B$5:$B$175, 0), 2), 0)*investment!$C$2</f>
        <v>0</v>
      </c>
      <c r="G53" s="6" t="n">
        <f aca="false">demand!C51</f>
        <v>0</v>
      </c>
      <c r="H53" s="3" t="n">
        <f aca="false">solgen!C51</f>
        <v>0</v>
      </c>
      <c r="I53" s="3" t="n">
        <f aca="false">import!C51</f>
        <v>0</v>
      </c>
      <c r="J53" s="3" t="n">
        <f aca="false">-export!C51</f>
        <v>-0</v>
      </c>
      <c r="K53" s="3" t="n">
        <f aca="false">-charge!C51</f>
        <v>-0</v>
      </c>
      <c r="L53" s="3" t="n">
        <f aca="false">discharge!C51</f>
        <v>0</v>
      </c>
      <c r="M53" s="3" t="n">
        <f aca="false">soc!C51/investment!$E$2 *100</f>
        <v>27.4995344588268</v>
      </c>
      <c r="N53" s="5" t="n">
        <f aca="false">p_micro!C50</f>
        <v>0</v>
      </c>
    </row>
    <row r="54" customFormat="false" ht="13.8" hidden="false" customHeight="false" outlineLevel="0" collapsed="false">
      <c r="B54" s="11" t="n">
        <f aca="false">_xlfn.NUMBERVALUE(solar!B51)</f>
        <v>105</v>
      </c>
      <c r="C54" s="12" t="n">
        <f aca="false">solar!C51</f>
        <v>0</v>
      </c>
      <c r="D54" s="12" t="n">
        <v>2</v>
      </c>
      <c r="E54" s="6" t="n">
        <v>50</v>
      </c>
      <c r="F54" s="17" t="n">
        <f aca="false">IFERROR(INDEX($B$5:$C$173, MATCH($E54, $B$5:$B$175, 0), 2), 0)*investment!$C$2</f>
        <v>0</v>
      </c>
      <c r="G54" s="6" t="n">
        <f aca="false">demand!C52</f>
        <v>0</v>
      </c>
      <c r="H54" s="3" t="n">
        <f aca="false">solgen!C52</f>
        <v>0</v>
      </c>
      <c r="I54" s="3" t="n">
        <f aca="false">import!C52</f>
        <v>0</v>
      </c>
      <c r="J54" s="3" t="n">
        <f aca="false">-export!C52</f>
        <v>-0</v>
      </c>
      <c r="K54" s="3" t="n">
        <f aca="false">-charge!C52</f>
        <v>-0</v>
      </c>
      <c r="L54" s="3" t="n">
        <f aca="false">discharge!C52</f>
        <v>0</v>
      </c>
      <c r="M54" s="3" t="n">
        <f aca="false">soc!C52/investment!$E$2 *100</f>
        <v>23.3656470466374</v>
      </c>
      <c r="N54" s="5" t="n">
        <f aca="false">p_micro!C51</f>
        <v>0</v>
      </c>
    </row>
    <row r="55" customFormat="false" ht="13.8" hidden="false" customHeight="false" outlineLevel="0" collapsed="false">
      <c r="B55" s="11" t="n">
        <f aca="false">_xlfn.NUMBERVALUE(solar!B52)</f>
        <v>106</v>
      </c>
      <c r="C55" s="12" t="n">
        <f aca="false">solar!C52</f>
        <v>0</v>
      </c>
      <c r="D55" s="12" t="n">
        <v>3</v>
      </c>
      <c r="E55" s="6" t="n">
        <v>51</v>
      </c>
      <c r="F55" s="17" t="n">
        <f aca="false">IFERROR(INDEX($B$5:$C$173, MATCH($E55, $B$5:$B$175, 0), 2), 0)*investment!$C$2</f>
        <v>0</v>
      </c>
      <c r="G55" s="6" t="n">
        <f aca="false">demand!C53</f>
        <v>0</v>
      </c>
      <c r="H55" s="3" t="n">
        <f aca="false">solgen!C53</f>
        <v>0</v>
      </c>
      <c r="I55" s="3" t="n">
        <f aca="false">import!C53</f>
        <v>0</v>
      </c>
      <c r="J55" s="3" t="n">
        <f aca="false">-export!C53</f>
        <v>-0</v>
      </c>
      <c r="K55" s="3" t="n">
        <f aca="false">-charge!C53</f>
        <v>-0</v>
      </c>
      <c r="L55" s="3" t="n">
        <f aca="false">discharge!C53</f>
        <v>0</v>
      </c>
      <c r="M55" s="3" t="n">
        <f aca="false">soc!C53/investment!$E$2 *100</f>
        <v>18.5415159607929</v>
      </c>
      <c r="N55" s="5" t="n">
        <f aca="false">p_micro!C52</f>
        <v>0</v>
      </c>
    </row>
    <row r="56" customFormat="false" ht="13.8" hidden="false" customHeight="false" outlineLevel="0" collapsed="false">
      <c r="B56" s="11" t="n">
        <f aca="false">_xlfn.NUMBERVALUE(solar!B53)</f>
        <v>107</v>
      </c>
      <c r="C56" s="12" t="n">
        <f aca="false">solar!C53</f>
        <v>0</v>
      </c>
      <c r="D56" s="12" t="n">
        <v>4</v>
      </c>
      <c r="E56" s="6" t="n">
        <v>52</v>
      </c>
      <c r="F56" s="17" t="n">
        <f aca="false">IFERROR(INDEX($B$5:$C$173, MATCH($E56, $B$5:$B$175, 0), 2), 0)*investment!$C$2</f>
        <v>0</v>
      </c>
      <c r="G56" s="6" t="n">
        <f aca="false">demand!C54</f>
        <v>0</v>
      </c>
      <c r="H56" s="3" t="n">
        <f aca="false">solgen!C54</f>
        <v>0</v>
      </c>
      <c r="I56" s="3" t="n">
        <f aca="false">import!C54</f>
        <v>0</v>
      </c>
      <c r="J56" s="3" t="n">
        <f aca="false">-export!C54</f>
        <v>-0</v>
      </c>
      <c r="K56" s="3" t="n">
        <f aca="false">-charge!C54</f>
        <v>-0</v>
      </c>
      <c r="L56" s="3" t="n">
        <f aca="false">discharge!C54</f>
        <v>0</v>
      </c>
      <c r="M56" s="3" t="n">
        <f aca="false">soc!C54/investment!$E$2 *100</f>
        <v>13.6126649679193</v>
      </c>
      <c r="N56" s="5" t="n">
        <f aca="false">p_micro!C53</f>
        <v>0</v>
      </c>
    </row>
    <row r="57" customFormat="false" ht="13.8" hidden="false" customHeight="false" outlineLevel="0" collapsed="false">
      <c r="B57" s="11" t="n">
        <f aca="false">_xlfn.NUMBERVALUE(solar!B54)</f>
        <v>108</v>
      </c>
      <c r="C57" s="12" t="n">
        <f aca="false">solar!C54</f>
        <v>0</v>
      </c>
      <c r="D57" s="12" t="n">
        <v>5</v>
      </c>
      <c r="E57" s="6" t="n">
        <v>53</v>
      </c>
      <c r="F57" s="17" t="n">
        <f aca="false">IFERROR(INDEX($B$5:$C$173, MATCH($E57, $B$5:$B$175, 0), 2), 0)*investment!$C$2</f>
        <v>0</v>
      </c>
      <c r="G57" s="6" t="n">
        <f aca="false">demand!C55</f>
        <v>0</v>
      </c>
      <c r="H57" s="3" t="n">
        <f aca="false">solgen!C55</f>
        <v>0</v>
      </c>
      <c r="I57" s="3" t="n">
        <f aca="false">import!C55</f>
        <v>0</v>
      </c>
      <c r="J57" s="3" t="n">
        <f aca="false">-export!C55</f>
        <v>-0</v>
      </c>
      <c r="K57" s="3" t="n">
        <f aca="false">-charge!C55</f>
        <v>-0</v>
      </c>
      <c r="L57" s="3" t="n">
        <f aca="false">discharge!C55</f>
        <v>0</v>
      </c>
      <c r="M57" s="3" t="n">
        <f aca="false">soc!C55/investment!$E$2 *100</f>
        <v>9.00178685414368</v>
      </c>
      <c r="N57" s="5" t="n">
        <f aca="false">p_micro!C54</f>
        <v>0</v>
      </c>
    </row>
    <row r="58" customFormat="false" ht="13.8" hidden="false" customHeight="false" outlineLevel="0" collapsed="false">
      <c r="B58" s="11" t="n">
        <f aca="false">_xlfn.NUMBERVALUE(solar!B55)</f>
        <v>109</v>
      </c>
      <c r="C58" s="12" t="n">
        <f aca="false">solar!C55</f>
        <v>0</v>
      </c>
      <c r="D58" s="12" t="n">
        <v>6</v>
      </c>
      <c r="E58" s="6" t="n">
        <v>54</v>
      </c>
      <c r="F58" s="17" t="n">
        <f aca="false">IFERROR(INDEX($B$5:$C$173, MATCH($E58, $B$5:$B$175, 0), 2), 0)*investment!$C$2</f>
        <v>0</v>
      </c>
      <c r="G58" s="6" t="n">
        <f aca="false">demand!C56</f>
        <v>0</v>
      </c>
      <c r="H58" s="3" t="n">
        <f aca="false">solgen!C56</f>
        <v>0</v>
      </c>
      <c r="I58" s="3" t="n">
        <f aca="false">import!C56</f>
        <v>0</v>
      </c>
      <c r="J58" s="3" t="n">
        <f aca="false">-export!C56</f>
        <v>-0</v>
      </c>
      <c r="K58" s="3" t="n">
        <f aca="false">-charge!C56</f>
        <v>-0</v>
      </c>
      <c r="L58" s="3" t="n">
        <f aca="false">discharge!C56</f>
        <v>0</v>
      </c>
      <c r="M58" s="3" t="n">
        <f aca="false">soc!C56/investment!$E$2 *100</f>
        <v>2.28717148563358</v>
      </c>
      <c r="N58" s="5" t="n">
        <f aca="false">p_micro!C55</f>
        <v>0</v>
      </c>
    </row>
    <row r="59" customFormat="false" ht="13.8" hidden="false" customHeight="false" outlineLevel="0" collapsed="false">
      <c r="B59" s="11" t="n">
        <f aca="false">_xlfn.NUMBERVALUE(solar!B56)</f>
        <v>110</v>
      </c>
      <c r="C59" s="12" t="n">
        <f aca="false">solar!C56</f>
        <v>0</v>
      </c>
      <c r="D59" s="12" t="n">
        <v>7</v>
      </c>
      <c r="E59" s="6" t="n">
        <v>55</v>
      </c>
      <c r="F59" s="17" t="n">
        <f aca="false">IFERROR(INDEX($B$5:$C$173, MATCH($E59, $B$5:$B$175, 0), 2), 0)*investment!$C$2</f>
        <v>0</v>
      </c>
      <c r="G59" s="6" t="n">
        <f aca="false">demand!C57</f>
        <v>0</v>
      </c>
      <c r="H59" s="3" t="n">
        <f aca="false">solgen!C57</f>
        <v>0</v>
      </c>
      <c r="I59" s="3" t="n">
        <f aca="false">import!C57</f>
        <v>0</v>
      </c>
      <c r="J59" s="3" t="n">
        <f aca="false">-export!C57</f>
        <v>-0</v>
      </c>
      <c r="K59" s="3" t="n">
        <f aca="false">-charge!C57</f>
        <v>-0</v>
      </c>
      <c r="L59" s="3" t="n">
        <f aca="false">discharge!C57</f>
        <v>0</v>
      </c>
      <c r="M59" s="3" t="n">
        <f aca="false">soc!C57/investment!$E$2 *100</f>
        <v>0</v>
      </c>
      <c r="N59" s="5" t="n">
        <f aca="false">p_micro!C56</f>
        <v>0</v>
      </c>
    </row>
    <row r="60" customFormat="false" ht="13.8" hidden="false" customHeight="false" outlineLevel="0" collapsed="false">
      <c r="B60" s="11" t="n">
        <f aca="false">_xlfn.NUMBERVALUE(solar!B57)</f>
        <v>111</v>
      </c>
      <c r="C60" s="12" t="n">
        <f aca="false">solar!C57</f>
        <v>0</v>
      </c>
      <c r="D60" s="12" t="n">
        <v>8</v>
      </c>
      <c r="E60" s="6" t="n">
        <v>56</v>
      </c>
      <c r="F60" s="17" t="n">
        <f aca="false">IFERROR(INDEX($B$5:$C$173, MATCH($E60, $B$5:$B$175, 0), 2), 0)*investment!$C$2</f>
        <v>0</v>
      </c>
      <c r="G60" s="6" t="n">
        <f aca="false">demand!C58</f>
        <v>0</v>
      </c>
      <c r="H60" s="3" t="n">
        <f aca="false">solgen!C58</f>
        <v>0</v>
      </c>
      <c r="I60" s="3" t="n">
        <f aca="false">import!C58</f>
        <v>0</v>
      </c>
      <c r="J60" s="3" t="n">
        <f aca="false">-export!C58</f>
        <v>-0</v>
      </c>
      <c r="K60" s="3" t="n">
        <f aca="false">-charge!C58</f>
        <v>-0</v>
      </c>
      <c r="L60" s="3" t="n">
        <f aca="false">discharge!C58</f>
        <v>0</v>
      </c>
      <c r="M60" s="3" t="n">
        <f aca="false">soc!C58/investment!$E$2 *100</f>
        <v>0</v>
      </c>
      <c r="N60" s="5" t="n">
        <f aca="false">p_micro!C57</f>
        <v>0</v>
      </c>
    </row>
    <row r="61" customFormat="false" ht="13.8" hidden="false" customHeight="false" outlineLevel="0" collapsed="false">
      <c r="B61" s="11" t="n">
        <f aca="false">_xlfn.NUMBERVALUE(solar!B58)</f>
        <v>112</v>
      </c>
      <c r="C61" s="12" t="n">
        <f aca="false">solar!C58</f>
        <v>0</v>
      </c>
      <c r="D61" s="12" t="n">
        <v>9</v>
      </c>
      <c r="E61" s="6" t="n">
        <v>57</v>
      </c>
      <c r="F61" s="17" t="n">
        <f aca="false">IFERROR(INDEX($B$5:$C$173, MATCH($E61, $B$5:$B$175, 0), 2), 0)*investment!$C$2</f>
        <v>0</v>
      </c>
      <c r="G61" s="6" t="n">
        <f aca="false">demand!C59</f>
        <v>0</v>
      </c>
      <c r="H61" s="3" t="n">
        <f aca="false">solgen!C59</f>
        <v>0</v>
      </c>
      <c r="I61" s="3" t="n">
        <f aca="false">import!C59</f>
        <v>0</v>
      </c>
      <c r="J61" s="3" t="n">
        <f aca="false">-export!C59</f>
        <v>-0</v>
      </c>
      <c r="K61" s="3" t="n">
        <f aca="false">-charge!C59</f>
        <v>-0</v>
      </c>
      <c r="L61" s="3" t="n">
        <f aca="false">discharge!C59</f>
        <v>0</v>
      </c>
      <c r="M61" s="3" t="n">
        <f aca="false">soc!C59/investment!$E$2 *100</f>
        <v>0</v>
      </c>
      <c r="N61" s="5" t="n">
        <f aca="false">p_micro!C58</f>
        <v>0</v>
      </c>
    </row>
    <row r="62" customFormat="false" ht="13.8" hidden="false" customHeight="false" outlineLevel="0" collapsed="false">
      <c r="B62" s="11" t="n">
        <f aca="false">_xlfn.NUMBERVALUE(solar!B59)</f>
        <v>113</v>
      </c>
      <c r="C62" s="12" t="n">
        <f aca="false">solar!C59</f>
        <v>0</v>
      </c>
      <c r="D62" s="12" t="n">
        <v>10</v>
      </c>
      <c r="E62" s="6" t="n">
        <v>58</v>
      </c>
      <c r="F62" s="17" t="n">
        <f aca="false">IFERROR(INDEX($B$5:$C$173, MATCH($E62, $B$5:$B$175, 0), 2), 0)*investment!$C$2</f>
        <v>0</v>
      </c>
      <c r="G62" s="6" t="n">
        <f aca="false">demand!C60</f>
        <v>0</v>
      </c>
      <c r="H62" s="3" t="n">
        <f aca="false">solgen!C60</f>
        <v>0</v>
      </c>
      <c r="I62" s="3" t="n">
        <f aca="false">import!C60</f>
        <v>0</v>
      </c>
      <c r="J62" s="3" t="n">
        <f aca="false">-export!C60</f>
        <v>-0</v>
      </c>
      <c r="K62" s="3" t="n">
        <f aca="false">-charge!C60</f>
        <v>-0</v>
      </c>
      <c r="L62" s="3" t="n">
        <f aca="false">discharge!C60</f>
        <v>0</v>
      </c>
      <c r="M62" s="3" t="n">
        <f aca="false">soc!C60/investment!$E$2 *100</f>
        <v>0</v>
      </c>
      <c r="N62" s="5" t="n">
        <f aca="false">p_micro!C59</f>
        <v>0</v>
      </c>
    </row>
    <row r="63" customFormat="false" ht="13.8" hidden="false" customHeight="false" outlineLevel="0" collapsed="false">
      <c r="B63" s="11" t="n">
        <f aca="false">_xlfn.NUMBERVALUE(solar!B60)</f>
        <v>114</v>
      </c>
      <c r="C63" s="12" t="n">
        <f aca="false">solar!C60</f>
        <v>0</v>
      </c>
      <c r="D63" s="12" t="n">
        <v>11</v>
      </c>
      <c r="E63" s="6" t="n">
        <v>59</v>
      </c>
      <c r="F63" s="17" t="n">
        <f aca="false">IFERROR(INDEX($B$5:$C$173, MATCH($E63, $B$5:$B$175, 0), 2), 0)*investment!$C$2</f>
        <v>0</v>
      </c>
      <c r="G63" s="6" t="n">
        <f aca="false">demand!C61</f>
        <v>0</v>
      </c>
      <c r="H63" s="3" t="n">
        <f aca="false">solgen!C61</f>
        <v>0</v>
      </c>
      <c r="I63" s="3" t="n">
        <f aca="false">import!C61</f>
        <v>0</v>
      </c>
      <c r="J63" s="3" t="n">
        <f aca="false">-export!C61</f>
        <v>-0</v>
      </c>
      <c r="K63" s="3" t="n">
        <f aca="false">-charge!C61</f>
        <v>-0</v>
      </c>
      <c r="L63" s="3" t="n">
        <f aca="false">discharge!C61</f>
        <v>0</v>
      </c>
      <c r="M63" s="3" t="n">
        <f aca="false">soc!C61/investment!$E$2 *100</f>
        <v>0</v>
      </c>
      <c r="N63" s="5" t="n">
        <f aca="false">p_micro!C60</f>
        <v>0</v>
      </c>
    </row>
    <row r="64" customFormat="false" ht="13.8" hidden="false" customHeight="false" outlineLevel="0" collapsed="false">
      <c r="B64" s="11" t="n">
        <f aca="false">_xlfn.NUMBERVALUE(solar!B61)</f>
        <v>115</v>
      </c>
      <c r="C64" s="12" t="n">
        <f aca="false">solar!C61</f>
        <v>0</v>
      </c>
      <c r="D64" s="12" t="n">
        <v>12</v>
      </c>
      <c r="E64" s="6" t="n">
        <v>60</v>
      </c>
      <c r="F64" s="17" t="n">
        <f aca="false">IFERROR(INDEX($B$5:$C$173, MATCH($E64, $B$5:$B$175, 0), 2), 0)*investment!$C$2</f>
        <v>0</v>
      </c>
      <c r="G64" s="6" t="n">
        <f aca="false">demand!C62</f>
        <v>0</v>
      </c>
      <c r="H64" s="3" t="n">
        <f aca="false">solgen!C62</f>
        <v>0</v>
      </c>
      <c r="I64" s="3" t="n">
        <f aca="false">import!C62</f>
        <v>0</v>
      </c>
      <c r="J64" s="3" t="n">
        <f aca="false">-export!C62</f>
        <v>-0</v>
      </c>
      <c r="K64" s="3" t="n">
        <f aca="false">-charge!C62</f>
        <v>-0</v>
      </c>
      <c r="L64" s="3" t="n">
        <f aca="false">discharge!C62</f>
        <v>0</v>
      </c>
      <c r="M64" s="3" t="n">
        <f aca="false">soc!C62/investment!$E$2 *100</f>
        <v>0</v>
      </c>
      <c r="N64" s="5" t="n">
        <f aca="false">p_micro!C61</f>
        <v>0</v>
      </c>
    </row>
    <row r="65" customFormat="false" ht="13.8" hidden="false" customHeight="false" outlineLevel="0" collapsed="false">
      <c r="B65" s="11" t="n">
        <f aca="false">_xlfn.NUMBERVALUE(solar!B62)</f>
        <v>128</v>
      </c>
      <c r="C65" s="12" t="n">
        <f aca="false">solar!C62</f>
        <v>0</v>
      </c>
      <c r="D65" s="12" t="n">
        <v>13</v>
      </c>
      <c r="E65" s="6" t="n">
        <v>61</v>
      </c>
      <c r="F65" s="17" t="n">
        <f aca="false">IFERROR(INDEX($B$5:$C$173, MATCH($E65, $B$5:$B$175, 0), 2), 0)*investment!$C$2</f>
        <v>0</v>
      </c>
      <c r="G65" s="6" t="n">
        <f aca="false">demand!C63</f>
        <v>0</v>
      </c>
      <c r="H65" s="3" t="n">
        <f aca="false">solgen!C63</f>
        <v>0</v>
      </c>
      <c r="I65" s="3" t="n">
        <f aca="false">import!C63</f>
        <v>0</v>
      </c>
      <c r="J65" s="3" t="n">
        <f aca="false">-export!C63</f>
        <v>-0</v>
      </c>
      <c r="K65" s="3" t="n">
        <f aca="false">-charge!C63</f>
        <v>-0</v>
      </c>
      <c r="L65" s="3" t="n">
        <f aca="false">discharge!C63</f>
        <v>0</v>
      </c>
      <c r="M65" s="3" t="n">
        <f aca="false">soc!C63/investment!$E$2 *100</f>
        <v>28.3030042714546</v>
      </c>
      <c r="N65" s="5" t="n">
        <f aca="false">p_micro!C62</f>
        <v>0</v>
      </c>
    </row>
    <row r="66" customFormat="false" ht="13.8" hidden="false" customHeight="false" outlineLevel="0" collapsed="false">
      <c r="B66" s="11" t="n">
        <f aca="false">_xlfn.NUMBERVALUE(solar!B63)</f>
        <v>129</v>
      </c>
      <c r="C66" s="12" t="n">
        <f aca="false">solar!C63</f>
        <v>0</v>
      </c>
      <c r="D66" s="12" t="n">
        <v>14</v>
      </c>
      <c r="E66" s="6" t="n">
        <v>62</v>
      </c>
      <c r="F66" s="17" t="n">
        <f aca="false">IFERROR(INDEX($B$5:$C$173, MATCH($E66, $B$5:$B$175, 0), 2), 0)*investment!$C$2</f>
        <v>0</v>
      </c>
      <c r="G66" s="6" t="n">
        <f aca="false">demand!C64</f>
        <v>0</v>
      </c>
      <c r="H66" s="3" t="n">
        <f aca="false">solgen!C64</f>
        <v>0</v>
      </c>
      <c r="I66" s="3" t="n">
        <f aca="false">import!C64</f>
        <v>0</v>
      </c>
      <c r="J66" s="3" t="n">
        <f aca="false">-export!C64</f>
        <v>-0</v>
      </c>
      <c r="K66" s="3" t="n">
        <f aca="false">-charge!C64</f>
        <v>-0</v>
      </c>
      <c r="L66" s="3" t="n">
        <f aca="false">discharge!C64</f>
        <v>0</v>
      </c>
      <c r="M66" s="3" t="n">
        <f aca="false">soc!C64/investment!$E$2 *100</f>
        <v>57.2904317234998</v>
      </c>
      <c r="N66" s="5" t="n">
        <f aca="false">p_micro!C63</f>
        <v>0</v>
      </c>
    </row>
    <row r="67" customFormat="false" ht="13.8" hidden="false" customHeight="false" outlineLevel="0" collapsed="false">
      <c r="B67" s="11" t="n">
        <f aca="false">_xlfn.NUMBERVALUE(solar!B64)</f>
        <v>130</v>
      </c>
      <c r="C67" s="12" t="n">
        <f aca="false">solar!C64</f>
        <v>0</v>
      </c>
      <c r="D67" s="12" t="n">
        <v>15</v>
      </c>
      <c r="E67" s="6" t="n">
        <v>63</v>
      </c>
      <c r="F67" s="17" t="n">
        <f aca="false">IFERROR(INDEX($B$5:$C$173, MATCH($E67, $B$5:$B$175, 0), 2), 0)*investment!$C$2</f>
        <v>0</v>
      </c>
      <c r="G67" s="6" t="n">
        <f aca="false">demand!C65</f>
        <v>0</v>
      </c>
      <c r="H67" s="3" t="n">
        <f aca="false">solgen!C65</f>
        <v>0</v>
      </c>
      <c r="I67" s="3" t="n">
        <f aca="false">import!C65</f>
        <v>0</v>
      </c>
      <c r="J67" s="3" t="n">
        <f aca="false">-export!C65</f>
        <v>-0</v>
      </c>
      <c r="K67" s="3" t="n">
        <f aca="false">-charge!C65</f>
        <v>-0</v>
      </c>
      <c r="L67" s="3" t="n">
        <f aca="false">discharge!C65</f>
        <v>0</v>
      </c>
      <c r="M67" s="3" t="n">
        <f aca="false">soc!C65/investment!$E$2 *100</f>
        <v>80.716018721418</v>
      </c>
      <c r="N67" s="5" t="n">
        <f aca="false">p_micro!C64</f>
        <v>0</v>
      </c>
    </row>
    <row r="68" customFormat="false" ht="13.8" hidden="false" customHeight="false" outlineLevel="0" collapsed="false">
      <c r="B68" s="11" t="n">
        <f aca="false">_xlfn.NUMBERVALUE(solar!B65)</f>
        <v>131</v>
      </c>
      <c r="C68" s="12" t="n">
        <f aca="false">solar!C65</f>
        <v>0</v>
      </c>
      <c r="D68" s="12" t="n">
        <v>16</v>
      </c>
      <c r="E68" s="6" t="n">
        <v>64</v>
      </c>
      <c r="F68" s="17" t="n">
        <f aca="false">IFERROR(INDEX($B$5:$C$173, MATCH($E68, $B$5:$B$175, 0), 2), 0)*investment!$C$2</f>
        <v>0</v>
      </c>
      <c r="G68" s="6" t="n">
        <f aca="false">demand!C66</f>
        <v>0</v>
      </c>
      <c r="H68" s="3" t="n">
        <f aca="false">solgen!C66</f>
        <v>0</v>
      </c>
      <c r="I68" s="3" t="n">
        <f aca="false">import!C66</f>
        <v>0</v>
      </c>
      <c r="J68" s="3" t="n">
        <f aca="false">-export!C66</f>
        <v>-0</v>
      </c>
      <c r="K68" s="3" t="n">
        <f aca="false">-charge!C66</f>
        <v>-0</v>
      </c>
      <c r="L68" s="3" t="n">
        <f aca="false">discharge!C66</f>
        <v>0</v>
      </c>
      <c r="M68" s="3" t="n">
        <f aca="false">soc!C66/investment!$E$2 *100</f>
        <v>92.0301475885298</v>
      </c>
      <c r="N68" s="5" t="n">
        <f aca="false">p_micro!C65</f>
        <v>0</v>
      </c>
    </row>
    <row r="69" customFormat="false" ht="13.8" hidden="false" customHeight="false" outlineLevel="0" collapsed="false">
      <c r="B69" s="11" t="n">
        <f aca="false">_xlfn.NUMBERVALUE(solar!B66)</f>
        <v>132</v>
      </c>
      <c r="C69" s="12" t="n">
        <f aca="false">solar!C66</f>
        <v>0</v>
      </c>
      <c r="D69" s="12" t="n">
        <v>17</v>
      </c>
      <c r="E69" s="6" t="n">
        <v>65</v>
      </c>
      <c r="F69" s="17" t="n">
        <f aca="false">IFERROR(INDEX($B$5:$C$173, MATCH($E69, $B$5:$B$175, 0), 2), 0)*investment!$C$2</f>
        <v>0</v>
      </c>
      <c r="G69" s="6" t="n">
        <f aca="false">demand!C67</f>
        <v>0</v>
      </c>
      <c r="H69" s="3" t="n">
        <f aca="false">solgen!C67</f>
        <v>0</v>
      </c>
      <c r="I69" s="3" t="n">
        <f aca="false">import!C67</f>
        <v>0</v>
      </c>
      <c r="J69" s="3" t="n">
        <f aca="false">-export!C67</f>
        <v>-0</v>
      </c>
      <c r="K69" s="3" t="n">
        <f aca="false">-charge!C67</f>
        <v>-0</v>
      </c>
      <c r="L69" s="3" t="n">
        <f aca="false">discharge!C67</f>
        <v>0</v>
      </c>
      <c r="M69" s="3" t="n">
        <f aca="false">soc!C67/investment!$E$2 *100</f>
        <v>88.005165994826</v>
      </c>
      <c r="N69" s="5" t="n">
        <f aca="false">p_micro!C66</f>
        <v>0</v>
      </c>
    </row>
    <row r="70" customFormat="false" ht="13.8" hidden="false" customHeight="false" outlineLevel="0" collapsed="false">
      <c r="B70" s="11" t="n">
        <f aca="false">_xlfn.NUMBERVALUE(solar!B67)</f>
        <v>133</v>
      </c>
      <c r="C70" s="12" t="n">
        <f aca="false">solar!C67</f>
        <v>0</v>
      </c>
      <c r="D70" s="12" t="n">
        <v>18</v>
      </c>
      <c r="E70" s="6" t="n">
        <v>66</v>
      </c>
      <c r="F70" s="17" t="n">
        <f aca="false">IFERROR(INDEX($B$5:$C$173, MATCH($E70, $B$5:$B$175, 0), 2), 0)*investment!$C$2</f>
        <v>0</v>
      </c>
      <c r="G70" s="6" t="n">
        <f aca="false">demand!C68</f>
        <v>0</v>
      </c>
      <c r="H70" s="3" t="n">
        <f aca="false">solgen!C68</f>
        <v>0</v>
      </c>
      <c r="I70" s="3" t="n">
        <f aca="false">import!C68</f>
        <v>0</v>
      </c>
      <c r="J70" s="3" t="n">
        <f aca="false">-export!C68</f>
        <v>-0</v>
      </c>
      <c r="K70" s="3" t="n">
        <f aca="false">-charge!C68</f>
        <v>-0</v>
      </c>
      <c r="L70" s="3" t="n">
        <f aca="false">discharge!C68</f>
        <v>0</v>
      </c>
      <c r="M70" s="3" t="n">
        <f aca="false">soc!C68/investment!$E$2 *100</f>
        <v>81.3852863381061</v>
      </c>
      <c r="N70" s="5" t="n">
        <f aca="false">p_micro!C67</f>
        <v>0</v>
      </c>
    </row>
    <row r="71" customFormat="false" ht="13.8" hidden="false" customHeight="false" outlineLevel="0" collapsed="false">
      <c r="B71" s="11" t="n">
        <f aca="false">_xlfn.NUMBERVALUE(solar!B68)</f>
        <v>134</v>
      </c>
      <c r="C71" s="12" t="n">
        <f aca="false">solar!C68</f>
        <v>0</v>
      </c>
      <c r="D71" s="12" t="n">
        <v>19</v>
      </c>
      <c r="E71" s="6" t="n">
        <v>67</v>
      </c>
      <c r="F71" s="17" t="n">
        <f aca="false">IFERROR(INDEX($B$5:$C$173, MATCH($E71, $B$5:$B$175, 0), 2), 0)*investment!$C$2</f>
        <v>0</v>
      </c>
      <c r="G71" s="6" t="n">
        <f aca="false">demand!C69</f>
        <v>0</v>
      </c>
      <c r="H71" s="3" t="n">
        <f aca="false">solgen!C69</f>
        <v>0</v>
      </c>
      <c r="I71" s="3" t="n">
        <f aca="false">import!C69</f>
        <v>0</v>
      </c>
      <c r="J71" s="3" t="n">
        <f aca="false">-export!C69</f>
        <v>-0</v>
      </c>
      <c r="K71" s="3" t="n">
        <f aca="false">-charge!C69</f>
        <v>-0</v>
      </c>
      <c r="L71" s="3" t="n">
        <f aca="false">discharge!C69</f>
        <v>0</v>
      </c>
      <c r="M71" s="3" t="n">
        <f aca="false">soc!C69/investment!$E$2 *100</f>
        <v>73.1655835711005</v>
      </c>
      <c r="N71" s="5" t="n">
        <f aca="false">p_micro!C68</f>
        <v>0</v>
      </c>
    </row>
    <row r="72" customFormat="false" ht="13.8" hidden="false" customHeight="false" outlineLevel="0" collapsed="false">
      <c r="B72" s="11" t="n">
        <f aca="false">_xlfn.NUMBERVALUE(solar!B69)</f>
        <v>135</v>
      </c>
      <c r="C72" s="12" t="n">
        <f aca="false">solar!C69</f>
        <v>0</v>
      </c>
      <c r="D72" s="12" t="n">
        <v>20</v>
      </c>
      <c r="E72" s="6" t="n">
        <v>68</v>
      </c>
      <c r="F72" s="17" t="n">
        <f aca="false">IFERROR(INDEX($B$5:$C$173, MATCH($E72, $B$5:$B$175, 0), 2), 0)*investment!$C$2</f>
        <v>0</v>
      </c>
      <c r="G72" s="6" t="n">
        <f aca="false">demand!C70</f>
        <v>0</v>
      </c>
      <c r="H72" s="3" t="n">
        <f aca="false">solgen!C70</f>
        <v>0</v>
      </c>
      <c r="I72" s="3" t="n">
        <f aca="false">import!C70</f>
        <v>0</v>
      </c>
      <c r="J72" s="3" t="n">
        <f aca="false">-export!C70</f>
        <v>-0</v>
      </c>
      <c r="K72" s="3" t="n">
        <f aca="false">-charge!C70</f>
        <v>-0</v>
      </c>
      <c r="L72" s="3" t="n">
        <f aca="false">discharge!C70</f>
        <v>0</v>
      </c>
      <c r="M72" s="3" t="n">
        <f aca="false">soc!C70/investment!$E$2 *100</f>
        <v>61.7769198826975</v>
      </c>
      <c r="N72" s="5" t="n">
        <f aca="false">p_micro!C69</f>
        <v>0</v>
      </c>
    </row>
    <row r="73" customFormat="false" ht="13.8" hidden="false" customHeight="false" outlineLevel="0" collapsed="false">
      <c r="B73" s="11" t="n">
        <f aca="false">_xlfn.NUMBERVALUE(solar!B70)</f>
        <v>136</v>
      </c>
      <c r="C73" s="12" t="n">
        <f aca="false">solar!C70</f>
        <v>0</v>
      </c>
      <c r="D73" s="12" t="n">
        <v>21</v>
      </c>
      <c r="E73" s="6" t="n">
        <v>69</v>
      </c>
      <c r="F73" s="17" t="n">
        <f aca="false">IFERROR(INDEX($B$5:$C$173, MATCH($E73, $B$5:$B$175, 0), 2), 0)*investment!$C$2</f>
        <v>0</v>
      </c>
      <c r="G73" s="6" t="n">
        <f aca="false">demand!C71</f>
        <v>0</v>
      </c>
      <c r="H73" s="3" t="n">
        <f aca="false">solgen!C71</f>
        <v>0</v>
      </c>
      <c r="I73" s="3" t="n">
        <f aca="false">import!C71</f>
        <v>0</v>
      </c>
      <c r="J73" s="3" t="n">
        <f aca="false">-export!C71</f>
        <v>-0</v>
      </c>
      <c r="K73" s="3" t="n">
        <f aca="false">-charge!C71</f>
        <v>-0</v>
      </c>
      <c r="L73" s="3" t="n">
        <f aca="false">discharge!C71</f>
        <v>0</v>
      </c>
      <c r="M73" s="3" t="n">
        <f aca="false">soc!C71/investment!$E$2 *100</f>
        <v>50.3603909558137</v>
      </c>
      <c r="N73" s="5" t="n">
        <f aca="false">p_micro!C70</f>
        <v>0</v>
      </c>
    </row>
    <row r="74" customFormat="false" ht="13.8" hidden="false" customHeight="false" outlineLevel="0" collapsed="false">
      <c r="B74" s="11" t="n">
        <f aca="false">_xlfn.NUMBERVALUE(solar!B71)</f>
        <v>137</v>
      </c>
      <c r="C74" s="12" t="n">
        <f aca="false">solar!C71</f>
        <v>0</v>
      </c>
      <c r="D74" s="12" t="n">
        <v>22</v>
      </c>
      <c r="E74" s="6" t="n">
        <v>70</v>
      </c>
      <c r="F74" s="17" t="n">
        <f aca="false">IFERROR(INDEX($B$5:$C$173, MATCH($E74, $B$5:$B$175, 0), 2), 0)*investment!$C$2</f>
        <v>0</v>
      </c>
      <c r="G74" s="6" t="n">
        <f aca="false">demand!C72</f>
        <v>0</v>
      </c>
      <c r="H74" s="3" t="n">
        <f aca="false">solgen!C72</f>
        <v>0</v>
      </c>
      <c r="I74" s="3" t="n">
        <f aca="false">import!C72</f>
        <v>0</v>
      </c>
      <c r="J74" s="3" t="n">
        <f aca="false">-export!C72</f>
        <v>-0</v>
      </c>
      <c r="K74" s="3" t="n">
        <f aca="false">-charge!C72</f>
        <v>-0</v>
      </c>
      <c r="L74" s="3" t="n">
        <f aca="false">discharge!C72</f>
        <v>0</v>
      </c>
      <c r="M74" s="3" t="n">
        <f aca="false">soc!C72/investment!$E$2 *100</f>
        <v>37.1843573324904</v>
      </c>
      <c r="N74" s="5" t="n">
        <f aca="false">p_micro!C71</f>
        <v>0</v>
      </c>
    </row>
    <row r="75" customFormat="false" ht="13.8" hidden="false" customHeight="false" outlineLevel="0" collapsed="false">
      <c r="B75" s="11" t="n">
        <f aca="false">_xlfn.NUMBERVALUE(solar!B72)</f>
        <v>138</v>
      </c>
      <c r="C75" s="12" t="n">
        <f aca="false">solar!C72</f>
        <v>0</v>
      </c>
      <c r="D75" s="12" t="n">
        <v>23</v>
      </c>
      <c r="E75" s="6" t="n">
        <v>71</v>
      </c>
      <c r="F75" s="17" t="n">
        <f aca="false">IFERROR(INDEX($B$5:$C$173, MATCH($E75, $B$5:$B$175, 0), 2), 0)*investment!$C$2</f>
        <v>0</v>
      </c>
      <c r="G75" s="6" t="n">
        <f aca="false">demand!C73</f>
        <v>0</v>
      </c>
      <c r="H75" s="3" t="n">
        <f aca="false">solgen!C73</f>
        <v>0</v>
      </c>
      <c r="I75" s="3" t="n">
        <f aca="false">import!C73</f>
        <v>0</v>
      </c>
      <c r="J75" s="3" t="n">
        <f aca="false">-export!C73</f>
        <v>-0</v>
      </c>
      <c r="K75" s="3" t="n">
        <f aca="false">-charge!C73</f>
        <v>-0</v>
      </c>
      <c r="L75" s="3" t="n">
        <f aca="false">discharge!C73</f>
        <v>0</v>
      </c>
      <c r="M75" s="3" t="n">
        <f aca="false">soc!C73/investment!$E$2 *100</f>
        <v>30.3513305086837</v>
      </c>
      <c r="N75" s="5" t="n">
        <f aca="false">p_micro!C72</f>
        <v>0</v>
      </c>
    </row>
    <row r="76" customFormat="false" ht="13.8" hidden="false" customHeight="false" outlineLevel="0" collapsed="false">
      <c r="B76" s="11" t="n">
        <f aca="false">_xlfn.NUMBERVALUE(solar!B73)</f>
        <v>139</v>
      </c>
      <c r="C76" s="12" t="n">
        <f aca="false">solar!C73</f>
        <v>0</v>
      </c>
      <c r="D76" s="12" t="n">
        <v>24</v>
      </c>
      <c r="E76" s="6" t="n">
        <v>72</v>
      </c>
      <c r="F76" s="17" t="n">
        <f aca="false">IFERROR(INDEX($B$5:$C$173, MATCH($E76, $B$5:$B$175, 0), 2), 0)*investment!$C$2</f>
        <v>0</v>
      </c>
      <c r="G76" s="6" t="n">
        <f aca="false">demand!C74</f>
        <v>0</v>
      </c>
      <c r="H76" s="3" t="n">
        <f aca="false">solgen!C74</f>
        <v>0</v>
      </c>
      <c r="I76" s="3" t="n">
        <f aca="false">import!C74</f>
        <v>0</v>
      </c>
      <c r="J76" s="3" t="n">
        <f aca="false">-export!C74</f>
        <v>-0</v>
      </c>
      <c r="K76" s="3" t="n">
        <f aca="false">-charge!C74</f>
        <v>-0</v>
      </c>
      <c r="L76" s="3" t="n">
        <f aca="false">discharge!C74</f>
        <v>0</v>
      </c>
      <c r="M76" s="3" t="n">
        <f aca="false">soc!C74/investment!$E$2 *100</f>
        <v>23.8876827060311</v>
      </c>
      <c r="N76" s="5" t="n">
        <f aca="false">p_micro!C73</f>
        <v>0</v>
      </c>
    </row>
    <row r="77" customFormat="false" ht="13.8" hidden="false" customHeight="false" outlineLevel="0" collapsed="false">
      <c r="B77" s="11" t="n">
        <f aca="false">_xlfn.NUMBERVALUE(solar!B74)</f>
        <v>152</v>
      </c>
      <c r="C77" s="12" t="n">
        <f aca="false">solar!C74</f>
        <v>0</v>
      </c>
      <c r="D77" s="12" t="n">
        <v>1</v>
      </c>
      <c r="E77" s="6" t="n">
        <v>73</v>
      </c>
      <c r="F77" s="17" t="n">
        <f aca="false">IFERROR(INDEX($B$5:$C$173, MATCH($E77, $B$5:$B$175, 0), 2), 0)*investment!$C$2</f>
        <v>0</v>
      </c>
      <c r="G77" s="6" t="n">
        <f aca="false">demand!C75</f>
        <v>0</v>
      </c>
      <c r="H77" s="3" t="n">
        <f aca="false">solgen!C75</f>
        <v>0</v>
      </c>
      <c r="I77" s="3" t="n">
        <f aca="false">import!C75</f>
        <v>0</v>
      </c>
      <c r="J77" s="3" t="n">
        <f aca="false">-export!C75</f>
        <v>-0</v>
      </c>
      <c r="K77" s="3" t="n">
        <f aca="false">-charge!C75</f>
        <v>-0</v>
      </c>
      <c r="L77" s="3" t="n">
        <f aca="false">discharge!C75</f>
        <v>0</v>
      </c>
      <c r="M77" s="3" t="n">
        <f aca="false">soc!C75/investment!$E$2 *100</f>
        <v>20.3567020075955</v>
      </c>
      <c r="N77" s="5" t="n">
        <f aca="false">p_micro!C74</f>
        <v>0</v>
      </c>
    </row>
    <row r="78" customFormat="false" ht="13.8" hidden="false" customHeight="false" outlineLevel="0" collapsed="false">
      <c r="B78" s="11" t="n">
        <f aca="false">_xlfn.NUMBERVALUE(solar!B75)</f>
        <v>153</v>
      </c>
      <c r="C78" s="12" t="n">
        <f aca="false">solar!C75</f>
        <v>0</v>
      </c>
      <c r="D78" s="12" t="n">
        <v>2</v>
      </c>
      <c r="E78" s="6" t="n">
        <v>74</v>
      </c>
      <c r="F78" s="17" t="n">
        <f aca="false">IFERROR(INDEX($B$5:$C$173, MATCH($E78, $B$5:$B$175, 0), 2), 0)*investment!$C$2</f>
        <v>0</v>
      </c>
      <c r="G78" s="6" t="n">
        <f aca="false">demand!C76</f>
        <v>0</v>
      </c>
      <c r="H78" s="3" t="n">
        <f aca="false">solgen!C76</f>
        <v>0</v>
      </c>
      <c r="I78" s="3" t="n">
        <f aca="false">import!C76</f>
        <v>0</v>
      </c>
      <c r="J78" s="3" t="n">
        <f aca="false">-export!C76</f>
        <v>-0</v>
      </c>
      <c r="K78" s="3" t="n">
        <f aca="false">-charge!C76</f>
        <v>-0</v>
      </c>
      <c r="L78" s="3" t="n">
        <f aca="false">discharge!C76</f>
        <v>0</v>
      </c>
      <c r="M78" s="3" t="n">
        <f aca="false">soc!C76/investment!$E$2 *100</f>
        <v>16.3766655335469</v>
      </c>
      <c r="N78" s="5" t="n">
        <f aca="false">p_micro!C75</f>
        <v>0</v>
      </c>
    </row>
    <row r="79" customFormat="false" ht="13.8" hidden="false" customHeight="false" outlineLevel="0" collapsed="false">
      <c r="B79" s="11" t="n">
        <f aca="false">_xlfn.NUMBERVALUE(solar!B76)</f>
        <v>154</v>
      </c>
      <c r="C79" s="12" t="n">
        <f aca="false">solar!C76</f>
        <v>0</v>
      </c>
      <c r="D79" s="12" t="n">
        <v>3</v>
      </c>
      <c r="E79" s="6" t="n">
        <v>75</v>
      </c>
      <c r="F79" s="17" t="n">
        <f aca="false">IFERROR(INDEX($B$5:$C$173, MATCH($E79, $B$5:$B$175, 0), 2), 0)*investment!$C$2</f>
        <v>0</v>
      </c>
      <c r="G79" s="6" t="n">
        <f aca="false">demand!C77</f>
        <v>0</v>
      </c>
      <c r="H79" s="3" t="n">
        <f aca="false">solgen!C77</f>
        <v>0</v>
      </c>
      <c r="I79" s="3" t="n">
        <f aca="false">import!C77</f>
        <v>0</v>
      </c>
      <c r="J79" s="3" t="n">
        <f aca="false">-export!C77</f>
        <v>-0</v>
      </c>
      <c r="K79" s="3" t="n">
        <f aca="false">-charge!C77</f>
        <v>-0</v>
      </c>
      <c r="L79" s="3" t="n">
        <f aca="false">discharge!C77</f>
        <v>0</v>
      </c>
      <c r="M79" s="3" t="n">
        <f aca="false">soc!C77/investment!$E$2 *100</f>
        <v>12.9133756396733</v>
      </c>
      <c r="N79" s="5" t="n">
        <f aca="false">p_micro!C76</f>
        <v>0</v>
      </c>
    </row>
    <row r="80" customFormat="false" ht="13.8" hidden="false" customHeight="false" outlineLevel="0" collapsed="false">
      <c r="B80" s="11" t="n">
        <f aca="false">_xlfn.NUMBERVALUE(solar!B77)</f>
        <v>155</v>
      </c>
      <c r="C80" s="12" t="n">
        <f aca="false">solar!C77</f>
        <v>0</v>
      </c>
      <c r="D80" s="12" t="n">
        <v>4</v>
      </c>
      <c r="E80" s="6" t="n">
        <v>76</v>
      </c>
      <c r="F80" s="17" t="n">
        <f aca="false">IFERROR(INDEX($B$5:$C$173, MATCH($E80, $B$5:$B$175, 0), 2), 0)*investment!$C$2</f>
        <v>0</v>
      </c>
      <c r="G80" s="6" t="n">
        <f aca="false">demand!C78</f>
        <v>0</v>
      </c>
      <c r="H80" s="3" t="n">
        <f aca="false">solgen!C78</f>
        <v>0</v>
      </c>
      <c r="I80" s="3" t="n">
        <f aca="false">import!C78</f>
        <v>0</v>
      </c>
      <c r="J80" s="3" t="n">
        <f aca="false">-export!C78</f>
        <v>-0</v>
      </c>
      <c r="K80" s="3" t="n">
        <f aca="false">-charge!C78</f>
        <v>-0</v>
      </c>
      <c r="L80" s="3" t="n">
        <f aca="false">discharge!C78</f>
        <v>0</v>
      </c>
      <c r="M80" s="3" t="n">
        <f aca="false">soc!C78/investment!$E$2 *100</f>
        <v>9.51578304759167</v>
      </c>
      <c r="N80" s="5" t="n">
        <f aca="false">p_micro!C77</f>
        <v>0</v>
      </c>
    </row>
    <row r="81" customFormat="false" ht="13.8" hidden="false" customHeight="false" outlineLevel="0" collapsed="false">
      <c r="B81" s="11" t="n">
        <f aca="false">_xlfn.NUMBERVALUE(solar!B78)</f>
        <v>156</v>
      </c>
      <c r="C81" s="12" t="n">
        <f aca="false">solar!C78</f>
        <v>0</v>
      </c>
      <c r="D81" s="12" t="n">
        <v>5</v>
      </c>
      <c r="E81" s="6" t="n">
        <v>77</v>
      </c>
      <c r="F81" s="17" t="n">
        <f aca="false">IFERROR(INDEX($B$5:$C$173, MATCH($E81, $B$5:$B$175, 0), 2), 0)*investment!$C$2</f>
        <v>0</v>
      </c>
      <c r="G81" s="6" t="n">
        <f aca="false">demand!C79</f>
        <v>0</v>
      </c>
      <c r="H81" s="3" t="n">
        <f aca="false">solgen!C79</f>
        <v>0</v>
      </c>
      <c r="I81" s="3" t="n">
        <f aca="false">import!C79</f>
        <v>0</v>
      </c>
      <c r="J81" s="3" t="n">
        <f aca="false">-export!C79</f>
        <v>-0</v>
      </c>
      <c r="K81" s="3" t="n">
        <f aca="false">-charge!C79</f>
        <v>-0</v>
      </c>
      <c r="L81" s="3" t="n">
        <f aca="false">discharge!C79</f>
        <v>0</v>
      </c>
      <c r="M81" s="3" t="n">
        <f aca="false">soc!C79/investment!$E$2 *100</f>
        <v>4.91979123482827</v>
      </c>
      <c r="N81" s="5" t="n">
        <f aca="false">p_micro!C78</f>
        <v>0</v>
      </c>
    </row>
    <row r="82" customFormat="false" ht="13.8" hidden="false" customHeight="false" outlineLevel="0" collapsed="false">
      <c r="B82" s="11" t="n">
        <f aca="false">_xlfn.NUMBERVALUE(solar!B79)</f>
        <v>157</v>
      </c>
      <c r="C82" s="12" t="n">
        <f aca="false">solar!C79</f>
        <v>0</v>
      </c>
      <c r="D82" s="12" t="n">
        <v>6</v>
      </c>
      <c r="E82" s="6" t="n">
        <v>78</v>
      </c>
      <c r="F82" s="17" t="n">
        <f aca="false">IFERROR(INDEX($B$5:$C$173, MATCH($E82, $B$5:$B$175, 0), 2), 0)*investment!$C$2</f>
        <v>0</v>
      </c>
      <c r="G82" s="6" t="n">
        <f aca="false">demand!C80</f>
        <v>0</v>
      </c>
      <c r="H82" s="3" t="n">
        <f aca="false">solgen!C80</f>
        <v>0</v>
      </c>
      <c r="I82" s="3" t="n">
        <f aca="false">import!C80</f>
        <v>0</v>
      </c>
      <c r="J82" s="3" t="n">
        <f aca="false">-export!C80</f>
        <v>-0</v>
      </c>
      <c r="K82" s="3" t="n">
        <f aca="false">-charge!C80</f>
        <v>-0</v>
      </c>
      <c r="L82" s="3" t="n">
        <f aca="false">discharge!C80</f>
        <v>0</v>
      </c>
      <c r="M82" s="3" t="n">
        <f aca="false">soc!C80/investment!$E$2 *100</f>
        <v>1.91205345239183</v>
      </c>
      <c r="N82" s="5" t="n">
        <f aca="false">p_micro!C79</f>
        <v>0</v>
      </c>
    </row>
    <row r="83" customFormat="false" ht="13.8" hidden="false" customHeight="false" outlineLevel="0" collapsed="false">
      <c r="B83" s="11" t="n">
        <f aca="false">_xlfn.NUMBERVALUE(solar!B80)</f>
        <v>158</v>
      </c>
      <c r="C83" s="12" t="n">
        <f aca="false">solar!C80</f>
        <v>0</v>
      </c>
      <c r="D83" s="12" t="n">
        <v>7</v>
      </c>
      <c r="E83" s="6" t="n">
        <v>79</v>
      </c>
      <c r="F83" s="17" t="n">
        <f aca="false">IFERROR(INDEX($B$5:$C$173, MATCH($E83, $B$5:$B$175, 0), 2), 0)*investment!$C$2</f>
        <v>0</v>
      </c>
      <c r="G83" s="6" t="n">
        <f aca="false">demand!C81</f>
        <v>0</v>
      </c>
      <c r="H83" s="3" t="n">
        <f aca="false">solgen!C81</f>
        <v>0</v>
      </c>
      <c r="I83" s="3" t="n">
        <f aca="false">import!C81</f>
        <v>0</v>
      </c>
      <c r="J83" s="3" t="n">
        <f aca="false">-export!C81</f>
        <v>-0</v>
      </c>
      <c r="K83" s="3" t="n">
        <f aca="false">-charge!C81</f>
        <v>-0</v>
      </c>
      <c r="L83" s="3" t="n">
        <f aca="false">discharge!C81</f>
        <v>0</v>
      </c>
      <c r="M83" s="3" t="n">
        <f aca="false">soc!C81/investment!$E$2 *100</f>
        <v>0</v>
      </c>
      <c r="N83" s="5" t="n">
        <f aca="false">p_micro!C80</f>
        <v>0</v>
      </c>
    </row>
    <row r="84" customFormat="false" ht="13.8" hidden="false" customHeight="false" outlineLevel="0" collapsed="false">
      <c r="B84" s="11" t="n">
        <f aca="false">_xlfn.NUMBERVALUE(solar!B81)</f>
        <v>159</v>
      </c>
      <c r="C84" s="12" t="n">
        <f aca="false">solar!C81</f>
        <v>0</v>
      </c>
      <c r="D84" s="12" t="n">
        <v>8</v>
      </c>
      <c r="E84" s="6" t="n">
        <v>80</v>
      </c>
      <c r="F84" s="17" t="n">
        <f aca="false">IFERROR(INDEX($B$5:$C$173, MATCH($E84, $B$5:$B$175, 0), 2), 0)*investment!$C$2</f>
        <v>0</v>
      </c>
      <c r="G84" s="6" t="n">
        <f aca="false">demand!C82</f>
        <v>0</v>
      </c>
      <c r="H84" s="3" t="n">
        <f aca="false">solgen!C82</f>
        <v>0</v>
      </c>
      <c r="I84" s="3" t="n">
        <f aca="false">import!C82</f>
        <v>0</v>
      </c>
      <c r="J84" s="3" t="n">
        <f aca="false">-export!C82</f>
        <v>-0</v>
      </c>
      <c r="K84" s="3" t="n">
        <f aca="false">-charge!C82</f>
        <v>-0</v>
      </c>
      <c r="L84" s="3" t="n">
        <f aca="false">discharge!C82</f>
        <v>0</v>
      </c>
      <c r="M84" s="3" t="n">
        <f aca="false">soc!C82/investment!$E$2 *100</f>
        <v>0</v>
      </c>
      <c r="N84" s="5" t="n">
        <f aca="false">p_micro!C81</f>
        <v>0</v>
      </c>
    </row>
    <row r="85" customFormat="false" ht="13.8" hidden="false" customHeight="false" outlineLevel="0" collapsed="false">
      <c r="B85" s="11" t="n">
        <f aca="false">_xlfn.NUMBERVALUE(solar!B82)</f>
        <v>160</v>
      </c>
      <c r="C85" s="12" t="n">
        <f aca="false">solar!C82</f>
        <v>0</v>
      </c>
      <c r="D85" s="12" t="n">
        <v>9</v>
      </c>
      <c r="E85" s="6" t="n">
        <v>81</v>
      </c>
      <c r="F85" s="17" t="n">
        <f aca="false">IFERROR(INDEX($B$5:$C$173, MATCH($E85, $B$5:$B$175, 0), 2), 0)*investment!$C$2</f>
        <v>0</v>
      </c>
      <c r="G85" s="6" t="n">
        <f aca="false">demand!C83</f>
        <v>0</v>
      </c>
      <c r="H85" s="3" t="n">
        <f aca="false">solgen!C83</f>
        <v>0</v>
      </c>
      <c r="I85" s="3" t="n">
        <f aca="false">import!C83</f>
        <v>0</v>
      </c>
      <c r="J85" s="3" t="n">
        <f aca="false">-export!C83</f>
        <v>-0</v>
      </c>
      <c r="K85" s="3" t="n">
        <f aca="false">-charge!C83</f>
        <v>-0</v>
      </c>
      <c r="L85" s="3" t="n">
        <f aca="false">discharge!C83</f>
        <v>0</v>
      </c>
      <c r="M85" s="3" t="n">
        <f aca="false">soc!C83/investment!$E$2 *100</f>
        <v>0</v>
      </c>
      <c r="N85" s="5" t="n">
        <f aca="false">p_micro!C82</f>
        <v>0</v>
      </c>
    </row>
    <row r="86" customFormat="false" ht="13.8" hidden="false" customHeight="false" outlineLevel="0" collapsed="false">
      <c r="B86" s="11" t="n">
        <f aca="false">_xlfn.NUMBERVALUE(solar!B83)</f>
        <v>161</v>
      </c>
      <c r="C86" s="12" t="n">
        <f aca="false">solar!C83</f>
        <v>0</v>
      </c>
      <c r="D86" s="12" t="n">
        <v>10</v>
      </c>
      <c r="E86" s="6" t="n">
        <v>82</v>
      </c>
      <c r="F86" s="17" t="n">
        <f aca="false">IFERROR(INDEX($B$5:$C$173, MATCH($E86, $B$5:$B$175, 0), 2), 0)*investment!$C$2</f>
        <v>0</v>
      </c>
      <c r="G86" s="6" t="n">
        <f aca="false">demand!C84</f>
        <v>0</v>
      </c>
      <c r="H86" s="3" t="n">
        <f aca="false">solgen!C84</f>
        <v>0</v>
      </c>
      <c r="I86" s="3" t="n">
        <f aca="false">import!C84</f>
        <v>0</v>
      </c>
      <c r="J86" s="3" t="n">
        <f aca="false">-export!C84</f>
        <v>-0</v>
      </c>
      <c r="K86" s="3" t="n">
        <f aca="false">-charge!C84</f>
        <v>-0</v>
      </c>
      <c r="L86" s="3" t="n">
        <f aca="false">discharge!C84</f>
        <v>0</v>
      </c>
      <c r="M86" s="3" t="n">
        <f aca="false">soc!C84/investment!$E$2 *100</f>
        <v>0</v>
      </c>
      <c r="N86" s="5" t="n">
        <f aca="false">p_micro!C83</f>
        <v>0</v>
      </c>
    </row>
    <row r="87" customFormat="false" ht="13.8" hidden="false" customHeight="false" outlineLevel="0" collapsed="false">
      <c r="B87" s="11" t="n">
        <f aca="false">_xlfn.NUMBERVALUE(solar!B84)</f>
        <v>162</v>
      </c>
      <c r="C87" s="12" t="n">
        <f aca="false">solar!C84</f>
        <v>0</v>
      </c>
      <c r="D87" s="12" t="n">
        <v>11</v>
      </c>
      <c r="E87" s="6" t="n">
        <v>83</v>
      </c>
      <c r="F87" s="17" t="n">
        <f aca="false">IFERROR(INDEX($B$5:$C$173, MATCH($E87, $B$5:$B$175, 0), 2), 0)*investment!$C$2</f>
        <v>0</v>
      </c>
      <c r="G87" s="6" t="n">
        <f aca="false">demand!C85</f>
        <v>0</v>
      </c>
      <c r="H87" s="3" t="n">
        <f aca="false">solgen!C85</f>
        <v>0</v>
      </c>
      <c r="I87" s="3" t="n">
        <f aca="false">import!C85</f>
        <v>0</v>
      </c>
      <c r="J87" s="3" t="n">
        <f aca="false">-export!C85</f>
        <v>-0</v>
      </c>
      <c r="K87" s="3" t="n">
        <f aca="false">-charge!C85</f>
        <v>-0</v>
      </c>
      <c r="L87" s="3" t="n">
        <f aca="false">discharge!C85</f>
        <v>0</v>
      </c>
      <c r="M87" s="3" t="n">
        <f aca="false">soc!C85/investment!$E$2 *100</f>
        <v>0</v>
      </c>
      <c r="N87" s="5" t="n">
        <f aca="false">p_micro!C84</f>
        <v>0</v>
      </c>
    </row>
    <row r="88" customFormat="false" ht="13.8" hidden="false" customHeight="false" outlineLevel="0" collapsed="false">
      <c r="B88" s="11" t="n">
        <f aca="false">_xlfn.NUMBERVALUE(solar!B85)</f>
        <v>163</v>
      </c>
      <c r="C88" s="12" t="n">
        <f aca="false">solar!C85</f>
        <v>0</v>
      </c>
      <c r="D88" s="12" t="n">
        <v>12</v>
      </c>
      <c r="E88" s="6" t="n">
        <v>84</v>
      </c>
      <c r="F88" s="17" t="n">
        <f aca="false">IFERROR(INDEX($B$5:$C$173, MATCH($E88, $B$5:$B$175, 0), 2), 0)*investment!$C$2</f>
        <v>0</v>
      </c>
      <c r="G88" s="6" t="n">
        <f aca="false">demand!C86</f>
        <v>0</v>
      </c>
      <c r="H88" s="3" t="n">
        <f aca="false">solgen!C86</f>
        <v>0</v>
      </c>
      <c r="I88" s="3" t="n">
        <f aca="false">import!C86</f>
        <v>0</v>
      </c>
      <c r="J88" s="3" t="n">
        <f aca="false">-export!C86</f>
        <v>-0</v>
      </c>
      <c r="K88" s="3" t="n">
        <f aca="false">-charge!C86</f>
        <v>-0</v>
      </c>
      <c r="L88" s="3" t="n">
        <f aca="false">discharge!C86</f>
        <v>0</v>
      </c>
      <c r="M88" s="3" t="n">
        <f aca="false">soc!C86/investment!$E$2 *100</f>
        <v>27.8693868492237</v>
      </c>
      <c r="N88" s="5" t="n">
        <f aca="false">p_micro!C85</f>
        <v>0</v>
      </c>
    </row>
    <row r="89" customFormat="false" ht="13.8" hidden="false" customHeight="false" outlineLevel="0" collapsed="false">
      <c r="B89" s="11" t="n">
        <f aca="false">_xlfn.NUMBERVALUE(solar!B86)</f>
        <v>0</v>
      </c>
      <c r="C89" s="12" t="n">
        <f aca="false">solar!C86</f>
        <v>0</v>
      </c>
      <c r="D89" s="12" t="n">
        <v>13</v>
      </c>
      <c r="E89" s="6" t="n">
        <v>85</v>
      </c>
      <c r="F89" s="17" t="n">
        <f aca="false">IFERROR(INDEX($B$5:$C$173, MATCH($E89, $B$5:$B$175, 0), 2), 0)*investment!$C$2</f>
        <v>0</v>
      </c>
      <c r="G89" s="6" t="n">
        <f aca="false">demand!C87</f>
        <v>0</v>
      </c>
      <c r="H89" s="3" t="n">
        <f aca="false">solgen!C87</f>
        <v>0</v>
      </c>
      <c r="I89" s="3" t="n">
        <f aca="false">import!C87</f>
        <v>0</v>
      </c>
      <c r="J89" s="3" t="n">
        <f aca="false">-export!C87</f>
        <v>-0</v>
      </c>
      <c r="K89" s="3" t="n">
        <f aca="false">-charge!C87</f>
        <v>-0</v>
      </c>
      <c r="L89" s="3" t="n">
        <f aca="false">discharge!C87</f>
        <v>0</v>
      </c>
      <c r="M89" s="3" t="n">
        <f aca="false">soc!C87/investment!$E$2 *100</f>
        <v>58.1348580473221</v>
      </c>
      <c r="N89" s="5" t="n">
        <f aca="false">p_micro!C86</f>
        <v>0</v>
      </c>
    </row>
    <row r="90" customFormat="false" ht="13.8" hidden="false" customHeight="false" outlineLevel="0" collapsed="false">
      <c r="B90" s="11" t="n">
        <f aca="false">_xlfn.NUMBERVALUE(solar!B87)</f>
        <v>0</v>
      </c>
      <c r="C90" s="12" t="n">
        <f aca="false">solar!C87</f>
        <v>0</v>
      </c>
      <c r="D90" s="12" t="n">
        <v>14</v>
      </c>
      <c r="E90" s="6" t="n">
        <v>86</v>
      </c>
      <c r="F90" s="17" t="n">
        <f aca="false">IFERROR(INDEX($B$5:$C$173, MATCH($E90, $B$5:$B$175, 0), 2), 0)*investment!$C$2</f>
        <v>0</v>
      </c>
      <c r="G90" s="6" t="n">
        <f aca="false">demand!C88</f>
        <v>0</v>
      </c>
      <c r="H90" s="3" t="n">
        <f aca="false">solgen!C88</f>
        <v>0</v>
      </c>
      <c r="I90" s="3" t="n">
        <f aca="false">import!C88</f>
        <v>0</v>
      </c>
      <c r="J90" s="3" t="n">
        <f aca="false">-export!C88</f>
        <v>-0</v>
      </c>
      <c r="K90" s="3" t="n">
        <f aca="false">-charge!C88</f>
        <v>-0</v>
      </c>
      <c r="L90" s="3" t="n">
        <f aca="false">discharge!C88</f>
        <v>0</v>
      </c>
      <c r="M90" s="3" t="n">
        <f aca="false">soc!C88/investment!$E$2 *100</f>
        <v>80.3077002605277</v>
      </c>
      <c r="N90" s="5" t="n">
        <f aca="false">p_micro!C87</f>
        <v>0</v>
      </c>
    </row>
    <row r="91" customFormat="false" ht="13.8" hidden="false" customHeight="false" outlineLevel="0" collapsed="false">
      <c r="B91" s="11" t="n">
        <f aca="false">_xlfn.NUMBERVALUE(solar!B88)</f>
        <v>0</v>
      </c>
      <c r="C91" s="12" t="n">
        <f aca="false">solar!C88</f>
        <v>0</v>
      </c>
      <c r="D91" s="12" t="n">
        <v>15</v>
      </c>
      <c r="E91" s="6" t="n">
        <v>87</v>
      </c>
      <c r="F91" s="17" t="n">
        <f aca="false">IFERROR(INDEX($B$5:$C$173, MATCH($E91, $B$5:$B$175, 0), 2), 0)*investment!$C$2</f>
        <v>0</v>
      </c>
      <c r="G91" s="6" t="n">
        <f aca="false">demand!C89</f>
        <v>0</v>
      </c>
      <c r="H91" s="3" t="n">
        <f aca="false">solgen!C89</f>
        <v>0</v>
      </c>
      <c r="I91" s="3" t="n">
        <f aca="false">import!C89</f>
        <v>0</v>
      </c>
      <c r="J91" s="3" t="n">
        <f aca="false">-export!C89</f>
        <v>-0</v>
      </c>
      <c r="K91" s="3" t="n">
        <f aca="false">-charge!C89</f>
        <v>-0</v>
      </c>
      <c r="L91" s="3" t="n">
        <f aca="false">discharge!C89</f>
        <v>0</v>
      </c>
      <c r="M91" s="3" t="n">
        <f aca="false">soc!C89/investment!$E$2 *100</f>
        <v>92.2125448861488</v>
      </c>
      <c r="N91" s="5" t="n">
        <f aca="false">p_micro!C88</f>
        <v>0</v>
      </c>
    </row>
    <row r="92" customFormat="false" ht="13.8" hidden="false" customHeight="false" outlineLevel="0" collapsed="false">
      <c r="B92" s="11" t="n">
        <f aca="false">_xlfn.NUMBERVALUE(solar!B89)</f>
        <v>0</v>
      </c>
      <c r="C92" s="12" t="n">
        <f aca="false">solar!C89</f>
        <v>0</v>
      </c>
      <c r="D92" s="12" t="n">
        <v>16</v>
      </c>
      <c r="E92" s="6" t="n">
        <v>88</v>
      </c>
      <c r="F92" s="17" t="n">
        <f aca="false">IFERROR(INDEX($B$5:$C$173, MATCH($E92, $B$5:$B$175, 0), 2), 0)*investment!$C$2</f>
        <v>0</v>
      </c>
      <c r="G92" s="6" t="n">
        <f aca="false">demand!C90</f>
        <v>0</v>
      </c>
      <c r="H92" s="3" t="n">
        <f aca="false">solgen!C90</f>
        <v>0</v>
      </c>
      <c r="I92" s="3" t="n">
        <f aca="false">import!C90</f>
        <v>0</v>
      </c>
      <c r="J92" s="3" t="n">
        <f aca="false">-export!C90</f>
        <v>-0</v>
      </c>
      <c r="K92" s="3" t="n">
        <f aca="false">-charge!C90</f>
        <v>-0</v>
      </c>
      <c r="L92" s="3" t="n">
        <f aca="false">discharge!C90</f>
        <v>0</v>
      </c>
      <c r="M92" s="3" t="n">
        <f aca="false">soc!C90/investment!$E$2 *100</f>
        <v>96.4303428081865</v>
      </c>
      <c r="N92" s="5" t="n">
        <f aca="false">p_micro!C89</f>
        <v>0</v>
      </c>
    </row>
    <row r="93" customFormat="false" ht="13.8" hidden="false" customHeight="false" outlineLevel="0" collapsed="false">
      <c r="B93" s="11" t="n">
        <f aca="false">_xlfn.NUMBERVALUE(solar!B90)</f>
        <v>0</v>
      </c>
      <c r="C93" s="12" t="n">
        <f aca="false">solar!C90</f>
        <v>0</v>
      </c>
      <c r="D93" s="12" t="n">
        <v>17</v>
      </c>
      <c r="E93" s="6" t="n">
        <v>89</v>
      </c>
      <c r="F93" s="17" t="n">
        <f aca="false">IFERROR(INDEX($B$5:$C$173, MATCH($E93, $B$5:$B$175, 0), 2), 0)*investment!$C$2</f>
        <v>0</v>
      </c>
      <c r="G93" s="6" t="n">
        <f aca="false">demand!C91</f>
        <v>0</v>
      </c>
      <c r="H93" s="3" t="n">
        <f aca="false">solgen!C91</f>
        <v>0</v>
      </c>
      <c r="I93" s="3" t="n">
        <f aca="false">import!C91</f>
        <v>0</v>
      </c>
      <c r="J93" s="3" t="n">
        <f aca="false">-export!C91</f>
        <v>-0</v>
      </c>
      <c r="K93" s="3" t="n">
        <f aca="false">-charge!C91</f>
        <v>-0</v>
      </c>
      <c r="L93" s="3" t="n">
        <f aca="false">discharge!C91</f>
        <v>0</v>
      </c>
      <c r="M93" s="3" t="n">
        <f aca="false">soc!C91/investment!$E$2 *100</f>
        <v>92.171753471358</v>
      </c>
      <c r="N93" s="5" t="n">
        <f aca="false">p_micro!C90</f>
        <v>0</v>
      </c>
    </row>
    <row r="94" customFormat="false" ht="13.8" hidden="false" customHeight="false" outlineLevel="0" collapsed="false">
      <c r="B94" s="11" t="n">
        <f aca="false">_xlfn.NUMBERVALUE(solar!B91)</f>
        <v>0</v>
      </c>
      <c r="C94" s="12" t="n">
        <f aca="false">solar!C91</f>
        <v>0</v>
      </c>
      <c r="D94" s="12" t="n">
        <v>18</v>
      </c>
      <c r="E94" s="6" t="n">
        <v>90</v>
      </c>
      <c r="F94" s="17" t="n">
        <f aca="false">IFERROR(INDEX($B$5:$C$173, MATCH($E94, $B$5:$B$175, 0), 2), 0)*investment!$C$2</f>
        <v>0</v>
      </c>
      <c r="G94" s="6" t="n">
        <f aca="false">demand!C92</f>
        <v>0</v>
      </c>
      <c r="H94" s="3" t="n">
        <f aca="false">solgen!C92</f>
        <v>0</v>
      </c>
      <c r="I94" s="3" t="n">
        <f aca="false">import!C92</f>
        <v>0</v>
      </c>
      <c r="J94" s="3" t="n">
        <f aca="false">-export!C92</f>
        <v>-0</v>
      </c>
      <c r="K94" s="3" t="n">
        <f aca="false">-charge!C92</f>
        <v>-0</v>
      </c>
      <c r="L94" s="3" t="n">
        <f aca="false">discharge!C92</f>
        <v>0</v>
      </c>
      <c r="M94" s="3" t="n">
        <f aca="false">soc!C92/investment!$E$2 *100</f>
        <v>85.4846060586691</v>
      </c>
      <c r="N94" s="5" t="n">
        <f aca="false">p_micro!C91</f>
        <v>0</v>
      </c>
    </row>
    <row r="95" customFormat="false" ht="13.8" hidden="false" customHeight="false" outlineLevel="0" collapsed="false">
      <c r="B95" s="11" t="n">
        <f aca="false">_xlfn.NUMBERVALUE(solar!B92)</f>
        <v>0</v>
      </c>
      <c r="C95" s="12" t="n">
        <f aca="false">solar!C92</f>
        <v>0</v>
      </c>
      <c r="D95" s="12" t="n">
        <v>19</v>
      </c>
      <c r="E95" s="6" t="n">
        <v>91</v>
      </c>
      <c r="F95" s="17" t="n">
        <f aca="false">IFERROR(INDEX($B$5:$C$173, MATCH($E95, $B$5:$B$175, 0), 2), 0)*investment!$C$2</f>
        <v>0</v>
      </c>
      <c r="G95" s="6" t="n">
        <f aca="false">demand!C93</f>
        <v>0</v>
      </c>
      <c r="H95" s="3" t="n">
        <f aca="false">solgen!C93</f>
        <v>0</v>
      </c>
      <c r="I95" s="3" t="n">
        <f aca="false">import!C93</f>
        <v>0</v>
      </c>
      <c r="J95" s="3" t="n">
        <f aca="false">-export!C93</f>
        <v>-0</v>
      </c>
      <c r="K95" s="3" t="n">
        <f aca="false">-charge!C93</f>
        <v>-0</v>
      </c>
      <c r="L95" s="3" t="n">
        <f aca="false">discharge!C93</f>
        <v>0</v>
      </c>
      <c r="M95" s="3" t="n">
        <f aca="false">soc!C93/investment!$E$2 *100</f>
        <v>76.8179810144033</v>
      </c>
      <c r="N95" s="5" t="n">
        <f aca="false">p_micro!C92</f>
        <v>0</v>
      </c>
    </row>
    <row r="96" customFormat="false" ht="13.8" hidden="false" customHeight="false" outlineLevel="0" collapsed="false">
      <c r="B96" s="11" t="n">
        <f aca="false">_xlfn.NUMBERVALUE(solar!B93)</f>
        <v>0</v>
      </c>
      <c r="C96" s="12" t="n">
        <f aca="false">solar!C93</f>
        <v>0</v>
      </c>
      <c r="D96" s="12" t="n">
        <v>20</v>
      </c>
      <c r="E96" s="6" t="n">
        <v>92</v>
      </c>
      <c r="F96" s="17" t="n">
        <f aca="false">IFERROR(INDEX($B$5:$C$173, MATCH($E96, $B$5:$B$175, 0), 2), 0)*investment!$C$2</f>
        <v>0</v>
      </c>
      <c r="G96" s="6" t="n">
        <f aca="false">demand!C94</f>
        <v>0</v>
      </c>
      <c r="H96" s="3" t="n">
        <f aca="false">solgen!C94</f>
        <v>0</v>
      </c>
      <c r="I96" s="3" t="n">
        <f aca="false">import!C94</f>
        <v>0</v>
      </c>
      <c r="J96" s="3" t="n">
        <f aca="false">-export!C94</f>
        <v>-0</v>
      </c>
      <c r="K96" s="3" t="n">
        <f aca="false">-charge!C94</f>
        <v>-0</v>
      </c>
      <c r="L96" s="3" t="n">
        <f aca="false">discharge!C94</f>
        <v>0</v>
      </c>
      <c r="M96" s="3" t="n">
        <f aca="false">soc!C94/investment!$E$2 *100</f>
        <v>64.9848705921298</v>
      </c>
      <c r="N96" s="5" t="n">
        <f aca="false">p_micro!C93</f>
        <v>0</v>
      </c>
    </row>
    <row r="97" customFormat="false" ht="13.8" hidden="false" customHeight="false" outlineLevel="0" collapsed="false">
      <c r="B97" s="11" t="n">
        <f aca="false">_xlfn.NUMBERVALUE(solar!B94)</f>
        <v>0</v>
      </c>
      <c r="C97" s="12" t="n">
        <f aca="false">solar!C94</f>
        <v>0</v>
      </c>
      <c r="D97" s="12" t="n">
        <v>21</v>
      </c>
      <c r="E97" s="6" t="n">
        <v>93</v>
      </c>
      <c r="F97" s="17" t="n">
        <f aca="false">IFERROR(INDEX($B$5:$C$173, MATCH($E97, $B$5:$B$175, 0), 2), 0)*investment!$C$2</f>
        <v>0</v>
      </c>
      <c r="G97" s="6" t="n">
        <f aca="false">demand!C95</f>
        <v>0</v>
      </c>
      <c r="H97" s="3" t="n">
        <f aca="false">solgen!C95</f>
        <v>0</v>
      </c>
      <c r="I97" s="3" t="n">
        <f aca="false">import!C95</f>
        <v>0</v>
      </c>
      <c r="J97" s="3" t="n">
        <f aca="false">-export!C95</f>
        <v>-0</v>
      </c>
      <c r="K97" s="3" t="n">
        <f aca="false">-charge!C95</f>
        <v>-0</v>
      </c>
      <c r="L97" s="3" t="n">
        <f aca="false">discharge!C95</f>
        <v>0</v>
      </c>
      <c r="M97" s="3" t="n">
        <f aca="false">soc!C95/investment!$E$2 *100</f>
        <v>51.1242315105407</v>
      </c>
      <c r="N97" s="5" t="n">
        <f aca="false">p_micro!C94</f>
        <v>0</v>
      </c>
    </row>
    <row r="98" customFormat="false" ht="13.8" hidden="false" customHeight="false" outlineLevel="0" collapsed="false">
      <c r="B98" s="11" t="n">
        <f aca="false">_xlfn.NUMBERVALUE(solar!B95)</f>
        <v>0</v>
      </c>
      <c r="C98" s="12" t="n">
        <f aca="false">solar!C95</f>
        <v>0</v>
      </c>
      <c r="D98" s="12" t="n">
        <v>22</v>
      </c>
      <c r="E98" s="6" t="n">
        <v>94</v>
      </c>
      <c r="F98" s="17" t="n">
        <f aca="false">IFERROR(INDEX($B$5:$C$173, MATCH($E98, $B$5:$B$175, 0), 2), 0)*investment!$C$2</f>
        <v>0</v>
      </c>
      <c r="G98" s="6" t="n">
        <f aca="false">demand!C96</f>
        <v>0</v>
      </c>
      <c r="H98" s="3" t="n">
        <f aca="false">solgen!C96</f>
        <v>0</v>
      </c>
      <c r="I98" s="3" t="n">
        <f aca="false">import!C96</f>
        <v>0</v>
      </c>
      <c r="J98" s="3" t="n">
        <f aca="false">-export!C96</f>
        <v>-0</v>
      </c>
      <c r="K98" s="3" t="n">
        <f aca="false">-charge!C96</f>
        <v>-0</v>
      </c>
      <c r="L98" s="3" t="n">
        <f aca="false">discharge!C96</f>
        <v>0</v>
      </c>
      <c r="M98" s="3" t="n">
        <f aca="false">soc!C96/investment!$E$2 *100</f>
        <v>42.5025903958454</v>
      </c>
      <c r="N98" s="5" t="n">
        <f aca="false">p_micro!C95</f>
        <v>0</v>
      </c>
    </row>
    <row r="99" customFormat="false" ht="13.8" hidden="false" customHeight="false" outlineLevel="0" collapsed="false">
      <c r="B99" s="11" t="n">
        <f aca="false">_xlfn.NUMBERVALUE(solar!B96)</f>
        <v>0</v>
      </c>
      <c r="C99" s="12" t="n">
        <f aca="false">solar!C96</f>
        <v>0</v>
      </c>
      <c r="D99" s="12" t="n">
        <v>23</v>
      </c>
      <c r="E99" s="6" t="n">
        <v>95</v>
      </c>
      <c r="F99" s="17" t="n">
        <f aca="false">IFERROR(INDEX($B$5:$C$173, MATCH($E99, $B$5:$B$175, 0), 2), 0)*investment!$C$2</f>
        <v>0</v>
      </c>
      <c r="G99" s="6" t="n">
        <f aca="false">demand!C97</f>
        <v>0</v>
      </c>
      <c r="H99" s="3" t="n">
        <f aca="false">solgen!C97</f>
        <v>0</v>
      </c>
      <c r="I99" s="3" t="n">
        <f aca="false">import!C97</f>
        <v>0</v>
      </c>
      <c r="J99" s="3" t="n">
        <f aca="false">-export!C97</f>
        <v>-0</v>
      </c>
      <c r="K99" s="3" t="n">
        <f aca="false">-charge!C97</f>
        <v>-0</v>
      </c>
      <c r="L99" s="3" t="n">
        <f aca="false">discharge!C97</f>
        <v>0</v>
      </c>
      <c r="M99" s="3" t="n">
        <f aca="false">soc!C97/investment!$E$2 *100</f>
        <v>35.9807263292908</v>
      </c>
      <c r="N99" s="5" t="n">
        <f aca="false">p_micro!C96</f>
        <v>0</v>
      </c>
    </row>
    <row r="100" customFormat="false" ht="13.8" hidden="false" customHeight="false" outlineLevel="0" collapsed="false">
      <c r="B100" s="11" t="n">
        <f aca="false">_xlfn.NUMBERVALUE(solar!B97)</f>
        <v>0</v>
      </c>
      <c r="C100" s="12" t="n">
        <f aca="false">solar!C97</f>
        <v>0</v>
      </c>
      <c r="D100" s="12" t="n">
        <v>24</v>
      </c>
      <c r="E100" s="6" t="n">
        <v>96</v>
      </c>
      <c r="F100" s="17" t="n">
        <f aca="false">IFERROR(INDEX($B$5:$C$173, MATCH($E100, $B$5:$B$175, 0), 2), 0)*investment!$C$2</f>
        <v>0</v>
      </c>
      <c r="G100" s="6" t="n">
        <f aca="false">demand!C98</f>
        <v>0</v>
      </c>
      <c r="H100" s="3" t="n">
        <f aca="false">solgen!C98</f>
        <v>0</v>
      </c>
      <c r="I100" s="3" t="n">
        <f aca="false">import!C98</f>
        <v>0</v>
      </c>
      <c r="J100" s="3" t="n">
        <f aca="false">-export!C98</f>
        <v>-0</v>
      </c>
      <c r="K100" s="3" t="n">
        <f aca="false">-charge!C98</f>
        <v>-0</v>
      </c>
      <c r="L100" s="3" t="n">
        <f aca="false">discharge!C98</f>
        <v>0</v>
      </c>
      <c r="M100" s="3" t="n">
        <f aca="false">soc!C98/investment!$E$2 *100</f>
        <v>29.4401113421056</v>
      </c>
      <c r="N100" s="5" t="n">
        <f aca="false">p_micro!C97</f>
        <v>0</v>
      </c>
    </row>
    <row r="101" customFormat="false" ht="13.8" hidden="false" customHeight="false" outlineLevel="0" collapsed="false">
      <c r="B101" s="11" t="n">
        <f aca="false">_xlfn.NUMBERVALUE(solar!B98)</f>
        <v>0</v>
      </c>
      <c r="C101" s="12" t="n">
        <f aca="false">solar!C98</f>
        <v>0</v>
      </c>
      <c r="D101" s="12" t="n">
        <v>1</v>
      </c>
      <c r="E101" s="6" t="n">
        <v>97</v>
      </c>
      <c r="F101" s="17" t="n">
        <f aca="false">IFERROR(INDEX($B$5:$C$173, MATCH($E101, $B$5:$B$175, 0), 2), 0)*investment!$C$2</f>
        <v>0</v>
      </c>
      <c r="G101" s="6" t="n">
        <f aca="false">demand!C99</f>
        <v>0</v>
      </c>
      <c r="H101" s="3" t="n">
        <f aca="false">solgen!C99</f>
        <v>0</v>
      </c>
      <c r="I101" s="3" t="n">
        <f aca="false">import!C99</f>
        <v>0</v>
      </c>
      <c r="J101" s="3" t="n">
        <f aca="false">-export!C99</f>
        <v>-0</v>
      </c>
      <c r="K101" s="3" t="n">
        <f aca="false">-charge!C99</f>
        <v>-0</v>
      </c>
      <c r="L101" s="3" t="n">
        <f aca="false">discharge!C99</f>
        <v>0</v>
      </c>
      <c r="M101" s="3" t="n">
        <f aca="false">soc!C99/investment!$E$2 *100</f>
        <v>23.95332312122</v>
      </c>
      <c r="N101" s="5" t="n">
        <f aca="false">p_micro!C98</f>
        <v>0</v>
      </c>
    </row>
    <row r="102" customFormat="false" ht="13.8" hidden="false" customHeight="false" outlineLevel="0" collapsed="false">
      <c r="B102" s="11" t="n">
        <f aca="false">_xlfn.NUMBERVALUE(solar!B99)</f>
        <v>0</v>
      </c>
      <c r="C102" s="12" t="n">
        <f aca="false">solar!C99</f>
        <v>0</v>
      </c>
      <c r="D102" s="12" t="n">
        <v>2</v>
      </c>
      <c r="E102" s="6" t="n">
        <v>98</v>
      </c>
      <c r="F102" s="17" t="n">
        <f aca="false">IFERROR(INDEX($B$5:$C$173, MATCH($E102, $B$5:$B$175, 0), 2), 0)*investment!$C$2</f>
        <v>0</v>
      </c>
      <c r="G102" s="6" t="n">
        <f aca="false">demand!C100</f>
        <v>0</v>
      </c>
      <c r="H102" s="3" t="n">
        <f aca="false">solgen!C100</f>
        <v>0</v>
      </c>
      <c r="I102" s="3" t="n">
        <f aca="false">import!C100</f>
        <v>0</v>
      </c>
      <c r="J102" s="3" t="n">
        <f aca="false">-export!C100</f>
        <v>-0</v>
      </c>
      <c r="K102" s="3" t="n">
        <f aca="false">-charge!C100</f>
        <v>-0</v>
      </c>
      <c r="L102" s="3" t="n">
        <f aca="false">discharge!C100</f>
        <v>0</v>
      </c>
      <c r="M102" s="3" t="n">
        <f aca="false">soc!C100/investment!$E$2 *100</f>
        <v>18.7797663781119</v>
      </c>
      <c r="N102" s="5" t="n">
        <f aca="false">p_micro!C99</f>
        <v>0</v>
      </c>
    </row>
    <row r="103" customFormat="false" ht="13.8" hidden="false" customHeight="false" outlineLevel="0" collapsed="false">
      <c r="B103" s="11" t="n">
        <f aca="false">_xlfn.NUMBERVALUE(solar!B100)</f>
        <v>0</v>
      </c>
      <c r="C103" s="12" t="n">
        <f aca="false">solar!C100</f>
        <v>0</v>
      </c>
      <c r="D103" s="12" t="n">
        <v>3</v>
      </c>
      <c r="E103" s="6" t="n">
        <v>99</v>
      </c>
      <c r="F103" s="17" t="n">
        <f aca="false">IFERROR(INDEX($B$5:$C$173, MATCH($E103, $B$5:$B$175, 0), 2), 0)*investment!$C$2</f>
        <v>0</v>
      </c>
      <c r="G103" s="6" t="n">
        <f aca="false">demand!C101</f>
        <v>0</v>
      </c>
      <c r="H103" s="3" t="n">
        <f aca="false">solgen!C101</f>
        <v>0</v>
      </c>
      <c r="I103" s="3" t="n">
        <f aca="false">import!C101</f>
        <v>0</v>
      </c>
      <c r="J103" s="3" t="n">
        <f aca="false">-export!C101</f>
        <v>-0</v>
      </c>
      <c r="K103" s="3" t="n">
        <f aca="false">-charge!C101</f>
        <v>-0</v>
      </c>
      <c r="L103" s="3" t="n">
        <f aca="false">discharge!C101</f>
        <v>0</v>
      </c>
      <c r="M103" s="3" t="n">
        <f aca="false">soc!C101/investment!$E$2 *100</f>
        <v>14.9544335671881</v>
      </c>
      <c r="N103" s="5" t="n">
        <f aca="false">p_micro!C100</f>
        <v>0</v>
      </c>
    </row>
    <row r="104" customFormat="false" ht="13.8" hidden="false" customHeight="false" outlineLevel="0" collapsed="false">
      <c r="B104" s="11" t="n">
        <f aca="false">_xlfn.NUMBERVALUE(solar!B101)</f>
        <v>0</v>
      </c>
      <c r="C104" s="12" t="n">
        <f aca="false">solar!C101</f>
        <v>0</v>
      </c>
      <c r="D104" s="12" t="n">
        <v>4</v>
      </c>
      <c r="E104" s="6" t="n">
        <v>100</v>
      </c>
      <c r="F104" s="17" t="n">
        <f aca="false">IFERROR(INDEX($B$5:$C$173, MATCH($E104, $B$5:$B$175, 0), 2), 0)*investment!$C$2</f>
        <v>0</v>
      </c>
      <c r="G104" s="6" t="n">
        <f aca="false">demand!C102</f>
        <v>0</v>
      </c>
      <c r="H104" s="3" t="n">
        <f aca="false">solgen!C102</f>
        <v>0</v>
      </c>
      <c r="I104" s="3" t="n">
        <f aca="false">import!C102</f>
        <v>0</v>
      </c>
      <c r="J104" s="3" t="n">
        <f aca="false">-export!C102</f>
        <v>-0</v>
      </c>
      <c r="K104" s="3" t="n">
        <f aca="false">-charge!C102</f>
        <v>-0</v>
      </c>
      <c r="L104" s="3" t="n">
        <f aca="false">discharge!C102</f>
        <v>0</v>
      </c>
      <c r="M104" s="3" t="n">
        <f aca="false">soc!C102/investment!$E$2 *100</f>
        <v>10.7257648198892</v>
      </c>
      <c r="N104" s="5" t="n">
        <f aca="false">p_micro!C101</f>
        <v>0</v>
      </c>
    </row>
    <row r="105" customFormat="false" ht="13.8" hidden="false" customHeight="false" outlineLevel="0" collapsed="false">
      <c r="B105" s="11" t="n">
        <f aca="false">_xlfn.NUMBERVALUE(solar!B102)</f>
        <v>0</v>
      </c>
      <c r="C105" s="12" t="n">
        <f aca="false">solar!C102</f>
        <v>0</v>
      </c>
      <c r="D105" s="12" t="n">
        <v>5</v>
      </c>
      <c r="E105" s="6" t="n">
        <v>101</v>
      </c>
      <c r="F105" s="17" t="n">
        <f aca="false">IFERROR(INDEX($B$5:$C$173, MATCH($E105, $B$5:$B$175, 0), 2), 0)*investment!$C$2</f>
        <v>0</v>
      </c>
      <c r="G105" s="6" t="n">
        <f aca="false">demand!C103</f>
        <v>0</v>
      </c>
      <c r="H105" s="3" t="n">
        <f aca="false">solgen!C103</f>
        <v>0</v>
      </c>
      <c r="I105" s="3" t="n">
        <f aca="false">import!C103</f>
        <v>0</v>
      </c>
      <c r="J105" s="3" t="n">
        <f aca="false">-export!C103</f>
        <v>-0</v>
      </c>
      <c r="K105" s="3" t="n">
        <f aca="false">-charge!C103</f>
        <v>-0</v>
      </c>
      <c r="L105" s="3" t="n">
        <f aca="false">discharge!C103</f>
        <v>0</v>
      </c>
      <c r="M105" s="3" t="n">
        <f aca="false">soc!C103/investment!$E$2 *100</f>
        <v>6.29613412632297</v>
      </c>
      <c r="N105" s="5" t="n">
        <f aca="false">p_micro!C102</f>
        <v>0</v>
      </c>
    </row>
    <row r="106" customFormat="false" ht="13.8" hidden="false" customHeight="false" outlineLevel="0" collapsed="false">
      <c r="B106" s="11" t="n">
        <f aca="false">_xlfn.NUMBERVALUE(solar!B103)</f>
        <v>0</v>
      </c>
      <c r="C106" s="12" t="n">
        <f aca="false">solar!C103</f>
        <v>0</v>
      </c>
      <c r="D106" s="12" t="n">
        <v>6</v>
      </c>
      <c r="E106" s="6" t="n">
        <v>102</v>
      </c>
      <c r="F106" s="17" t="n">
        <f aca="false">IFERROR(INDEX($B$5:$C$173, MATCH($E106, $B$5:$B$175, 0), 2), 0)*investment!$C$2</f>
        <v>0</v>
      </c>
      <c r="G106" s="6" t="n">
        <f aca="false">demand!C104</f>
        <v>0</v>
      </c>
      <c r="H106" s="3" t="n">
        <f aca="false">solgen!C104</f>
        <v>0</v>
      </c>
      <c r="I106" s="3" t="n">
        <f aca="false">import!C104</f>
        <v>0</v>
      </c>
      <c r="J106" s="3" t="n">
        <f aca="false">-export!C104</f>
        <v>-0</v>
      </c>
      <c r="K106" s="3" t="n">
        <f aca="false">-charge!C104</f>
        <v>-0</v>
      </c>
      <c r="L106" s="3" t="n">
        <f aca="false">discharge!C104</f>
        <v>0</v>
      </c>
      <c r="M106" s="3" t="n">
        <f aca="false">soc!C104/investment!$E$2 *100</f>
        <v>1.16582237039764</v>
      </c>
      <c r="N106" s="5" t="n">
        <f aca="false">p_micro!C103</f>
        <v>0</v>
      </c>
    </row>
    <row r="107" customFormat="false" ht="13.8" hidden="false" customHeight="false" outlineLevel="0" collapsed="false">
      <c r="B107" s="11" t="n">
        <f aca="false">_xlfn.NUMBERVALUE(solar!B104)</f>
        <v>0</v>
      </c>
      <c r="C107" s="12" t="n">
        <f aca="false">solar!C104</f>
        <v>0</v>
      </c>
      <c r="D107" s="12" t="n">
        <v>7</v>
      </c>
      <c r="E107" s="6" t="n">
        <v>103</v>
      </c>
      <c r="F107" s="17" t="n">
        <f aca="false">IFERROR(INDEX($B$5:$C$173, MATCH($E107, $B$5:$B$175, 0), 2), 0)*investment!$C$2</f>
        <v>0</v>
      </c>
      <c r="G107" s="6" t="n">
        <f aca="false">demand!C105</f>
        <v>0</v>
      </c>
      <c r="H107" s="3" t="n">
        <f aca="false">solgen!C105</f>
        <v>0</v>
      </c>
      <c r="I107" s="3" t="n">
        <f aca="false">import!C105</f>
        <v>0</v>
      </c>
      <c r="J107" s="3" t="n">
        <f aca="false">-export!C105</f>
        <v>-0</v>
      </c>
      <c r="K107" s="3" t="n">
        <f aca="false">-charge!C105</f>
        <v>-0</v>
      </c>
      <c r="L107" s="3" t="n">
        <f aca="false">discharge!C105</f>
        <v>0</v>
      </c>
      <c r="M107" s="3" t="n">
        <f aca="false">soc!C105/investment!$E$2 *100</f>
        <v>0</v>
      </c>
      <c r="N107" s="5" t="n">
        <f aca="false">p_micro!C104</f>
        <v>0</v>
      </c>
    </row>
    <row r="108" customFormat="false" ht="13.8" hidden="false" customHeight="false" outlineLevel="0" collapsed="false">
      <c r="B108" s="11" t="n">
        <f aca="false">_xlfn.NUMBERVALUE(solar!B105)</f>
        <v>0</v>
      </c>
      <c r="C108" s="12" t="n">
        <f aca="false">solar!C105</f>
        <v>0</v>
      </c>
      <c r="D108" s="12" t="n">
        <v>8</v>
      </c>
      <c r="E108" s="6" t="n">
        <v>104</v>
      </c>
      <c r="F108" s="17" t="n">
        <f aca="false">IFERROR(INDEX($B$5:$C$173, MATCH($E108, $B$5:$B$175, 0), 2), 0)*investment!$C$2</f>
        <v>0</v>
      </c>
      <c r="G108" s="6" t="n">
        <f aca="false">demand!C106</f>
        <v>0</v>
      </c>
      <c r="H108" s="3" t="n">
        <f aca="false">solgen!C106</f>
        <v>0</v>
      </c>
      <c r="I108" s="3" t="n">
        <f aca="false">import!C106</f>
        <v>0</v>
      </c>
      <c r="J108" s="3" t="n">
        <f aca="false">-export!C106</f>
        <v>-0</v>
      </c>
      <c r="K108" s="3" t="n">
        <f aca="false">-charge!C106</f>
        <v>-0</v>
      </c>
      <c r="L108" s="3" t="n">
        <f aca="false">discharge!C106</f>
        <v>0</v>
      </c>
      <c r="M108" s="3" t="n">
        <f aca="false">soc!C106/investment!$E$2 *100</f>
        <v>0</v>
      </c>
      <c r="N108" s="5" t="n">
        <f aca="false">p_micro!C105</f>
        <v>0</v>
      </c>
    </row>
    <row r="109" customFormat="false" ht="13.8" hidden="false" customHeight="false" outlineLevel="0" collapsed="false">
      <c r="B109" s="11" t="n">
        <f aca="false">_xlfn.NUMBERVALUE(solar!B106)</f>
        <v>0</v>
      </c>
      <c r="C109" s="12" t="n">
        <f aca="false">solar!C106</f>
        <v>0</v>
      </c>
      <c r="D109" s="12" t="n">
        <v>9</v>
      </c>
      <c r="E109" s="6" t="n">
        <v>105</v>
      </c>
      <c r="F109" s="17" t="n">
        <f aca="false">IFERROR(INDEX($B$5:$C$173, MATCH($E109, $B$5:$B$175, 0), 2), 0)*investment!$C$2</f>
        <v>0</v>
      </c>
      <c r="G109" s="6" t="n">
        <f aca="false">demand!C107</f>
        <v>0</v>
      </c>
      <c r="H109" s="3" t="n">
        <f aca="false">solgen!C107</f>
        <v>0</v>
      </c>
      <c r="I109" s="3" t="n">
        <f aca="false">import!C107</f>
        <v>0</v>
      </c>
      <c r="J109" s="3" t="n">
        <f aca="false">-export!C107</f>
        <v>-0</v>
      </c>
      <c r="K109" s="3" t="n">
        <f aca="false">-charge!C107</f>
        <v>-0</v>
      </c>
      <c r="L109" s="3" t="n">
        <f aca="false">discharge!C107</f>
        <v>0</v>
      </c>
      <c r="M109" s="3" t="n">
        <f aca="false">soc!C107/investment!$E$2 *100</f>
        <v>0</v>
      </c>
      <c r="N109" s="5" t="n">
        <f aca="false">p_micro!C106</f>
        <v>0</v>
      </c>
    </row>
    <row r="110" customFormat="false" ht="13.8" hidden="false" customHeight="false" outlineLevel="0" collapsed="false">
      <c r="B110" s="11" t="n">
        <f aca="false">_xlfn.NUMBERVALUE(solar!B107)</f>
        <v>0</v>
      </c>
      <c r="C110" s="12" t="n">
        <f aca="false">solar!C107</f>
        <v>0</v>
      </c>
      <c r="D110" s="12" t="n">
        <v>10</v>
      </c>
      <c r="E110" s="6" t="n">
        <v>106</v>
      </c>
      <c r="F110" s="17" t="n">
        <f aca="false">IFERROR(INDEX($B$5:$C$173, MATCH($E110, $B$5:$B$175, 0), 2), 0)*investment!$C$2</f>
        <v>0</v>
      </c>
      <c r="G110" s="6" t="n">
        <f aca="false">demand!C108</f>
        <v>0</v>
      </c>
      <c r="H110" s="3" t="n">
        <f aca="false">solgen!C108</f>
        <v>0</v>
      </c>
      <c r="I110" s="3" t="n">
        <f aca="false">import!C108</f>
        <v>0</v>
      </c>
      <c r="J110" s="3" t="n">
        <f aca="false">-export!C108</f>
        <v>-0</v>
      </c>
      <c r="K110" s="3" t="n">
        <f aca="false">-charge!C108</f>
        <v>-0</v>
      </c>
      <c r="L110" s="3" t="n">
        <f aca="false">discharge!C108</f>
        <v>0</v>
      </c>
      <c r="M110" s="3" t="n">
        <f aca="false">soc!C108/investment!$E$2 *100</f>
        <v>0</v>
      </c>
      <c r="N110" s="5" t="n">
        <f aca="false">p_micro!C107</f>
        <v>0</v>
      </c>
    </row>
    <row r="111" customFormat="false" ht="13.8" hidden="false" customHeight="false" outlineLevel="0" collapsed="false">
      <c r="B111" s="11" t="n">
        <f aca="false">_xlfn.NUMBERVALUE(solar!B108)</f>
        <v>0</v>
      </c>
      <c r="C111" s="12" t="n">
        <f aca="false">solar!C108</f>
        <v>0</v>
      </c>
      <c r="D111" s="12" t="n">
        <v>11</v>
      </c>
      <c r="E111" s="6" t="n">
        <v>107</v>
      </c>
      <c r="F111" s="17" t="n">
        <f aca="false">IFERROR(INDEX($B$5:$C$173, MATCH($E111, $B$5:$B$175, 0), 2), 0)*investment!$C$2</f>
        <v>0</v>
      </c>
      <c r="G111" s="6" t="n">
        <f aca="false">demand!C109</f>
        <v>0</v>
      </c>
      <c r="H111" s="3" t="n">
        <f aca="false">solgen!C109</f>
        <v>0</v>
      </c>
      <c r="I111" s="3" t="n">
        <f aca="false">import!C109</f>
        <v>0</v>
      </c>
      <c r="J111" s="3" t="n">
        <f aca="false">-export!C109</f>
        <v>-0</v>
      </c>
      <c r="K111" s="3" t="n">
        <f aca="false">-charge!C109</f>
        <v>-0</v>
      </c>
      <c r="L111" s="3" t="n">
        <f aca="false">discharge!C109</f>
        <v>0</v>
      </c>
      <c r="M111" s="3" t="n">
        <f aca="false">soc!C109/investment!$E$2 *100</f>
        <v>0</v>
      </c>
      <c r="N111" s="5" t="n">
        <f aca="false">p_micro!C108</f>
        <v>0</v>
      </c>
    </row>
    <row r="112" customFormat="false" ht="13.8" hidden="false" customHeight="false" outlineLevel="0" collapsed="false">
      <c r="B112" s="11" t="n">
        <f aca="false">_xlfn.NUMBERVALUE(solar!B109)</f>
        <v>0</v>
      </c>
      <c r="C112" s="12" t="n">
        <f aca="false">solar!C109</f>
        <v>0</v>
      </c>
      <c r="D112" s="12" t="n">
        <v>12</v>
      </c>
      <c r="E112" s="6" t="n">
        <v>108</v>
      </c>
      <c r="F112" s="17" t="n">
        <f aca="false">IFERROR(INDEX($B$5:$C$173, MATCH($E112, $B$5:$B$175, 0), 2), 0)*investment!$C$2</f>
        <v>0</v>
      </c>
      <c r="G112" s="6" t="n">
        <f aca="false">demand!C110</f>
        <v>0</v>
      </c>
      <c r="H112" s="3" t="n">
        <f aca="false">solgen!C110</f>
        <v>0</v>
      </c>
      <c r="I112" s="3" t="n">
        <f aca="false">import!C110</f>
        <v>0</v>
      </c>
      <c r="J112" s="3" t="n">
        <f aca="false">-export!C110</f>
        <v>-0</v>
      </c>
      <c r="K112" s="3" t="n">
        <f aca="false">-charge!C110</f>
        <v>-0</v>
      </c>
      <c r="L112" s="3" t="n">
        <f aca="false">discharge!C110</f>
        <v>0</v>
      </c>
      <c r="M112" s="3" t="n">
        <f aca="false">soc!C110/investment!$E$2 *100</f>
        <v>30.4390196191838</v>
      </c>
      <c r="N112" s="5" t="n">
        <f aca="false">p_micro!C109</f>
        <v>0</v>
      </c>
    </row>
    <row r="113" customFormat="false" ht="13.8" hidden="false" customHeight="false" outlineLevel="0" collapsed="false">
      <c r="B113" s="11" t="n">
        <f aca="false">_xlfn.NUMBERVALUE(solar!B110)</f>
        <v>0</v>
      </c>
      <c r="C113" s="12" t="n">
        <f aca="false">solar!C110</f>
        <v>0</v>
      </c>
      <c r="D113" s="12" t="n">
        <v>13</v>
      </c>
      <c r="E113" s="6" t="n">
        <v>109</v>
      </c>
      <c r="F113" s="17" t="n">
        <f aca="false">IFERROR(INDEX($B$5:$C$173, MATCH($E113, $B$5:$B$175, 0), 2), 0)*investment!$C$2</f>
        <v>0</v>
      </c>
      <c r="G113" s="6" t="n">
        <f aca="false">demand!C111</f>
        <v>0</v>
      </c>
      <c r="H113" s="3" t="n">
        <f aca="false">solgen!C111</f>
        <v>0</v>
      </c>
      <c r="I113" s="3" t="n">
        <f aca="false">import!C111</f>
        <v>0</v>
      </c>
      <c r="J113" s="3" t="n">
        <f aca="false">-export!C111</f>
        <v>-0</v>
      </c>
      <c r="K113" s="3" t="n">
        <f aca="false">-charge!C111</f>
        <v>-0</v>
      </c>
      <c r="L113" s="3" t="n">
        <f aca="false">discharge!C111</f>
        <v>0</v>
      </c>
      <c r="M113" s="3" t="n">
        <f aca="false">soc!C111/investment!$E$2 *100</f>
        <v>62.7374738657461</v>
      </c>
      <c r="N113" s="5" t="n">
        <f aca="false">p_micro!C110</f>
        <v>0</v>
      </c>
    </row>
    <row r="114" customFormat="false" ht="13.8" hidden="false" customHeight="false" outlineLevel="0" collapsed="false">
      <c r="B114" s="11" t="n">
        <f aca="false">_xlfn.NUMBERVALUE(solar!B111)</f>
        <v>0</v>
      </c>
      <c r="C114" s="12" t="n">
        <f aca="false">solar!C111</f>
        <v>0</v>
      </c>
      <c r="D114" s="12" t="n">
        <v>14</v>
      </c>
      <c r="E114" s="6" t="n">
        <v>110</v>
      </c>
      <c r="F114" s="17" t="n">
        <f aca="false">IFERROR(INDEX($B$5:$C$173, MATCH($E114, $B$5:$B$175, 0), 2), 0)*investment!$C$2</f>
        <v>0</v>
      </c>
      <c r="G114" s="6" t="n">
        <f aca="false">demand!C112</f>
        <v>0</v>
      </c>
      <c r="H114" s="3" t="n">
        <f aca="false">solgen!C112</f>
        <v>0</v>
      </c>
      <c r="I114" s="3" t="n">
        <f aca="false">import!C112</f>
        <v>0</v>
      </c>
      <c r="J114" s="3" t="n">
        <f aca="false">-export!C112</f>
        <v>-0</v>
      </c>
      <c r="K114" s="3" t="n">
        <f aca="false">-charge!C112</f>
        <v>-0</v>
      </c>
      <c r="L114" s="3" t="n">
        <f aca="false">discharge!C112</f>
        <v>0</v>
      </c>
      <c r="M114" s="3" t="n">
        <f aca="false">soc!C112/investment!$E$2 *100</f>
        <v>84.1832713009461</v>
      </c>
      <c r="N114" s="5" t="n">
        <f aca="false">p_micro!C111</f>
        <v>0</v>
      </c>
    </row>
    <row r="115" customFormat="false" ht="13.8" hidden="false" customHeight="false" outlineLevel="0" collapsed="false">
      <c r="B115" s="11" t="n">
        <f aca="false">_xlfn.NUMBERVALUE(solar!B112)</f>
        <v>0</v>
      </c>
      <c r="C115" s="12" t="n">
        <f aca="false">solar!C112</f>
        <v>0</v>
      </c>
      <c r="D115" s="12" t="n">
        <v>15</v>
      </c>
      <c r="E115" s="6" t="n">
        <v>111</v>
      </c>
      <c r="F115" s="17" t="n">
        <f aca="false">IFERROR(INDEX($B$5:$C$173, MATCH($E115, $B$5:$B$175, 0), 2), 0)*investment!$C$2</f>
        <v>0</v>
      </c>
      <c r="G115" s="6" t="n">
        <f aca="false">demand!C113</f>
        <v>0</v>
      </c>
      <c r="H115" s="3" t="n">
        <f aca="false">solgen!C113</f>
        <v>0</v>
      </c>
      <c r="I115" s="3" t="n">
        <f aca="false">import!C113</f>
        <v>0</v>
      </c>
      <c r="J115" s="3" t="n">
        <f aca="false">-export!C113</f>
        <v>-0</v>
      </c>
      <c r="K115" s="3" t="n">
        <f aca="false">-charge!C113</f>
        <v>-0</v>
      </c>
      <c r="L115" s="3" t="n">
        <f aca="false">discharge!C113</f>
        <v>0</v>
      </c>
      <c r="M115" s="3" t="n">
        <f aca="false">soc!C113/investment!$E$2 *100</f>
        <v>91.0825579914693</v>
      </c>
      <c r="N115" s="5" t="n">
        <f aca="false">p_micro!C112</f>
        <v>0</v>
      </c>
    </row>
    <row r="116" customFormat="false" ht="13.8" hidden="false" customHeight="false" outlineLevel="0" collapsed="false">
      <c r="B116" s="11" t="n">
        <f aca="false">_xlfn.NUMBERVALUE(solar!B113)</f>
        <v>0</v>
      </c>
      <c r="C116" s="12" t="n">
        <f aca="false">solar!C113</f>
        <v>0</v>
      </c>
      <c r="D116" s="12" t="n">
        <v>16</v>
      </c>
      <c r="E116" s="6" t="n">
        <v>112</v>
      </c>
      <c r="F116" s="17" t="n">
        <f aca="false">IFERROR(INDEX($B$5:$C$173, MATCH($E116, $B$5:$B$175, 0), 2), 0)*investment!$C$2</f>
        <v>0</v>
      </c>
      <c r="G116" s="6" t="n">
        <f aca="false">demand!C114</f>
        <v>0</v>
      </c>
      <c r="H116" s="3" t="n">
        <f aca="false">solgen!C114</f>
        <v>0</v>
      </c>
      <c r="I116" s="3" t="n">
        <f aca="false">import!C114</f>
        <v>0</v>
      </c>
      <c r="J116" s="3" t="n">
        <f aca="false">-export!C114</f>
        <v>-0</v>
      </c>
      <c r="K116" s="3" t="n">
        <f aca="false">-charge!C114</f>
        <v>-0</v>
      </c>
      <c r="L116" s="3" t="n">
        <f aca="false">discharge!C114</f>
        <v>0</v>
      </c>
      <c r="M116" s="3" t="n">
        <f aca="false">soc!C114/investment!$E$2 *100</f>
        <v>98.4259453393633</v>
      </c>
      <c r="N116" s="5" t="n">
        <f aca="false">p_micro!C113</f>
        <v>0</v>
      </c>
    </row>
    <row r="117" customFormat="false" ht="13.8" hidden="false" customHeight="false" outlineLevel="0" collapsed="false">
      <c r="B117" s="11" t="n">
        <f aca="false">_xlfn.NUMBERVALUE(solar!B114)</f>
        <v>0</v>
      </c>
      <c r="C117" s="12" t="n">
        <f aca="false">solar!C114</f>
        <v>0</v>
      </c>
      <c r="D117" s="12" t="n">
        <v>17</v>
      </c>
      <c r="E117" s="6" t="n">
        <v>113</v>
      </c>
      <c r="F117" s="17" t="n">
        <f aca="false">IFERROR(INDEX($B$5:$C$173, MATCH($E117, $B$5:$B$175, 0), 2), 0)*investment!$C$2</f>
        <v>0</v>
      </c>
      <c r="G117" s="6" t="n">
        <f aca="false">demand!C115</f>
        <v>0</v>
      </c>
      <c r="H117" s="3" t="n">
        <f aca="false">solgen!C115</f>
        <v>0</v>
      </c>
      <c r="I117" s="3" t="n">
        <f aca="false">import!C115</f>
        <v>0</v>
      </c>
      <c r="J117" s="3" t="n">
        <f aca="false">-export!C115</f>
        <v>-0</v>
      </c>
      <c r="K117" s="3" t="n">
        <f aca="false">-charge!C115</f>
        <v>-0</v>
      </c>
      <c r="L117" s="3" t="n">
        <f aca="false">discharge!C115</f>
        <v>0</v>
      </c>
      <c r="M117" s="3" t="n">
        <f aca="false">soc!C115/investment!$E$2 *100</f>
        <v>100</v>
      </c>
      <c r="N117" s="5" t="n">
        <f aca="false">p_micro!C114</f>
        <v>0</v>
      </c>
    </row>
    <row r="118" customFormat="false" ht="13.8" hidden="false" customHeight="false" outlineLevel="0" collapsed="false">
      <c r="B118" s="11" t="n">
        <f aca="false">_xlfn.NUMBERVALUE(solar!B115)</f>
        <v>0</v>
      </c>
      <c r="C118" s="12" t="n">
        <f aca="false">solar!C115</f>
        <v>0</v>
      </c>
      <c r="D118" s="12" t="n">
        <v>18</v>
      </c>
      <c r="E118" s="6" t="n">
        <v>114</v>
      </c>
      <c r="F118" s="17" t="n">
        <f aca="false">IFERROR(INDEX($B$5:$C$173, MATCH($E118, $B$5:$B$175, 0), 2), 0)*investment!$C$2</f>
        <v>0</v>
      </c>
      <c r="G118" s="6" t="n">
        <f aca="false">demand!C116</f>
        <v>0</v>
      </c>
      <c r="H118" s="3" t="n">
        <f aca="false">solgen!C116</f>
        <v>0</v>
      </c>
      <c r="I118" s="3" t="n">
        <f aca="false">import!C116</f>
        <v>0</v>
      </c>
      <c r="J118" s="3" t="n">
        <f aca="false">-export!C116</f>
        <v>-0</v>
      </c>
      <c r="K118" s="3" t="n">
        <f aca="false">-charge!C116</f>
        <v>-0</v>
      </c>
      <c r="L118" s="3" t="n">
        <f aca="false">discharge!C116</f>
        <v>0</v>
      </c>
      <c r="M118" s="3" t="n">
        <f aca="false">soc!C116/investment!$E$2 *100</f>
        <v>96.4029070745841</v>
      </c>
      <c r="N118" s="5" t="n">
        <f aca="false">p_micro!C115</f>
        <v>0</v>
      </c>
    </row>
    <row r="119" customFormat="false" ht="13.8" hidden="false" customHeight="false" outlineLevel="0" collapsed="false">
      <c r="B119" s="11" t="n">
        <f aca="false">_xlfn.NUMBERVALUE(solar!B116)</f>
        <v>0</v>
      </c>
      <c r="C119" s="12" t="n">
        <f aca="false">solar!C116</f>
        <v>0</v>
      </c>
      <c r="D119" s="12" t="n">
        <v>19</v>
      </c>
      <c r="E119" s="6" t="n">
        <v>115</v>
      </c>
      <c r="F119" s="17" t="n">
        <f aca="false">IFERROR(INDEX($B$5:$C$173, MATCH($E119, $B$5:$B$175, 0), 2), 0)*investment!$C$2</f>
        <v>0</v>
      </c>
      <c r="G119" s="6" t="n">
        <f aca="false">demand!C117</f>
        <v>0</v>
      </c>
      <c r="H119" s="3" t="n">
        <f aca="false">solgen!C117</f>
        <v>0</v>
      </c>
      <c r="I119" s="3" t="n">
        <f aca="false">import!C117</f>
        <v>0</v>
      </c>
      <c r="J119" s="3" t="n">
        <f aca="false">-export!C117</f>
        <v>-0</v>
      </c>
      <c r="K119" s="3" t="n">
        <f aca="false">-charge!C117</f>
        <v>-0</v>
      </c>
      <c r="L119" s="3" t="n">
        <f aca="false">discharge!C117</f>
        <v>0</v>
      </c>
      <c r="M119" s="3" t="n">
        <f aca="false">soc!C117/investment!$E$2 *100</f>
        <v>89.4646164475951</v>
      </c>
      <c r="N119" s="5" t="n">
        <f aca="false">p_micro!C116</f>
        <v>0</v>
      </c>
    </row>
    <row r="120" customFormat="false" ht="13.8" hidden="false" customHeight="false" outlineLevel="0" collapsed="false">
      <c r="B120" s="11" t="n">
        <f aca="false">_xlfn.NUMBERVALUE(solar!B117)</f>
        <v>0</v>
      </c>
      <c r="C120" s="12" t="n">
        <f aca="false">solar!C117</f>
        <v>0</v>
      </c>
      <c r="D120" s="12" t="n">
        <v>20</v>
      </c>
      <c r="E120" s="6" t="n">
        <v>116</v>
      </c>
      <c r="F120" s="17" t="n">
        <f aca="false">IFERROR(INDEX($B$5:$C$173, MATCH($E120, $B$5:$B$175, 0), 2), 0)*investment!$C$2</f>
        <v>0</v>
      </c>
      <c r="G120" s="6" t="n">
        <f aca="false">demand!C118</f>
        <v>0</v>
      </c>
      <c r="H120" s="3" t="n">
        <f aca="false">solgen!C118</f>
        <v>0</v>
      </c>
      <c r="I120" s="3" t="n">
        <f aca="false">import!C118</f>
        <v>0</v>
      </c>
      <c r="J120" s="3" t="n">
        <f aca="false">-export!C118</f>
        <v>-0</v>
      </c>
      <c r="K120" s="3" t="n">
        <f aca="false">-charge!C118</f>
        <v>-0</v>
      </c>
      <c r="L120" s="3" t="n">
        <f aca="false">discharge!C118</f>
        <v>0</v>
      </c>
      <c r="M120" s="3" t="n">
        <f aca="false">soc!C118/investment!$E$2 *100</f>
        <v>79.6330750991408</v>
      </c>
      <c r="N120" s="5" t="n">
        <f aca="false">p_micro!C117</f>
        <v>0</v>
      </c>
    </row>
    <row r="121" customFormat="false" ht="13.8" hidden="false" customHeight="false" outlineLevel="0" collapsed="false">
      <c r="B121" s="11" t="n">
        <f aca="false">_xlfn.NUMBERVALUE(solar!B118)</f>
        <v>0</v>
      </c>
      <c r="C121" s="12" t="n">
        <f aca="false">solar!C118</f>
        <v>0</v>
      </c>
      <c r="D121" s="12" t="n">
        <v>21</v>
      </c>
      <c r="E121" s="6" t="n">
        <v>117</v>
      </c>
      <c r="F121" s="17" t="n">
        <f aca="false">IFERROR(INDEX($B$5:$C$173, MATCH($E121, $B$5:$B$175, 0), 2), 0)*investment!$C$2</f>
        <v>0</v>
      </c>
      <c r="G121" s="6" t="n">
        <f aca="false">demand!C119</f>
        <v>0</v>
      </c>
      <c r="H121" s="3" t="n">
        <f aca="false">solgen!C119</f>
        <v>0</v>
      </c>
      <c r="I121" s="3" t="n">
        <f aca="false">import!C119</f>
        <v>0</v>
      </c>
      <c r="J121" s="3" t="n">
        <f aca="false">-export!C119</f>
        <v>-0</v>
      </c>
      <c r="K121" s="3" t="n">
        <f aca="false">-charge!C119</f>
        <v>-0</v>
      </c>
      <c r="L121" s="3" t="n">
        <f aca="false">discharge!C119</f>
        <v>0</v>
      </c>
      <c r="M121" s="3" t="n">
        <f aca="false">soc!C119/investment!$E$2 *100</f>
        <v>69.5528423403095</v>
      </c>
      <c r="N121" s="5" t="n">
        <f aca="false">p_micro!C118</f>
        <v>0</v>
      </c>
    </row>
    <row r="122" customFormat="false" ht="13.8" hidden="false" customHeight="false" outlineLevel="0" collapsed="false">
      <c r="B122" s="11" t="n">
        <f aca="false">_xlfn.NUMBERVALUE(solar!B119)</f>
        <v>0</v>
      </c>
      <c r="C122" s="12" t="n">
        <f aca="false">solar!C119</f>
        <v>0</v>
      </c>
      <c r="D122" s="12" t="n">
        <v>22</v>
      </c>
      <c r="E122" s="6" t="n">
        <v>118</v>
      </c>
      <c r="F122" s="17" t="n">
        <f aca="false">IFERROR(INDEX($B$5:$C$173, MATCH($E122, $B$5:$B$175, 0), 2), 0)*investment!$C$2</f>
        <v>0</v>
      </c>
      <c r="G122" s="6" t="n">
        <f aca="false">demand!C120</f>
        <v>0</v>
      </c>
      <c r="H122" s="3" t="n">
        <f aca="false">solgen!C120</f>
        <v>0</v>
      </c>
      <c r="I122" s="3" t="n">
        <f aca="false">import!C120</f>
        <v>0</v>
      </c>
      <c r="J122" s="3" t="n">
        <f aca="false">-export!C120</f>
        <v>-0</v>
      </c>
      <c r="K122" s="3" t="n">
        <f aca="false">-charge!C120</f>
        <v>-0</v>
      </c>
      <c r="L122" s="3" t="n">
        <f aca="false">discharge!C120</f>
        <v>0</v>
      </c>
      <c r="M122" s="3" t="n">
        <f aca="false">soc!C120/investment!$E$2 *100</f>
        <v>60.2879908269372</v>
      </c>
      <c r="N122" s="5" t="n">
        <f aca="false">p_micro!C119</f>
        <v>0</v>
      </c>
    </row>
    <row r="123" customFormat="false" ht="13.8" hidden="false" customHeight="false" outlineLevel="0" collapsed="false">
      <c r="B123" s="11" t="n">
        <f aca="false">_xlfn.NUMBERVALUE(solar!B120)</f>
        <v>0</v>
      </c>
      <c r="C123" s="12" t="n">
        <f aca="false">solar!C120</f>
        <v>0</v>
      </c>
      <c r="D123" s="12" t="n">
        <v>23</v>
      </c>
      <c r="E123" s="6" t="n">
        <v>119</v>
      </c>
      <c r="F123" s="17" t="n">
        <f aca="false">IFERROR(INDEX($B$5:$C$173, MATCH($E123, $B$5:$B$175, 0), 2), 0)*investment!$C$2</f>
        <v>0</v>
      </c>
      <c r="G123" s="6" t="n">
        <f aca="false">demand!C121</f>
        <v>0</v>
      </c>
      <c r="H123" s="3" t="n">
        <f aca="false">solgen!C121</f>
        <v>0</v>
      </c>
      <c r="I123" s="3" t="n">
        <f aca="false">import!C121</f>
        <v>0</v>
      </c>
      <c r="J123" s="3" t="n">
        <f aca="false">-export!C121</f>
        <v>-0</v>
      </c>
      <c r="K123" s="3" t="n">
        <f aca="false">-charge!C121</f>
        <v>-0</v>
      </c>
      <c r="L123" s="3" t="n">
        <f aca="false">discharge!C121</f>
        <v>0</v>
      </c>
      <c r="M123" s="3" t="n">
        <f aca="false">soc!C121/investment!$E$2 *100</f>
        <v>53.0455293804725</v>
      </c>
      <c r="N123" s="5" t="n">
        <f aca="false">p_micro!C120</f>
        <v>0</v>
      </c>
    </row>
    <row r="124" customFormat="false" ht="13.8" hidden="false" customHeight="false" outlineLevel="0" collapsed="false">
      <c r="B124" s="11" t="n">
        <f aca="false">_xlfn.NUMBERVALUE(solar!B121)</f>
        <v>0</v>
      </c>
      <c r="C124" s="12" t="n">
        <f aca="false">solar!C121</f>
        <v>0</v>
      </c>
      <c r="D124" s="12" t="n">
        <v>24</v>
      </c>
      <c r="E124" s="6" t="n">
        <v>120</v>
      </c>
      <c r="F124" s="17" t="n">
        <f aca="false">IFERROR(INDEX($B$5:$C$173, MATCH($E124, $B$5:$B$175, 0), 2), 0)*investment!$C$2</f>
        <v>0</v>
      </c>
      <c r="G124" s="6" t="n">
        <f aca="false">demand!C122</f>
        <v>0</v>
      </c>
      <c r="H124" s="3" t="n">
        <f aca="false">solgen!C122</f>
        <v>0</v>
      </c>
      <c r="I124" s="3" t="n">
        <f aca="false">import!C122</f>
        <v>0</v>
      </c>
      <c r="J124" s="3" t="n">
        <f aca="false">-export!C122</f>
        <v>-0</v>
      </c>
      <c r="K124" s="3" t="n">
        <f aca="false">-charge!C122</f>
        <v>-0</v>
      </c>
      <c r="L124" s="3" t="n">
        <f aca="false">discharge!C122</f>
        <v>0</v>
      </c>
      <c r="M124" s="3" t="n">
        <f aca="false">soc!C122/investment!$E$2 *100</f>
        <v>49.1597881473172</v>
      </c>
      <c r="N124" s="5" t="n">
        <f aca="false">p_micro!C121</f>
        <v>0</v>
      </c>
    </row>
    <row r="125" customFormat="false" ht="13.8" hidden="false" customHeight="false" outlineLevel="0" collapsed="false">
      <c r="B125" s="11" t="n">
        <f aca="false">_xlfn.NUMBERVALUE(solar!B122)</f>
        <v>0</v>
      </c>
      <c r="C125" s="12" t="n">
        <f aca="false">solar!C122</f>
        <v>0</v>
      </c>
      <c r="D125" s="12" t="n">
        <v>1</v>
      </c>
      <c r="E125" s="6" t="n">
        <v>121</v>
      </c>
      <c r="F125" s="17" t="n">
        <f aca="false">IFERROR(INDEX($B$5:$C$173, MATCH($E125, $B$5:$B$175, 0), 2), 0)*investment!$C$2</f>
        <v>0</v>
      </c>
      <c r="G125" s="6" t="n">
        <f aca="false">demand!C123</f>
        <v>0</v>
      </c>
      <c r="H125" s="3" t="n">
        <f aca="false">solgen!C123</f>
        <v>0</v>
      </c>
      <c r="I125" s="3" t="n">
        <f aca="false">import!C123</f>
        <v>0</v>
      </c>
      <c r="J125" s="3" t="n">
        <f aca="false">-export!C123</f>
        <v>-0</v>
      </c>
      <c r="K125" s="3" t="n">
        <f aca="false">-charge!C123</f>
        <v>-0</v>
      </c>
      <c r="L125" s="3" t="n">
        <f aca="false">discharge!C123</f>
        <v>0</v>
      </c>
      <c r="M125" s="3" t="n">
        <f aca="false">soc!C123/investment!$E$2 *100</f>
        <v>44.9009171470617</v>
      </c>
      <c r="N125" s="5" t="n">
        <f aca="false">p_micro!C122</f>
        <v>0</v>
      </c>
    </row>
    <row r="126" customFormat="false" ht="13.8" hidden="false" customHeight="false" outlineLevel="0" collapsed="false">
      <c r="B126" s="11" t="n">
        <f aca="false">_xlfn.NUMBERVALUE(solar!B123)</f>
        <v>0</v>
      </c>
      <c r="C126" s="12" t="n">
        <f aca="false">solar!C123</f>
        <v>0</v>
      </c>
      <c r="D126" s="12" t="n">
        <v>2</v>
      </c>
      <c r="E126" s="6" t="n">
        <v>122</v>
      </c>
      <c r="F126" s="17" t="n">
        <f aca="false">IFERROR(INDEX($B$5:$C$173, MATCH($E126, $B$5:$B$175, 0), 2), 0)*investment!$C$2</f>
        <v>0</v>
      </c>
      <c r="G126" s="6" t="n">
        <f aca="false">demand!C124</f>
        <v>0</v>
      </c>
      <c r="H126" s="3" t="n">
        <f aca="false">solgen!C124</f>
        <v>0</v>
      </c>
      <c r="I126" s="3" t="n">
        <f aca="false">import!C124</f>
        <v>0</v>
      </c>
      <c r="J126" s="3" t="n">
        <f aca="false">-export!C124</f>
        <v>-0</v>
      </c>
      <c r="K126" s="3" t="n">
        <f aca="false">-charge!C124</f>
        <v>-0</v>
      </c>
      <c r="L126" s="3" t="n">
        <f aca="false">discharge!C124</f>
        <v>0</v>
      </c>
      <c r="M126" s="3" t="n">
        <f aca="false">soc!C124/investment!$E$2 *100</f>
        <v>42.1703363585853</v>
      </c>
      <c r="N126" s="5" t="n">
        <f aca="false">p_micro!C123</f>
        <v>0</v>
      </c>
    </row>
    <row r="127" customFormat="false" ht="13.8" hidden="false" customHeight="false" outlineLevel="0" collapsed="false">
      <c r="B127" s="11" t="n">
        <f aca="false">_xlfn.NUMBERVALUE(solar!B124)</f>
        <v>0</v>
      </c>
      <c r="C127" s="12" t="n">
        <f aca="false">solar!C124</f>
        <v>0</v>
      </c>
      <c r="D127" s="12" t="n">
        <v>3</v>
      </c>
      <c r="E127" s="6" t="n">
        <v>123</v>
      </c>
      <c r="F127" s="17" t="n">
        <f aca="false">IFERROR(INDEX($B$5:$C$173, MATCH($E127, $B$5:$B$175, 0), 2), 0)*investment!$C$2</f>
        <v>0</v>
      </c>
      <c r="G127" s="6" t="n">
        <f aca="false">demand!C125</f>
        <v>0</v>
      </c>
      <c r="H127" s="3" t="n">
        <f aca="false">solgen!C125</f>
        <v>0</v>
      </c>
      <c r="I127" s="3" t="n">
        <f aca="false">import!C125</f>
        <v>0</v>
      </c>
      <c r="J127" s="3" t="n">
        <f aca="false">-export!C125</f>
        <v>-0</v>
      </c>
      <c r="K127" s="3" t="n">
        <f aca="false">-charge!C125</f>
        <v>-0</v>
      </c>
      <c r="L127" s="3" t="n">
        <f aca="false">discharge!C125</f>
        <v>0</v>
      </c>
      <c r="M127" s="3" t="n">
        <f aca="false">soc!C125/investment!$E$2 *100</f>
        <v>36.5042002792414</v>
      </c>
      <c r="N127" s="5" t="n">
        <f aca="false">p_micro!C124</f>
        <v>0</v>
      </c>
    </row>
    <row r="128" customFormat="false" ht="13.8" hidden="false" customHeight="false" outlineLevel="0" collapsed="false">
      <c r="B128" s="11" t="n">
        <f aca="false">_xlfn.NUMBERVALUE(solar!B125)</f>
        <v>0</v>
      </c>
      <c r="C128" s="12" t="n">
        <f aca="false">solar!C125</f>
        <v>0</v>
      </c>
      <c r="D128" s="12" t="n">
        <v>4</v>
      </c>
      <c r="E128" s="6" t="n">
        <v>124</v>
      </c>
      <c r="F128" s="17" t="n">
        <f aca="false">IFERROR(INDEX($B$5:$C$173, MATCH($E128, $B$5:$B$175, 0), 2), 0)*investment!$C$2</f>
        <v>0</v>
      </c>
      <c r="G128" s="6" t="n">
        <f aca="false">demand!C126</f>
        <v>0</v>
      </c>
      <c r="H128" s="3" t="n">
        <f aca="false">solgen!C126</f>
        <v>0</v>
      </c>
      <c r="I128" s="3" t="n">
        <f aca="false">import!C126</f>
        <v>0</v>
      </c>
      <c r="J128" s="3" t="n">
        <f aca="false">-export!C126</f>
        <v>-0</v>
      </c>
      <c r="K128" s="3" t="n">
        <f aca="false">-charge!C126</f>
        <v>-0</v>
      </c>
      <c r="L128" s="3" t="n">
        <f aca="false">discharge!C126</f>
        <v>0</v>
      </c>
      <c r="M128" s="3" t="n">
        <f aca="false">soc!C126/investment!$E$2 *100</f>
        <v>28.7991932711153</v>
      </c>
      <c r="N128" s="5" t="n">
        <f aca="false">p_micro!C125</f>
        <v>0</v>
      </c>
    </row>
    <row r="129" customFormat="false" ht="13.8" hidden="false" customHeight="false" outlineLevel="0" collapsed="false">
      <c r="B129" s="11" t="n">
        <f aca="false">_xlfn.NUMBERVALUE(solar!B126)</f>
        <v>0</v>
      </c>
      <c r="C129" s="12" t="n">
        <f aca="false">solar!C126</f>
        <v>0</v>
      </c>
      <c r="D129" s="12" t="n">
        <v>5</v>
      </c>
      <c r="E129" s="6" t="n">
        <v>125</v>
      </c>
      <c r="F129" s="17" t="n">
        <f aca="false">IFERROR(INDEX($B$5:$C$173, MATCH($E129, $B$5:$B$175, 0), 2), 0)*investment!$C$2</f>
        <v>0</v>
      </c>
      <c r="G129" s="6" t="n">
        <f aca="false">demand!C127</f>
        <v>0</v>
      </c>
      <c r="H129" s="3" t="n">
        <f aca="false">solgen!C127</f>
        <v>0</v>
      </c>
      <c r="I129" s="3" t="n">
        <f aca="false">import!C127</f>
        <v>0</v>
      </c>
      <c r="J129" s="3" t="n">
        <f aca="false">-export!C127</f>
        <v>-0</v>
      </c>
      <c r="K129" s="3" t="n">
        <f aca="false">-charge!C127</f>
        <v>-0</v>
      </c>
      <c r="L129" s="3" t="n">
        <f aca="false">discharge!C127</f>
        <v>0</v>
      </c>
      <c r="M129" s="3" t="n">
        <f aca="false">soc!C127/investment!$E$2 *100</f>
        <v>21.9653306726214</v>
      </c>
      <c r="N129" s="5" t="n">
        <f aca="false">p_micro!C126</f>
        <v>0</v>
      </c>
    </row>
    <row r="130" customFormat="false" ht="13.8" hidden="false" customHeight="false" outlineLevel="0" collapsed="false">
      <c r="B130" s="11" t="n">
        <f aca="false">_xlfn.NUMBERVALUE(solar!B127)</f>
        <v>0</v>
      </c>
      <c r="C130" s="12" t="n">
        <f aca="false">solar!C127</f>
        <v>0</v>
      </c>
      <c r="D130" s="12" t="n">
        <v>6</v>
      </c>
      <c r="E130" s="6" t="n">
        <v>126</v>
      </c>
      <c r="F130" s="17" t="n">
        <f aca="false">IFERROR(INDEX($B$5:$C$173, MATCH($E130, $B$5:$B$175, 0), 2), 0)*investment!$C$2</f>
        <v>0</v>
      </c>
      <c r="G130" s="6" t="n">
        <f aca="false">demand!C128</f>
        <v>0</v>
      </c>
      <c r="H130" s="3" t="n">
        <f aca="false">solgen!C128</f>
        <v>0</v>
      </c>
      <c r="I130" s="3" t="n">
        <f aca="false">import!C128</f>
        <v>0</v>
      </c>
      <c r="J130" s="3" t="n">
        <f aca="false">-export!C128</f>
        <v>-0</v>
      </c>
      <c r="K130" s="3" t="n">
        <f aca="false">-charge!C128</f>
        <v>-0</v>
      </c>
      <c r="L130" s="3" t="n">
        <f aca="false">discharge!C128</f>
        <v>0</v>
      </c>
      <c r="M130" s="3" t="n">
        <f aca="false">soc!C128/investment!$E$2 *100</f>
        <v>15.3677434403087</v>
      </c>
      <c r="N130" s="5" t="n">
        <f aca="false">p_micro!C127</f>
        <v>0</v>
      </c>
    </row>
    <row r="131" customFormat="false" ht="13.8" hidden="false" customHeight="false" outlineLevel="0" collapsed="false">
      <c r="B131" s="11" t="n">
        <f aca="false">_xlfn.NUMBERVALUE(solar!B128)</f>
        <v>0</v>
      </c>
      <c r="C131" s="12" t="n">
        <f aca="false">solar!C128</f>
        <v>0</v>
      </c>
      <c r="D131" s="12" t="n">
        <v>7</v>
      </c>
      <c r="E131" s="6" t="n">
        <v>127</v>
      </c>
      <c r="F131" s="17" t="n">
        <f aca="false">IFERROR(INDEX($B$5:$C$173, MATCH($E131, $B$5:$B$175, 0), 2), 0)*investment!$C$2</f>
        <v>0</v>
      </c>
      <c r="G131" s="6" t="n">
        <f aca="false">demand!C129</f>
        <v>0</v>
      </c>
      <c r="H131" s="3" t="n">
        <f aca="false">solgen!C129</f>
        <v>0</v>
      </c>
      <c r="I131" s="3" t="n">
        <f aca="false">import!C129</f>
        <v>0</v>
      </c>
      <c r="J131" s="3" t="n">
        <f aca="false">-export!C129</f>
        <v>-0</v>
      </c>
      <c r="K131" s="3" t="n">
        <f aca="false">-charge!C129</f>
        <v>-0</v>
      </c>
      <c r="L131" s="3" t="n">
        <f aca="false">discharge!C129</f>
        <v>0</v>
      </c>
      <c r="M131" s="3" t="n">
        <f aca="false">soc!C129/investment!$E$2 *100</f>
        <v>9.1927471531608</v>
      </c>
      <c r="N131" s="5" t="n">
        <f aca="false">p_micro!C128</f>
        <v>0</v>
      </c>
    </row>
    <row r="132" customFormat="false" ht="13.8" hidden="false" customHeight="false" outlineLevel="0" collapsed="false">
      <c r="B132" s="11" t="n">
        <f aca="false">_xlfn.NUMBERVALUE(solar!B129)</f>
        <v>0</v>
      </c>
      <c r="C132" s="12" t="n">
        <f aca="false">solar!C129</f>
        <v>0</v>
      </c>
      <c r="D132" s="12" t="n">
        <v>8</v>
      </c>
      <c r="E132" s="6" t="n">
        <v>128</v>
      </c>
      <c r="F132" s="17" t="n">
        <f aca="false">IFERROR(INDEX($B$5:$C$173, MATCH($E132, $B$5:$B$175, 0), 2), 0)*investment!$C$2</f>
        <v>0</v>
      </c>
      <c r="G132" s="6" t="n">
        <f aca="false">demand!C130</f>
        <v>0</v>
      </c>
      <c r="H132" s="3" t="n">
        <f aca="false">solgen!C130</f>
        <v>0</v>
      </c>
      <c r="I132" s="3" t="n">
        <f aca="false">import!C130</f>
        <v>0</v>
      </c>
      <c r="J132" s="3" t="n">
        <f aca="false">-export!C130</f>
        <v>-0</v>
      </c>
      <c r="K132" s="3" t="n">
        <f aca="false">-charge!C130</f>
        <v>-0</v>
      </c>
      <c r="L132" s="3" t="n">
        <f aca="false">discharge!C130</f>
        <v>0</v>
      </c>
      <c r="M132" s="3" t="n">
        <f aca="false">soc!C130/investment!$E$2 *100</f>
        <v>6.80467584508154</v>
      </c>
      <c r="N132" s="5" t="n">
        <f aca="false">p_micro!C129</f>
        <v>0</v>
      </c>
    </row>
    <row r="133" customFormat="false" ht="13.8" hidden="false" customHeight="false" outlineLevel="0" collapsed="false">
      <c r="B133" s="11" t="n">
        <f aca="false">_xlfn.NUMBERVALUE(solar!B130)</f>
        <v>0</v>
      </c>
      <c r="C133" s="12" t="n">
        <f aca="false">solar!C130</f>
        <v>0</v>
      </c>
      <c r="D133" s="12" t="n">
        <v>9</v>
      </c>
      <c r="E133" s="6" t="n">
        <v>129</v>
      </c>
      <c r="F133" s="17" t="n">
        <f aca="false">IFERROR(INDEX($B$5:$C$173, MATCH($E133, $B$5:$B$175, 0), 2), 0)*investment!$C$2</f>
        <v>0</v>
      </c>
      <c r="G133" s="6" t="n">
        <f aca="false">demand!C131</f>
        <v>0</v>
      </c>
      <c r="H133" s="3" t="n">
        <f aca="false">solgen!C131</f>
        <v>0</v>
      </c>
      <c r="I133" s="3" t="n">
        <f aca="false">import!C131</f>
        <v>0</v>
      </c>
      <c r="J133" s="3" t="n">
        <f aca="false">-export!C131</f>
        <v>-0</v>
      </c>
      <c r="K133" s="3" t="n">
        <f aca="false">-charge!C131</f>
        <v>-0</v>
      </c>
      <c r="L133" s="3" t="n">
        <f aca="false">discharge!C131</f>
        <v>0</v>
      </c>
      <c r="M133" s="3" t="n">
        <f aca="false">soc!C131/investment!$E$2 *100</f>
        <v>14.0168179389606</v>
      </c>
      <c r="N133" s="5" t="n">
        <f aca="false">p_micro!C130</f>
        <v>0</v>
      </c>
    </row>
    <row r="134" customFormat="false" ht="13.8" hidden="false" customHeight="false" outlineLevel="0" collapsed="false">
      <c r="B134" s="11" t="n">
        <f aca="false">_xlfn.NUMBERVALUE(solar!B131)</f>
        <v>0</v>
      </c>
      <c r="C134" s="12" t="n">
        <f aca="false">solar!C131</f>
        <v>0</v>
      </c>
      <c r="D134" s="12" t="n">
        <v>10</v>
      </c>
      <c r="E134" s="6" t="n">
        <v>130</v>
      </c>
      <c r="F134" s="17" t="n">
        <f aca="false">IFERROR(INDEX($B$5:$C$173, MATCH($E134, $B$5:$B$175, 0), 2), 0)*investment!$C$2</f>
        <v>0</v>
      </c>
      <c r="G134" s="6" t="n">
        <f aca="false">demand!C132</f>
        <v>0</v>
      </c>
      <c r="H134" s="3" t="n">
        <f aca="false">solgen!C132</f>
        <v>0</v>
      </c>
      <c r="I134" s="3" t="n">
        <f aca="false">import!C132</f>
        <v>0</v>
      </c>
      <c r="J134" s="3" t="n">
        <f aca="false">-export!C132</f>
        <v>-0</v>
      </c>
      <c r="K134" s="3" t="n">
        <f aca="false">-charge!C132</f>
        <v>-0</v>
      </c>
      <c r="L134" s="3" t="n">
        <f aca="false">discharge!C132</f>
        <v>0</v>
      </c>
      <c r="M134" s="3" t="n">
        <f aca="false">soc!C132/investment!$E$2 *100</f>
        <v>27.0914439834603</v>
      </c>
      <c r="N134" s="5" t="n">
        <f aca="false">p_micro!C131</f>
        <v>0</v>
      </c>
    </row>
    <row r="135" customFormat="false" ht="13.8" hidden="false" customHeight="false" outlineLevel="0" collapsed="false">
      <c r="B135" s="11" t="n">
        <f aca="false">_xlfn.NUMBERVALUE(solar!B132)</f>
        <v>0</v>
      </c>
      <c r="C135" s="12" t="n">
        <f aca="false">solar!C132</f>
        <v>0</v>
      </c>
      <c r="D135" s="12" t="n">
        <v>11</v>
      </c>
      <c r="E135" s="6" t="n">
        <v>131</v>
      </c>
      <c r="F135" s="17" t="n">
        <f aca="false">IFERROR(INDEX($B$5:$C$173, MATCH($E135, $B$5:$B$175, 0), 2), 0)*investment!$C$2</f>
        <v>0</v>
      </c>
      <c r="G135" s="6" t="n">
        <f aca="false">demand!C133</f>
        <v>0</v>
      </c>
      <c r="H135" s="3" t="n">
        <f aca="false">solgen!C133</f>
        <v>0</v>
      </c>
      <c r="I135" s="3" t="n">
        <f aca="false">import!C133</f>
        <v>0</v>
      </c>
      <c r="J135" s="3" t="n">
        <f aca="false">-export!C133</f>
        <v>-0</v>
      </c>
      <c r="K135" s="3" t="n">
        <f aca="false">-charge!C133</f>
        <v>-0</v>
      </c>
      <c r="L135" s="3" t="n">
        <f aca="false">discharge!C133</f>
        <v>0</v>
      </c>
      <c r="M135" s="3" t="n">
        <f aca="false">soc!C133/investment!$E$2 *100</f>
        <v>45.6554543154673</v>
      </c>
      <c r="N135" s="5" t="n">
        <f aca="false">p_micro!C132</f>
        <v>0</v>
      </c>
    </row>
    <row r="136" customFormat="false" ht="13.8" hidden="false" customHeight="false" outlineLevel="0" collapsed="false">
      <c r="B136" s="11" t="n">
        <f aca="false">_xlfn.NUMBERVALUE(solar!B133)</f>
        <v>0</v>
      </c>
      <c r="C136" s="12" t="n">
        <f aca="false">solar!C133</f>
        <v>0</v>
      </c>
      <c r="D136" s="12" t="n">
        <v>12</v>
      </c>
      <c r="E136" s="6" t="n">
        <v>132</v>
      </c>
      <c r="F136" s="17" t="n">
        <f aca="false">IFERROR(INDEX($B$5:$C$173, MATCH($E136, $B$5:$B$175, 0), 2), 0)*investment!$C$2</f>
        <v>0</v>
      </c>
      <c r="G136" s="6" t="n">
        <f aca="false">demand!C134</f>
        <v>0</v>
      </c>
      <c r="H136" s="3" t="n">
        <f aca="false">solgen!C134</f>
        <v>0</v>
      </c>
      <c r="I136" s="3" t="n">
        <f aca="false">import!C134</f>
        <v>0</v>
      </c>
      <c r="J136" s="3" t="n">
        <f aca="false">-export!C134</f>
        <v>-0</v>
      </c>
      <c r="K136" s="3" t="n">
        <f aca="false">-charge!C134</f>
        <v>-0</v>
      </c>
      <c r="L136" s="3" t="n">
        <f aca="false">discharge!C134</f>
        <v>0</v>
      </c>
      <c r="M136" s="3" t="n">
        <f aca="false">soc!C134/investment!$E$2 *100</f>
        <v>68.3221173576868</v>
      </c>
      <c r="N136" s="5" t="n">
        <f aca="false">p_micro!C133</f>
        <v>0</v>
      </c>
    </row>
    <row r="137" customFormat="false" ht="13.8" hidden="false" customHeight="false" outlineLevel="0" collapsed="false">
      <c r="B137" s="11" t="n">
        <f aca="false">_xlfn.NUMBERVALUE(solar!B134)</f>
        <v>0</v>
      </c>
      <c r="C137" s="12" t="n">
        <f aca="false">solar!C134</f>
        <v>0</v>
      </c>
      <c r="D137" s="12" t="n">
        <v>13</v>
      </c>
      <c r="E137" s="6" t="n">
        <v>133</v>
      </c>
      <c r="F137" s="17" t="n">
        <f aca="false">IFERROR(INDEX($B$5:$C$173, MATCH($E137, $B$5:$B$175, 0), 2), 0)*investment!$C$2</f>
        <v>0</v>
      </c>
      <c r="G137" s="6" t="n">
        <f aca="false">demand!C135</f>
        <v>0</v>
      </c>
      <c r="H137" s="3" t="n">
        <f aca="false">solgen!C135</f>
        <v>0</v>
      </c>
      <c r="I137" s="3" t="n">
        <f aca="false">import!C135</f>
        <v>0</v>
      </c>
      <c r="J137" s="3" t="n">
        <f aca="false">-export!C135</f>
        <v>-0</v>
      </c>
      <c r="K137" s="3" t="n">
        <f aca="false">-charge!C135</f>
        <v>-0</v>
      </c>
      <c r="L137" s="3" t="n">
        <f aca="false">discharge!C135</f>
        <v>0</v>
      </c>
      <c r="M137" s="3" t="n">
        <f aca="false">soc!C135/investment!$E$2 *100</f>
        <v>87.5733735307958</v>
      </c>
      <c r="N137" s="5" t="n">
        <f aca="false">p_micro!C134</f>
        <v>0</v>
      </c>
    </row>
    <row r="138" customFormat="false" ht="13.8" hidden="false" customHeight="false" outlineLevel="0" collapsed="false">
      <c r="B138" s="11" t="n">
        <f aca="false">_xlfn.NUMBERVALUE(solar!B135)</f>
        <v>0</v>
      </c>
      <c r="C138" s="12" t="n">
        <f aca="false">solar!C135</f>
        <v>0</v>
      </c>
      <c r="D138" s="12" t="n">
        <v>14</v>
      </c>
      <c r="E138" s="6" t="n">
        <v>134</v>
      </c>
      <c r="F138" s="17" t="n">
        <f aca="false">IFERROR(INDEX($B$5:$C$173, MATCH($E138, $B$5:$B$175, 0), 2), 0)*investment!$C$2</f>
        <v>0</v>
      </c>
      <c r="G138" s="6" t="n">
        <f aca="false">demand!C136</f>
        <v>0</v>
      </c>
      <c r="H138" s="3" t="n">
        <f aca="false">solgen!C136</f>
        <v>0</v>
      </c>
      <c r="I138" s="3" t="n">
        <f aca="false">import!C136</f>
        <v>0</v>
      </c>
      <c r="J138" s="3" t="n">
        <f aca="false">-export!C136</f>
        <v>-0</v>
      </c>
      <c r="K138" s="3" t="n">
        <f aca="false">-charge!C136</f>
        <v>-0</v>
      </c>
      <c r="L138" s="3" t="n">
        <f aca="false">discharge!C136</f>
        <v>0</v>
      </c>
      <c r="M138" s="3" t="n">
        <f aca="false">soc!C136/investment!$E$2 *100</f>
        <v>99.6944381524284</v>
      </c>
      <c r="N138" s="5" t="n">
        <f aca="false">p_micro!C135</f>
        <v>0</v>
      </c>
    </row>
    <row r="139" customFormat="false" ht="13.8" hidden="false" customHeight="false" outlineLevel="0" collapsed="false">
      <c r="B139" s="11" t="n">
        <f aca="false">_xlfn.NUMBERVALUE(solar!B136)</f>
        <v>0</v>
      </c>
      <c r="C139" s="12" t="n">
        <f aca="false">solar!C136</f>
        <v>0</v>
      </c>
      <c r="D139" s="12" t="n">
        <v>15</v>
      </c>
      <c r="E139" s="6" t="n">
        <v>135</v>
      </c>
      <c r="F139" s="17" t="n">
        <f aca="false">IFERROR(INDEX($B$5:$C$173, MATCH($E139, $B$5:$B$175, 0), 2), 0)*investment!$C$2</f>
        <v>0</v>
      </c>
      <c r="G139" s="6" t="n">
        <f aca="false">demand!C137</f>
        <v>0</v>
      </c>
      <c r="H139" s="3" t="n">
        <f aca="false">solgen!C137</f>
        <v>0</v>
      </c>
      <c r="I139" s="3" t="n">
        <f aca="false">import!C137</f>
        <v>0</v>
      </c>
      <c r="J139" s="3" t="n">
        <f aca="false">-export!C137</f>
        <v>-0</v>
      </c>
      <c r="K139" s="3" t="n">
        <f aca="false">-charge!C137</f>
        <v>-0</v>
      </c>
      <c r="L139" s="3" t="n">
        <f aca="false">discharge!C137</f>
        <v>0</v>
      </c>
      <c r="M139" s="3" t="n">
        <f aca="false">soc!C137/investment!$E$2 *100</f>
        <v>100</v>
      </c>
      <c r="N139" s="5" t="n">
        <f aca="false">p_micro!C136</f>
        <v>0</v>
      </c>
    </row>
    <row r="140" customFormat="false" ht="13.8" hidden="false" customHeight="false" outlineLevel="0" collapsed="false">
      <c r="B140" s="11" t="n">
        <f aca="false">_xlfn.NUMBERVALUE(solar!B137)</f>
        <v>0</v>
      </c>
      <c r="C140" s="12" t="n">
        <f aca="false">solar!C137</f>
        <v>0</v>
      </c>
      <c r="D140" s="12" t="n">
        <v>16</v>
      </c>
      <c r="E140" s="6" t="n">
        <v>136</v>
      </c>
      <c r="F140" s="17" t="n">
        <f aca="false">IFERROR(INDEX($B$5:$C$173, MATCH($E140, $B$5:$B$175, 0), 2), 0)*investment!$C$2</f>
        <v>0</v>
      </c>
      <c r="G140" s="6" t="n">
        <f aca="false">demand!C138</f>
        <v>0</v>
      </c>
      <c r="H140" s="3" t="n">
        <f aca="false">solgen!C138</f>
        <v>0</v>
      </c>
      <c r="I140" s="3" t="n">
        <f aca="false">import!C138</f>
        <v>0</v>
      </c>
      <c r="J140" s="3" t="n">
        <f aca="false">-export!C138</f>
        <v>-0</v>
      </c>
      <c r="K140" s="3" t="n">
        <f aca="false">-charge!C138</f>
        <v>-0</v>
      </c>
      <c r="L140" s="3" t="n">
        <f aca="false">discharge!C138</f>
        <v>0</v>
      </c>
      <c r="M140" s="3" t="n">
        <f aca="false">soc!C138/investment!$E$2 *100</f>
        <v>96.5337522491854</v>
      </c>
      <c r="N140" s="5" t="n">
        <f aca="false">p_micro!C137</f>
        <v>0</v>
      </c>
    </row>
    <row r="141" customFormat="false" ht="13.8" hidden="false" customHeight="false" outlineLevel="0" collapsed="false">
      <c r="B141" s="11" t="n">
        <f aca="false">_xlfn.NUMBERVALUE(solar!B138)</f>
        <v>0</v>
      </c>
      <c r="C141" s="12" t="n">
        <f aca="false">solar!C138</f>
        <v>0</v>
      </c>
      <c r="D141" s="12" t="n">
        <v>17</v>
      </c>
      <c r="E141" s="6" t="n">
        <v>137</v>
      </c>
      <c r="F141" s="17" t="n">
        <f aca="false">IFERROR(INDEX($B$5:$C$173, MATCH($E141, $B$5:$B$175, 0), 2), 0)*investment!$C$2</f>
        <v>0</v>
      </c>
      <c r="G141" s="6" t="n">
        <f aca="false">demand!C139</f>
        <v>0</v>
      </c>
      <c r="H141" s="3" t="n">
        <f aca="false">solgen!C139</f>
        <v>0</v>
      </c>
      <c r="I141" s="3" t="n">
        <f aca="false">import!C139</f>
        <v>0</v>
      </c>
      <c r="J141" s="3" t="n">
        <f aca="false">-export!C139</f>
        <v>-0</v>
      </c>
      <c r="K141" s="3" t="n">
        <f aca="false">-charge!C139</f>
        <v>-0</v>
      </c>
      <c r="L141" s="3" t="n">
        <f aca="false">discharge!C139</f>
        <v>0</v>
      </c>
      <c r="M141" s="3" t="n">
        <f aca="false">soc!C139/investment!$E$2 *100</f>
        <v>90.3910368270027</v>
      </c>
      <c r="N141" s="5" t="n">
        <f aca="false">p_micro!C138</f>
        <v>0</v>
      </c>
    </row>
    <row r="142" customFormat="false" ht="13.8" hidden="false" customHeight="false" outlineLevel="0" collapsed="false">
      <c r="B142" s="11" t="n">
        <f aca="false">_xlfn.NUMBERVALUE(solar!B139)</f>
        <v>0</v>
      </c>
      <c r="C142" s="12" t="n">
        <f aca="false">solar!C139</f>
        <v>0</v>
      </c>
      <c r="D142" s="12" t="n">
        <v>18</v>
      </c>
      <c r="E142" s="6" t="n">
        <v>138</v>
      </c>
      <c r="F142" s="17" t="n">
        <f aca="false">IFERROR(INDEX($B$5:$C$173, MATCH($E142, $B$5:$B$175, 0), 2), 0)*investment!$C$2</f>
        <v>0</v>
      </c>
      <c r="G142" s="6" t="n">
        <f aca="false">demand!C140</f>
        <v>0</v>
      </c>
      <c r="H142" s="3" t="n">
        <f aca="false">solgen!C140</f>
        <v>0</v>
      </c>
      <c r="I142" s="3" t="n">
        <f aca="false">import!C140</f>
        <v>0</v>
      </c>
      <c r="J142" s="3" t="n">
        <f aca="false">-export!C140</f>
        <v>-0</v>
      </c>
      <c r="K142" s="3" t="n">
        <f aca="false">-charge!C140</f>
        <v>-0</v>
      </c>
      <c r="L142" s="3" t="n">
        <f aca="false">discharge!C140</f>
        <v>0</v>
      </c>
      <c r="M142" s="3" t="n">
        <f aca="false">soc!C140/investment!$E$2 *100</f>
        <v>83.3286767287906</v>
      </c>
      <c r="N142" s="5" t="n">
        <f aca="false">p_micro!C139</f>
        <v>0</v>
      </c>
    </row>
    <row r="143" customFormat="false" ht="13.8" hidden="false" customHeight="false" outlineLevel="0" collapsed="false">
      <c r="B143" s="11" t="n">
        <f aca="false">_xlfn.NUMBERVALUE(solar!B140)</f>
        <v>0</v>
      </c>
      <c r="C143" s="12" t="n">
        <f aca="false">solar!C140</f>
        <v>0</v>
      </c>
      <c r="D143" s="12" t="n">
        <v>19</v>
      </c>
      <c r="E143" s="6" t="n">
        <v>139</v>
      </c>
      <c r="F143" s="17" t="n">
        <f aca="false">IFERROR(INDEX($B$5:$C$173, MATCH($E143, $B$5:$B$175, 0), 2), 0)*investment!$C$2</f>
        <v>0</v>
      </c>
      <c r="G143" s="6" t="n">
        <f aca="false">demand!C141</f>
        <v>0</v>
      </c>
      <c r="H143" s="3" t="n">
        <f aca="false">solgen!C141</f>
        <v>0</v>
      </c>
      <c r="I143" s="3" t="n">
        <f aca="false">import!C141</f>
        <v>0</v>
      </c>
      <c r="J143" s="3" t="n">
        <f aca="false">-export!C141</f>
        <v>-0</v>
      </c>
      <c r="K143" s="3" t="n">
        <f aca="false">-charge!C141</f>
        <v>-0</v>
      </c>
      <c r="L143" s="3" t="n">
        <f aca="false">discharge!C141</f>
        <v>0</v>
      </c>
      <c r="M143" s="3" t="n">
        <f aca="false">soc!C141/investment!$E$2 *100</f>
        <v>73.3062521845068</v>
      </c>
      <c r="N143" s="5" t="n">
        <f aca="false">p_micro!C140</f>
        <v>0</v>
      </c>
    </row>
    <row r="144" customFormat="false" ht="13.8" hidden="false" customHeight="false" outlineLevel="0" collapsed="false">
      <c r="B144" s="11" t="n">
        <f aca="false">_xlfn.NUMBERVALUE(solar!B141)</f>
        <v>0</v>
      </c>
      <c r="C144" s="12" t="n">
        <f aca="false">solar!C141</f>
        <v>0</v>
      </c>
      <c r="D144" s="12" t="n">
        <v>20</v>
      </c>
      <c r="E144" s="6" t="n">
        <v>140</v>
      </c>
      <c r="F144" s="17" t="n">
        <f aca="false">IFERROR(INDEX($B$5:$C$173, MATCH($E144, $B$5:$B$175, 0), 2), 0)*investment!$C$2</f>
        <v>0</v>
      </c>
      <c r="G144" s="6" t="n">
        <f aca="false">demand!C142</f>
        <v>0</v>
      </c>
      <c r="H144" s="3" t="n">
        <f aca="false">solgen!C142</f>
        <v>0</v>
      </c>
      <c r="I144" s="3" t="n">
        <f aca="false">import!C142</f>
        <v>0</v>
      </c>
      <c r="J144" s="3" t="n">
        <f aca="false">-export!C142</f>
        <v>-0</v>
      </c>
      <c r="K144" s="3" t="n">
        <f aca="false">-charge!C142</f>
        <v>-0</v>
      </c>
      <c r="L144" s="3" t="n">
        <f aca="false">discharge!C142</f>
        <v>0</v>
      </c>
      <c r="M144" s="3" t="n">
        <f aca="false">soc!C142/investment!$E$2 *100</f>
        <v>63.5957900158032</v>
      </c>
      <c r="N144" s="5" t="n">
        <f aca="false">p_micro!C141</f>
        <v>0</v>
      </c>
    </row>
    <row r="145" customFormat="false" ht="13.8" hidden="false" customHeight="false" outlineLevel="0" collapsed="false">
      <c r="B145" s="11" t="n">
        <f aca="false">_xlfn.NUMBERVALUE(solar!B142)</f>
        <v>0</v>
      </c>
      <c r="C145" s="12" t="n">
        <f aca="false">solar!C142</f>
        <v>0</v>
      </c>
      <c r="D145" s="12" t="n">
        <v>21</v>
      </c>
      <c r="E145" s="6" t="n">
        <v>141</v>
      </c>
      <c r="F145" s="17" t="n">
        <f aca="false">IFERROR(INDEX($B$5:$C$173, MATCH($E145, $B$5:$B$175, 0), 2), 0)*investment!$C$2</f>
        <v>0</v>
      </c>
      <c r="G145" s="6" t="n">
        <f aca="false">demand!C143</f>
        <v>0</v>
      </c>
      <c r="H145" s="3" t="n">
        <f aca="false">solgen!C143</f>
        <v>0</v>
      </c>
      <c r="I145" s="3" t="n">
        <f aca="false">import!C143</f>
        <v>0</v>
      </c>
      <c r="J145" s="3" t="n">
        <f aca="false">-export!C143</f>
        <v>-0</v>
      </c>
      <c r="K145" s="3" t="n">
        <f aca="false">-charge!C143</f>
        <v>-0</v>
      </c>
      <c r="L145" s="3" t="n">
        <f aca="false">discharge!C143</f>
        <v>0</v>
      </c>
      <c r="M145" s="3" t="n">
        <f aca="false">soc!C143/investment!$E$2 *100</f>
        <v>54.0058627232368</v>
      </c>
      <c r="N145" s="5" t="n">
        <f aca="false">p_micro!C142</f>
        <v>0</v>
      </c>
    </row>
    <row r="146" customFormat="false" ht="13.8" hidden="false" customHeight="false" outlineLevel="0" collapsed="false">
      <c r="B146" s="11" t="n">
        <f aca="false">_xlfn.NUMBERVALUE(solar!B143)</f>
        <v>0</v>
      </c>
      <c r="C146" s="12" t="n">
        <f aca="false">solar!C143</f>
        <v>0</v>
      </c>
      <c r="D146" s="12" t="n">
        <v>22</v>
      </c>
      <c r="E146" s="6" t="n">
        <v>142</v>
      </c>
      <c r="F146" s="17" t="n">
        <f aca="false">IFERROR(INDEX($B$5:$C$173, MATCH($E146, $B$5:$B$175, 0), 2), 0)*investment!$C$2</f>
        <v>0</v>
      </c>
      <c r="G146" s="6" t="n">
        <f aca="false">demand!C144</f>
        <v>0</v>
      </c>
      <c r="H146" s="3" t="n">
        <f aca="false">solgen!C144</f>
        <v>0</v>
      </c>
      <c r="I146" s="3" t="n">
        <f aca="false">import!C144</f>
        <v>0</v>
      </c>
      <c r="J146" s="3" t="n">
        <f aca="false">-export!C144</f>
        <v>-0</v>
      </c>
      <c r="K146" s="3" t="n">
        <f aca="false">-charge!C144</f>
        <v>-0</v>
      </c>
      <c r="L146" s="3" t="n">
        <f aca="false">discharge!C144</f>
        <v>0</v>
      </c>
      <c r="M146" s="3" t="n">
        <f aca="false">soc!C144/investment!$E$2 *100</f>
        <v>43.5724344904247</v>
      </c>
      <c r="N146" s="5" t="n">
        <f aca="false">p_micro!C143</f>
        <v>0</v>
      </c>
    </row>
    <row r="147" customFormat="false" ht="13.8" hidden="false" customHeight="false" outlineLevel="0" collapsed="false">
      <c r="B147" s="11" t="n">
        <f aca="false">_xlfn.NUMBERVALUE(solar!B144)</f>
        <v>0</v>
      </c>
      <c r="C147" s="12" t="n">
        <f aca="false">solar!C144</f>
        <v>0</v>
      </c>
      <c r="D147" s="12" t="n">
        <v>23</v>
      </c>
      <c r="E147" s="6" t="n">
        <v>143</v>
      </c>
      <c r="F147" s="17" t="n">
        <f aca="false">IFERROR(INDEX($B$5:$C$173, MATCH($E147, $B$5:$B$175, 0), 2), 0)*investment!$C$2</f>
        <v>0</v>
      </c>
      <c r="G147" s="6" t="n">
        <f aca="false">demand!C145</f>
        <v>0</v>
      </c>
      <c r="H147" s="3" t="n">
        <f aca="false">solgen!C145</f>
        <v>0</v>
      </c>
      <c r="I147" s="3" t="n">
        <f aca="false">import!C145</f>
        <v>0</v>
      </c>
      <c r="J147" s="3" t="n">
        <f aca="false">-export!C145</f>
        <v>-0</v>
      </c>
      <c r="K147" s="3" t="n">
        <f aca="false">-charge!C145</f>
        <v>-0</v>
      </c>
      <c r="L147" s="3" t="n">
        <f aca="false">discharge!C145</f>
        <v>0</v>
      </c>
      <c r="M147" s="3" t="n">
        <f aca="false">soc!C145/investment!$E$2 *100</f>
        <v>35.0057451777028</v>
      </c>
      <c r="N147" s="5" t="n">
        <f aca="false">p_micro!C144</f>
        <v>0</v>
      </c>
    </row>
    <row r="148" customFormat="false" ht="13.8" hidden="false" customHeight="false" outlineLevel="0" collapsed="false">
      <c r="B148" s="11" t="n">
        <f aca="false">_xlfn.NUMBERVALUE(solar!B145)</f>
        <v>0</v>
      </c>
      <c r="C148" s="12" t="n">
        <f aca="false">solar!C145</f>
        <v>0</v>
      </c>
      <c r="D148" s="12" t="n">
        <v>24</v>
      </c>
      <c r="E148" s="6" t="n">
        <v>144</v>
      </c>
      <c r="F148" s="17" t="n">
        <f aca="false">IFERROR(INDEX($B$5:$C$173, MATCH($E148, $B$5:$B$175, 0), 2), 0)*investment!$C$2</f>
        <v>0</v>
      </c>
      <c r="G148" s="6" t="n">
        <f aca="false">demand!C146</f>
        <v>0</v>
      </c>
      <c r="H148" s="3" t="n">
        <f aca="false">solgen!C146</f>
        <v>0</v>
      </c>
      <c r="I148" s="3" t="n">
        <f aca="false">import!C146</f>
        <v>0</v>
      </c>
      <c r="J148" s="3" t="n">
        <f aca="false">-export!C146</f>
        <v>-0</v>
      </c>
      <c r="K148" s="3" t="n">
        <f aca="false">-charge!C146</f>
        <v>-0</v>
      </c>
      <c r="L148" s="3" t="n">
        <f aca="false">discharge!C146</f>
        <v>0</v>
      </c>
      <c r="M148" s="3" t="n">
        <f aca="false">soc!C146/investment!$E$2 *100</f>
        <v>29.4234004672314</v>
      </c>
      <c r="N148" s="5" t="n">
        <f aca="false">p_micro!C145</f>
        <v>0</v>
      </c>
    </row>
    <row r="149" customFormat="false" ht="13.8" hidden="false" customHeight="false" outlineLevel="0" collapsed="false">
      <c r="B149" s="11" t="n">
        <f aca="false">_xlfn.NUMBERVALUE(solar!B146)</f>
        <v>0</v>
      </c>
      <c r="C149" s="12" t="n">
        <f aca="false">solar!C146</f>
        <v>0</v>
      </c>
      <c r="D149" s="12" t="n">
        <v>1</v>
      </c>
      <c r="E149" s="6" t="n">
        <v>145</v>
      </c>
      <c r="F149" s="17" t="n">
        <f aca="false">IFERROR(INDEX($B$5:$C$173, MATCH($E149, $B$5:$B$175, 0), 2), 0)*investment!$C$2</f>
        <v>0</v>
      </c>
      <c r="G149" s="6" t="n">
        <f aca="false">demand!C147</f>
        <v>0</v>
      </c>
      <c r="H149" s="3" t="n">
        <f aca="false">solgen!C147</f>
        <v>0</v>
      </c>
      <c r="I149" s="3" t="n">
        <f aca="false">import!C147</f>
        <v>0</v>
      </c>
      <c r="J149" s="3" t="n">
        <f aca="false">-export!C147</f>
        <v>-0</v>
      </c>
      <c r="K149" s="3" t="n">
        <f aca="false">-charge!C147</f>
        <v>-0</v>
      </c>
      <c r="L149" s="3" t="n">
        <f aca="false">discharge!C147</f>
        <v>0</v>
      </c>
      <c r="M149" s="3" t="n">
        <f aca="false">soc!C147/investment!$E$2 *100</f>
        <v>24.7739701841847</v>
      </c>
      <c r="N149" s="5" t="n">
        <f aca="false">p_micro!C146</f>
        <v>0</v>
      </c>
    </row>
    <row r="150" customFormat="false" ht="13.8" hidden="false" customHeight="false" outlineLevel="0" collapsed="false">
      <c r="B150" s="11" t="n">
        <f aca="false">_xlfn.NUMBERVALUE(solar!B147)</f>
        <v>0</v>
      </c>
      <c r="C150" s="12" t="n">
        <f aca="false">solar!C147</f>
        <v>0</v>
      </c>
      <c r="D150" s="12" t="n">
        <v>2</v>
      </c>
      <c r="E150" s="6" t="n">
        <v>146</v>
      </c>
      <c r="F150" s="17" t="n">
        <f aca="false">IFERROR(INDEX($B$5:$C$173, MATCH($E150, $B$5:$B$175, 0), 2), 0)*investment!$C$2</f>
        <v>0</v>
      </c>
      <c r="G150" s="6" t="n">
        <f aca="false">demand!C148</f>
        <v>0</v>
      </c>
      <c r="H150" s="3" t="n">
        <f aca="false">solgen!C148</f>
        <v>0</v>
      </c>
      <c r="I150" s="3" t="n">
        <f aca="false">import!C148</f>
        <v>0</v>
      </c>
      <c r="J150" s="3" t="n">
        <f aca="false">-export!C148</f>
        <v>-0</v>
      </c>
      <c r="K150" s="3" t="n">
        <f aca="false">-charge!C148</f>
        <v>-0</v>
      </c>
      <c r="L150" s="3" t="n">
        <f aca="false">discharge!C148</f>
        <v>0</v>
      </c>
      <c r="M150" s="3" t="n">
        <f aca="false">soc!C148/investment!$E$2 *100</f>
        <v>19.0472794534331</v>
      </c>
      <c r="N150" s="5" t="n">
        <f aca="false">p_micro!C147</f>
        <v>0</v>
      </c>
    </row>
    <row r="151" customFormat="false" ht="13.8" hidden="false" customHeight="false" outlineLevel="0" collapsed="false">
      <c r="B151" s="11" t="n">
        <f aca="false">_xlfn.NUMBERVALUE(solar!B148)</f>
        <v>0</v>
      </c>
      <c r="C151" s="12" t="n">
        <f aca="false">solar!C148</f>
        <v>0</v>
      </c>
      <c r="D151" s="12" t="n">
        <v>3</v>
      </c>
      <c r="E151" s="6" t="n">
        <v>147</v>
      </c>
      <c r="F151" s="17" t="n">
        <f aca="false">IFERROR(INDEX($B$5:$C$173, MATCH($E151, $B$5:$B$175, 0), 2), 0)*investment!$C$2</f>
        <v>0</v>
      </c>
      <c r="G151" s="6" t="n">
        <f aca="false">demand!C149</f>
        <v>0</v>
      </c>
      <c r="H151" s="3" t="n">
        <f aca="false">solgen!C149</f>
        <v>0</v>
      </c>
      <c r="I151" s="3" t="n">
        <f aca="false">import!C149</f>
        <v>0</v>
      </c>
      <c r="J151" s="3" t="n">
        <f aca="false">-export!C149</f>
        <v>-0</v>
      </c>
      <c r="K151" s="3" t="n">
        <f aca="false">-charge!C149</f>
        <v>-0</v>
      </c>
      <c r="L151" s="3" t="n">
        <f aca="false">discharge!C149</f>
        <v>0</v>
      </c>
      <c r="M151" s="3" t="n">
        <f aca="false">soc!C149/investment!$E$2 *100</f>
        <v>15.0052165975402</v>
      </c>
      <c r="N151" s="5" t="n">
        <f aca="false">p_micro!C148</f>
        <v>0</v>
      </c>
    </row>
    <row r="152" customFormat="false" ht="13.8" hidden="false" customHeight="false" outlineLevel="0" collapsed="false">
      <c r="B152" s="11" t="n">
        <f aca="false">_xlfn.NUMBERVALUE(solar!B149)</f>
        <v>0</v>
      </c>
      <c r="C152" s="12" t="n">
        <f aca="false">solar!C149</f>
        <v>0</v>
      </c>
      <c r="D152" s="12" t="n">
        <v>4</v>
      </c>
      <c r="E152" s="6" t="n">
        <v>148</v>
      </c>
      <c r="F152" s="17" t="n">
        <f aca="false">IFERROR(INDEX($B$5:$C$173, MATCH($E152, $B$5:$B$175, 0), 2), 0)*investment!$C$2</f>
        <v>0</v>
      </c>
      <c r="G152" s="6" t="n">
        <f aca="false">demand!C150</f>
        <v>0</v>
      </c>
      <c r="H152" s="3" t="n">
        <f aca="false">solgen!C150</f>
        <v>0</v>
      </c>
      <c r="I152" s="3" t="n">
        <f aca="false">import!C150</f>
        <v>0</v>
      </c>
      <c r="J152" s="3" t="n">
        <f aca="false">-export!C150</f>
        <v>-0</v>
      </c>
      <c r="K152" s="3" t="n">
        <f aca="false">-charge!C150</f>
        <v>-0</v>
      </c>
      <c r="L152" s="3" t="n">
        <f aca="false">discharge!C150</f>
        <v>0</v>
      </c>
      <c r="M152" s="3" t="n">
        <f aca="false">soc!C150/investment!$E$2 *100</f>
        <v>10.043575029554</v>
      </c>
      <c r="N152" s="5" t="n">
        <f aca="false">p_micro!C149</f>
        <v>0</v>
      </c>
    </row>
    <row r="153" customFormat="false" ht="13.8" hidden="false" customHeight="false" outlineLevel="0" collapsed="false">
      <c r="B153" s="11" t="n">
        <f aca="false">_xlfn.NUMBERVALUE(solar!B150)</f>
        <v>0</v>
      </c>
      <c r="C153" s="12" t="n">
        <f aca="false">solar!C150</f>
        <v>0</v>
      </c>
      <c r="D153" s="12" t="n">
        <v>5</v>
      </c>
      <c r="E153" s="6" t="n">
        <v>149</v>
      </c>
      <c r="F153" s="17" t="n">
        <f aca="false">IFERROR(INDEX($B$5:$C$173, MATCH($E153, $B$5:$B$175, 0), 2), 0)*investment!$C$2</f>
        <v>0</v>
      </c>
      <c r="G153" s="6" t="n">
        <f aca="false">demand!C151</f>
        <v>0</v>
      </c>
      <c r="H153" s="3" t="n">
        <f aca="false">solgen!C151</f>
        <v>0</v>
      </c>
      <c r="I153" s="3" t="n">
        <f aca="false">import!C151</f>
        <v>0</v>
      </c>
      <c r="J153" s="3" t="n">
        <f aca="false">-export!C151</f>
        <v>-0</v>
      </c>
      <c r="K153" s="3" t="n">
        <f aca="false">-charge!C151</f>
        <v>-0</v>
      </c>
      <c r="L153" s="3" t="n">
        <f aca="false">discharge!C151</f>
        <v>0</v>
      </c>
      <c r="M153" s="3" t="n">
        <f aca="false">soc!C151/investment!$E$2 *100</f>
        <v>6.4031717742698</v>
      </c>
      <c r="N153" s="5" t="n">
        <f aca="false">p_micro!C150</f>
        <v>0</v>
      </c>
    </row>
    <row r="154" customFormat="false" ht="13.8" hidden="false" customHeight="false" outlineLevel="0" collapsed="false">
      <c r="B154" s="11" t="n">
        <f aca="false">_xlfn.NUMBERVALUE(solar!B151)</f>
        <v>0</v>
      </c>
      <c r="C154" s="12" t="n">
        <f aca="false">solar!C151</f>
        <v>0</v>
      </c>
      <c r="D154" s="12" t="n">
        <v>6</v>
      </c>
      <c r="E154" s="6" t="n">
        <v>150</v>
      </c>
      <c r="F154" s="17" t="n">
        <f aca="false">IFERROR(INDEX($B$5:$C$173, MATCH($E154, $B$5:$B$175, 0), 2), 0)*investment!$C$2</f>
        <v>0</v>
      </c>
      <c r="G154" s="6" t="n">
        <f aca="false">demand!C152</f>
        <v>0</v>
      </c>
      <c r="H154" s="3" t="n">
        <f aca="false">solgen!C152</f>
        <v>0</v>
      </c>
      <c r="I154" s="3" t="n">
        <f aca="false">import!C152</f>
        <v>0</v>
      </c>
      <c r="J154" s="3" t="n">
        <f aca="false">-export!C152</f>
        <v>-0</v>
      </c>
      <c r="K154" s="3" t="n">
        <f aca="false">-charge!C152</f>
        <v>-0</v>
      </c>
      <c r="L154" s="3" t="n">
        <f aca="false">discharge!C152</f>
        <v>0</v>
      </c>
      <c r="M154" s="3" t="n">
        <f aca="false">soc!C152/investment!$E$2 *100</f>
        <v>1.48186204834895</v>
      </c>
      <c r="N154" s="5" t="n">
        <f aca="false">p_micro!C151</f>
        <v>0</v>
      </c>
    </row>
    <row r="155" customFormat="false" ht="13.8" hidden="false" customHeight="false" outlineLevel="0" collapsed="false">
      <c r="B155" s="11" t="n">
        <f aca="false">_xlfn.NUMBERVALUE(solar!B152)</f>
        <v>0</v>
      </c>
      <c r="C155" s="12" t="n">
        <f aca="false">solar!C152</f>
        <v>0</v>
      </c>
      <c r="D155" s="12" t="n">
        <v>7</v>
      </c>
      <c r="E155" s="6" t="n">
        <v>151</v>
      </c>
      <c r="F155" s="17" t="n">
        <f aca="false">IFERROR(INDEX($B$5:$C$173, MATCH($E155, $B$5:$B$175, 0), 2), 0)*investment!$C$2</f>
        <v>0</v>
      </c>
      <c r="G155" s="6" t="n">
        <f aca="false">demand!C153</f>
        <v>0</v>
      </c>
      <c r="H155" s="3" t="n">
        <f aca="false">solgen!C153</f>
        <v>0</v>
      </c>
      <c r="I155" s="3" t="n">
        <f aca="false">import!C153</f>
        <v>0</v>
      </c>
      <c r="J155" s="3" t="n">
        <f aca="false">-export!C153</f>
        <v>-0</v>
      </c>
      <c r="K155" s="3" t="n">
        <f aca="false">-charge!C153</f>
        <v>-0</v>
      </c>
      <c r="L155" s="3" t="n">
        <f aca="false">discharge!C153</f>
        <v>0</v>
      </c>
      <c r="M155" s="3" t="n">
        <f aca="false">soc!C153/investment!$E$2 *100</f>
        <v>0</v>
      </c>
      <c r="N155" s="5" t="n">
        <f aca="false">p_micro!C152</f>
        <v>0</v>
      </c>
    </row>
    <row r="156" customFormat="false" ht="13.8" hidden="false" customHeight="false" outlineLevel="0" collapsed="false">
      <c r="B156" s="11" t="n">
        <f aca="false">_xlfn.NUMBERVALUE(solar!B153)</f>
        <v>0</v>
      </c>
      <c r="C156" s="12" t="n">
        <f aca="false">solar!C153</f>
        <v>0</v>
      </c>
      <c r="D156" s="12" t="n">
        <v>8</v>
      </c>
      <c r="E156" s="6" t="n">
        <v>152</v>
      </c>
      <c r="F156" s="17" t="n">
        <f aca="false">IFERROR(INDEX($B$5:$C$173, MATCH($E156, $B$5:$B$175, 0), 2), 0)*investment!$C$2</f>
        <v>0</v>
      </c>
      <c r="G156" s="6" t="n">
        <f aca="false">demand!C154</f>
        <v>0</v>
      </c>
      <c r="H156" s="3" t="n">
        <f aca="false">solgen!C154</f>
        <v>0</v>
      </c>
      <c r="I156" s="3" t="n">
        <f aca="false">import!C154</f>
        <v>0</v>
      </c>
      <c r="J156" s="3" t="n">
        <f aca="false">-export!C154</f>
        <v>-0</v>
      </c>
      <c r="K156" s="3" t="n">
        <f aca="false">-charge!C154</f>
        <v>-0</v>
      </c>
      <c r="L156" s="3" t="n">
        <f aca="false">discharge!C154</f>
        <v>0</v>
      </c>
      <c r="M156" s="3" t="n">
        <f aca="false">soc!C154/investment!$E$2 *100</f>
        <v>0</v>
      </c>
      <c r="N156" s="5" t="n">
        <f aca="false">p_micro!C153</f>
        <v>0</v>
      </c>
    </row>
    <row r="157" customFormat="false" ht="13.8" hidden="false" customHeight="false" outlineLevel="0" collapsed="false">
      <c r="B157" s="11" t="n">
        <f aca="false">_xlfn.NUMBERVALUE(solar!B154)</f>
        <v>0</v>
      </c>
      <c r="C157" s="12" t="n">
        <f aca="false">solar!C154</f>
        <v>0</v>
      </c>
      <c r="D157" s="12" t="n">
        <v>9</v>
      </c>
      <c r="E157" s="6" t="n">
        <v>153</v>
      </c>
      <c r="F157" s="17" t="n">
        <f aca="false">IFERROR(INDEX($B$5:$C$173, MATCH($E157, $B$5:$B$175, 0), 2), 0)*investment!$C$2</f>
        <v>0</v>
      </c>
      <c r="G157" s="6" t="n">
        <f aca="false">demand!C155</f>
        <v>0</v>
      </c>
      <c r="H157" s="3" t="n">
        <f aca="false">solgen!C155</f>
        <v>0</v>
      </c>
      <c r="I157" s="3" t="n">
        <f aca="false">import!C155</f>
        <v>0</v>
      </c>
      <c r="J157" s="3" t="n">
        <f aca="false">-export!C155</f>
        <v>-0</v>
      </c>
      <c r="K157" s="3" t="n">
        <f aca="false">-charge!C155</f>
        <v>-0</v>
      </c>
      <c r="L157" s="3" t="n">
        <f aca="false">discharge!C155</f>
        <v>0</v>
      </c>
      <c r="M157" s="3" t="n">
        <f aca="false">soc!C155/investment!$E$2 *100</f>
        <v>0</v>
      </c>
      <c r="N157" s="5" t="n">
        <f aca="false">p_micro!C154</f>
        <v>0</v>
      </c>
    </row>
    <row r="158" customFormat="false" ht="13.8" hidden="false" customHeight="false" outlineLevel="0" collapsed="false">
      <c r="B158" s="11" t="n">
        <f aca="false">_xlfn.NUMBERVALUE(solar!B155)</f>
        <v>0</v>
      </c>
      <c r="C158" s="12" t="n">
        <f aca="false">solar!C155</f>
        <v>0</v>
      </c>
      <c r="D158" s="12" t="n">
        <v>10</v>
      </c>
      <c r="E158" s="6" t="n">
        <v>154</v>
      </c>
      <c r="F158" s="17" t="n">
        <f aca="false">IFERROR(INDEX($B$5:$C$173, MATCH($E158, $B$5:$B$175, 0), 2), 0)*investment!$C$2</f>
        <v>0</v>
      </c>
      <c r="G158" s="6" t="n">
        <f aca="false">demand!C156</f>
        <v>0</v>
      </c>
      <c r="H158" s="3" t="n">
        <f aca="false">solgen!C156</f>
        <v>0</v>
      </c>
      <c r="I158" s="3" t="n">
        <f aca="false">import!C156</f>
        <v>0</v>
      </c>
      <c r="J158" s="3" t="n">
        <f aca="false">-export!C156</f>
        <v>-0</v>
      </c>
      <c r="K158" s="3" t="n">
        <f aca="false">-charge!C156</f>
        <v>-0</v>
      </c>
      <c r="L158" s="3" t="n">
        <f aca="false">discharge!C156</f>
        <v>0</v>
      </c>
      <c r="M158" s="3" t="n">
        <f aca="false">soc!C156/investment!$E$2 *100</f>
        <v>0</v>
      </c>
      <c r="N158" s="5" t="n">
        <f aca="false">p_micro!C155</f>
        <v>0</v>
      </c>
    </row>
    <row r="159" customFormat="false" ht="13.8" hidden="false" customHeight="false" outlineLevel="0" collapsed="false">
      <c r="B159" s="11" t="n">
        <f aca="false">_xlfn.NUMBERVALUE(solar!B156)</f>
        <v>0</v>
      </c>
      <c r="C159" s="12" t="n">
        <f aca="false">solar!C156</f>
        <v>0</v>
      </c>
      <c r="D159" s="12" t="n">
        <v>11</v>
      </c>
      <c r="E159" s="6" t="n">
        <v>155</v>
      </c>
      <c r="F159" s="17" t="n">
        <f aca="false">IFERROR(INDEX($B$5:$C$173, MATCH($E159, $B$5:$B$175, 0), 2), 0)*investment!$C$2</f>
        <v>0</v>
      </c>
      <c r="G159" s="6" t="n">
        <f aca="false">demand!C157</f>
        <v>0</v>
      </c>
      <c r="H159" s="3" t="n">
        <f aca="false">solgen!C157</f>
        <v>0</v>
      </c>
      <c r="I159" s="3" t="n">
        <f aca="false">import!C157</f>
        <v>0</v>
      </c>
      <c r="J159" s="3" t="n">
        <f aca="false">-export!C157</f>
        <v>-0</v>
      </c>
      <c r="K159" s="3" t="n">
        <f aca="false">-charge!C157</f>
        <v>-0</v>
      </c>
      <c r="L159" s="3" t="n">
        <f aca="false">discharge!C157</f>
        <v>0</v>
      </c>
      <c r="M159" s="3" t="n">
        <f aca="false">soc!C157/investment!$E$2 *100</f>
        <v>0</v>
      </c>
      <c r="N159" s="5" t="n">
        <f aca="false">p_micro!C156</f>
        <v>0</v>
      </c>
    </row>
    <row r="160" customFormat="false" ht="13.8" hidden="false" customHeight="false" outlineLevel="0" collapsed="false">
      <c r="B160" s="11" t="n">
        <f aca="false">_xlfn.NUMBERVALUE(solar!B157)</f>
        <v>0</v>
      </c>
      <c r="C160" s="12" t="n">
        <f aca="false">solar!C157</f>
        <v>0</v>
      </c>
      <c r="D160" s="12" t="n">
        <v>12</v>
      </c>
      <c r="E160" s="6" t="n">
        <v>156</v>
      </c>
      <c r="F160" s="17" t="n">
        <f aca="false">IFERROR(INDEX($B$5:$C$173, MATCH($E160, $B$5:$B$175, 0), 2), 0)*investment!$C$2</f>
        <v>0</v>
      </c>
      <c r="G160" s="6" t="n">
        <f aca="false">demand!C158</f>
        <v>0</v>
      </c>
      <c r="H160" s="3" t="n">
        <f aca="false">solgen!C158</f>
        <v>0</v>
      </c>
      <c r="I160" s="3" t="n">
        <f aca="false">import!C158</f>
        <v>0</v>
      </c>
      <c r="J160" s="3" t="n">
        <f aca="false">-export!C158</f>
        <v>-0</v>
      </c>
      <c r="K160" s="3" t="n">
        <f aca="false">-charge!C158</f>
        <v>-0</v>
      </c>
      <c r="L160" s="3" t="n">
        <f aca="false">discharge!C158</f>
        <v>0</v>
      </c>
      <c r="M160" s="3" t="n">
        <f aca="false">soc!C158/investment!$E$2 *100</f>
        <v>15.0731400026213</v>
      </c>
      <c r="N160" s="5" t="n">
        <f aca="false">p_micro!C157</f>
        <v>0</v>
      </c>
    </row>
    <row r="161" customFormat="false" ht="13.8" hidden="false" customHeight="false" outlineLevel="0" collapsed="false">
      <c r="B161" s="11" t="n">
        <f aca="false">_xlfn.NUMBERVALUE(solar!B158)</f>
        <v>0</v>
      </c>
      <c r="C161" s="12" t="n">
        <f aca="false">solar!C158</f>
        <v>0</v>
      </c>
      <c r="D161" s="12" t="n">
        <v>13</v>
      </c>
      <c r="E161" s="6" t="n">
        <v>157</v>
      </c>
      <c r="F161" s="17" t="n">
        <f aca="false">IFERROR(INDEX($B$5:$C$173, MATCH($E161, $B$5:$B$175, 0), 2), 0)*investment!$C$2</f>
        <v>0</v>
      </c>
      <c r="G161" s="6" t="n">
        <f aca="false">demand!C159</f>
        <v>0</v>
      </c>
      <c r="H161" s="3" t="n">
        <f aca="false">solgen!C159</f>
        <v>0</v>
      </c>
      <c r="I161" s="3" t="n">
        <f aca="false">import!C159</f>
        <v>0</v>
      </c>
      <c r="J161" s="3" t="n">
        <f aca="false">-export!C159</f>
        <v>-0</v>
      </c>
      <c r="K161" s="3" t="n">
        <f aca="false">-charge!C159</f>
        <v>-0</v>
      </c>
      <c r="L161" s="3" t="n">
        <f aca="false">discharge!C159</f>
        <v>0</v>
      </c>
      <c r="M161" s="3" t="n">
        <f aca="false">soc!C159/investment!$E$2 *100</f>
        <v>38.25223401395</v>
      </c>
      <c r="N161" s="5" t="n">
        <f aca="false">p_micro!C158</f>
        <v>0</v>
      </c>
    </row>
    <row r="162" customFormat="false" ht="13.8" hidden="false" customHeight="false" outlineLevel="0" collapsed="false">
      <c r="B162" s="11" t="n">
        <f aca="false">_xlfn.NUMBERVALUE(solar!B159)</f>
        <v>0</v>
      </c>
      <c r="C162" s="12" t="n">
        <f aca="false">solar!C159</f>
        <v>0</v>
      </c>
      <c r="D162" s="12" t="n">
        <v>14</v>
      </c>
      <c r="E162" s="6" t="n">
        <v>158</v>
      </c>
      <c r="F162" s="17" t="n">
        <f aca="false">IFERROR(INDEX($B$5:$C$173, MATCH($E162, $B$5:$B$175, 0), 2), 0)*investment!$C$2</f>
        <v>0</v>
      </c>
      <c r="G162" s="6" t="n">
        <f aca="false">demand!C160</f>
        <v>0</v>
      </c>
      <c r="H162" s="3" t="n">
        <f aca="false">solgen!C160</f>
        <v>0</v>
      </c>
      <c r="I162" s="3" t="n">
        <f aca="false">import!C160</f>
        <v>0</v>
      </c>
      <c r="J162" s="3" t="n">
        <f aca="false">-export!C160</f>
        <v>-0</v>
      </c>
      <c r="K162" s="3" t="n">
        <f aca="false">-charge!C160</f>
        <v>-0</v>
      </c>
      <c r="L162" s="3" t="n">
        <f aca="false">discharge!C160</f>
        <v>0</v>
      </c>
      <c r="M162" s="3" t="n">
        <f aca="false">soc!C160/investment!$E$2 *100</f>
        <v>52.4215913856556</v>
      </c>
      <c r="N162" s="5" t="n">
        <f aca="false">p_micro!C159</f>
        <v>0</v>
      </c>
    </row>
    <row r="163" customFormat="false" ht="13.8" hidden="false" customHeight="false" outlineLevel="0" collapsed="false">
      <c r="B163" s="11" t="n">
        <f aca="false">_xlfn.NUMBERVALUE(solar!B160)</f>
        <v>0</v>
      </c>
      <c r="C163" s="12" t="n">
        <f aca="false">solar!C160</f>
        <v>0</v>
      </c>
      <c r="D163" s="12" t="n">
        <v>15</v>
      </c>
      <c r="E163" s="6" t="n">
        <v>159</v>
      </c>
      <c r="F163" s="17" t="n">
        <f aca="false">IFERROR(INDEX($B$5:$C$173, MATCH($E163, $B$5:$B$175, 0), 2), 0)*investment!$C$2</f>
        <v>0</v>
      </c>
      <c r="G163" s="6" t="n">
        <f aca="false">demand!C161</f>
        <v>0</v>
      </c>
      <c r="H163" s="3" t="n">
        <f aca="false">solgen!C161</f>
        <v>0</v>
      </c>
      <c r="I163" s="3" t="n">
        <f aca="false">import!C161</f>
        <v>0</v>
      </c>
      <c r="J163" s="3" t="n">
        <f aca="false">-export!C161</f>
        <v>-0</v>
      </c>
      <c r="K163" s="3" t="n">
        <f aca="false">-charge!C161</f>
        <v>-0</v>
      </c>
      <c r="L163" s="3" t="n">
        <f aca="false">discharge!C161</f>
        <v>0</v>
      </c>
      <c r="M163" s="3" t="n">
        <f aca="false">soc!C161/investment!$E$2 *100</f>
        <v>62.2383920306241</v>
      </c>
      <c r="N163" s="5" t="n">
        <f aca="false">p_micro!C160</f>
        <v>0</v>
      </c>
    </row>
    <row r="164" customFormat="false" ht="13.8" hidden="false" customHeight="false" outlineLevel="0" collapsed="false">
      <c r="B164" s="11" t="n">
        <f aca="false">_xlfn.NUMBERVALUE(solar!B161)</f>
        <v>0</v>
      </c>
      <c r="C164" s="12" t="n">
        <f aca="false">solar!C161</f>
        <v>0</v>
      </c>
      <c r="D164" s="12" t="n">
        <v>16</v>
      </c>
      <c r="E164" s="6" t="n">
        <v>160</v>
      </c>
      <c r="F164" s="17" t="n">
        <f aca="false">IFERROR(INDEX($B$5:$C$173, MATCH($E164, $B$5:$B$175, 0), 2), 0)*investment!$C$2</f>
        <v>0</v>
      </c>
      <c r="G164" s="6" t="n">
        <f aca="false">demand!C162</f>
        <v>0</v>
      </c>
      <c r="H164" s="3" t="n">
        <f aca="false">solgen!C162</f>
        <v>0</v>
      </c>
      <c r="I164" s="3" t="n">
        <f aca="false">import!C162</f>
        <v>0</v>
      </c>
      <c r="J164" s="3" t="n">
        <f aca="false">-export!C162</f>
        <v>-0</v>
      </c>
      <c r="K164" s="3" t="n">
        <f aca="false">-charge!C162</f>
        <v>-0</v>
      </c>
      <c r="L164" s="3" t="n">
        <f aca="false">discharge!C162</f>
        <v>0</v>
      </c>
      <c r="M164" s="3" t="n">
        <f aca="false">soc!C162/investment!$E$2 *100</f>
        <v>64.9152602179641</v>
      </c>
      <c r="N164" s="5" t="n">
        <f aca="false">p_micro!C161</f>
        <v>0</v>
      </c>
    </row>
    <row r="165" customFormat="false" ht="13.8" hidden="false" customHeight="false" outlineLevel="0" collapsed="false">
      <c r="B165" s="11" t="n">
        <f aca="false">_xlfn.NUMBERVALUE(solar!B162)</f>
        <v>0</v>
      </c>
      <c r="C165" s="12" t="n">
        <f aca="false">solar!C162</f>
        <v>0</v>
      </c>
      <c r="D165" s="12" t="n">
        <v>17</v>
      </c>
      <c r="E165" s="6" t="n">
        <v>161</v>
      </c>
      <c r="F165" s="17" t="n">
        <f aca="false">IFERROR(INDEX($B$5:$C$173, MATCH($E165, $B$5:$B$175, 0), 2), 0)*investment!$C$2</f>
        <v>0</v>
      </c>
      <c r="G165" s="6" t="n">
        <f aca="false">demand!C163</f>
        <v>0</v>
      </c>
      <c r="H165" s="3" t="n">
        <f aca="false">solgen!C163</f>
        <v>0</v>
      </c>
      <c r="I165" s="3" t="n">
        <f aca="false">import!C163</f>
        <v>0</v>
      </c>
      <c r="J165" s="3" t="n">
        <f aca="false">-export!C163</f>
        <v>-0</v>
      </c>
      <c r="K165" s="3" t="n">
        <f aca="false">-charge!C163</f>
        <v>-0</v>
      </c>
      <c r="L165" s="3" t="n">
        <f aca="false">discharge!C163</f>
        <v>0</v>
      </c>
      <c r="M165" s="3" t="n">
        <f aca="false">soc!C163/investment!$E$2 *100</f>
        <v>60.4619339257617</v>
      </c>
      <c r="N165" s="5" t="n">
        <f aca="false">p_micro!C162</f>
        <v>0</v>
      </c>
    </row>
    <row r="166" customFormat="false" ht="13.8" hidden="false" customHeight="false" outlineLevel="0" collapsed="false">
      <c r="B166" s="11" t="n">
        <f aca="false">_xlfn.NUMBERVALUE(solar!B163)</f>
        <v>0</v>
      </c>
      <c r="C166" s="12" t="n">
        <f aca="false">solar!C163</f>
        <v>0</v>
      </c>
      <c r="D166" s="12" t="n">
        <v>18</v>
      </c>
      <c r="E166" s="6" t="n">
        <v>162</v>
      </c>
      <c r="F166" s="17" t="n">
        <f aca="false">IFERROR(INDEX($B$5:$C$173, MATCH($E166, $B$5:$B$175, 0), 2), 0)*investment!$C$2</f>
        <v>0</v>
      </c>
      <c r="G166" s="6" t="n">
        <f aca="false">demand!C164</f>
        <v>0</v>
      </c>
      <c r="H166" s="3" t="n">
        <f aca="false">solgen!C164</f>
        <v>0</v>
      </c>
      <c r="I166" s="3" t="n">
        <f aca="false">import!C164</f>
        <v>0</v>
      </c>
      <c r="J166" s="3" t="n">
        <f aca="false">-export!C164</f>
        <v>-0</v>
      </c>
      <c r="K166" s="3" t="n">
        <f aca="false">-charge!C164</f>
        <v>-0</v>
      </c>
      <c r="L166" s="3" t="n">
        <f aca="false">discharge!C164</f>
        <v>0</v>
      </c>
      <c r="M166" s="3" t="n">
        <f aca="false">soc!C164/investment!$E$2 *100</f>
        <v>52.9652740133108</v>
      </c>
      <c r="N166" s="5" t="n">
        <f aca="false">p_micro!C163</f>
        <v>0</v>
      </c>
    </row>
    <row r="167" customFormat="false" ht="13.8" hidden="false" customHeight="false" outlineLevel="0" collapsed="false">
      <c r="B167" s="11" t="n">
        <f aca="false">_xlfn.NUMBERVALUE(solar!B164)</f>
        <v>0</v>
      </c>
      <c r="C167" s="12" t="n">
        <f aca="false">solar!C164</f>
        <v>0</v>
      </c>
      <c r="D167" s="12" t="n">
        <v>19</v>
      </c>
      <c r="E167" s="6" t="n">
        <v>163</v>
      </c>
      <c r="F167" s="17" t="n">
        <f aca="false">IFERROR(INDEX($B$5:$C$173, MATCH($E167, $B$5:$B$175, 0), 2), 0)*investment!$C$2</f>
        <v>0</v>
      </c>
      <c r="G167" s="6" t="n">
        <f aca="false">demand!C165</f>
        <v>0</v>
      </c>
      <c r="H167" s="3" t="n">
        <f aca="false">solgen!C165</f>
        <v>0</v>
      </c>
      <c r="I167" s="3" t="n">
        <f aca="false">import!C165</f>
        <v>0</v>
      </c>
      <c r="J167" s="3" t="n">
        <f aca="false">-export!C165</f>
        <v>-0</v>
      </c>
      <c r="K167" s="3" t="n">
        <f aca="false">-charge!C165</f>
        <v>-0</v>
      </c>
      <c r="L167" s="3" t="n">
        <f aca="false">discharge!C165</f>
        <v>0</v>
      </c>
      <c r="M167" s="3" t="n">
        <f aca="false">soc!C165/investment!$E$2 *100</f>
        <v>43.3860784199748</v>
      </c>
      <c r="N167" s="5" t="n">
        <f aca="false">p_micro!C164</f>
        <v>0</v>
      </c>
    </row>
    <row r="168" customFormat="false" ht="13.8" hidden="false" customHeight="false" outlineLevel="0" collapsed="false">
      <c r="B168" s="11" t="n">
        <f aca="false">_xlfn.NUMBERVALUE(solar!B165)</f>
        <v>0</v>
      </c>
      <c r="C168" s="12" t="n">
        <f aca="false">solar!C165</f>
        <v>0</v>
      </c>
      <c r="D168" s="12" t="n">
        <v>20</v>
      </c>
      <c r="E168" s="6" t="n">
        <v>164</v>
      </c>
      <c r="F168" s="17" t="n">
        <f aca="false">IFERROR(INDEX($B$5:$C$173, MATCH($E168, $B$5:$B$175, 0), 2), 0)*investment!$C$2</f>
        <v>0</v>
      </c>
      <c r="G168" s="6" t="n">
        <f aca="false">demand!C166</f>
        <v>0</v>
      </c>
      <c r="H168" s="3" t="n">
        <f aca="false">solgen!C166</f>
        <v>0</v>
      </c>
      <c r="I168" s="3" t="n">
        <f aca="false">import!C166</f>
        <v>0</v>
      </c>
      <c r="J168" s="3" t="n">
        <f aca="false">-export!C166</f>
        <v>-0</v>
      </c>
      <c r="K168" s="3" t="n">
        <f aca="false">-charge!C166</f>
        <v>-0</v>
      </c>
      <c r="L168" s="3" t="n">
        <f aca="false">discharge!C166</f>
        <v>0</v>
      </c>
      <c r="M168" s="3" t="n">
        <f aca="false">soc!C166/investment!$E$2 *100</f>
        <v>31.6365916815481</v>
      </c>
      <c r="N168" s="5" t="n">
        <f aca="false">p_micro!C165</f>
        <v>0</v>
      </c>
    </row>
    <row r="169" customFormat="false" ht="13.8" hidden="false" customHeight="false" outlineLevel="0" collapsed="false">
      <c r="B169" s="11" t="n">
        <f aca="false">_xlfn.NUMBERVALUE(solar!B166)</f>
        <v>0</v>
      </c>
      <c r="C169" s="12" t="n">
        <f aca="false">solar!C166</f>
        <v>0</v>
      </c>
      <c r="D169" s="12" t="n">
        <v>21</v>
      </c>
      <c r="E169" s="6" t="n">
        <v>165</v>
      </c>
      <c r="F169" s="17" t="n">
        <f aca="false">IFERROR(INDEX($B$5:$C$173, MATCH($E169, $B$5:$B$175, 0), 2), 0)*investment!$C$2</f>
        <v>0</v>
      </c>
      <c r="G169" s="6" t="n">
        <f aca="false">demand!C167</f>
        <v>0</v>
      </c>
      <c r="H169" s="3" t="n">
        <f aca="false">solgen!C167</f>
        <v>0</v>
      </c>
      <c r="I169" s="3" t="n">
        <f aca="false">import!C167</f>
        <v>0</v>
      </c>
      <c r="J169" s="3" t="n">
        <f aca="false">-export!C167</f>
        <v>-0</v>
      </c>
      <c r="K169" s="3" t="n">
        <f aca="false">-charge!C167</f>
        <v>-0</v>
      </c>
      <c r="L169" s="3" t="n">
        <f aca="false">discharge!C167</f>
        <v>0</v>
      </c>
      <c r="M169" s="3" t="n">
        <f aca="false">soc!C167/investment!$E$2 *100</f>
        <v>20.5117858715766</v>
      </c>
      <c r="N169" s="5" t="n">
        <f aca="false">p_micro!C166</f>
        <v>0</v>
      </c>
    </row>
    <row r="170" customFormat="false" ht="13.8" hidden="false" customHeight="false" outlineLevel="0" collapsed="false">
      <c r="B170" s="11" t="n">
        <f aca="false">_xlfn.NUMBERVALUE(solar!B167)</f>
        <v>0</v>
      </c>
      <c r="C170" s="12" t="n">
        <f aca="false">solar!C167</f>
        <v>0</v>
      </c>
      <c r="D170" s="12" t="n">
        <v>22</v>
      </c>
      <c r="E170" s="6" t="n">
        <v>166</v>
      </c>
      <c r="F170" s="17" t="n">
        <f aca="false">IFERROR(INDEX($B$5:$C$173, MATCH($E170, $B$5:$B$175, 0), 2), 0)*investment!$C$2</f>
        <v>0</v>
      </c>
      <c r="G170" s="6" t="n">
        <f aca="false">demand!C168</f>
        <v>0</v>
      </c>
      <c r="H170" s="3" t="n">
        <f aca="false">solgen!C168</f>
        <v>0</v>
      </c>
      <c r="I170" s="3" t="n">
        <f aca="false">import!C168</f>
        <v>0</v>
      </c>
      <c r="J170" s="3" t="n">
        <f aca="false">-export!C168</f>
        <v>-0</v>
      </c>
      <c r="K170" s="3" t="n">
        <f aca="false">-charge!C168</f>
        <v>-0</v>
      </c>
      <c r="L170" s="3" t="n">
        <f aca="false">discharge!C168</f>
        <v>0</v>
      </c>
      <c r="M170" s="3" t="n">
        <f aca="false">soc!C168/investment!$E$2 *100</f>
        <v>9.34835907708762</v>
      </c>
      <c r="N170" s="5" t="n">
        <f aca="false">p_micro!C167</f>
        <v>0</v>
      </c>
    </row>
    <row r="171" customFormat="false" ht="13.8" hidden="false" customHeight="false" outlineLevel="0" collapsed="false">
      <c r="B171" s="11" t="n">
        <f aca="false">_xlfn.NUMBERVALUE(solar!B168)</f>
        <v>0</v>
      </c>
      <c r="C171" s="12" t="n">
        <f aca="false">solar!C168</f>
        <v>0</v>
      </c>
      <c r="D171" s="12" t="n">
        <v>23</v>
      </c>
      <c r="E171" s="6" t="n">
        <v>167</v>
      </c>
      <c r="F171" s="17" t="n">
        <f aca="false">IFERROR(INDEX($B$5:$C$173, MATCH($E171, $B$5:$B$175, 0), 2), 0)*investment!$C$2</f>
        <v>0</v>
      </c>
      <c r="G171" s="6" t="n">
        <f aca="false">demand!C169</f>
        <v>0</v>
      </c>
      <c r="H171" s="3" t="n">
        <f aca="false">solgen!C169</f>
        <v>0</v>
      </c>
      <c r="I171" s="3" t="n">
        <f aca="false">import!C169</f>
        <v>0</v>
      </c>
      <c r="J171" s="3" t="n">
        <f aca="false">-export!C169</f>
        <v>-0</v>
      </c>
      <c r="K171" s="3" t="n">
        <f aca="false">-charge!C169</f>
        <v>-0</v>
      </c>
      <c r="L171" s="3" t="n">
        <f aca="false">discharge!C169</f>
        <v>0</v>
      </c>
      <c r="M171" s="3" t="n">
        <f aca="false">soc!C169/investment!$E$2 *100</f>
        <v>0</v>
      </c>
      <c r="N171" s="5" t="n">
        <f aca="false">p_micro!C168</f>
        <v>0</v>
      </c>
    </row>
    <row r="172" customFormat="false" ht="13.8" hidden="false" customHeight="false" outlineLevel="0" collapsed="false">
      <c r="B172" s="11" t="n">
        <f aca="false">_xlfn.NUMBERVALUE(solar!B169)</f>
        <v>0</v>
      </c>
      <c r="C172" s="12" t="n">
        <f aca="false">solar!C169</f>
        <v>0</v>
      </c>
      <c r="D172" s="12" t="n">
        <v>24</v>
      </c>
      <c r="E172" s="6" t="n">
        <v>168</v>
      </c>
      <c r="F172" s="17" t="n">
        <f aca="false">IFERROR(INDEX($B$5:$C$173, MATCH($E172, $B$5:$B$175, 0), 2), 0)*investment!$C$2</f>
        <v>0</v>
      </c>
      <c r="G172" s="6" t="n">
        <f aca="false">demand!C170</f>
        <v>0</v>
      </c>
      <c r="H172" s="3" t="n">
        <f aca="false">solgen!C170</f>
        <v>0</v>
      </c>
      <c r="I172" s="3" t="n">
        <f aca="false">import!C170</f>
        <v>0</v>
      </c>
      <c r="J172" s="3" t="n">
        <f aca="false">-export!C170</f>
        <v>-0</v>
      </c>
      <c r="K172" s="3" t="n">
        <f aca="false">-charge!C170</f>
        <v>-0</v>
      </c>
      <c r="L172" s="3" t="n">
        <f aca="false">discharge!C170</f>
        <v>0</v>
      </c>
      <c r="M172" s="3" t="n">
        <f aca="false">soc!C170/investment!$E$2 *100</f>
        <v>70</v>
      </c>
      <c r="N172" s="5" t="n">
        <f aca="false">p_micro!C169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H79" activeCellId="1" sqref="B13:E16 H79"/>
    </sheetView>
  </sheetViews>
  <sheetFormatPr defaultColWidth="8.54296875" defaultRowHeight="13.8" zeroHeight="false" outlineLevelRow="0" outlineLevelCol="0"/>
  <cols>
    <col collapsed="false" customWidth="true" hidden="false" outlineLevel="0" max="2" min="2" style="6" width="8.85"/>
    <col collapsed="false" customWidth="true" hidden="false" outlineLevel="0" max="4" min="4" style="6" width="8.85"/>
    <col collapsed="false" customWidth="true" hidden="false" outlineLevel="0" max="5" min="5" style="7" width="8.85"/>
    <col collapsed="false" customWidth="true" hidden="false" outlineLevel="0" max="6" min="6" style="3" width="9.43"/>
  </cols>
  <sheetData>
    <row r="2" customFormat="false" ht="13.8" hidden="false" customHeight="false" outlineLevel="0" collapsed="false">
      <c r="B2" s="8" t="s">
        <v>5</v>
      </c>
      <c r="C2" s="9" t="n">
        <v>2</v>
      </c>
      <c r="D2" s="10" t="s">
        <v>19</v>
      </c>
    </row>
    <row r="4" customFormat="false" ht="13.8" hidden="false" customHeight="false" outlineLevel="0" collapsed="false">
      <c r="B4" s="11" t="s">
        <v>7</v>
      </c>
      <c r="C4" s="12"/>
      <c r="D4" s="13" t="s">
        <v>9</v>
      </c>
      <c r="E4" s="14" t="s">
        <v>10</v>
      </c>
      <c r="F4" s="15" t="s">
        <v>11</v>
      </c>
      <c r="G4" s="15" t="s">
        <v>12</v>
      </c>
      <c r="H4" s="15" t="s">
        <v>13</v>
      </c>
      <c r="I4" s="15" t="s">
        <v>14</v>
      </c>
      <c r="J4" s="15" t="s">
        <v>15</v>
      </c>
      <c r="K4" s="15" t="s">
        <v>16</v>
      </c>
      <c r="L4" s="15" t="s">
        <v>17</v>
      </c>
    </row>
    <row r="5" customFormat="false" ht="13.8" hidden="false" customHeight="false" outlineLevel="0" collapsed="false">
      <c r="B5" s="11" t="n">
        <f aca="false">_xlfn.NUMBERVALUE(solar!B2)</f>
        <v>8</v>
      </c>
      <c r="C5" s="12" t="n">
        <f aca="false">solar!C2</f>
        <v>0</v>
      </c>
      <c r="D5" s="6" t="n">
        <v>1</v>
      </c>
      <c r="E5" s="17" t="n">
        <f aca="false">IFERROR(INDEX($B$5:$C$173, MATCH($D5, $B$5:$B$175, 0), 2), 0)*investment!$C$3</f>
        <v>0</v>
      </c>
      <c r="F5" s="18" t="n">
        <f aca="false">demand!D3</f>
        <v>0</v>
      </c>
      <c r="G5" s="3" t="n">
        <f aca="false">solgen!D3</f>
        <v>0</v>
      </c>
      <c r="H5" s="3" t="n">
        <f aca="false">import!D3</f>
        <v>0</v>
      </c>
      <c r="I5" s="3" t="n">
        <f aca="false">-export!D3</f>
        <v>-0</v>
      </c>
      <c r="J5" s="3" t="n">
        <f aca="false">-charge!D3</f>
        <v>-0</v>
      </c>
      <c r="K5" s="3" t="n">
        <f aca="false">discharge!D3</f>
        <v>0</v>
      </c>
      <c r="L5" s="3" t="n">
        <f aca="false">soc!D3/investment!$E$3 *100</f>
        <v>69.2803447712511</v>
      </c>
    </row>
    <row r="6" customFormat="false" ht="13.8" hidden="false" customHeight="false" outlineLevel="0" collapsed="false">
      <c r="B6" s="11" t="n">
        <f aca="false">_xlfn.NUMBERVALUE(solar!B3)</f>
        <v>9</v>
      </c>
      <c r="C6" s="12" t="n">
        <f aca="false">solar!C3</f>
        <v>0</v>
      </c>
      <c r="D6" s="6" t="n">
        <v>2</v>
      </c>
      <c r="E6" s="17" t="n">
        <f aca="false">IFERROR(INDEX($B$5:$C$173, MATCH($D6, $B$5:$B$175, 0), 2), 0)*investment!$C$3</f>
        <v>0</v>
      </c>
      <c r="F6" s="18" t="n">
        <f aca="false">demand!D4</f>
        <v>0</v>
      </c>
      <c r="G6" s="3" t="n">
        <f aca="false">solgen!D4</f>
        <v>0</v>
      </c>
      <c r="H6" s="3" t="n">
        <f aca="false">import!D4</f>
        <v>0</v>
      </c>
      <c r="I6" s="3" t="n">
        <f aca="false">-export!D4</f>
        <v>-0</v>
      </c>
      <c r="J6" s="3" t="n">
        <f aca="false">-charge!D4</f>
        <v>-0</v>
      </c>
      <c r="K6" s="3" t="n">
        <f aca="false">discharge!D4</f>
        <v>0</v>
      </c>
      <c r="L6" s="3" t="n">
        <f aca="false">soc!D4/investment!$E$3 *100</f>
        <v>60.6437892228179</v>
      </c>
    </row>
    <row r="7" customFormat="false" ht="13.8" hidden="false" customHeight="false" outlineLevel="0" collapsed="false">
      <c r="B7" s="11" t="n">
        <f aca="false">_xlfn.NUMBERVALUE(solar!B4)</f>
        <v>10</v>
      </c>
      <c r="C7" s="12" t="n">
        <f aca="false">solar!C4</f>
        <v>0</v>
      </c>
      <c r="D7" s="6" t="n">
        <v>3</v>
      </c>
      <c r="E7" s="17" t="n">
        <f aca="false">IFERROR(INDEX($B$5:$C$173, MATCH($D7, $B$5:$B$175, 0), 2), 0)*investment!$C$3</f>
        <v>0</v>
      </c>
      <c r="F7" s="18" t="n">
        <f aca="false">demand!D5</f>
        <v>0</v>
      </c>
      <c r="G7" s="3" t="n">
        <f aca="false">solgen!D5</f>
        <v>0</v>
      </c>
      <c r="H7" s="3" t="n">
        <f aca="false">import!D5</f>
        <v>0</v>
      </c>
      <c r="I7" s="3" t="n">
        <f aca="false">-export!D5</f>
        <v>-0</v>
      </c>
      <c r="J7" s="3" t="n">
        <f aca="false">-charge!D5</f>
        <v>-0</v>
      </c>
      <c r="K7" s="3" t="n">
        <f aca="false">discharge!D5</f>
        <v>0</v>
      </c>
      <c r="L7" s="3" t="n">
        <f aca="false">soc!D5/investment!$E$3 *100</f>
        <v>52.0073200399402</v>
      </c>
    </row>
    <row r="8" customFormat="false" ht="13.8" hidden="false" customHeight="false" outlineLevel="0" collapsed="false">
      <c r="B8" s="11" t="n">
        <f aca="false">_xlfn.NUMBERVALUE(solar!B5)</f>
        <v>11</v>
      </c>
      <c r="C8" s="12" t="n">
        <f aca="false">solar!C5</f>
        <v>0</v>
      </c>
      <c r="D8" s="6" t="n">
        <v>4</v>
      </c>
      <c r="E8" s="17" t="n">
        <f aca="false">IFERROR(INDEX($B$5:$C$173, MATCH($D8, $B$5:$B$175, 0), 2), 0)*investment!$C$3</f>
        <v>0</v>
      </c>
      <c r="F8" s="18" t="n">
        <f aca="false">demand!D6</f>
        <v>0</v>
      </c>
      <c r="G8" s="3" t="n">
        <f aca="false">solgen!D6</f>
        <v>0</v>
      </c>
      <c r="H8" s="3" t="n">
        <f aca="false">import!D6</f>
        <v>0</v>
      </c>
      <c r="I8" s="3" t="n">
        <f aca="false">-export!D6</f>
        <v>-0</v>
      </c>
      <c r="J8" s="3" t="n">
        <f aca="false">-charge!D6</f>
        <v>-0</v>
      </c>
      <c r="K8" s="3" t="n">
        <f aca="false">discharge!D6</f>
        <v>0</v>
      </c>
      <c r="L8" s="3" t="n">
        <f aca="false">soc!D6/investment!$E$3 *100</f>
        <v>43.3709372217544</v>
      </c>
    </row>
    <row r="9" customFormat="false" ht="13.8" hidden="false" customHeight="false" outlineLevel="0" collapsed="false">
      <c r="B9" s="11" t="n">
        <f aca="false">_xlfn.NUMBERVALUE(solar!B6)</f>
        <v>12</v>
      </c>
      <c r="C9" s="12" t="n">
        <f aca="false">solar!C6</f>
        <v>0</v>
      </c>
      <c r="D9" s="6" t="n">
        <v>5</v>
      </c>
      <c r="E9" s="17" t="n">
        <f aca="false">IFERROR(INDEX($B$5:$C$173, MATCH($D9, $B$5:$B$175, 0), 2), 0)*investment!$C$3</f>
        <v>0</v>
      </c>
      <c r="F9" s="18" t="n">
        <f aca="false">demand!D7</f>
        <v>0</v>
      </c>
      <c r="G9" s="3" t="n">
        <f aca="false">solgen!D7</f>
        <v>0</v>
      </c>
      <c r="H9" s="3" t="n">
        <f aca="false">import!D7</f>
        <v>0</v>
      </c>
      <c r="I9" s="3" t="n">
        <f aca="false">-export!D7</f>
        <v>-0</v>
      </c>
      <c r="J9" s="3" t="n">
        <f aca="false">-charge!D7</f>
        <v>-0</v>
      </c>
      <c r="K9" s="3" t="n">
        <f aca="false">discharge!D7</f>
        <v>0</v>
      </c>
      <c r="L9" s="3" t="n">
        <f aca="false">soc!D7/investment!$E$3 *100</f>
        <v>34.7346407673967</v>
      </c>
    </row>
    <row r="10" customFormat="false" ht="13.8" hidden="false" customHeight="false" outlineLevel="0" collapsed="false">
      <c r="B10" s="11" t="n">
        <f aca="false">_xlfn.NUMBERVALUE(solar!B7)</f>
        <v>13</v>
      </c>
      <c r="C10" s="12" t="n">
        <f aca="false">solar!C7</f>
        <v>0</v>
      </c>
      <c r="D10" s="6" t="n">
        <v>6</v>
      </c>
      <c r="E10" s="17" t="n">
        <f aca="false">IFERROR(INDEX($B$5:$C$173, MATCH($D10, $B$5:$B$175, 0), 2), 0)*investment!$C$3</f>
        <v>0</v>
      </c>
      <c r="F10" s="18" t="n">
        <f aca="false">demand!D8</f>
        <v>0</v>
      </c>
      <c r="G10" s="3" t="n">
        <f aca="false">solgen!D8</f>
        <v>0</v>
      </c>
      <c r="H10" s="3" t="n">
        <f aca="false">import!D8</f>
        <v>0</v>
      </c>
      <c r="I10" s="3" t="n">
        <f aca="false">-export!D8</f>
        <v>-0</v>
      </c>
      <c r="J10" s="3" t="n">
        <f aca="false">-charge!D8</f>
        <v>-0</v>
      </c>
      <c r="K10" s="3" t="n">
        <f aca="false">discharge!D8</f>
        <v>0</v>
      </c>
      <c r="L10" s="3" t="n">
        <f aca="false">soc!D8/investment!$E$3 *100</f>
        <v>32.5937576045784</v>
      </c>
    </row>
    <row r="11" customFormat="false" ht="13.8" hidden="false" customHeight="false" outlineLevel="0" collapsed="false">
      <c r="B11" s="11" t="n">
        <f aca="false">_xlfn.NUMBERVALUE(solar!B8)</f>
        <v>14</v>
      </c>
      <c r="C11" s="12" t="n">
        <f aca="false">solar!C8</f>
        <v>0</v>
      </c>
      <c r="D11" s="6" t="n">
        <v>7</v>
      </c>
      <c r="E11" s="17" t="n">
        <f aca="false">IFERROR(INDEX($B$5:$C$173, MATCH($D11, $B$5:$B$175, 0), 2), 0)*investment!$C$3</f>
        <v>0</v>
      </c>
      <c r="F11" s="18" t="n">
        <f aca="false">demand!D9</f>
        <v>0</v>
      </c>
      <c r="G11" s="3" t="n">
        <f aca="false">solgen!D9</f>
        <v>0</v>
      </c>
      <c r="H11" s="3" t="n">
        <f aca="false">import!D9</f>
        <v>0</v>
      </c>
      <c r="I11" s="3" t="n">
        <f aca="false">-export!D9</f>
        <v>-0</v>
      </c>
      <c r="J11" s="3" t="n">
        <f aca="false">-charge!D9</f>
        <v>-0</v>
      </c>
      <c r="K11" s="3" t="n">
        <f aca="false">discharge!D9</f>
        <v>0</v>
      </c>
      <c r="L11" s="3" t="n">
        <f aca="false">soc!D9/investment!$E$3 *100</f>
        <v>33.1148367236179</v>
      </c>
    </row>
    <row r="12" customFormat="false" ht="13.8" hidden="false" customHeight="false" outlineLevel="0" collapsed="false">
      <c r="B12" s="11" t="n">
        <f aca="false">_xlfn.NUMBERVALUE(solar!B9)</f>
        <v>15</v>
      </c>
      <c r="C12" s="12" t="n">
        <f aca="false">solar!C9</f>
        <v>0</v>
      </c>
      <c r="D12" s="6" t="n">
        <v>8</v>
      </c>
      <c r="E12" s="17" t="n">
        <f aca="false">IFERROR(INDEX($B$5:$C$173, MATCH($D12, $B$5:$B$175, 0), 2), 0)*investment!$C$3</f>
        <v>0</v>
      </c>
      <c r="F12" s="18" t="n">
        <f aca="false">demand!D10</f>
        <v>0</v>
      </c>
      <c r="G12" s="3" t="n">
        <f aca="false">solgen!D10</f>
        <v>0</v>
      </c>
      <c r="H12" s="3" t="n">
        <f aca="false">import!D10</f>
        <v>0</v>
      </c>
      <c r="I12" s="3" t="n">
        <f aca="false">-export!D10</f>
        <v>-0</v>
      </c>
      <c r="J12" s="3" t="n">
        <f aca="false">-charge!D10</f>
        <v>-0</v>
      </c>
      <c r="K12" s="3" t="n">
        <f aca="false">discharge!D10</f>
        <v>0</v>
      </c>
      <c r="L12" s="3" t="n">
        <f aca="false">soc!D10/investment!$E$3 *100</f>
        <v>33.1145055752507</v>
      </c>
    </row>
    <row r="13" customFormat="false" ht="13.8" hidden="false" customHeight="false" outlineLevel="0" collapsed="false">
      <c r="B13" s="11" t="n">
        <f aca="false">_xlfn.NUMBERVALUE(solar!B10)</f>
        <v>16</v>
      </c>
      <c r="C13" s="12" t="n">
        <f aca="false">solar!C10</f>
        <v>0</v>
      </c>
      <c r="D13" s="6" t="n">
        <v>9</v>
      </c>
      <c r="E13" s="17" t="n">
        <f aca="false">IFERROR(INDEX($B$5:$C$173, MATCH($D13, $B$5:$B$175, 0), 2), 0)*investment!$C$3</f>
        <v>0</v>
      </c>
      <c r="F13" s="18" t="n">
        <f aca="false">demand!D11</f>
        <v>0</v>
      </c>
      <c r="G13" s="3" t="n">
        <f aca="false">solgen!D11</f>
        <v>0</v>
      </c>
      <c r="H13" s="3" t="n">
        <f aca="false">import!D11</f>
        <v>0</v>
      </c>
      <c r="I13" s="3" t="n">
        <f aca="false">-export!D11</f>
        <v>-0</v>
      </c>
      <c r="J13" s="3" t="n">
        <f aca="false">-charge!D11</f>
        <v>-0</v>
      </c>
      <c r="K13" s="3" t="n">
        <f aca="false">discharge!D11</f>
        <v>0</v>
      </c>
      <c r="L13" s="3" t="n">
        <f aca="false">soc!D11/investment!$E$3 *100</f>
        <v>33.1141744301949</v>
      </c>
    </row>
    <row r="14" customFormat="false" ht="13.8" hidden="false" customHeight="false" outlineLevel="0" collapsed="false">
      <c r="B14" s="11" t="n">
        <f aca="false">_xlfn.NUMBERVALUE(solar!B11)</f>
        <v>17</v>
      </c>
      <c r="C14" s="12" t="n">
        <f aca="false">solar!C11</f>
        <v>0</v>
      </c>
      <c r="D14" s="6" t="n">
        <v>10</v>
      </c>
      <c r="E14" s="17" t="n">
        <f aca="false">IFERROR(INDEX($B$5:$C$173, MATCH($D14, $B$5:$B$175, 0), 2), 0)*investment!$C$3</f>
        <v>0</v>
      </c>
      <c r="F14" s="18" t="n">
        <f aca="false">demand!D12</f>
        <v>0</v>
      </c>
      <c r="G14" s="3" t="n">
        <f aca="false">solgen!D12</f>
        <v>0</v>
      </c>
      <c r="H14" s="3" t="n">
        <f aca="false">import!D12</f>
        <v>0</v>
      </c>
      <c r="I14" s="3" t="n">
        <f aca="false">-export!D12</f>
        <v>-0</v>
      </c>
      <c r="J14" s="3" t="n">
        <f aca="false">-charge!D12</f>
        <v>-0</v>
      </c>
      <c r="K14" s="3" t="n">
        <f aca="false">discharge!D12</f>
        <v>0</v>
      </c>
      <c r="L14" s="3" t="n">
        <f aca="false">soc!D12/investment!$E$3 *100</f>
        <v>33.1138432884506</v>
      </c>
    </row>
    <row r="15" customFormat="false" ht="13.8" hidden="false" customHeight="false" outlineLevel="0" collapsed="false">
      <c r="B15" s="11" t="n">
        <f aca="false">_xlfn.NUMBERVALUE(solar!B12)</f>
        <v>18</v>
      </c>
      <c r="C15" s="12" t="n">
        <f aca="false">solar!C12</f>
        <v>0</v>
      </c>
      <c r="D15" s="6" t="n">
        <v>11</v>
      </c>
      <c r="E15" s="17" t="n">
        <f aca="false">IFERROR(INDEX($B$5:$C$173, MATCH($D15, $B$5:$B$175, 0), 2), 0)*investment!$C$3</f>
        <v>0</v>
      </c>
      <c r="F15" s="18" t="n">
        <f aca="false">demand!D13</f>
        <v>0</v>
      </c>
      <c r="G15" s="3" t="n">
        <f aca="false">solgen!D13</f>
        <v>0</v>
      </c>
      <c r="H15" s="3" t="n">
        <f aca="false">import!D13</f>
        <v>0</v>
      </c>
      <c r="I15" s="3" t="n">
        <f aca="false">-export!D13</f>
        <v>-0</v>
      </c>
      <c r="J15" s="3" t="n">
        <f aca="false">-charge!D13</f>
        <v>-0</v>
      </c>
      <c r="K15" s="3" t="n">
        <f aca="false">discharge!D13</f>
        <v>0</v>
      </c>
      <c r="L15" s="3" t="n">
        <f aca="false">soc!D13/investment!$E$3 *100</f>
        <v>33.1135121500177</v>
      </c>
    </row>
    <row r="16" customFormat="false" ht="13.8" hidden="false" customHeight="false" outlineLevel="0" collapsed="false">
      <c r="B16" s="11" t="n">
        <f aca="false">_xlfn.NUMBERVALUE(solar!B13)</f>
        <v>19</v>
      </c>
      <c r="C16" s="12" t="n">
        <f aca="false">solar!C13</f>
        <v>0</v>
      </c>
      <c r="D16" s="6" t="n">
        <v>12</v>
      </c>
      <c r="E16" s="17" t="n">
        <f aca="false">IFERROR(INDEX($B$5:$C$173, MATCH($D16, $B$5:$B$175, 0), 2), 0)*investment!$C$3</f>
        <v>0</v>
      </c>
      <c r="F16" s="18" t="n">
        <f aca="false">demand!D14</f>
        <v>0</v>
      </c>
      <c r="G16" s="3" t="n">
        <f aca="false">solgen!D14</f>
        <v>0</v>
      </c>
      <c r="H16" s="3" t="n">
        <f aca="false">import!D14</f>
        <v>0</v>
      </c>
      <c r="I16" s="3" t="n">
        <f aca="false">-export!D14</f>
        <v>-0</v>
      </c>
      <c r="J16" s="3" t="n">
        <f aca="false">-charge!D14</f>
        <v>-0</v>
      </c>
      <c r="K16" s="3" t="n">
        <f aca="false">discharge!D14</f>
        <v>0</v>
      </c>
      <c r="L16" s="3" t="n">
        <f aca="false">soc!D14/investment!$E$3 *100</f>
        <v>33.1131810148962</v>
      </c>
    </row>
    <row r="17" customFormat="false" ht="13.8" hidden="false" customHeight="false" outlineLevel="0" collapsed="false">
      <c r="B17" s="11" t="n">
        <f aca="false">_xlfn.NUMBERVALUE(solar!B14)</f>
        <v>32</v>
      </c>
      <c r="C17" s="12" t="n">
        <f aca="false">solar!C14</f>
        <v>0</v>
      </c>
      <c r="D17" s="6" t="n">
        <v>13</v>
      </c>
      <c r="E17" s="17" t="n">
        <f aca="false">IFERROR(INDEX($B$5:$C$173, MATCH($D17, $B$5:$B$175, 0), 2), 0)*investment!$C$3</f>
        <v>0</v>
      </c>
      <c r="F17" s="18" t="n">
        <f aca="false">demand!D15</f>
        <v>0</v>
      </c>
      <c r="G17" s="3" t="n">
        <f aca="false">solgen!D15</f>
        <v>0</v>
      </c>
      <c r="H17" s="3" t="n">
        <f aca="false">import!D15</f>
        <v>0</v>
      </c>
      <c r="I17" s="3" t="n">
        <f aca="false">-export!D15</f>
        <v>-0</v>
      </c>
      <c r="J17" s="3" t="n">
        <f aca="false">-charge!D15</f>
        <v>-0</v>
      </c>
      <c r="K17" s="3" t="n">
        <f aca="false">discharge!D15</f>
        <v>0</v>
      </c>
      <c r="L17" s="3" t="n">
        <f aca="false">soc!D15/investment!$E$3 *100</f>
        <v>34.5616077349083</v>
      </c>
    </row>
    <row r="18" customFormat="false" ht="13.8" hidden="false" customHeight="false" outlineLevel="0" collapsed="false">
      <c r="B18" s="11" t="n">
        <f aca="false">_xlfn.NUMBERVALUE(solar!B15)</f>
        <v>33</v>
      </c>
      <c r="C18" s="12" t="n">
        <f aca="false">solar!C15</f>
        <v>0</v>
      </c>
      <c r="D18" s="6" t="n">
        <v>14</v>
      </c>
      <c r="E18" s="17" t="n">
        <f aca="false">IFERROR(INDEX($B$5:$C$173, MATCH($D18, $B$5:$B$175, 0), 2), 0)*investment!$C$3</f>
        <v>0</v>
      </c>
      <c r="F18" s="18" t="n">
        <f aca="false">demand!D16</f>
        <v>0</v>
      </c>
      <c r="G18" s="3" t="n">
        <f aca="false">solgen!D16</f>
        <v>0</v>
      </c>
      <c r="H18" s="3" t="n">
        <f aca="false">import!D16</f>
        <v>0</v>
      </c>
      <c r="I18" s="3" t="n">
        <f aca="false">-export!D16</f>
        <v>-0</v>
      </c>
      <c r="J18" s="3" t="n">
        <f aca="false">-charge!D16</f>
        <v>-0</v>
      </c>
      <c r="K18" s="3" t="n">
        <f aca="false">discharge!D16</f>
        <v>0</v>
      </c>
      <c r="L18" s="3" t="n">
        <f aca="false">soc!D16/investment!$E$3 *100</f>
        <v>56.521285378826</v>
      </c>
    </row>
    <row r="19" customFormat="false" ht="13.8" hidden="false" customHeight="false" outlineLevel="0" collapsed="false">
      <c r="B19" s="11" t="n">
        <f aca="false">_xlfn.NUMBERVALUE(solar!B16)</f>
        <v>34</v>
      </c>
      <c r="C19" s="12" t="n">
        <f aca="false">solar!C16</f>
        <v>0</v>
      </c>
      <c r="D19" s="6" t="n">
        <v>15</v>
      </c>
      <c r="E19" s="17" t="n">
        <f aca="false">IFERROR(INDEX($B$5:$C$173, MATCH($D19, $B$5:$B$175, 0), 2), 0)*investment!$C$3</f>
        <v>0</v>
      </c>
      <c r="F19" s="18" t="n">
        <f aca="false">demand!D17</f>
        <v>0</v>
      </c>
      <c r="G19" s="3" t="n">
        <f aca="false">solgen!D17</f>
        <v>0</v>
      </c>
      <c r="H19" s="3" t="n">
        <f aca="false">import!D17</f>
        <v>0</v>
      </c>
      <c r="I19" s="3" t="n">
        <f aca="false">-export!D17</f>
        <v>-0</v>
      </c>
      <c r="J19" s="3" t="n">
        <f aca="false">-charge!D17</f>
        <v>-0</v>
      </c>
      <c r="K19" s="3" t="n">
        <f aca="false">discharge!D17</f>
        <v>0</v>
      </c>
      <c r="L19" s="3" t="n">
        <f aca="false">soc!D17/investment!$E$3 *100</f>
        <v>73.3950753330883</v>
      </c>
    </row>
    <row r="20" customFormat="false" ht="13.8" hidden="false" customHeight="false" outlineLevel="0" collapsed="false">
      <c r="B20" s="11" t="n">
        <f aca="false">_xlfn.NUMBERVALUE(solar!B17)</f>
        <v>35</v>
      </c>
      <c r="C20" s="12" t="n">
        <f aca="false">solar!C17</f>
        <v>0</v>
      </c>
      <c r="D20" s="6" t="n">
        <v>16</v>
      </c>
      <c r="E20" s="17" t="n">
        <f aca="false">IFERROR(INDEX($B$5:$C$173, MATCH($D20, $B$5:$B$175, 0), 2), 0)*investment!$C$3</f>
        <v>0</v>
      </c>
      <c r="F20" s="18" t="n">
        <f aca="false">demand!D18</f>
        <v>0</v>
      </c>
      <c r="G20" s="3" t="n">
        <f aca="false">solgen!D18</f>
        <v>0</v>
      </c>
      <c r="H20" s="3" t="n">
        <f aca="false">import!D18</f>
        <v>0</v>
      </c>
      <c r="I20" s="3" t="n">
        <f aca="false">-export!D18</f>
        <v>-0</v>
      </c>
      <c r="J20" s="3" t="n">
        <f aca="false">-charge!D18</f>
        <v>-0</v>
      </c>
      <c r="K20" s="3" t="n">
        <f aca="false">discharge!D18</f>
        <v>0</v>
      </c>
      <c r="L20" s="3" t="n">
        <f aca="false">soc!D18/investment!$E$3 *100</f>
        <v>83.3669811348997</v>
      </c>
    </row>
    <row r="21" customFormat="false" ht="13.8" hidden="false" customHeight="false" outlineLevel="0" collapsed="false">
      <c r="B21" s="11" t="n">
        <f aca="false">_xlfn.NUMBERVALUE(solar!B18)</f>
        <v>36</v>
      </c>
      <c r="C21" s="12" t="n">
        <f aca="false">solar!C18</f>
        <v>0</v>
      </c>
      <c r="D21" s="6" t="n">
        <v>17</v>
      </c>
      <c r="E21" s="17" t="n">
        <f aca="false">IFERROR(INDEX($B$5:$C$173, MATCH($D21, $B$5:$B$175, 0), 2), 0)*investment!$C$3</f>
        <v>0</v>
      </c>
      <c r="F21" s="18" t="n">
        <f aca="false">demand!D19</f>
        <v>0</v>
      </c>
      <c r="G21" s="3" t="n">
        <f aca="false">solgen!D19</f>
        <v>0</v>
      </c>
      <c r="H21" s="3" t="n">
        <f aca="false">import!D19</f>
        <v>0</v>
      </c>
      <c r="I21" s="3" t="n">
        <f aca="false">-export!D19</f>
        <v>-0</v>
      </c>
      <c r="J21" s="3" t="n">
        <f aca="false">-charge!D19</f>
        <v>-0</v>
      </c>
      <c r="K21" s="3" t="n">
        <f aca="false">discharge!D19</f>
        <v>0</v>
      </c>
      <c r="L21" s="3" t="n">
        <f aca="false">soc!D19/investment!$E$3 *100</f>
        <v>88.9935575752973</v>
      </c>
    </row>
    <row r="22" customFormat="false" ht="13.8" hidden="false" customHeight="false" outlineLevel="0" collapsed="false">
      <c r="B22" s="11" t="n">
        <f aca="false">_xlfn.NUMBERVALUE(solar!B19)</f>
        <v>37</v>
      </c>
      <c r="C22" s="12" t="n">
        <f aca="false">solar!C19</f>
        <v>0</v>
      </c>
      <c r="D22" s="6" t="n">
        <v>18</v>
      </c>
      <c r="E22" s="17" t="n">
        <f aca="false">IFERROR(INDEX($B$5:$C$173, MATCH($D22, $B$5:$B$175, 0), 2), 0)*investment!$C$3</f>
        <v>0</v>
      </c>
      <c r="F22" s="18" t="n">
        <f aca="false">demand!D20</f>
        <v>0</v>
      </c>
      <c r="G22" s="3" t="n">
        <f aca="false">solgen!D20</f>
        <v>0</v>
      </c>
      <c r="H22" s="3" t="n">
        <f aca="false">import!D20</f>
        <v>0</v>
      </c>
      <c r="I22" s="3" t="n">
        <f aca="false">-export!D20</f>
        <v>-0</v>
      </c>
      <c r="J22" s="3" t="n">
        <f aca="false">-charge!D20</f>
        <v>-0</v>
      </c>
      <c r="K22" s="3" t="n">
        <f aca="false">discharge!D20</f>
        <v>0</v>
      </c>
      <c r="L22" s="3" t="n">
        <f aca="false">soc!D20/investment!$E$3 *100</f>
        <v>90.7929213642435</v>
      </c>
    </row>
    <row r="23" customFormat="false" ht="13.8" hidden="false" customHeight="false" outlineLevel="0" collapsed="false">
      <c r="B23" s="11" t="n">
        <f aca="false">_xlfn.NUMBERVALUE(solar!B20)</f>
        <v>38</v>
      </c>
      <c r="C23" s="12" t="n">
        <f aca="false">solar!C20</f>
        <v>0</v>
      </c>
      <c r="D23" s="6" t="n">
        <v>19</v>
      </c>
      <c r="E23" s="17" t="n">
        <f aca="false">IFERROR(INDEX($B$5:$C$173, MATCH($D23, $B$5:$B$175, 0), 2), 0)*investment!$C$3</f>
        <v>0</v>
      </c>
      <c r="F23" s="18" t="n">
        <f aca="false">demand!D21</f>
        <v>0</v>
      </c>
      <c r="G23" s="3" t="n">
        <f aca="false">solgen!D21</f>
        <v>0</v>
      </c>
      <c r="H23" s="3" t="n">
        <f aca="false">import!D21</f>
        <v>0</v>
      </c>
      <c r="I23" s="3" t="n">
        <f aca="false">-export!D21</f>
        <v>-0</v>
      </c>
      <c r="J23" s="3" t="n">
        <f aca="false">-charge!D21</f>
        <v>-0</v>
      </c>
      <c r="K23" s="3" t="n">
        <f aca="false">discharge!D21</f>
        <v>0</v>
      </c>
      <c r="L23" s="3" t="n">
        <f aca="false">soc!D21/investment!$E$3 *100</f>
        <v>90.7920134350298</v>
      </c>
    </row>
    <row r="24" customFormat="false" ht="13.8" hidden="false" customHeight="false" outlineLevel="0" collapsed="false">
      <c r="B24" s="11" t="n">
        <f aca="false">_xlfn.NUMBERVALUE(solar!B21)</f>
        <v>39</v>
      </c>
      <c r="C24" s="12" t="n">
        <f aca="false">solar!C21</f>
        <v>0</v>
      </c>
      <c r="D24" s="6" t="n">
        <v>20</v>
      </c>
      <c r="E24" s="17" t="n">
        <f aca="false">IFERROR(INDEX($B$5:$C$173, MATCH($D24, $B$5:$B$175, 0), 2), 0)*investment!$C$3</f>
        <v>0</v>
      </c>
      <c r="F24" s="18" t="n">
        <f aca="false">demand!D22</f>
        <v>0</v>
      </c>
      <c r="G24" s="3" t="n">
        <f aca="false">solgen!D22</f>
        <v>0</v>
      </c>
      <c r="H24" s="3" t="n">
        <f aca="false">import!D22</f>
        <v>0</v>
      </c>
      <c r="I24" s="3" t="n">
        <f aca="false">-export!D22</f>
        <v>-0</v>
      </c>
      <c r="J24" s="3" t="n">
        <f aca="false">-charge!D22</f>
        <v>-0</v>
      </c>
      <c r="K24" s="3" t="n">
        <f aca="false">discharge!D22</f>
        <v>0</v>
      </c>
      <c r="L24" s="3" t="n">
        <f aca="false">soc!D22/investment!$E$3 *100</f>
        <v>85.753518913654</v>
      </c>
    </row>
    <row r="25" customFormat="false" ht="13.8" hidden="false" customHeight="false" outlineLevel="0" collapsed="false">
      <c r="B25" s="11" t="n">
        <f aca="false">_xlfn.NUMBERVALUE(solar!B22)</f>
        <v>40</v>
      </c>
      <c r="C25" s="12" t="n">
        <f aca="false">solar!C22</f>
        <v>0</v>
      </c>
      <c r="D25" s="6" t="n">
        <v>21</v>
      </c>
      <c r="E25" s="17" t="n">
        <f aca="false">IFERROR(INDEX($B$5:$C$173, MATCH($D25, $B$5:$B$175, 0), 2), 0)*investment!$C$3</f>
        <v>0</v>
      </c>
      <c r="F25" s="18" t="n">
        <f aca="false">demand!D23</f>
        <v>0</v>
      </c>
      <c r="G25" s="3" t="n">
        <f aca="false">solgen!D23</f>
        <v>0</v>
      </c>
      <c r="H25" s="3" t="n">
        <f aca="false">import!D23</f>
        <v>0</v>
      </c>
      <c r="I25" s="3" t="n">
        <f aca="false">-export!D23</f>
        <v>-0</v>
      </c>
      <c r="J25" s="3" t="n">
        <f aca="false">-charge!D23</f>
        <v>-0</v>
      </c>
      <c r="K25" s="3" t="n">
        <f aca="false">discharge!D23</f>
        <v>0</v>
      </c>
      <c r="L25" s="3" t="n">
        <f aca="false">soc!D23/investment!$E$3 *100</f>
        <v>77.1167986334794</v>
      </c>
    </row>
    <row r="26" customFormat="false" ht="13.8" hidden="false" customHeight="false" outlineLevel="0" collapsed="false">
      <c r="B26" s="11" t="n">
        <f aca="false">_xlfn.NUMBERVALUE(solar!B23)</f>
        <v>41</v>
      </c>
      <c r="C26" s="12" t="n">
        <f aca="false">solar!C23</f>
        <v>0</v>
      </c>
      <c r="D26" s="6" t="n">
        <v>22</v>
      </c>
      <c r="E26" s="17" t="n">
        <f aca="false">IFERROR(INDEX($B$5:$C$173, MATCH($D26, $B$5:$B$175, 0), 2), 0)*investment!$C$3</f>
        <v>0</v>
      </c>
      <c r="F26" s="18" t="n">
        <f aca="false">demand!D24</f>
        <v>0</v>
      </c>
      <c r="G26" s="3" t="n">
        <f aca="false">solgen!D24</f>
        <v>0</v>
      </c>
      <c r="H26" s="3" t="n">
        <f aca="false">import!D24</f>
        <v>0</v>
      </c>
      <c r="I26" s="3" t="n">
        <f aca="false">-export!D24</f>
        <v>-0</v>
      </c>
      <c r="J26" s="3" t="n">
        <f aca="false">-charge!D24</f>
        <v>-0</v>
      </c>
      <c r="K26" s="3" t="n">
        <f aca="false">discharge!D24</f>
        <v>0</v>
      </c>
      <c r="L26" s="3" t="n">
        <f aca="false">soc!D24/investment!$E$3 *100</f>
        <v>68.4801647205076</v>
      </c>
    </row>
    <row r="27" customFormat="false" ht="13.8" hidden="false" customHeight="false" outlineLevel="0" collapsed="false">
      <c r="B27" s="11" t="n">
        <f aca="false">_xlfn.NUMBERVALUE(solar!B24)</f>
        <v>42</v>
      </c>
      <c r="C27" s="12" t="n">
        <f aca="false">solar!C24</f>
        <v>0</v>
      </c>
      <c r="D27" s="6" t="n">
        <v>23</v>
      </c>
      <c r="E27" s="17" t="n">
        <f aca="false">IFERROR(INDEX($B$5:$C$173, MATCH($D27, $B$5:$B$175, 0), 2), 0)*investment!$C$3</f>
        <v>0</v>
      </c>
      <c r="F27" s="18" t="n">
        <f aca="false">demand!D25</f>
        <v>0</v>
      </c>
      <c r="G27" s="3" t="n">
        <f aca="false">solgen!D25</f>
        <v>0</v>
      </c>
      <c r="H27" s="3" t="n">
        <f aca="false">import!D25</f>
        <v>0</v>
      </c>
      <c r="I27" s="3" t="n">
        <f aca="false">-export!D25</f>
        <v>-0</v>
      </c>
      <c r="J27" s="3" t="n">
        <f aca="false">-charge!D25</f>
        <v>-0</v>
      </c>
      <c r="K27" s="3" t="n">
        <f aca="false">discharge!D25</f>
        <v>0</v>
      </c>
      <c r="L27" s="3" t="n">
        <f aca="false">soc!D25/investment!$E$3 *100</f>
        <v>59.843617173875</v>
      </c>
    </row>
    <row r="28" customFormat="false" ht="13.8" hidden="false" customHeight="false" outlineLevel="0" collapsed="false">
      <c r="B28" s="11" t="n">
        <f aca="false">_xlfn.NUMBERVALUE(solar!B25)</f>
        <v>43</v>
      </c>
      <c r="C28" s="12" t="n">
        <f aca="false">solar!C25</f>
        <v>0</v>
      </c>
      <c r="D28" s="6" t="n">
        <v>24</v>
      </c>
      <c r="E28" s="17" t="n">
        <f aca="false">IFERROR(INDEX($B$5:$C$173, MATCH($D28, $B$5:$B$175, 0), 2), 0)*investment!$C$3</f>
        <v>0</v>
      </c>
      <c r="F28" s="18" t="n">
        <f aca="false">demand!D26</f>
        <v>0</v>
      </c>
      <c r="G28" s="3" t="n">
        <f aca="false">solgen!D26</f>
        <v>0</v>
      </c>
      <c r="H28" s="3" t="n">
        <f aca="false">import!D26</f>
        <v>0</v>
      </c>
      <c r="I28" s="3" t="n">
        <f aca="false">-export!D26</f>
        <v>-0</v>
      </c>
      <c r="J28" s="3" t="n">
        <f aca="false">-charge!D26</f>
        <v>-0</v>
      </c>
      <c r="K28" s="3" t="n">
        <f aca="false">discharge!D26</f>
        <v>0</v>
      </c>
      <c r="L28" s="3" t="n">
        <f aca="false">soc!D26/investment!$E$3 *100</f>
        <v>51.3510870384676</v>
      </c>
    </row>
    <row r="29" customFormat="false" ht="13.8" hidden="false" customHeight="false" outlineLevel="0" collapsed="false">
      <c r="B29" s="11" t="n">
        <f aca="false">_xlfn.NUMBERVALUE(solar!B26)</f>
        <v>56</v>
      </c>
      <c r="C29" s="12" t="n">
        <f aca="false">solar!C26</f>
        <v>0</v>
      </c>
      <c r="D29" s="6" t="n">
        <v>25</v>
      </c>
      <c r="E29" s="17" t="n">
        <f aca="false">IFERROR(INDEX($B$5:$C$173, MATCH($D29, $B$5:$B$175, 0), 2), 0)*investment!$C$3</f>
        <v>0</v>
      </c>
      <c r="F29" s="18" t="n">
        <f aca="false">demand!D27</f>
        <v>0</v>
      </c>
      <c r="G29" s="3" t="n">
        <f aca="false">solgen!D27</f>
        <v>0</v>
      </c>
      <c r="H29" s="3" t="n">
        <f aca="false">import!D27</f>
        <v>0</v>
      </c>
      <c r="I29" s="3" t="n">
        <f aca="false">-export!D27</f>
        <v>-0</v>
      </c>
      <c r="J29" s="3" t="n">
        <f aca="false">-charge!D27</f>
        <v>-0</v>
      </c>
      <c r="K29" s="3" t="n">
        <f aca="false">discharge!D27</f>
        <v>0</v>
      </c>
      <c r="L29" s="3" t="n">
        <f aca="false">soc!D27/investment!$E$3 *100</f>
        <v>42.7147107826118</v>
      </c>
    </row>
    <row r="30" customFormat="false" ht="13.8" hidden="false" customHeight="false" outlineLevel="0" collapsed="false">
      <c r="B30" s="11" t="n">
        <f aca="false">_xlfn.NUMBERVALUE(solar!B27)</f>
        <v>57</v>
      </c>
      <c r="C30" s="12" t="n">
        <f aca="false">solar!C27</f>
        <v>0</v>
      </c>
      <c r="D30" s="6" t="n">
        <v>26</v>
      </c>
      <c r="E30" s="17" t="n">
        <f aca="false">IFERROR(INDEX($B$5:$C$173, MATCH($D30, $B$5:$B$175, 0), 2), 0)*investment!$C$3</f>
        <v>0</v>
      </c>
      <c r="F30" s="18" t="n">
        <f aca="false">demand!D28</f>
        <v>0</v>
      </c>
      <c r="G30" s="3" t="n">
        <f aca="false">solgen!D28</f>
        <v>0</v>
      </c>
      <c r="H30" s="3" t="n">
        <f aca="false">import!D28</f>
        <v>0</v>
      </c>
      <c r="I30" s="3" t="n">
        <f aca="false">-export!D28</f>
        <v>-0</v>
      </c>
      <c r="J30" s="3" t="n">
        <f aca="false">-charge!D28</f>
        <v>-0</v>
      </c>
      <c r="K30" s="3" t="n">
        <f aca="false">discharge!D28</f>
        <v>0</v>
      </c>
      <c r="L30" s="3" t="n">
        <f aca="false">soc!D28/investment!$E$3 *100</f>
        <v>34.0784208905185</v>
      </c>
    </row>
    <row r="31" customFormat="false" ht="13.8" hidden="false" customHeight="false" outlineLevel="0" collapsed="false">
      <c r="B31" s="11" t="n">
        <f aca="false">_xlfn.NUMBERVALUE(solar!B28)</f>
        <v>58</v>
      </c>
      <c r="C31" s="12" t="n">
        <f aca="false">solar!C28</f>
        <v>0</v>
      </c>
      <c r="D31" s="6" t="n">
        <v>27</v>
      </c>
      <c r="E31" s="17" t="n">
        <f aca="false">IFERROR(INDEX($B$5:$C$173, MATCH($D31, $B$5:$B$175, 0), 2), 0)*investment!$C$3</f>
        <v>0</v>
      </c>
      <c r="F31" s="18" t="n">
        <f aca="false">demand!D29</f>
        <v>0</v>
      </c>
      <c r="G31" s="3" t="n">
        <f aca="false">solgen!D29</f>
        <v>0</v>
      </c>
      <c r="H31" s="3" t="n">
        <f aca="false">import!D29</f>
        <v>0</v>
      </c>
      <c r="I31" s="3" t="n">
        <f aca="false">-export!D29</f>
        <v>-0</v>
      </c>
      <c r="J31" s="3" t="n">
        <f aca="false">-charge!D29</f>
        <v>-0</v>
      </c>
      <c r="K31" s="3" t="n">
        <f aca="false">discharge!D29</f>
        <v>0</v>
      </c>
      <c r="L31" s="3" t="n">
        <f aca="false">soc!D29/investment!$E$3 *100</f>
        <v>25.4422173613242</v>
      </c>
    </row>
    <row r="32" customFormat="false" ht="13.8" hidden="false" customHeight="false" outlineLevel="0" collapsed="false">
      <c r="B32" s="11" t="n">
        <f aca="false">_xlfn.NUMBERVALUE(solar!B29)</f>
        <v>59</v>
      </c>
      <c r="C32" s="12" t="n">
        <f aca="false">solar!C29</f>
        <v>0</v>
      </c>
      <c r="D32" s="6" t="n">
        <v>28</v>
      </c>
      <c r="E32" s="17" t="n">
        <f aca="false">IFERROR(INDEX($B$5:$C$173, MATCH($D32, $B$5:$B$175, 0), 2), 0)*investment!$C$3</f>
        <v>0</v>
      </c>
      <c r="F32" s="18" t="n">
        <f aca="false">demand!D30</f>
        <v>0</v>
      </c>
      <c r="G32" s="3" t="n">
        <f aca="false">solgen!D30</f>
        <v>0</v>
      </c>
      <c r="H32" s="3" t="n">
        <f aca="false">import!D30</f>
        <v>0</v>
      </c>
      <c r="I32" s="3" t="n">
        <f aca="false">-export!D30</f>
        <v>-0</v>
      </c>
      <c r="J32" s="3" t="n">
        <f aca="false">-charge!D30</f>
        <v>-0</v>
      </c>
      <c r="K32" s="3" t="n">
        <f aca="false">discharge!D30</f>
        <v>0</v>
      </c>
      <c r="L32" s="3" t="n">
        <f aca="false">soc!D30/investment!$E$3 *100</f>
        <v>16.8061001941651</v>
      </c>
    </row>
    <row r="33" customFormat="false" ht="13.8" hidden="false" customHeight="false" outlineLevel="0" collapsed="false">
      <c r="B33" s="11" t="n">
        <f aca="false">_xlfn.NUMBERVALUE(solar!B30)</f>
        <v>60</v>
      </c>
      <c r="C33" s="12" t="n">
        <f aca="false">solar!C30</f>
        <v>0</v>
      </c>
      <c r="D33" s="6" t="n">
        <v>29</v>
      </c>
      <c r="E33" s="17" t="n">
        <f aca="false">IFERROR(INDEX($B$5:$C$173, MATCH($D33, $B$5:$B$175, 0), 2), 0)*investment!$C$3</f>
        <v>0</v>
      </c>
      <c r="F33" s="18" t="n">
        <f aca="false">demand!D31</f>
        <v>0</v>
      </c>
      <c r="G33" s="3" t="n">
        <f aca="false">solgen!D31</f>
        <v>0</v>
      </c>
      <c r="H33" s="3" t="n">
        <f aca="false">import!D31</f>
        <v>0</v>
      </c>
      <c r="I33" s="3" t="n">
        <f aca="false">-export!D31</f>
        <v>-0</v>
      </c>
      <c r="J33" s="3" t="n">
        <f aca="false">-charge!D31</f>
        <v>-0</v>
      </c>
      <c r="K33" s="3" t="n">
        <f aca="false">discharge!D31</f>
        <v>0</v>
      </c>
      <c r="L33" s="3" t="n">
        <f aca="false">soc!D31/investment!$E$3 *100</f>
        <v>8.17006938817776</v>
      </c>
    </row>
    <row r="34" customFormat="false" ht="13.8" hidden="false" customHeight="false" outlineLevel="0" collapsed="false">
      <c r="B34" s="11" t="n">
        <f aca="false">_xlfn.NUMBERVALUE(solar!B31)</f>
        <v>61</v>
      </c>
      <c r="C34" s="12" t="n">
        <f aca="false">solar!C31</f>
        <v>0</v>
      </c>
      <c r="D34" s="6" t="n">
        <v>30</v>
      </c>
      <c r="E34" s="17" t="n">
        <f aca="false">IFERROR(INDEX($B$5:$C$173, MATCH($D34, $B$5:$B$175, 0), 2), 0)*investment!$C$3</f>
        <v>0</v>
      </c>
      <c r="F34" s="18" t="n">
        <f aca="false">demand!D32</f>
        <v>0</v>
      </c>
      <c r="G34" s="3" t="n">
        <f aca="false">solgen!D32</f>
        <v>0</v>
      </c>
      <c r="H34" s="3" t="n">
        <f aca="false">import!D32</f>
        <v>0</v>
      </c>
      <c r="I34" s="3" t="n">
        <f aca="false">-export!D32</f>
        <v>-0</v>
      </c>
      <c r="J34" s="3" t="n">
        <f aca="false">-charge!D32</f>
        <v>-0</v>
      </c>
      <c r="K34" s="3" t="n">
        <f aca="false">discharge!D32</f>
        <v>0</v>
      </c>
      <c r="L34" s="3" t="n">
        <f aca="false">soc!D32/investment!$E$3 *100</f>
        <v>0</v>
      </c>
    </row>
    <row r="35" customFormat="false" ht="13.8" hidden="false" customHeight="false" outlineLevel="0" collapsed="false">
      <c r="B35" s="11" t="n">
        <f aca="false">_xlfn.NUMBERVALUE(solar!B32)</f>
        <v>62</v>
      </c>
      <c r="C35" s="12" t="n">
        <f aca="false">solar!C32</f>
        <v>0</v>
      </c>
      <c r="D35" s="6" t="n">
        <v>31</v>
      </c>
      <c r="E35" s="17" t="n">
        <f aca="false">IFERROR(INDEX($B$5:$C$173, MATCH($D35, $B$5:$B$175, 0), 2), 0)*investment!$C$3</f>
        <v>0</v>
      </c>
      <c r="F35" s="18" t="n">
        <f aca="false">demand!D33</f>
        <v>0</v>
      </c>
      <c r="G35" s="3" t="n">
        <f aca="false">solgen!D33</f>
        <v>0</v>
      </c>
      <c r="H35" s="3" t="n">
        <f aca="false">import!D33</f>
        <v>0</v>
      </c>
      <c r="I35" s="3" t="n">
        <f aca="false">-export!D33</f>
        <v>-0</v>
      </c>
      <c r="J35" s="3" t="n">
        <f aca="false">-charge!D33</f>
        <v>-0</v>
      </c>
      <c r="K35" s="3" t="n">
        <f aca="false">discharge!D33</f>
        <v>0</v>
      </c>
      <c r="L35" s="3" t="n">
        <f aca="false">soc!D33/investment!$E$3 *100</f>
        <v>0</v>
      </c>
    </row>
    <row r="36" customFormat="false" ht="13.8" hidden="false" customHeight="false" outlineLevel="0" collapsed="false">
      <c r="B36" s="11" t="n">
        <f aca="false">_xlfn.NUMBERVALUE(solar!B33)</f>
        <v>63</v>
      </c>
      <c r="C36" s="12" t="n">
        <f aca="false">solar!C33</f>
        <v>0</v>
      </c>
      <c r="D36" s="6" t="n">
        <v>32</v>
      </c>
      <c r="E36" s="17" t="n">
        <f aca="false">IFERROR(INDEX($B$5:$C$173, MATCH($D36, $B$5:$B$175, 0), 2), 0)*investment!$C$3</f>
        <v>0</v>
      </c>
      <c r="F36" s="18" t="n">
        <f aca="false">demand!D34</f>
        <v>0</v>
      </c>
      <c r="G36" s="3" t="n">
        <f aca="false">solgen!D34</f>
        <v>0</v>
      </c>
      <c r="H36" s="3" t="n">
        <f aca="false">import!D34</f>
        <v>0</v>
      </c>
      <c r="I36" s="3" t="n">
        <f aca="false">-export!D34</f>
        <v>-0</v>
      </c>
      <c r="J36" s="3" t="n">
        <f aca="false">-charge!D34</f>
        <v>-0</v>
      </c>
      <c r="K36" s="3" t="n">
        <f aca="false">discharge!D34</f>
        <v>0</v>
      </c>
      <c r="L36" s="3" t="n">
        <f aca="false">soc!D34/investment!$E$3 *100</f>
        <v>0</v>
      </c>
    </row>
    <row r="37" customFormat="false" ht="13.8" hidden="false" customHeight="false" outlineLevel="0" collapsed="false">
      <c r="B37" s="11" t="n">
        <f aca="false">_xlfn.NUMBERVALUE(solar!B34)</f>
        <v>64</v>
      </c>
      <c r="C37" s="12" t="n">
        <f aca="false">solar!C34</f>
        <v>0</v>
      </c>
      <c r="D37" s="6" t="n">
        <v>33</v>
      </c>
      <c r="E37" s="17" t="n">
        <f aca="false">IFERROR(INDEX($B$5:$C$173, MATCH($D37, $B$5:$B$175, 0), 2), 0)*investment!$C$3</f>
        <v>0</v>
      </c>
      <c r="F37" s="18" t="n">
        <f aca="false">demand!D35</f>
        <v>0</v>
      </c>
      <c r="G37" s="3" t="n">
        <f aca="false">solgen!D35</f>
        <v>0</v>
      </c>
      <c r="H37" s="3" t="n">
        <f aca="false">import!D35</f>
        <v>0</v>
      </c>
      <c r="I37" s="3" t="n">
        <f aca="false">-export!D35</f>
        <v>-0</v>
      </c>
      <c r="J37" s="3" t="n">
        <f aca="false">-charge!D35</f>
        <v>-0</v>
      </c>
      <c r="K37" s="3" t="n">
        <f aca="false">discharge!D35</f>
        <v>0</v>
      </c>
      <c r="L37" s="3" t="n">
        <f aca="false">soc!D35/investment!$E$3 *100</f>
        <v>0</v>
      </c>
    </row>
    <row r="38" customFormat="false" ht="13.8" hidden="false" customHeight="false" outlineLevel="0" collapsed="false">
      <c r="B38" s="11" t="n">
        <f aca="false">_xlfn.NUMBERVALUE(solar!B35)</f>
        <v>65</v>
      </c>
      <c r="C38" s="12" t="n">
        <f aca="false">solar!C35</f>
        <v>0</v>
      </c>
      <c r="D38" s="6" t="n">
        <v>34</v>
      </c>
      <c r="E38" s="17" t="n">
        <f aca="false">IFERROR(INDEX($B$5:$C$173, MATCH($D38, $B$5:$B$175, 0), 2), 0)*investment!$C$3</f>
        <v>0</v>
      </c>
      <c r="F38" s="18" t="n">
        <f aca="false">demand!D36</f>
        <v>0</v>
      </c>
      <c r="G38" s="3" t="n">
        <f aca="false">solgen!D36</f>
        <v>0</v>
      </c>
      <c r="H38" s="3" t="n">
        <f aca="false">import!D36</f>
        <v>0</v>
      </c>
      <c r="I38" s="3" t="n">
        <f aca="false">-export!D36</f>
        <v>-0</v>
      </c>
      <c r="J38" s="3" t="n">
        <f aca="false">-charge!D36</f>
        <v>-0</v>
      </c>
      <c r="K38" s="3" t="n">
        <f aca="false">discharge!D36</f>
        <v>0</v>
      </c>
      <c r="L38" s="3" t="n">
        <f aca="false">soc!D36/investment!$E$3 *100</f>
        <v>0</v>
      </c>
    </row>
    <row r="39" customFormat="false" ht="13.8" hidden="false" customHeight="false" outlineLevel="0" collapsed="false">
      <c r="B39" s="11" t="n">
        <f aca="false">_xlfn.NUMBERVALUE(solar!B36)</f>
        <v>66</v>
      </c>
      <c r="C39" s="12" t="n">
        <f aca="false">solar!C36</f>
        <v>0</v>
      </c>
      <c r="D39" s="6" t="n">
        <v>35</v>
      </c>
      <c r="E39" s="17" t="n">
        <f aca="false">IFERROR(INDEX($B$5:$C$173, MATCH($D39, $B$5:$B$175, 0), 2), 0)*investment!$C$3</f>
        <v>0</v>
      </c>
      <c r="F39" s="18" t="n">
        <f aca="false">demand!D37</f>
        <v>0</v>
      </c>
      <c r="G39" s="3" t="n">
        <f aca="false">solgen!D37</f>
        <v>0</v>
      </c>
      <c r="H39" s="3" t="n">
        <f aca="false">import!D37</f>
        <v>0</v>
      </c>
      <c r="I39" s="3" t="n">
        <f aca="false">-export!D37</f>
        <v>-0</v>
      </c>
      <c r="J39" s="3" t="n">
        <f aca="false">-charge!D37</f>
        <v>-0</v>
      </c>
      <c r="K39" s="3" t="n">
        <f aca="false">discharge!D37</f>
        <v>0</v>
      </c>
      <c r="L39" s="3" t="n">
        <f aca="false">soc!D37/investment!$E$3 *100</f>
        <v>0</v>
      </c>
    </row>
    <row r="40" customFormat="false" ht="13.8" hidden="false" customHeight="false" outlineLevel="0" collapsed="false">
      <c r="B40" s="11" t="n">
        <f aca="false">_xlfn.NUMBERVALUE(solar!B37)</f>
        <v>67</v>
      </c>
      <c r="C40" s="12" t="n">
        <f aca="false">solar!C37</f>
        <v>0</v>
      </c>
      <c r="D40" s="6" t="n">
        <v>36</v>
      </c>
      <c r="E40" s="17" t="n">
        <f aca="false">IFERROR(INDEX($B$5:$C$173, MATCH($D40, $B$5:$B$175, 0), 2), 0)*investment!$C$3</f>
        <v>0</v>
      </c>
      <c r="F40" s="18" t="n">
        <f aca="false">demand!D38</f>
        <v>0</v>
      </c>
      <c r="G40" s="3" t="n">
        <f aca="false">solgen!D38</f>
        <v>0</v>
      </c>
      <c r="H40" s="3" t="n">
        <f aca="false">import!D38</f>
        <v>0</v>
      </c>
      <c r="I40" s="3" t="n">
        <f aca="false">-export!D38</f>
        <v>-0</v>
      </c>
      <c r="J40" s="3" t="n">
        <f aca="false">-charge!D38</f>
        <v>-0</v>
      </c>
      <c r="K40" s="3" t="n">
        <f aca="false">discharge!D38</f>
        <v>0</v>
      </c>
      <c r="L40" s="3" t="n">
        <f aca="false">soc!D38/investment!$E$3 *100</f>
        <v>1.23060431452352</v>
      </c>
    </row>
    <row r="41" customFormat="false" ht="13.8" hidden="false" customHeight="false" outlineLevel="0" collapsed="false">
      <c r="B41" s="11" t="n">
        <f aca="false">_xlfn.NUMBERVALUE(solar!B38)</f>
        <v>80</v>
      </c>
      <c r="C41" s="12" t="n">
        <f aca="false">solar!C38</f>
        <v>0</v>
      </c>
      <c r="D41" s="6" t="n">
        <v>37</v>
      </c>
      <c r="E41" s="17" t="n">
        <f aca="false">IFERROR(INDEX($B$5:$C$173, MATCH($D41, $B$5:$B$175, 0), 2), 0)*investment!$C$3</f>
        <v>0</v>
      </c>
      <c r="F41" s="18" t="n">
        <f aca="false">demand!D39</f>
        <v>0</v>
      </c>
      <c r="G41" s="3" t="n">
        <f aca="false">solgen!D39</f>
        <v>0</v>
      </c>
      <c r="H41" s="3" t="n">
        <f aca="false">import!D39</f>
        <v>0</v>
      </c>
      <c r="I41" s="3" t="n">
        <f aca="false">-export!D39</f>
        <v>-0</v>
      </c>
      <c r="J41" s="3" t="n">
        <f aca="false">-charge!D39</f>
        <v>-0</v>
      </c>
      <c r="K41" s="3" t="n">
        <f aca="false">discharge!D39</f>
        <v>0</v>
      </c>
      <c r="L41" s="3" t="n">
        <f aca="false">soc!D39/investment!$E$3 *100</f>
        <v>25.9455378530893</v>
      </c>
    </row>
    <row r="42" customFormat="false" ht="13.8" hidden="false" customHeight="false" outlineLevel="0" collapsed="false">
      <c r="B42" s="11" t="n">
        <f aca="false">_xlfn.NUMBERVALUE(solar!B39)</f>
        <v>81</v>
      </c>
      <c r="C42" s="12" t="n">
        <f aca="false">solar!C39</f>
        <v>0</v>
      </c>
      <c r="D42" s="6" t="n">
        <v>38</v>
      </c>
      <c r="E42" s="17" t="n">
        <f aca="false">IFERROR(INDEX($B$5:$C$173, MATCH($D42, $B$5:$B$175, 0), 2), 0)*investment!$C$3</f>
        <v>0</v>
      </c>
      <c r="F42" s="18" t="n">
        <f aca="false">demand!D40</f>
        <v>0</v>
      </c>
      <c r="G42" s="3" t="n">
        <f aca="false">solgen!D40</f>
        <v>0</v>
      </c>
      <c r="H42" s="3" t="n">
        <f aca="false">import!D40</f>
        <v>0</v>
      </c>
      <c r="I42" s="3" t="n">
        <f aca="false">-export!D40</f>
        <v>-0</v>
      </c>
      <c r="J42" s="3" t="n">
        <f aca="false">-charge!D40</f>
        <v>-0</v>
      </c>
      <c r="K42" s="3" t="n">
        <f aca="false">discharge!D40</f>
        <v>0</v>
      </c>
      <c r="L42" s="3" t="n">
        <f aca="false">soc!D40/investment!$E$3 *100</f>
        <v>48.3199160355058</v>
      </c>
    </row>
    <row r="43" customFormat="false" ht="13.8" hidden="false" customHeight="false" outlineLevel="0" collapsed="false">
      <c r="B43" s="11" t="n">
        <f aca="false">_xlfn.NUMBERVALUE(solar!B40)</f>
        <v>82</v>
      </c>
      <c r="C43" s="12" t="n">
        <f aca="false">solar!C40</f>
        <v>0</v>
      </c>
      <c r="D43" s="6" t="n">
        <v>39</v>
      </c>
      <c r="E43" s="17" t="n">
        <f aca="false">IFERROR(INDEX($B$5:$C$173, MATCH($D43, $B$5:$B$175, 0), 2), 0)*investment!$C$3</f>
        <v>0</v>
      </c>
      <c r="F43" s="18" t="n">
        <f aca="false">demand!D41</f>
        <v>0</v>
      </c>
      <c r="G43" s="3" t="n">
        <f aca="false">solgen!D41</f>
        <v>0</v>
      </c>
      <c r="H43" s="3" t="n">
        <f aca="false">import!D41</f>
        <v>0</v>
      </c>
      <c r="I43" s="3" t="n">
        <f aca="false">-export!D41</f>
        <v>-0</v>
      </c>
      <c r="J43" s="3" t="n">
        <f aca="false">-charge!D41</f>
        <v>-0</v>
      </c>
      <c r="K43" s="3" t="n">
        <f aca="false">discharge!D41</f>
        <v>0</v>
      </c>
      <c r="L43" s="3" t="n">
        <f aca="false">soc!D41/investment!$E$3 *100</f>
        <v>66.1303699495565</v>
      </c>
    </row>
    <row r="44" customFormat="false" ht="13.8" hidden="false" customHeight="false" outlineLevel="0" collapsed="false">
      <c r="B44" s="11" t="n">
        <f aca="false">_xlfn.NUMBERVALUE(solar!B41)</f>
        <v>83</v>
      </c>
      <c r="C44" s="12" t="n">
        <f aca="false">solar!C41</f>
        <v>0</v>
      </c>
      <c r="D44" s="6" t="n">
        <v>40</v>
      </c>
      <c r="E44" s="17" t="n">
        <f aca="false">IFERROR(INDEX($B$5:$C$173, MATCH($D44, $B$5:$B$175, 0), 2), 0)*investment!$C$3</f>
        <v>0</v>
      </c>
      <c r="F44" s="18" t="n">
        <f aca="false">demand!D42</f>
        <v>0</v>
      </c>
      <c r="G44" s="3" t="n">
        <f aca="false">solgen!D42</f>
        <v>0</v>
      </c>
      <c r="H44" s="3" t="n">
        <f aca="false">import!D42</f>
        <v>0</v>
      </c>
      <c r="I44" s="3" t="n">
        <f aca="false">-export!D42</f>
        <v>-0</v>
      </c>
      <c r="J44" s="3" t="n">
        <f aca="false">-charge!D42</f>
        <v>-0</v>
      </c>
      <c r="K44" s="3" t="n">
        <f aca="false">discharge!D42</f>
        <v>0</v>
      </c>
      <c r="L44" s="3" t="n">
        <f aca="false">soc!D42/investment!$E$3 *100</f>
        <v>78.2681481742537</v>
      </c>
    </row>
    <row r="45" customFormat="false" ht="13.8" hidden="false" customHeight="false" outlineLevel="0" collapsed="false">
      <c r="B45" s="11" t="n">
        <f aca="false">_xlfn.NUMBERVALUE(solar!B42)</f>
        <v>84</v>
      </c>
      <c r="C45" s="12" t="n">
        <f aca="false">solar!C42</f>
        <v>0</v>
      </c>
      <c r="D45" s="6" t="n">
        <v>41</v>
      </c>
      <c r="E45" s="17" t="n">
        <f aca="false">IFERROR(INDEX($B$5:$C$173, MATCH($D45, $B$5:$B$175, 0), 2), 0)*investment!$C$3</f>
        <v>0</v>
      </c>
      <c r="F45" s="18" t="n">
        <f aca="false">demand!D43</f>
        <v>0</v>
      </c>
      <c r="G45" s="3" t="n">
        <f aca="false">solgen!D43</f>
        <v>0</v>
      </c>
      <c r="H45" s="3" t="n">
        <f aca="false">import!D43</f>
        <v>0</v>
      </c>
      <c r="I45" s="3" t="n">
        <f aca="false">-export!D43</f>
        <v>-0</v>
      </c>
      <c r="J45" s="3" t="n">
        <f aca="false">-charge!D43</f>
        <v>-0</v>
      </c>
      <c r="K45" s="3" t="n">
        <f aca="false">discharge!D43</f>
        <v>0</v>
      </c>
      <c r="L45" s="3" t="n">
        <f aca="false">soc!D43/investment!$E$3 *100</f>
        <v>85.5324634521746</v>
      </c>
    </row>
    <row r="46" customFormat="false" ht="13.8" hidden="false" customHeight="false" outlineLevel="0" collapsed="false">
      <c r="B46" s="11" t="n">
        <f aca="false">_xlfn.NUMBERVALUE(solar!B43)</f>
        <v>85</v>
      </c>
      <c r="C46" s="12" t="n">
        <f aca="false">solar!C43</f>
        <v>0</v>
      </c>
      <c r="D46" s="6" t="n">
        <v>42</v>
      </c>
      <c r="E46" s="17" t="n">
        <f aca="false">IFERROR(INDEX($B$5:$C$173, MATCH($D46, $B$5:$B$175, 0), 2), 0)*investment!$C$3</f>
        <v>0</v>
      </c>
      <c r="F46" s="18" t="n">
        <f aca="false">demand!D44</f>
        <v>0</v>
      </c>
      <c r="G46" s="3" t="n">
        <f aca="false">solgen!D44</f>
        <v>0</v>
      </c>
      <c r="H46" s="3" t="n">
        <f aca="false">import!D44</f>
        <v>0</v>
      </c>
      <c r="I46" s="3" t="n">
        <f aca="false">-export!D44</f>
        <v>-0</v>
      </c>
      <c r="J46" s="3" t="n">
        <f aca="false">-charge!D44</f>
        <v>-0</v>
      </c>
      <c r="K46" s="3" t="n">
        <f aca="false">discharge!D44</f>
        <v>0</v>
      </c>
      <c r="L46" s="3" t="n">
        <f aca="false">soc!D44/investment!$E$3 *100</f>
        <v>87.9068785987312</v>
      </c>
    </row>
    <row r="47" customFormat="false" ht="13.8" hidden="false" customHeight="false" outlineLevel="0" collapsed="false">
      <c r="B47" s="11" t="n">
        <f aca="false">_xlfn.NUMBERVALUE(solar!B44)</f>
        <v>86</v>
      </c>
      <c r="C47" s="12" t="n">
        <f aca="false">solar!C44</f>
        <v>0</v>
      </c>
      <c r="D47" s="6" t="n">
        <v>43</v>
      </c>
      <c r="E47" s="17" t="n">
        <f aca="false">IFERROR(INDEX($B$5:$C$173, MATCH($D47, $B$5:$B$175, 0), 2), 0)*investment!$C$3</f>
        <v>0</v>
      </c>
      <c r="F47" s="18" t="n">
        <f aca="false">demand!D45</f>
        <v>0</v>
      </c>
      <c r="G47" s="3" t="n">
        <f aca="false">solgen!D45</f>
        <v>0</v>
      </c>
      <c r="H47" s="3" t="n">
        <f aca="false">import!D45</f>
        <v>0</v>
      </c>
      <c r="I47" s="3" t="n">
        <f aca="false">-export!D45</f>
        <v>-0</v>
      </c>
      <c r="J47" s="3" t="n">
        <f aca="false">-charge!D45</f>
        <v>-0</v>
      </c>
      <c r="K47" s="3" t="n">
        <f aca="false">discharge!D45</f>
        <v>0</v>
      </c>
      <c r="L47" s="3" t="n">
        <f aca="false">soc!D45/investment!$E$3 *100</f>
        <v>87.9059995299452</v>
      </c>
    </row>
    <row r="48" customFormat="false" ht="13.8" hidden="false" customHeight="false" outlineLevel="0" collapsed="false">
      <c r="B48" s="11" t="n">
        <f aca="false">_xlfn.NUMBERVALUE(solar!B45)</f>
        <v>87</v>
      </c>
      <c r="C48" s="12" t="n">
        <f aca="false">solar!C45</f>
        <v>0</v>
      </c>
      <c r="D48" s="6" t="n">
        <v>44</v>
      </c>
      <c r="E48" s="17" t="n">
        <f aca="false">IFERROR(INDEX($B$5:$C$173, MATCH($D48, $B$5:$B$175, 0), 2), 0)*investment!$C$3</f>
        <v>0</v>
      </c>
      <c r="F48" s="18" t="n">
        <f aca="false">demand!D46</f>
        <v>0</v>
      </c>
      <c r="G48" s="3" t="n">
        <f aca="false">solgen!D46</f>
        <v>0</v>
      </c>
      <c r="H48" s="3" t="n">
        <f aca="false">import!D46</f>
        <v>0</v>
      </c>
      <c r="I48" s="3" t="n">
        <f aca="false">-export!D46</f>
        <v>-0</v>
      </c>
      <c r="J48" s="3" t="n">
        <f aca="false">-charge!D46</f>
        <v>-0</v>
      </c>
      <c r="K48" s="3" t="n">
        <f aca="false">discharge!D46</f>
        <v>0</v>
      </c>
      <c r="L48" s="3" t="n">
        <f aca="false">soc!D46/investment!$E$3 *100</f>
        <v>82.0039475942098</v>
      </c>
    </row>
    <row r="49" customFormat="false" ht="13.8" hidden="false" customHeight="false" outlineLevel="0" collapsed="false">
      <c r="B49" s="11" t="n">
        <f aca="false">_xlfn.NUMBERVALUE(solar!B46)</f>
        <v>88</v>
      </c>
      <c r="C49" s="12" t="n">
        <f aca="false">solar!C46</f>
        <v>0</v>
      </c>
      <c r="D49" s="6" t="n">
        <v>45</v>
      </c>
      <c r="E49" s="17" t="n">
        <f aca="false">IFERROR(INDEX($B$5:$C$173, MATCH($D49, $B$5:$B$175, 0), 2), 0)*investment!$C$3</f>
        <v>0</v>
      </c>
      <c r="F49" s="18" t="n">
        <f aca="false">demand!D47</f>
        <v>0</v>
      </c>
      <c r="G49" s="3" t="n">
        <f aca="false">solgen!D47</f>
        <v>0</v>
      </c>
      <c r="H49" s="3" t="n">
        <f aca="false">import!D47</f>
        <v>0</v>
      </c>
      <c r="I49" s="3" t="n">
        <f aca="false">-export!D47</f>
        <v>-0</v>
      </c>
      <c r="J49" s="3" t="n">
        <f aca="false">-charge!D47</f>
        <v>-0</v>
      </c>
      <c r="K49" s="3" t="n">
        <f aca="false">discharge!D47</f>
        <v>0</v>
      </c>
      <c r="L49" s="3" t="n">
        <f aca="false">soc!D47/investment!$E$3 *100</f>
        <v>73.3672648097485</v>
      </c>
    </row>
    <row r="50" customFormat="false" ht="13.8" hidden="false" customHeight="false" outlineLevel="0" collapsed="false">
      <c r="B50" s="11" t="n">
        <f aca="false">_xlfn.NUMBERVALUE(solar!B47)</f>
        <v>89</v>
      </c>
      <c r="C50" s="12" t="n">
        <f aca="false">solar!C47</f>
        <v>0</v>
      </c>
      <c r="D50" s="6" t="n">
        <v>46</v>
      </c>
      <c r="E50" s="17" t="n">
        <f aca="false">IFERROR(INDEX($B$5:$C$173, MATCH($D50, $B$5:$B$175, 0), 2), 0)*investment!$C$3</f>
        <v>0</v>
      </c>
      <c r="F50" s="18" t="n">
        <f aca="false">demand!D48</f>
        <v>0</v>
      </c>
      <c r="G50" s="3" t="n">
        <f aca="false">solgen!D48</f>
        <v>0</v>
      </c>
      <c r="H50" s="3" t="n">
        <f aca="false">import!D48</f>
        <v>0</v>
      </c>
      <c r="I50" s="3" t="n">
        <f aca="false">-export!D48</f>
        <v>-0</v>
      </c>
      <c r="J50" s="3" t="n">
        <f aca="false">-charge!D48</f>
        <v>-0</v>
      </c>
      <c r="K50" s="3" t="n">
        <f aca="false">discharge!D48</f>
        <v>0</v>
      </c>
      <c r="L50" s="3" t="n">
        <f aca="false">soc!D48/investment!$E$3 *100</f>
        <v>64.730668392115</v>
      </c>
    </row>
    <row r="51" customFormat="false" ht="13.8" hidden="false" customHeight="false" outlineLevel="0" collapsed="false">
      <c r="B51" s="11" t="n">
        <f aca="false">_xlfn.NUMBERVALUE(solar!B48)</f>
        <v>90</v>
      </c>
      <c r="C51" s="12" t="n">
        <f aca="false">solar!C48</f>
        <v>0</v>
      </c>
      <c r="D51" s="6" t="n">
        <v>47</v>
      </c>
      <c r="E51" s="17" t="n">
        <f aca="false">IFERROR(INDEX($B$5:$C$173, MATCH($D51, $B$5:$B$175, 0), 2), 0)*investment!$C$3</f>
        <v>0</v>
      </c>
      <c r="F51" s="18" t="n">
        <f aca="false">demand!D49</f>
        <v>0</v>
      </c>
      <c r="G51" s="3" t="n">
        <f aca="false">solgen!D49</f>
        <v>0</v>
      </c>
      <c r="H51" s="3" t="n">
        <f aca="false">import!D49</f>
        <v>0</v>
      </c>
      <c r="I51" s="3" t="n">
        <f aca="false">-export!D49</f>
        <v>-0</v>
      </c>
      <c r="J51" s="3" t="n">
        <f aca="false">-charge!D49</f>
        <v>-0</v>
      </c>
      <c r="K51" s="3" t="n">
        <f aca="false">discharge!D49</f>
        <v>0</v>
      </c>
      <c r="L51" s="3" t="n">
        <f aca="false">soc!D49/investment!$E$3 *100</f>
        <v>56.0941583404456</v>
      </c>
    </row>
    <row r="52" customFormat="false" ht="13.8" hidden="false" customHeight="false" outlineLevel="0" collapsed="false">
      <c r="B52" s="11" t="n">
        <f aca="false">_xlfn.NUMBERVALUE(solar!B49)</f>
        <v>91</v>
      </c>
      <c r="C52" s="12" t="n">
        <f aca="false">solar!C49</f>
        <v>0</v>
      </c>
      <c r="D52" s="6" t="n">
        <v>48</v>
      </c>
      <c r="E52" s="17" t="n">
        <f aca="false">IFERROR(INDEX($B$5:$C$173, MATCH($D52, $B$5:$B$175, 0), 2), 0)*investment!$C$3</f>
        <v>0</v>
      </c>
      <c r="F52" s="18" t="n">
        <f aca="false">demand!D50</f>
        <v>0</v>
      </c>
      <c r="G52" s="3" t="n">
        <f aca="false">solgen!D50</f>
        <v>0</v>
      </c>
      <c r="H52" s="3" t="n">
        <f aca="false">import!D50</f>
        <v>0</v>
      </c>
      <c r="I52" s="3" t="n">
        <f aca="false">-export!D50</f>
        <v>-0</v>
      </c>
      <c r="J52" s="3" t="n">
        <f aca="false">-charge!D50</f>
        <v>-0</v>
      </c>
      <c r="K52" s="3" t="n">
        <f aca="false">discharge!D50</f>
        <v>0</v>
      </c>
      <c r="L52" s="3" t="n">
        <f aca="false">soc!D50/investment!$E$3 *100</f>
        <v>50.0484934773724</v>
      </c>
    </row>
    <row r="53" customFormat="false" ht="13.8" hidden="false" customHeight="false" outlineLevel="0" collapsed="false">
      <c r="B53" s="11" t="n">
        <f aca="false">_xlfn.NUMBERVALUE(solar!B50)</f>
        <v>104</v>
      </c>
      <c r="C53" s="12" t="n">
        <f aca="false">solar!C50</f>
        <v>0</v>
      </c>
      <c r="D53" s="6" t="n">
        <v>49</v>
      </c>
      <c r="E53" s="17" t="n">
        <f aca="false">IFERROR(INDEX($B$5:$C$173, MATCH($D53, $B$5:$B$175, 0), 2), 0)*investment!$C$3</f>
        <v>0</v>
      </c>
      <c r="F53" s="18" t="n">
        <f aca="false">demand!D51</f>
        <v>0</v>
      </c>
      <c r="G53" s="3" t="n">
        <f aca="false">solgen!D51</f>
        <v>0</v>
      </c>
      <c r="H53" s="3" t="n">
        <f aca="false">import!D51</f>
        <v>0</v>
      </c>
      <c r="I53" s="3" t="n">
        <f aca="false">-export!D51</f>
        <v>-0</v>
      </c>
      <c r="J53" s="3" t="n">
        <f aca="false">-charge!D51</f>
        <v>-0</v>
      </c>
      <c r="K53" s="3" t="n">
        <f aca="false">discharge!D51</f>
        <v>0</v>
      </c>
      <c r="L53" s="3" t="n">
        <f aca="false">soc!D51/investment!$E$3 *100</f>
        <v>45.8739926656947</v>
      </c>
    </row>
    <row r="54" customFormat="false" ht="13.8" hidden="false" customHeight="false" outlineLevel="0" collapsed="false">
      <c r="B54" s="11" t="n">
        <f aca="false">_xlfn.NUMBERVALUE(solar!B51)</f>
        <v>105</v>
      </c>
      <c r="C54" s="12" t="n">
        <f aca="false">solar!C51</f>
        <v>0</v>
      </c>
      <c r="D54" s="6" t="n">
        <v>50</v>
      </c>
      <c r="E54" s="17" t="n">
        <f aca="false">IFERROR(INDEX($B$5:$C$173, MATCH($D54, $B$5:$B$175, 0), 2), 0)*investment!$C$3</f>
        <v>0</v>
      </c>
      <c r="F54" s="18" t="n">
        <f aca="false">demand!D52</f>
        <v>0</v>
      </c>
      <c r="G54" s="3" t="n">
        <f aca="false">solgen!D52</f>
        <v>0</v>
      </c>
      <c r="H54" s="3" t="n">
        <f aca="false">import!D52</f>
        <v>0</v>
      </c>
      <c r="I54" s="3" t="n">
        <f aca="false">-export!D52</f>
        <v>-0</v>
      </c>
      <c r="J54" s="3" t="n">
        <f aca="false">-charge!D52</f>
        <v>-0</v>
      </c>
      <c r="K54" s="3" t="n">
        <f aca="false">discharge!D52</f>
        <v>0</v>
      </c>
      <c r="L54" s="3" t="n">
        <f aca="false">soc!D52/investment!$E$3 *100</f>
        <v>37.2376711807825</v>
      </c>
    </row>
    <row r="55" customFormat="false" ht="13.8" hidden="false" customHeight="false" outlineLevel="0" collapsed="false">
      <c r="B55" s="11" t="n">
        <f aca="false">_xlfn.NUMBERVALUE(solar!B52)</f>
        <v>106</v>
      </c>
      <c r="C55" s="12" t="n">
        <f aca="false">solar!C52</f>
        <v>0</v>
      </c>
      <c r="D55" s="6" t="n">
        <v>51</v>
      </c>
      <c r="E55" s="17" t="n">
        <f aca="false">IFERROR(INDEX($B$5:$C$173, MATCH($D55, $B$5:$B$175, 0), 2), 0)*investment!$C$3</f>
        <v>0</v>
      </c>
      <c r="F55" s="18" t="n">
        <f aca="false">demand!D53</f>
        <v>0</v>
      </c>
      <c r="G55" s="3" t="n">
        <f aca="false">solgen!D53</f>
        <v>0</v>
      </c>
      <c r="H55" s="3" t="n">
        <f aca="false">import!D53</f>
        <v>0</v>
      </c>
      <c r="I55" s="3" t="n">
        <f aca="false">-export!D53</f>
        <v>-0</v>
      </c>
      <c r="J55" s="3" t="n">
        <f aca="false">-charge!D53</f>
        <v>-0</v>
      </c>
      <c r="K55" s="3" t="n">
        <f aca="false">discharge!D53</f>
        <v>0</v>
      </c>
      <c r="L55" s="3" t="n">
        <f aca="false">soc!D53/investment!$E$3 *100</f>
        <v>28.6014360590853</v>
      </c>
    </row>
    <row r="56" customFormat="false" ht="13.8" hidden="false" customHeight="false" outlineLevel="0" collapsed="false">
      <c r="B56" s="11" t="n">
        <f aca="false">_xlfn.NUMBERVALUE(solar!B53)</f>
        <v>107</v>
      </c>
      <c r="C56" s="12" t="n">
        <f aca="false">solar!C53</f>
        <v>0</v>
      </c>
      <c r="D56" s="6" t="n">
        <v>52</v>
      </c>
      <c r="E56" s="17" t="n">
        <f aca="false">IFERROR(INDEX($B$5:$C$173, MATCH($D56, $B$5:$B$175, 0), 2), 0)*investment!$C$3</f>
        <v>0</v>
      </c>
      <c r="F56" s="18" t="n">
        <f aca="false">demand!D54</f>
        <v>0</v>
      </c>
      <c r="G56" s="3" t="n">
        <f aca="false">solgen!D54</f>
        <v>0</v>
      </c>
      <c r="H56" s="3" t="n">
        <f aca="false">import!D54</f>
        <v>0</v>
      </c>
      <c r="I56" s="3" t="n">
        <f aca="false">-export!D54</f>
        <v>-0</v>
      </c>
      <c r="J56" s="3" t="n">
        <f aca="false">-charge!D54</f>
        <v>-0</v>
      </c>
      <c r="K56" s="3" t="n">
        <f aca="false">discharge!D54</f>
        <v>0</v>
      </c>
      <c r="L56" s="3" t="n">
        <f aca="false">soc!D54/investment!$E$3 *100</f>
        <v>19.9652872997393</v>
      </c>
    </row>
    <row r="57" customFormat="false" ht="13.8" hidden="false" customHeight="false" outlineLevel="0" collapsed="false">
      <c r="B57" s="11" t="n">
        <f aca="false">_xlfn.NUMBERVALUE(solar!B54)</f>
        <v>108</v>
      </c>
      <c r="C57" s="12" t="n">
        <f aca="false">solar!C54</f>
        <v>0</v>
      </c>
      <c r="D57" s="6" t="n">
        <v>53</v>
      </c>
      <c r="E57" s="17" t="n">
        <f aca="false">IFERROR(INDEX($B$5:$C$173, MATCH($D57, $B$5:$B$175, 0), 2), 0)*investment!$C$3</f>
        <v>0</v>
      </c>
      <c r="F57" s="18" t="n">
        <f aca="false">demand!D55</f>
        <v>0</v>
      </c>
      <c r="G57" s="3" t="n">
        <f aca="false">solgen!D55</f>
        <v>0</v>
      </c>
      <c r="H57" s="3" t="n">
        <f aca="false">import!D55</f>
        <v>0</v>
      </c>
      <c r="I57" s="3" t="n">
        <f aca="false">-export!D55</f>
        <v>-0</v>
      </c>
      <c r="J57" s="3" t="n">
        <f aca="false">-charge!D55</f>
        <v>-0</v>
      </c>
      <c r="K57" s="3" t="n">
        <f aca="false">discharge!D55</f>
        <v>0</v>
      </c>
      <c r="L57" s="3" t="n">
        <f aca="false">soc!D55/investment!$E$3 *100</f>
        <v>11.3292249018809</v>
      </c>
    </row>
    <row r="58" customFormat="false" ht="13.8" hidden="false" customHeight="false" outlineLevel="0" collapsed="false">
      <c r="B58" s="11" t="n">
        <f aca="false">_xlfn.NUMBERVALUE(solar!B55)</f>
        <v>109</v>
      </c>
      <c r="C58" s="12" t="n">
        <f aca="false">solar!C55</f>
        <v>0</v>
      </c>
      <c r="D58" s="6" t="n">
        <v>54</v>
      </c>
      <c r="E58" s="17" t="n">
        <f aca="false">IFERROR(INDEX($B$5:$C$173, MATCH($D58, $B$5:$B$175, 0), 2), 0)*investment!$C$3</f>
        <v>0</v>
      </c>
      <c r="F58" s="18" t="n">
        <f aca="false">demand!D56</f>
        <v>0</v>
      </c>
      <c r="G58" s="3" t="n">
        <f aca="false">solgen!D56</f>
        <v>0</v>
      </c>
      <c r="H58" s="3" t="n">
        <f aca="false">import!D56</f>
        <v>0</v>
      </c>
      <c r="I58" s="3" t="n">
        <f aca="false">-export!D56</f>
        <v>-0</v>
      </c>
      <c r="J58" s="3" t="n">
        <f aca="false">-charge!D56</f>
        <v>-0</v>
      </c>
      <c r="K58" s="3" t="n">
        <f aca="false">discharge!D56</f>
        <v>0</v>
      </c>
      <c r="L58" s="3" t="n">
        <f aca="false">soc!D56/investment!$E$3 *100</f>
        <v>3.07771197539503</v>
      </c>
    </row>
    <row r="59" customFormat="false" ht="13.8" hidden="false" customHeight="false" outlineLevel="0" collapsed="false">
      <c r="B59" s="11" t="n">
        <f aca="false">_xlfn.NUMBERVALUE(solar!B56)</f>
        <v>110</v>
      </c>
      <c r="C59" s="12" t="n">
        <f aca="false">solar!C56</f>
        <v>0</v>
      </c>
      <c r="D59" s="6" t="n">
        <v>55</v>
      </c>
      <c r="E59" s="17" t="n">
        <f aca="false">IFERROR(INDEX($B$5:$C$173, MATCH($D59, $B$5:$B$175, 0), 2), 0)*investment!$C$3</f>
        <v>0</v>
      </c>
      <c r="F59" s="18" t="n">
        <f aca="false">demand!D57</f>
        <v>0</v>
      </c>
      <c r="G59" s="3" t="n">
        <f aca="false">solgen!D57</f>
        <v>0</v>
      </c>
      <c r="H59" s="3" t="n">
        <f aca="false">import!D57</f>
        <v>0</v>
      </c>
      <c r="I59" s="3" t="n">
        <f aca="false">-export!D57</f>
        <v>-0</v>
      </c>
      <c r="J59" s="3" t="n">
        <f aca="false">-charge!D57</f>
        <v>-0</v>
      </c>
      <c r="K59" s="3" t="n">
        <f aca="false">discharge!D57</f>
        <v>0</v>
      </c>
      <c r="L59" s="3" t="n">
        <f aca="false">soc!D57/investment!$E$3 *100</f>
        <v>0</v>
      </c>
    </row>
    <row r="60" customFormat="false" ht="13.8" hidden="false" customHeight="false" outlineLevel="0" collapsed="false">
      <c r="B60" s="11" t="n">
        <f aca="false">_xlfn.NUMBERVALUE(solar!B57)</f>
        <v>111</v>
      </c>
      <c r="C60" s="12" t="n">
        <f aca="false">solar!C57</f>
        <v>0</v>
      </c>
      <c r="D60" s="6" t="n">
        <v>56</v>
      </c>
      <c r="E60" s="17" t="n">
        <f aca="false">IFERROR(INDEX($B$5:$C$173, MATCH($D60, $B$5:$B$175, 0), 2), 0)*investment!$C$3</f>
        <v>0</v>
      </c>
      <c r="F60" s="18" t="n">
        <f aca="false">demand!D58</f>
        <v>0</v>
      </c>
      <c r="G60" s="3" t="n">
        <f aca="false">solgen!D58</f>
        <v>0</v>
      </c>
      <c r="H60" s="3" t="n">
        <f aca="false">import!D58</f>
        <v>0</v>
      </c>
      <c r="I60" s="3" t="n">
        <f aca="false">-export!D58</f>
        <v>-0</v>
      </c>
      <c r="J60" s="3" t="n">
        <f aca="false">-charge!D58</f>
        <v>-0</v>
      </c>
      <c r="K60" s="3" t="n">
        <f aca="false">discharge!D58</f>
        <v>0</v>
      </c>
      <c r="L60" s="3" t="n">
        <f aca="false">soc!D58/investment!$E$3 *100</f>
        <v>0</v>
      </c>
    </row>
    <row r="61" customFormat="false" ht="13.8" hidden="false" customHeight="false" outlineLevel="0" collapsed="false">
      <c r="B61" s="11" t="n">
        <f aca="false">_xlfn.NUMBERVALUE(solar!B58)</f>
        <v>112</v>
      </c>
      <c r="C61" s="12" t="n">
        <f aca="false">solar!C58</f>
        <v>0</v>
      </c>
      <c r="D61" s="6" t="n">
        <v>57</v>
      </c>
      <c r="E61" s="17" t="n">
        <f aca="false">IFERROR(INDEX($B$5:$C$173, MATCH($D61, $B$5:$B$175, 0), 2), 0)*investment!$C$3</f>
        <v>0</v>
      </c>
      <c r="F61" s="18" t="n">
        <f aca="false">demand!D59</f>
        <v>0</v>
      </c>
      <c r="G61" s="3" t="n">
        <f aca="false">solgen!D59</f>
        <v>0</v>
      </c>
      <c r="H61" s="3" t="n">
        <f aca="false">import!D59</f>
        <v>0</v>
      </c>
      <c r="I61" s="3" t="n">
        <f aca="false">-export!D59</f>
        <v>-0</v>
      </c>
      <c r="J61" s="3" t="n">
        <f aca="false">-charge!D59</f>
        <v>-0</v>
      </c>
      <c r="K61" s="3" t="n">
        <f aca="false">discharge!D59</f>
        <v>0</v>
      </c>
      <c r="L61" s="3" t="n">
        <f aca="false">soc!D59/investment!$E$3 *100</f>
        <v>0</v>
      </c>
    </row>
    <row r="62" customFormat="false" ht="13.8" hidden="false" customHeight="false" outlineLevel="0" collapsed="false">
      <c r="B62" s="11" t="n">
        <f aca="false">_xlfn.NUMBERVALUE(solar!B59)</f>
        <v>113</v>
      </c>
      <c r="C62" s="12" t="n">
        <f aca="false">solar!C59</f>
        <v>0</v>
      </c>
      <c r="D62" s="6" t="n">
        <v>58</v>
      </c>
      <c r="E62" s="17" t="n">
        <f aca="false">IFERROR(INDEX($B$5:$C$173, MATCH($D62, $B$5:$B$175, 0), 2), 0)*investment!$C$3</f>
        <v>0</v>
      </c>
      <c r="F62" s="18" t="n">
        <f aca="false">demand!D60</f>
        <v>0</v>
      </c>
      <c r="G62" s="3" t="n">
        <f aca="false">solgen!D60</f>
        <v>0</v>
      </c>
      <c r="H62" s="3" t="n">
        <f aca="false">import!D60</f>
        <v>0</v>
      </c>
      <c r="I62" s="3" t="n">
        <f aca="false">-export!D60</f>
        <v>-0</v>
      </c>
      <c r="J62" s="3" t="n">
        <f aca="false">-charge!D60</f>
        <v>-0</v>
      </c>
      <c r="K62" s="3" t="n">
        <f aca="false">discharge!D60</f>
        <v>0</v>
      </c>
      <c r="L62" s="3" t="n">
        <f aca="false">soc!D60/investment!$E$3 *100</f>
        <v>0</v>
      </c>
    </row>
    <row r="63" customFormat="false" ht="13.8" hidden="false" customHeight="false" outlineLevel="0" collapsed="false">
      <c r="B63" s="11" t="n">
        <f aca="false">_xlfn.NUMBERVALUE(solar!B60)</f>
        <v>114</v>
      </c>
      <c r="C63" s="12" t="n">
        <f aca="false">solar!C60</f>
        <v>0</v>
      </c>
      <c r="D63" s="6" t="n">
        <v>59</v>
      </c>
      <c r="E63" s="17" t="n">
        <f aca="false">IFERROR(INDEX($B$5:$C$173, MATCH($D63, $B$5:$B$175, 0), 2), 0)*investment!$C$3</f>
        <v>0</v>
      </c>
      <c r="F63" s="18" t="n">
        <f aca="false">demand!D61</f>
        <v>0</v>
      </c>
      <c r="G63" s="3" t="n">
        <f aca="false">solgen!D61</f>
        <v>0</v>
      </c>
      <c r="H63" s="3" t="n">
        <f aca="false">import!D61</f>
        <v>0</v>
      </c>
      <c r="I63" s="3" t="n">
        <f aca="false">-export!D61</f>
        <v>-0</v>
      </c>
      <c r="J63" s="3" t="n">
        <f aca="false">-charge!D61</f>
        <v>-0</v>
      </c>
      <c r="K63" s="3" t="n">
        <f aca="false">discharge!D61</f>
        <v>0</v>
      </c>
      <c r="L63" s="3" t="n">
        <f aca="false">soc!D61/investment!$E$3 *100</f>
        <v>0</v>
      </c>
    </row>
    <row r="64" customFormat="false" ht="13.8" hidden="false" customHeight="false" outlineLevel="0" collapsed="false">
      <c r="B64" s="11" t="n">
        <f aca="false">_xlfn.NUMBERVALUE(solar!B61)</f>
        <v>115</v>
      </c>
      <c r="C64" s="12" t="n">
        <f aca="false">solar!C61</f>
        <v>0</v>
      </c>
      <c r="D64" s="6" t="n">
        <v>60</v>
      </c>
      <c r="E64" s="17" t="n">
        <f aca="false">IFERROR(INDEX($B$5:$C$173, MATCH($D64, $B$5:$B$175, 0), 2), 0)*investment!$C$3</f>
        <v>0</v>
      </c>
      <c r="F64" s="18" t="n">
        <f aca="false">demand!D62</f>
        <v>0</v>
      </c>
      <c r="G64" s="3" t="n">
        <f aca="false">solgen!D62</f>
        <v>0</v>
      </c>
      <c r="H64" s="3" t="n">
        <f aca="false">import!D62</f>
        <v>0</v>
      </c>
      <c r="I64" s="3" t="n">
        <f aca="false">-export!D62</f>
        <v>-0</v>
      </c>
      <c r="J64" s="3" t="n">
        <f aca="false">-charge!D62</f>
        <v>-0</v>
      </c>
      <c r="K64" s="3" t="n">
        <f aca="false">discharge!D62</f>
        <v>0</v>
      </c>
      <c r="L64" s="3" t="n">
        <f aca="false">soc!D62/investment!$E$3 *100</f>
        <v>14.2310836481103</v>
      </c>
    </row>
    <row r="65" customFormat="false" ht="13.8" hidden="false" customHeight="false" outlineLevel="0" collapsed="false">
      <c r="B65" s="11" t="n">
        <f aca="false">_xlfn.NUMBERVALUE(solar!B62)</f>
        <v>128</v>
      </c>
      <c r="C65" s="12" t="n">
        <f aca="false">solar!C62</f>
        <v>0</v>
      </c>
      <c r="D65" s="6" t="n">
        <v>61</v>
      </c>
      <c r="E65" s="17" t="n">
        <f aca="false">IFERROR(INDEX($B$5:$C$173, MATCH($D65, $B$5:$B$175, 0), 2), 0)*investment!$C$3</f>
        <v>0</v>
      </c>
      <c r="F65" s="18" t="n">
        <f aca="false">demand!D63</f>
        <v>0</v>
      </c>
      <c r="G65" s="3" t="n">
        <f aca="false">solgen!D63</f>
        <v>0</v>
      </c>
      <c r="H65" s="3" t="n">
        <f aca="false">import!D63</f>
        <v>0</v>
      </c>
      <c r="I65" s="3" t="n">
        <f aca="false">-export!D63</f>
        <v>-0</v>
      </c>
      <c r="J65" s="3" t="n">
        <f aca="false">-charge!D63</f>
        <v>-0</v>
      </c>
      <c r="K65" s="3" t="n">
        <f aca="false">discharge!D63</f>
        <v>0</v>
      </c>
      <c r="L65" s="3" t="n">
        <f aca="false">soc!D63/investment!$E$3 *100</f>
        <v>38.8466687756737</v>
      </c>
    </row>
    <row r="66" customFormat="false" ht="13.8" hidden="false" customHeight="false" outlineLevel="0" collapsed="false">
      <c r="B66" s="11" t="n">
        <f aca="false">_xlfn.NUMBERVALUE(solar!B63)</f>
        <v>129</v>
      </c>
      <c r="C66" s="12" t="n">
        <f aca="false">solar!C63</f>
        <v>0</v>
      </c>
      <c r="D66" s="6" t="n">
        <v>62</v>
      </c>
      <c r="E66" s="17" t="n">
        <f aca="false">IFERROR(INDEX($B$5:$C$173, MATCH($D66, $B$5:$B$175, 0), 2), 0)*investment!$C$3</f>
        <v>0</v>
      </c>
      <c r="F66" s="18" t="n">
        <f aca="false">demand!D64</f>
        <v>0</v>
      </c>
      <c r="G66" s="3" t="n">
        <f aca="false">solgen!D64</f>
        <v>0</v>
      </c>
      <c r="H66" s="3" t="n">
        <f aca="false">import!D64</f>
        <v>0</v>
      </c>
      <c r="I66" s="3" t="n">
        <f aca="false">-export!D64</f>
        <v>-0</v>
      </c>
      <c r="J66" s="3" t="n">
        <f aca="false">-charge!D64</f>
        <v>-0</v>
      </c>
      <c r="K66" s="3" t="n">
        <f aca="false">discharge!D64</f>
        <v>0</v>
      </c>
      <c r="L66" s="3" t="n">
        <f aca="false">soc!D64/investment!$E$3 *100</f>
        <v>61.6154982547708</v>
      </c>
    </row>
    <row r="67" customFormat="false" ht="13.8" hidden="false" customHeight="false" outlineLevel="0" collapsed="false">
      <c r="B67" s="11" t="n">
        <f aca="false">_xlfn.NUMBERVALUE(solar!B64)</f>
        <v>130</v>
      </c>
      <c r="C67" s="12" t="n">
        <f aca="false">solar!C64</f>
        <v>0</v>
      </c>
      <c r="D67" s="6" t="n">
        <v>63</v>
      </c>
      <c r="E67" s="17" t="n">
        <f aca="false">IFERROR(INDEX($B$5:$C$173, MATCH($D67, $B$5:$B$175, 0), 2), 0)*investment!$C$3</f>
        <v>0</v>
      </c>
      <c r="F67" s="18" t="n">
        <f aca="false">demand!D65</f>
        <v>0</v>
      </c>
      <c r="G67" s="3" t="n">
        <f aca="false">solgen!D65</f>
        <v>0</v>
      </c>
      <c r="H67" s="3" t="n">
        <f aca="false">import!D65</f>
        <v>0</v>
      </c>
      <c r="I67" s="3" t="n">
        <f aca="false">-export!D65</f>
        <v>-0</v>
      </c>
      <c r="J67" s="3" t="n">
        <f aca="false">-charge!D65</f>
        <v>-0</v>
      </c>
      <c r="K67" s="3" t="n">
        <f aca="false">discharge!D65</f>
        <v>0</v>
      </c>
      <c r="L67" s="3" t="n">
        <f aca="false">soc!D65/investment!$E$3 *100</f>
        <v>80.7358656440441</v>
      </c>
    </row>
    <row r="68" customFormat="false" ht="13.8" hidden="false" customHeight="false" outlineLevel="0" collapsed="false">
      <c r="B68" s="11" t="n">
        <f aca="false">_xlfn.NUMBERVALUE(solar!B65)</f>
        <v>131</v>
      </c>
      <c r="C68" s="12" t="n">
        <f aca="false">solar!C65</f>
        <v>0</v>
      </c>
      <c r="D68" s="6" t="n">
        <v>64</v>
      </c>
      <c r="E68" s="17" t="n">
        <f aca="false">IFERROR(INDEX($B$5:$C$173, MATCH($D68, $B$5:$B$175, 0), 2), 0)*investment!$C$3</f>
        <v>0</v>
      </c>
      <c r="F68" s="18" t="n">
        <f aca="false">demand!D66</f>
        <v>0</v>
      </c>
      <c r="G68" s="3" t="n">
        <f aca="false">solgen!D66</f>
        <v>0</v>
      </c>
      <c r="H68" s="3" t="n">
        <f aca="false">import!D66</f>
        <v>0</v>
      </c>
      <c r="I68" s="3" t="n">
        <f aca="false">-export!D66</f>
        <v>-0</v>
      </c>
      <c r="J68" s="3" t="n">
        <f aca="false">-charge!D66</f>
        <v>-0</v>
      </c>
      <c r="K68" s="3" t="n">
        <f aca="false">discharge!D66</f>
        <v>0</v>
      </c>
      <c r="L68" s="3" t="n">
        <f aca="false">soc!D66/investment!$E$3 *100</f>
        <v>91.5054694096387</v>
      </c>
    </row>
    <row r="69" customFormat="false" ht="13.8" hidden="false" customHeight="false" outlineLevel="0" collapsed="false">
      <c r="B69" s="11" t="n">
        <f aca="false">_xlfn.NUMBERVALUE(solar!B66)</f>
        <v>132</v>
      </c>
      <c r="C69" s="12" t="n">
        <f aca="false">solar!C66</f>
        <v>0</v>
      </c>
      <c r="D69" s="6" t="n">
        <v>65</v>
      </c>
      <c r="E69" s="17" t="n">
        <f aca="false">IFERROR(INDEX($B$5:$C$173, MATCH($D69, $B$5:$B$175, 0), 2), 0)*investment!$C$3</f>
        <v>0</v>
      </c>
      <c r="F69" s="18" t="n">
        <f aca="false">demand!D67</f>
        <v>0</v>
      </c>
      <c r="G69" s="3" t="n">
        <f aca="false">solgen!D67</f>
        <v>0</v>
      </c>
      <c r="H69" s="3" t="n">
        <f aca="false">import!D67</f>
        <v>0</v>
      </c>
      <c r="I69" s="3" t="n">
        <f aca="false">-export!D67</f>
        <v>-0</v>
      </c>
      <c r="J69" s="3" t="n">
        <f aca="false">-charge!D67</f>
        <v>-0</v>
      </c>
      <c r="K69" s="3" t="n">
        <f aca="false">discharge!D67</f>
        <v>0</v>
      </c>
      <c r="L69" s="3" t="n">
        <f aca="false">soc!D67/investment!$E$3 *100</f>
        <v>93.1189628746396</v>
      </c>
    </row>
    <row r="70" customFormat="false" ht="13.8" hidden="false" customHeight="false" outlineLevel="0" collapsed="false">
      <c r="B70" s="11" t="n">
        <f aca="false">_xlfn.NUMBERVALUE(solar!B67)</f>
        <v>133</v>
      </c>
      <c r="C70" s="12" t="n">
        <f aca="false">solar!C67</f>
        <v>0</v>
      </c>
      <c r="D70" s="6" t="n">
        <v>66</v>
      </c>
      <c r="E70" s="17" t="n">
        <f aca="false">IFERROR(INDEX($B$5:$C$173, MATCH($D70, $B$5:$B$175, 0), 2), 0)*investment!$C$3</f>
        <v>0</v>
      </c>
      <c r="F70" s="18" t="n">
        <f aca="false">demand!D68</f>
        <v>0</v>
      </c>
      <c r="G70" s="3" t="n">
        <f aca="false">solgen!D68</f>
        <v>0</v>
      </c>
      <c r="H70" s="3" t="n">
        <f aca="false">import!D68</f>
        <v>0</v>
      </c>
      <c r="I70" s="3" t="n">
        <f aca="false">-export!D68</f>
        <v>-0</v>
      </c>
      <c r="J70" s="3" t="n">
        <f aca="false">-charge!D68</f>
        <v>-0</v>
      </c>
      <c r="K70" s="3" t="n">
        <f aca="false">discharge!D68</f>
        <v>0</v>
      </c>
      <c r="L70" s="3" t="n">
        <f aca="false">soc!D68/investment!$E$3 *100</f>
        <v>92.3397926455367</v>
      </c>
    </row>
    <row r="71" customFormat="false" ht="13.8" hidden="false" customHeight="false" outlineLevel="0" collapsed="false">
      <c r="B71" s="11" t="n">
        <f aca="false">_xlfn.NUMBERVALUE(solar!B68)</f>
        <v>134</v>
      </c>
      <c r="C71" s="12" t="n">
        <f aca="false">solar!C68</f>
        <v>0</v>
      </c>
      <c r="D71" s="6" t="n">
        <v>67</v>
      </c>
      <c r="E71" s="17" t="n">
        <f aca="false">IFERROR(INDEX($B$5:$C$173, MATCH($D71, $B$5:$B$175, 0), 2), 0)*investment!$C$3</f>
        <v>0</v>
      </c>
      <c r="F71" s="18" t="n">
        <f aca="false">demand!D69</f>
        <v>0</v>
      </c>
      <c r="G71" s="3" t="n">
        <f aca="false">solgen!D69</f>
        <v>0</v>
      </c>
      <c r="H71" s="3" t="n">
        <f aca="false">import!D69</f>
        <v>0</v>
      </c>
      <c r="I71" s="3" t="n">
        <f aca="false">-export!D69</f>
        <v>-0</v>
      </c>
      <c r="J71" s="3" t="n">
        <f aca="false">-charge!D69</f>
        <v>-0</v>
      </c>
      <c r="K71" s="3" t="n">
        <f aca="false">discharge!D69</f>
        <v>0</v>
      </c>
      <c r="L71" s="3" t="n">
        <f aca="false">soc!D69/investment!$E$3 *100</f>
        <v>83.7030065026248</v>
      </c>
    </row>
    <row r="72" customFormat="false" ht="13.8" hidden="false" customHeight="false" outlineLevel="0" collapsed="false">
      <c r="B72" s="11" t="n">
        <f aca="false">_xlfn.NUMBERVALUE(solar!B69)</f>
        <v>135</v>
      </c>
      <c r="C72" s="12" t="n">
        <f aca="false">solar!C69</f>
        <v>0</v>
      </c>
      <c r="D72" s="6" t="n">
        <v>68</v>
      </c>
      <c r="E72" s="17" t="n">
        <f aca="false">IFERROR(INDEX($B$5:$C$173, MATCH($D72, $B$5:$B$175, 0), 2), 0)*investment!$C$3</f>
        <v>0</v>
      </c>
      <c r="F72" s="18" t="n">
        <f aca="false">demand!D70</f>
        <v>0</v>
      </c>
      <c r="G72" s="3" t="n">
        <f aca="false">solgen!D70</f>
        <v>0</v>
      </c>
      <c r="H72" s="3" t="n">
        <f aca="false">import!D70</f>
        <v>0</v>
      </c>
      <c r="I72" s="3" t="n">
        <f aca="false">-export!D70</f>
        <v>-0</v>
      </c>
      <c r="J72" s="3" t="n">
        <f aca="false">-charge!D70</f>
        <v>-0</v>
      </c>
      <c r="K72" s="3" t="n">
        <f aca="false">discharge!D70</f>
        <v>0</v>
      </c>
      <c r="L72" s="3" t="n">
        <f aca="false">soc!D70/investment!$E$3 *100</f>
        <v>75.0663067275743</v>
      </c>
    </row>
    <row r="73" customFormat="false" ht="13.8" hidden="false" customHeight="false" outlineLevel="0" collapsed="false">
      <c r="B73" s="11" t="n">
        <f aca="false">_xlfn.NUMBERVALUE(solar!B70)</f>
        <v>136</v>
      </c>
      <c r="C73" s="12" t="n">
        <f aca="false">solar!C70</f>
        <v>0</v>
      </c>
      <c r="D73" s="6" t="n">
        <v>69</v>
      </c>
      <c r="E73" s="17" t="n">
        <f aca="false">IFERROR(INDEX($B$5:$C$173, MATCH($D73, $B$5:$B$175, 0), 2), 0)*investment!$C$3</f>
        <v>0</v>
      </c>
      <c r="F73" s="18" t="n">
        <f aca="false">demand!D71</f>
        <v>0</v>
      </c>
      <c r="G73" s="3" t="n">
        <f aca="false">solgen!D71</f>
        <v>0</v>
      </c>
      <c r="H73" s="3" t="n">
        <f aca="false">import!D71</f>
        <v>0</v>
      </c>
      <c r="I73" s="3" t="n">
        <f aca="false">-export!D71</f>
        <v>-0</v>
      </c>
      <c r="J73" s="3" t="n">
        <f aca="false">-charge!D71</f>
        <v>-0</v>
      </c>
      <c r="K73" s="3" t="n">
        <f aca="false">discharge!D71</f>
        <v>0</v>
      </c>
      <c r="L73" s="3" t="n">
        <f aca="false">soc!D71/investment!$E$3 *100</f>
        <v>66.4296933195216</v>
      </c>
    </row>
    <row r="74" customFormat="false" ht="13.8" hidden="false" customHeight="false" outlineLevel="0" collapsed="false">
      <c r="B74" s="11" t="n">
        <f aca="false">_xlfn.NUMBERVALUE(solar!B71)</f>
        <v>137</v>
      </c>
      <c r="C74" s="12" t="n">
        <f aca="false">solar!C71</f>
        <v>0</v>
      </c>
      <c r="D74" s="6" t="n">
        <v>70</v>
      </c>
      <c r="E74" s="17" t="n">
        <f aca="false">IFERROR(INDEX($B$5:$C$173, MATCH($D74, $B$5:$B$175, 0), 2), 0)*investment!$C$3</f>
        <v>0</v>
      </c>
      <c r="F74" s="18" t="n">
        <f aca="false">demand!D72</f>
        <v>0</v>
      </c>
      <c r="G74" s="3" t="n">
        <f aca="false">solgen!D72</f>
        <v>0</v>
      </c>
      <c r="H74" s="3" t="n">
        <f aca="false">import!D72</f>
        <v>0</v>
      </c>
      <c r="I74" s="3" t="n">
        <f aca="false">-export!D72</f>
        <v>-0</v>
      </c>
      <c r="J74" s="3" t="n">
        <f aca="false">-charge!D72</f>
        <v>-0</v>
      </c>
      <c r="K74" s="3" t="n">
        <f aca="false">discharge!D72</f>
        <v>0</v>
      </c>
      <c r="L74" s="3" t="n">
        <f aca="false">soc!D72/investment!$E$3 *100</f>
        <v>57.793166277603</v>
      </c>
    </row>
    <row r="75" customFormat="false" ht="13.8" hidden="false" customHeight="false" outlineLevel="0" collapsed="false">
      <c r="B75" s="11" t="n">
        <f aca="false">_xlfn.NUMBERVALUE(solar!B72)</f>
        <v>138</v>
      </c>
      <c r="C75" s="12" t="n">
        <f aca="false">solar!C72</f>
        <v>0</v>
      </c>
      <c r="D75" s="6" t="n">
        <v>71</v>
      </c>
      <c r="E75" s="17" t="n">
        <f aca="false">IFERROR(INDEX($B$5:$C$173, MATCH($D75, $B$5:$B$175, 0), 2), 0)*investment!$C$3</f>
        <v>0</v>
      </c>
      <c r="F75" s="18" t="n">
        <f aca="false">demand!D73</f>
        <v>0</v>
      </c>
      <c r="G75" s="3" t="n">
        <f aca="false">solgen!D73</f>
        <v>0</v>
      </c>
      <c r="H75" s="3" t="n">
        <f aca="false">import!D73</f>
        <v>0</v>
      </c>
      <c r="I75" s="3" t="n">
        <f aca="false">-export!D73</f>
        <v>-0</v>
      </c>
      <c r="J75" s="3" t="n">
        <f aca="false">-charge!D73</f>
        <v>-0</v>
      </c>
      <c r="K75" s="3" t="n">
        <f aca="false">discharge!D73</f>
        <v>0</v>
      </c>
      <c r="L75" s="3" t="n">
        <f aca="false">soc!D73/investment!$E$3 *100</f>
        <v>49.1567256009548</v>
      </c>
    </row>
    <row r="76" customFormat="false" ht="13.8" hidden="false" customHeight="false" outlineLevel="0" collapsed="false">
      <c r="B76" s="11" t="n">
        <f aca="false">_xlfn.NUMBERVALUE(solar!B73)</f>
        <v>139</v>
      </c>
      <c r="C76" s="12" t="n">
        <f aca="false">solar!C73</f>
        <v>0</v>
      </c>
      <c r="D76" s="6" t="n">
        <v>72</v>
      </c>
      <c r="E76" s="17" t="n">
        <f aca="false">IFERROR(INDEX($B$5:$C$173, MATCH($D76, $B$5:$B$175, 0), 2), 0)*investment!$C$3</f>
        <v>0</v>
      </c>
      <c r="F76" s="18" t="n">
        <f aca="false">demand!D74</f>
        <v>0</v>
      </c>
      <c r="G76" s="3" t="n">
        <f aca="false">solgen!D74</f>
        <v>0</v>
      </c>
      <c r="H76" s="3" t="n">
        <f aca="false">import!D74</f>
        <v>0</v>
      </c>
      <c r="I76" s="3" t="n">
        <f aca="false">-export!D74</f>
        <v>-0</v>
      </c>
      <c r="J76" s="3" t="n">
        <f aca="false">-charge!D74</f>
        <v>-0</v>
      </c>
      <c r="K76" s="3" t="n">
        <f aca="false">discharge!D74</f>
        <v>0</v>
      </c>
      <c r="L76" s="3" t="n">
        <f aca="false">soc!D74/investment!$E$3 *100</f>
        <v>40.5203712887133</v>
      </c>
    </row>
    <row r="77" customFormat="false" ht="13.8" hidden="false" customHeight="false" outlineLevel="0" collapsed="false">
      <c r="B77" s="11" t="n">
        <f aca="false">_xlfn.NUMBERVALUE(solar!B74)</f>
        <v>152</v>
      </c>
      <c r="C77" s="12" t="n">
        <f aca="false">solar!C74</f>
        <v>0</v>
      </c>
      <c r="D77" s="6" t="n">
        <v>73</v>
      </c>
      <c r="E77" s="17" t="n">
        <f aca="false">IFERROR(INDEX($B$5:$C$173, MATCH($D77, $B$5:$B$175, 0), 2), 0)*investment!$C$3</f>
        <v>0</v>
      </c>
      <c r="F77" s="18" t="n">
        <f aca="false">demand!D75</f>
        <v>0</v>
      </c>
      <c r="G77" s="3" t="n">
        <f aca="false">solgen!D75</f>
        <v>0</v>
      </c>
      <c r="H77" s="3" t="n">
        <f aca="false">import!D75</f>
        <v>0</v>
      </c>
      <c r="I77" s="3" t="n">
        <f aca="false">-export!D75</f>
        <v>-0</v>
      </c>
      <c r="J77" s="3" t="n">
        <f aca="false">-charge!D75</f>
        <v>-0</v>
      </c>
      <c r="K77" s="3" t="n">
        <f aca="false">discharge!D75</f>
        <v>0</v>
      </c>
      <c r="L77" s="3" t="n">
        <f aca="false">soc!D75/investment!$E$3 *100</f>
        <v>35.4823794837589</v>
      </c>
    </row>
    <row r="78" customFormat="false" ht="13.8" hidden="false" customHeight="false" outlineLevel="0" collapsed="false">
      <c r="B78" s="11" t="n">
        <f aca="false">_xlfn.NUMBERVALUE(solar!B75)</f>
        <v>153</v>
      </c>
      <c r="C78" s="12" t="n">
        <f aca="false">solar!C75</f>
        <v>0</v>
      </c>
      <c r="D78" s="6" t="n">
        <v>74</v>
      </c>
      <c r="E78" s="17" t="n">
        <f aca="false">IFERROR(INDEX($B$5:$C$173, MATCH($D78, $B$5:$B$175, 0), 2), 0)*investment!$C$3</f>
        <v>0</v>
      </c>
      <c r="F78" s="18" t="n">
        <f aca="false">demand!D76</f>
        <v>0</v>
      </c>
      <c r="G78" s="3" t="n">
        <f aca="false">solgen!D76</f>
        <v>0</v>
      </c>
      <c r="H78" s="3" t="n">
        <f aca="false">import!D76</f>
        <v>0</v>
      </c>
      <c r="I78" s="3" t="n">
        <f aca="false">-export!D76</f>
        <v>-0</v>
      </c>
      <c r="J78" s="3" t="n">
        <f aca="false">-charge!D76</f>
        <v>-0</v>
      </c>
      <c r="K78" s="3" t="n">
        <f aca="false">discharge!D76</f>
        <v>0</v>
      </c>
      <c r="L78" s="3" t="n">
        <f aca="false">soc!D76/investment!$E$3 *100</f>
        <v>26.8461619149787</v>
      </c>
    </row>
    <row r="79" customFormat="false" ht="13.8" hidden="false" customHeight="false" outlineLevel="0" collapsed="false">
      <c r="B79" s="11" t="n">
        <f aca="false">_xlfn.NUMBERVALUE(solar!B76)</f>
        <v>154</v>
      </c>
      <c r="C79" s="12" t="n">
        <f aca="false">solar!C76</f>
        <v>0</v>
      </c>
      <c r="D79" s="6" t="n">
        <v>75</v>
      </c>
      <c r="E79" s="17" t="n">
        <f aca="false">IFERROR(INDEX($B$5:$C$173, MATCH($D79, $B$5:$B$175, 0), 2), 0)*investment!$C$3</f>
        <v>0</v>
      </c>
      <c r="F79" s="18" t="n">
        <f aca="false">demand!D77</f>
        <v>0</v>
      </c>
      <c r="G79" s="3" t="n">
        <f aca="false">solgen!D77</f>
        <v>0</v>
      </c>
      <c r="H79" s="3" t="n">
        <f aca="false">import!D77</f>
        <v>0</v>
      </c>
      <c r="I79" s="3" t="n">
        <f aca="false">-export!D77</f>
        <v>-0</v>
      </c>
      <c r="J79" s="3" t="n">
        <f aca="false">-charge!D77</f>
        <v>-0</v>
      </c>
      <c r="K79" s="3" t="n">
        <f aca="false">discharge!D77</f>
        <v>0</v>
      </c>
      <c r="L79" s="3" t="n">
        <f aca="false">soc!D77/investment!$E$3 *100</f>
        <v>18.2100307083741</v>
      </c>
    </row>
    <row r="80" customFormat="false" ht="13.8" hidden="false" customHeight="false" outlineLevel="0" collapsed="false">
      <c r="B80" s="11" t="n">
        <f aca="false">_xlfn.NUMBERVALUE(solar!B77)</f>
        <v>155</v>
      </c>
      <c r="C80" s="12" t="n">
        <f aca="false">solar!C77</f>
        <v>0</v>
      </c>
      <c r="D80" s="6" t="n">
        <v>76</v>
      </c>
      <c r="E80" s="17" t="n">
        <f aca="false">IFERROR(INDEX($B$5:$C$173, MATCH($D80, $B$5:$B$175, 0), 2), 0)*investment!$C$3</f>
        <v>0</v>
      </c>
      <c r="F80" s="18" t="n">
        <f aca="false">demand!D78</f>
        <v>0</v>
      </c>
      <c r="G80" s="3" t="n">
        <f aca="false">solgen!D78</f>
        <v>0</v>
      </c>
      <c r="H80" s="3" t="n">
        <f aca="false">import!D78</f>
        <v>0</v>
      </c>
      <c r="I80" s="3" t="n">
        <f aca="false">-export!D78</f>
        <v>-0</v>
      </c>
      <c r="J80" s="3" t="n">
        <f aca="false">-charge!D78</f>
        <v>-0</v>
      </c>
      <c r="K80" s="3" t="n">
        <f aca="false">discharge!D78</f>
        <v>0</v>
      </c>
      <c r="L80" s="3" t="n">
        <f aca="false">soc!D78/investment!$E$3 *100</f>
        <v>9.57398586308157</v>
      </c>
    </row>
    <row r="81" customFormat="false" ht="13.8" hidden="false" customHeight="false" outlineLevel="0" collapsed="false">
      <c r="B81" s="11" t="n">
        <f aca="false">_xlfn.NUMBERVALUE(solar!B78)</f>
        <v>156</v>
      </c>
      <c r="C81" s="12" t="n">
        <f aca="false">solar!C78</f>
        <v>0</v>
      </c>
      <c r="D81" s="6" t="n">
        <v>77</v>
      </c>
      <c r="E81" s="17" t="n">
        <f aca="false">IFERROR(INDEX($B$5:$C$173, MATCH($D81, $B$5:$B$175, 0), 2), 0)*investment!$C$3</f>
        <v>0</v>
      </c>
      <c r="F81" s="18" t="n">
        <f aca="false">demand!D79</f>
        <v>0</v>
      </c>
      <c r="G81" s="3" t="n">
        <f aca="false">solgen!D79</f>
        <v>0</v>
      </c>
      <c r="H81" s="3" t="n">
        <f aca="false">import!D79</f>
        <v>0</v>
      </c>
      <c r="I81" s="3" t="n">
        <f aca="false">-export!D79</f>
        <v>-0</v>
      </c>
      <c r="J81" s="3" t="n">
        <f aca="false">-charge!D79</f>
        <v>-0</v>
      </c>
      <c r="K81" s="3" t="n">
        <f aca="false">discharge!D79</f>
        <v>0</v>
      </c>
      <c r="L81" s="3" t="n">
        <f aca="false">soc!D79/investment!$E$3 *100</f>
        <v>0.938027378237508</v>
      </c>
    </row>
    <row r="82" customFormat="false" ht="13.8" hidden="false" customHeight="false" outlineLevel="0" collapsed="false">
      <c r="B82" s="11" t="n">
        <f aca="false">_xlfn.NUMBERVALUE(solar!B79)</f>
        <v>157</v>
      </c>
      <c r="C82" s="12" t="n">
        <f aca="false">solar!C79</f>
        <v>0</v>
      </c>
      <c r="D82" s="6" t="n">
        <v>78</v>
      </c>
      <c r="E82" s="17" t="n">
        <f aca="false">IFERROR(INDEX($B$5:$C$173, MATCH($D82, $B$5:$B$175, 0), 2), 0)*investment!$C$3</f>
        <v>0</v>
      </c>
      <c r="F82" s="18" t="n">
        <f aca="false">demand!D80</f>
        <v>0</v>
      </c>
      <c r="G82" s="3" t="n">
        <f aca="false">solgen!D80</f>
        <v>0</v>
      </c>
      <c r="H82" s="3" t="n">
        <f aca="false">import!D80</f>
        <v>0</v>
      </c>
      <c r="I82" s="3" t="n">
        <f aca="false">-export!D80</f>
        <v>-0</v>
      </c>
      <c r="J82" s="3" t="n">
        <f aca="false">-charge!D80</f>
        <v>-0</v>
      </c>
      <c r="K82" s="3" t="n">
        <f aca="false">discharge!D80</f>
        <v>0</v>
      </c>
      <c r="L82" s="3" t="n">
        <f aca="false">soc!D80/investment!$E$3 *100</f>
        <v>0</v>
      </c>
    </row>
    <row r="83" customFormat="false" ht="13.8" hidden="false" customHeight="false" outlineLevel="0" collapsed="false">
      <c r="B83" s="11" t="n">
        <f aca="false">_xlfn.NUMBERVALUE(solar!B80)</f>
        <v>158</v>
      </c>
      <c r="C83" s="12" t="n">
        <f aca="false">solar!C80</f>
        <v>0</v>
      </c>
      <c r="D83" s="6" t="n">
        <v>79</v>
      </c>
      <c r="E83" s="17" t="n">
        <f aca="false">IFERROR(INDEX($B$5:$C$173, MATCH($D83, $B$5:$B$175, 0), 2), 0)*investment!$C$3</f>
        <v>0</v>
      </c>
      <c r="F83" s="18" t="n">
        <f aca="false">demand!D81</f>
        <v>0</v>
      </c>
      <c r="G83" s="3" t="n">
        <f aca="false">solgen!D81</f>
        <v>0</v>
      </c>
      <c r="H83" s="3" t="n">
        <f aca="false">import!D81</f>
        <v>0</v>
      </c>
      <c r="I83" s="3" t="n">
        <f aca="false">-export!D81</f>
        <v>-0</v>
      </c>
      <c r="J83" s="3" t="n">
        <f aca="false">-charge!D81</f>
        <v>-0</v>
      </c>
      <c r="K83" s="3" t="n">
        <f aca="false">discharge!D81</f>
        <v>0</v>
      </c>
      <c r="L83" s="3" t="n">
        <f aca="false">soc!D81/investment!$E$3 *100</f>
        <v>0</v>
      </c>
    </row>
    <row r="84" customFormat="false" ht="13.8" hidden="false" customHeight="false" outlineLevel="0" collapsed="false">
      <c r="B84" s="11" t="n">
        <f aca="false">_xlfn.NUMBERVALUE(solar!B81)</f>
        <v>159</v>
      </c>
      <c r="C84" s="12" t="n">
        <f aca="false">solar!C81</f>
        <v>0</v>
      </c>
      <c r="D84" s="6" t="n">
        <v>80</v>
      </c>
      <c r="E84" s="17" t="n">
        <f aca="false">IFERROR(INDEX($B$5:$C$173, MATCH($D84, $B$5:$B$175, 0), 2), 0)*investment!$C$3</f>
        <v>0</v>
      </c>
      <c r="F84" s="18" t="n">
        <f aca="false">demand!D82</f>
        <v>0</v>
      </c>
      <c r="G84" s="3" t="n">
        <f aca="false">solgen!D82</f>
        <v>0</v>
      </c>
      <c r="H84" s="3" t="n">
        <f aca="false">import!D82</f>
        <v>0</v>
      </c>
      <c r="I84" s="3" t="n">
        <f aca="false">-export!D82</f>
        <v>-0</v>
      </c>
      <c r="J84" s="3" t="n">
        <f aca="false">-charge!D82</f>
        <v>-0</v>
      </c>
      <c r="K84" s="3" t="n">
        <f aca="false">discharge!D82</f>
        <v>0</v>
      </c>
      <c r="L84" s="3" t="n">
        <f aca="false">soc!D82/investment!$E$3 *100</f>
        <v>0</v>
      </c>
    </row>
    <row r="85" customFormat="false" ht="13.8" hidden="false" customHeight="false" outlineLevel="0" collapsed="false">
      <c r="B85" s="11" t="n">
        <f aca="false">_xlfn.NUMBERVALUE(solar!B82)</f>
        <v>160</v>
      </c>
      <c r="C85" s="12" t="n">
        <f aca="false">solar!C82</f>
        <v>0</v>
      </c>
      <c r="D85" s="6" t="n">
        <v>81</v>
      </c>
      <c r="E85" s="17" t="n">
        <f aca="false">IFERROR(INDEX($B$5:$C$173, MATCH($D85, $B$5:$B$175, 0), 2), 0)*investment!$C$3</f>
        <v>0</v>
      </c>
      <c r="F85" s="18" t="n">
        <f aca="false">demand!D83</f>
        <v>0</v>
      </c>
      <c r="G85" s="3" t="n">
        <f aca="false">solgen!D83</f>
        <v>0</v>
      </c>
      <c r="H85" s="3" t="n">
        <f aca="false">import!D83</f>
        <v>0</v>
      </c>
      <c r="I85" s="3" t="n">
        <f aca="false">-export!D83</f>
        <v>-0</v>
      </c>
      <c r="J85" s="3" t="n">
        <f aca="false">-charge!D83</f>
        <v>-0</v>
      </c>
      <c r="K85" s="3" t="n">
        <f aca="false">discharge!D83</f>
        <v>0</v>
      </c>
      <c r="L85" s="3" t="n">
        <f aca="false">soc!D83/investment!$E$3 *100</f>
        <v>0</v>
      </c>
    </row>
    <row r="86" customFormat="false" ht="13.8" hidden="false" customHeight="false" outlineLevel="0" collapsed="false">
      <c r="B86" s="11" t="n">
        <f aca="false">_xlfn.NUMBERVALUE(solar!B83)</f>
        <v>161</v>
      </c>
      <c r="C86" s="12" t="n">
        <f aca="false">solar!C83</f>
        <v>0</v>
      </c>
      <c r="D86" s="6" t="n">
        <v>82</v>
      </c>
      <c r="E86" s="17" t="n">
        <f aca="false">IFERROR(INDEX($B$5:$C$173, MATCH($D86, $B$5:$B$175, 0), 2), 0)*investment!$C$3</f>
        <v>0</v>
      </c>
      <c r="F86" s="18" t="n">
        <f aca="false">demand!D84</f>
        <v>0</v>
      </c>
      <c r="G86" s="3" t="n">
        <f aca="false">solgen!D84</f>
        <v>0</v>
      </c>
      <c r="H86" s="3" t="n">
        <f aca="false">import!D84</f>
        <v>0</v>
      </c>
      <c r="I86" s="3" t="n">
        <f aca="false">-export!D84</f>
        <v>-0</v>
      </c>
      <c r="J86" s="3" t="n">
        <f aca="false">-charge!D84</f>
        <v>-0</v>
      </c>
      <c r="K86" s="3" t="n">
        <f aca="false">discharge!D84</f>
        <v>0</v>
      </c>
      <c r="L86" s="3" t="n">
        <f aca="false">soc!D84/investment!$E$3 *100</f>
        <v>0</v>
      </c>
    </row>
    <row r="87" customFormat="false" ht="13.8" hidden="false" customHeight="false" outlineLevel="0" collapsed="false">
      <c r="B87" s="11" t="n">
        <f aca="false">_xlfn.NUMBERVALUE(solar!B84)</f>
        <v>162</v>
      </c>
      <c r="C87" s="12" t="n">
        <f aca="false">solar!C84</f>
        <v>0</v>
      </c>
      <c r="D87" s="6" t="n">
        <v>83</v>
      </c>
      <c r="E87" s="17" t="n">
        <f aca="false">IFERROR(INDEX($B$5:$C$173, MATCH($D87, $B$5:$B$175, 0), 2), 0)*investment!$C$3</f>
        <v>0</v>
      </c>
      <c r="F87" s="18" t="n">
        <f aca="false">demand!D85</f>
        <v>0</v>
      </c>
      <c r="G87" s="3" t="n">
        <f aca="false">solgen!D85</f>
        <v>0</v>
      </c>
      <c r="H87" s="3" t="n">
        <f aca="false">import!D85</f>
        <v>0</v>
      </c>
      <c r="I87" s="3" t="n">
        <f aca="false">-export!D85</f>
        <v>-0</v>
      </c>
      <c r="J87" s="3" t="n">
        <f aca="false">-charge!D85</f>
        <v>-0</v>
      </c>
      <c r="K87" s="3" t="n">
        <f aca="false">discharge!D85</f>
        <v>0</v>
      </c>
      <c r="L87" s="3" t="n">
        <f aca="false">soc!D85/investment!$E$3 *100</f>
        <v>0</v>
      </c>
    </row>
    <row r="88" customFormat="false" ht="13.8" hidden="false" customHeight="false" outlineLevel="0" collapsed="false">
      <c r="B88" s="11" t="n">
        <f aca="false">_xlfn.NUMBERVALUE(solar!B85)</f>
        <v>163</v>
      </c>
      <c r="C88" s="12" t="n">
        <f aca="false">solar!C85</f>
        <v>0</v>
      </c>
      <c r="D88" s="6" t="n">
        <v>84</v>
      </c>
      <c r="E88" s="17" t="n">
        <f aca="false">IFERROR(INDEX($B$5:$C$173, MATCH($D88, $B$5:$B$175, 0), 2), 0)*investment!$C$3</f>
        <v>0</v>
      </c>
      <c r="F88" s="18" t="n">
        <f aca="false">demand!D86</f>
        <v>0</v>
      </c>
      <c r="G88" s="3" t="n">
        <f aca="false">solgen!D86</f>
        <v>0</v>
      </c>
      <c r="H88" s="3" t="n">
        <f aca="false">import!D86</f>
        <v>0</v>
      </c>
      <c r="I88" s="3" t="n">
        <f aca="false">-export!D86</f>
        <v>-0</v>
      </c>
      <c r="J88" s="3" t="n">
        <f aca="false">-charge!D86</f>
        <v>-0</v>
      </c>
      <c r="K88" s="3" t="n">
        <f aca="false">discharge!D86</f>
        <v>0</v>
      </c>
      <c r="L88" s="3" t="n">
        <f aca="false">soc!D86/investment!$E$3 *100</f>
        <v>16.2190113403584</v>
      </c>
    </row>
    <row r="89" customFormat="false" ht="13.8" hidden="false" customHeight="false" outlineLevel="0" collapsed="false">
      <c r="B89" s="11" t="n">
        <f aca="false">_xlfn.NUMBERVALUE(solar!B86)</f>
        <v>0</v>
      </c>
      <c r="C89" s="12" t="n">
        <f aca="false">solar!C86</f>
        <v>0</v>
      </c>
      <c r="D89" s="6" t="n">
        <v>85</v>
      </c>
      <c r="E89" s="17" t="n">
        <f aca="false">IFERROR(INDEX($B$5:$C$173, MATCH($D89, $B$5:$B$175, 0), 2), 0)*investment!$C$3</f>
        <v>0</v>
      </c>
      <c r="F89" s="18" t="n">
        <f aca="false">demand!D87</f>
        <v>0</v>
      </c>
      <c r="G89" s="3" t="n">
        <f aca="false">solgen!D87</f>
        <v>0</v>
      </c>
      <c r="H89" s="3" t="n">
        <f aca="false">import!D87</f>
        <v>0</v>
      </c>
      <c r="I89" s="3" t="n">
        <f aca="false">-export!D87</f>
        <v>-0</v>
      </c>
      <c r="J89" s="3" t="n">
        <f aca="false">-charge!D87</f>
        <v>-0</v>
      </c>
      <c r="K89" s="3" t="n">
        <f aca="false">discharge!D87</f>
        <v>0</v>
      </c>
      <c r="L89" s="3" t="n">
        <f aca="false">soc!D87/investment!$E$3 *100</f>
        <v>38.7997122237106</v>
      </c>
    </row>
    <row r="90" customFormat="false" ht="13.8" hidden="false" customHeight="false" outlineLevel="0" collapsed="false">
      <c r="B90" s="11" t="n">
        <f aca="false">_xlfn.NUMBERVALUE(solar!B87)</f>
        <v>0</v>
      </c>
      <c r="C90" s="12" t="n">
        <f aca="false">solar!C87</f>
        <v>0</v>
      </c>
      <c r="D90" s="6" t="n">
        <v>86</v>
      </c>
      <c r="E90" s="17" t="n">
        <f aca="false">IFERROR(INDEX($B$5:$C$173, MATCH($D90, $B$5:$B$175, 0), 2), 0)*investment!$C$3</f>
        <v>0</v>
      </c>
      <c r="F90" s="18" t="n">
        <f aca="false">demand!D88</f>
        <v>0</v>
      </c>
      <c r="G90" s="3" t="n">
        <f aca="false">solgen!D88</f>
        <v>0</v>
      </c>
      <c r="H90" s="3" t="n">
        <f aca="false">import!D88</f>
        <v>0</v>
      </c>
      <c r="I90" s="3" t="n">
        <f aca="false">-export!D88</f>
        <v>-0</v>
      </c>
      <c r="J90" s="3" t="n">
        <f aca="false">-charge!D88</f>
        <v>-0</v>
      </c>
      <c r="K90" s="3" t="n">
        <f aca="false">discharge!D88</f>
        <v>0</v>
      </c>
      <c r="L90" s="3" t="n">
        <f aca="false">soc!D88/investment!$E$3 *100</f>
        <v>57.2230529092424</v>
      </c>
    </row>
    <row r="91" customFormat="false" ht="13.8" hidden="false" customHeight="false" outlineLevel="0" collapsed="false">
      <c r="B91" s="11" t="n">
        <f aca="false">_xlfn.NUMBERVALUE(solar!B88)</f>
        <v>0</v>
      </c>
      <c r="C91" s="12" t="n">
        <f aca="false">solar!C88</f>
        <v>0</v>
      </c>
      <c r="D91" s="6" t="n">
        <v>87</v>
      </c>
      <c r="E91" s="17" t="n">
        <f aca="false">IFERROR(INDEX($B$5:$C$173, MATCH($D91, $B$5:$B$175, 0), 2), 0)*investment!$C$3</f>
        <v>0</v>
      </c>
      <c r="F91" s="18" t="n">
        <f aca="false">demand!D89</f>
        <v>0</v>
      </c>
      <c r="G91" s="3" t="n">
        <f aca="false">solgen!D89</f>
        <v>0</v>
      </c>
      <c r="H91" s="3" t="n">
        <f aca="false">import!D89</f>
        <v>0</v>
      </c>
      <c r="I91" s="3" t="n">
        <f aca="false">-export!D89</f>
        <v>-0</v>
      </c>
      <c r="J91" s="3" t="n">
        <f aca="false">-charge!D89</f>
        <v>-0</v>
      </c>
      <c r="K91" s="3" t="n">
        <f aca="false">discharge!D89</f>
        <v>0</v>
      </c>
      <c r="L91" s="3" t="n">
        <f aca="false">soc!D89/investment!$E$3 *100</f>
        <v>68.7672973048936</v>
      </c>
    </row>
    <row r="92" customFormat="false" ht="13.8" hidden="false" customHeight="false" outlineLevel="0" collapsed="false">
      <c r="B92" s="11" t="n">
        <f aca="false">_xlfn.NUMBERVALUE(solar!B89)</f>
        <v>0</v>
      </c>
      <c r="C92" s="12" t="n">
        <f aca="false">solar!C89</f>
        <v>0</v>
      </c>
      <c r="D92" s="6" t="n">
        <v>88</v>
      </c>
      <c r="E92" s="17" t="n">
        <f aca="false">IFERROR(INDEX($B$5:$C$173, MATCH($D92, $B$5:$B$175, 0), 2), 0)*investment!$C$3</f>
        <v>0</v>
      </c>
      <c r="F92" s="18" t="n">
        <f aca="false">demand!D90</f>
        <v>0</v>
      </c>
      <c r="G92" s="3" t="n">
        <f aca="false">solgen!D90</f>
        <v>0</v>
      </c>
      <c r="H92" s="3" t="n">
        <f aca="false">import!D90</f>
        <v>0</v>
      </c>
      <c r="I92" s="3" t="n">
        <f aca="false">-export!D90</f>
        <v>-0</v>
      </c>
      <c r="J92" s="3" t="n">
        <f aca="false">-charge!D90</f>
        <v>-0</v>
      </c>
      <c r="K92" s="3" t="n">
        <f aca="false">discharge!D90</f>
        <v>0</v>
      </c>
      <c r="L92" s="3" t="n">
        <f aca="false">soc!D90/investment!$E$3 *100</f>
        <v>75.1806706906167</v>
      </c>
    </row>
    <row r="93" customFormat="false" ht="13.8" hidden="false" customHeight="false" outlineLevel="0" collapsed="false">
      <c r="B93" s="11" t="n">
        <f aca="false">_xlfn.NUMBERVALUE(solar!B90)</f>
        <v>0</v>
      </c>
      <c r="C93" s="12" t="n">
        <f aca="false">solar!C90</f>
        <v>0</v>
      </c>
      <c r="D93" s="6" t="n">
        <v>89</v>
      </c>
      <c r="E93" s="17" t="n">
        <f aca="false">IFERROR(INDEX($B$5:$C$173, MATCH($D93, $B$5:$B$175, 0), 2), 0)*investment!$C$3</f>
        <v>0</v>
      </c>
      <c r="F93" s="18" t="n">
        <f aca="false">demand!D91</f>
        <v>0</v>
      </c>
      <c r="G93" s="3" t="n">
        <f aca="false">solgen!D91</f>
        <v>0</v>
      </c>
      <c r="H93" s="3" t="n">
        <f aca="false">import!D91</f>
        <v>0</v>
      </c>
      <c r="I93" s="3" t="n">
        <f aca="false">-export!D91</f>
        <v>-0</v>
      </c>
      <c r="J93" s="3" t="n">
        <f aca="false">-charge!D91</f>
        <v>-0</v>
      </c>
      <c r="K93" s="3" t="n">
        <f aca="false">discharge!D91</f>
        <v>0</v>
      </c>
      <c r="L93" s="3" t="n">
        <f aca="false">soc!D91/investment!$E$3 *100</f>
        <v>76.7885724764239</v>
      </c>
    </row>
    <row r="94" customFormat="false" ht="13.8" hidden="false" customHeight="false" outlineLevel="0" collapsed="false">
      <c r="B94" s="11" t="n">
        <f aca="false">_xlfn.NUMBERVALUE(solar!B91)</f>
        <v>0</v>
      </c>
      <c r="C94" s="12" t="n">
        <f aca="false">solar!C91</f>
        <v>0</v>
      </c>
      <c r="D94" s="6" t="n">
        <v>90</v>
      </c>
      <c r="E94" s="17" t="n">
        <f aca="false">IFERROR(INDEX($B$5:$C$173, MATCH($D94, $B$5:$B$175, 0), 2), 0)*investment!$C$3</f>
        <v>0</v>
      </c>
      <c r="F94" s="18" t="n">
        <f aca="false">demand!D92</f>
        <v>0</v>
      </c>
      <c r="G94" s="3" t="n">
        <f aca="false">solgen!D92</f>
        <v>0</v>
      </c>
      <c r="H94" s="3" t="n">
        <f aca="false">import!D92</f>
        <v>0</v>
      </c>
      <c r="I94" s="3" t="n">
        <f aca="false">-export!D92</f>
        <v>-0</v>
      </c>
      <c r="J94" s="3" t="n">
        <f aca="false">-charge!D92</f>
        <v>-0</v>
      </c>
      <c r="K94" s="3" t="n">
        <f aca="false">discharge!D92</f>
        <v>0</v>
      </c>
      <c r="L94" s="3" t="n">
        <f aca="false">soc!D92/investment!$E$3 *100</f>
        <v>77.2960122579148</v>
      </c>
    </row>
    <row r="95" customFormat="false" ht="13.8" hidden="false" customHeight="false" outlineLevel="0" collapsed="false">
      <c r="B95" s="11" t="n">
        <f aca="false">_xlfn.NUMBERVALUE(solar!B92)</f>
        <v>0</v>
      </c>
      <c r="C95" s="12" t="n">
        <f aca="false">solar!C92</f>
        <v>0</v>
      </c>
      <c r="D95" s="6" t="n">
        <v>91</v>
      </c>
      <c r="E95" s="17" t="n">
        <f aca="false">IFERROR(INDEX($B$5:$C$173, MATCH($D95, $B$5:$B$175, 0), 2), 0)*investment!$C$3</f>
        <v>0</v>
      </c>
      <c r="F95" s="18" t="n">
        <f aca="false">demand!D93</f>
        <v>0</v>
      </c>
      <c r="G95" s="3" t="n">
        <f aca="false">solgen!D93</f>
        <v>0</v>
      </c>
      <c r="H95" s="3" t="n">
        <f aca="false">import!D93</f>
        <v>0</v>
      </c>
      <c r="I95" s="3" t="n">
        <f aca="false">-export!D93</f>
        <v>-0</v>
      </c>
      <c r="J95" s="3" t="n">
        <f aca="false">-charge!D93</f>
        <v>-0</v>
      </c>
      <c r="K95" s="3" t="n">
        <f aca="false">discharge!D93</f>
        <v>0</v>
      </c>
      <c r="L95" s="3" t="n">
        <f aca="false">soc!D93/investment!$E$3 *100</f>
        <v>77.2952392977922</v>
      </c>
    </row>
    <row r="96" customFormat="false" ht="13.8" hidden="false" customHeight="false" outlineLevel="0" collapsed="false">
      <c r="B96" s="11" t="n">
        <f aca="false">_xlfn.NUMBERVALUE(solar!B93)</f>
        <v>0</v>
      </c>
      <c r="C96" s="12" t="n">
        <f aca="false">solar!C93</f>
        <v>0</v>
      </c>
      <c r="D96" s="6" t="n">
        <v>92</v>
      </c>
      <c r="E96" s="17" t="n">
        <f aca="false">IFERROR(INDEX($B$5:$C$173, MATCH($D96, $B$5:$B$175, 0), 2), 0)*investment!$C$3</f>
        <v>0</v>
      </c>
      <c r="F96" s="18" t="n">
        <f aca="false">demand!D94</f>
        <v>0</v>
      </c>
      <c r="G96" s="3" t="n">
        <f aca="false">solgen!D94</f>
        <v>0</v>
      </c>
      <c r="H96" s="3" t="n">
        <f aca="false">import!D94</f>
        <v>0</v>
      </c>
      <c r="I96" s="3" t="n">
        <f aca="false">-export!D94</f>
        <v>-0</v>
      </c>
      <c r="J96" s="3" t="n">
        <f aca="false">-charge!D94</f>
        <v>-0</v>
      </c>
      <c r="K96" s="3" t="n">
        <f aca="false">discharge!D94</f>
        <v>0</v>
      </c>
      <c r="L96" s="3" t="n">
        <f aca="false">soc!D94/investment!$E$3 *100</f>
        <v>68.6586036004138</v>
      </c>
    </row>
    <row r="97" customFormat="false" ht="13.8" hidden="false" customHeight="false" outlineLevel="0" collapsed="false">
      <c r="B97" s="11" t="n">
        <f aca="false">_xlfn.NUMBERVALUE(solar!B94)</f>
        <v>0</v>
      </c>
      <c r="C97" s="12" t="n">
        <f aca="false">solar!C94</f>
        <v>0</v>
      </c>
      <c r="D97" s="6" t="n">
        <v>93</v>
      </c>
      <c r="E97" s="17" t="n">
        <f aca="false">IFERROR(INDEX($B$5:$C$173, MATCH($D97, $B$5:$B$175, 0), 2), 0)*investment!$C$3</f>
        <v>0</v>
      </c>
      <c r="F97" s="18" t="n">
        <f aca="false">demand!D95</f>
        <v>0</v>
      </c>
      <c r="G97" s="3" t="n">
        <f aca="false">solgen!D95</f>
        <v>0</v>
      </c>
      <c r="H97" s="3" t="n">
        <f aca="false">import!D95</f>
        <v>0</v>
      </c>
      <c r="I97" s="3" t="n">
        <f aca="false">-export!D95</f>
        <v>-0</v>
      </c>
      <c r="J97" s="3" t="n">
        <f aca="false">-charge!D95</f>
        <v>-0</v>
      </c>
      <c r="K97" s="3" t="n">
        <f aca="false">discharge!D95</f>
        <v>0</v>
      </c>
      <c r="L97" s="3" t="n">
        <f aca="false">soc!D95/investment!$E$3 *100</f>
        <v>60.0220542693924</v>
      </c>
    </row>
    <row r="98" customFormat="false" ht="13.8" hidden="false" customHeight="false" outlineLevel="0" collapsed="false">
      <c r="B98" s="11" t="n">
        <f aca="false">_xlfn.NUMBERVALUE(solar!B95)</f>
        <v>0</v>
      </c>
      <c r="C98" s="12" t="n">
        <f aca="false">solar!C95</f>
        <v>0</v>
      </c>
      <c r="D98" s="6" t="n">
        <v>94</v>
      </c>
      <c r="E98" s="17" t="n">
        <f aca="false">IFERROR(INDEX($B$5:$C$173, MATCH($D98, $B$5:$B$175, 0), 2), 0)*investment!$C$3</f>
        <v>0</v>
      </c>
      <c r="F98" s="18" t="n">
        <f aca="false">demand!D96</f>
        <v>0</v>
      </c>
      <c r="G98" s="3" t="n">
        <f aca="false">solgen!D96</f>
        <v>0</v>
      </c>
      <c r="H98" s="3" t="n">
        <f aca="false">import!D96</f>
        <v>0</v>
      </c>
      <c r="I98" s="3" t="n">
        <f aca="false">-export!D96</f>
        <v>-0</v>
      </c>
      <c r="J98" s="3" t="n">
        <f aca="false">-charge!D96</f>
        <v>-0</v>
      </c>
      <c r="K98" s="3" t="n">
        <f aca="false">discharge!D96</f>
        <v>0</v>
      </c>
      <c r="L98" s="3" t="n">
        <f aca="false">soc!D96/investment!$E$3 *100</f>
        <v>51.3855913038642</v>
      </c>
    </row>
    <row r="99" customFormat="false" ht="13.8" hidden="false" customHeight="false" outlineLevel="0" collapsed="false">
      <c r="B99" s="11" t="n">
        <f aca="false">_xlfn.NUMBERVALUE(solar!B96)</f>
        <v>0</v>
      </c>
      <c r="C99" s="12" t="n">
        <f aca="false">solar!C96</f>
        <v>0</v>
      </c>
      <c r="D99" s="6" t="n">
        <v>95</v>
      </c>
      <c r="E99" s="17" t="n">
        <f aca="false">IFERROR(INDEX($B$5:$C$173, MATCH($D99, $B$5:$B$175, 0), 2), 0)*investment!$C$3</f>
        <v>0</v>
      </c>
      <c r="F99" s="18" t="n">
        <f aca="false">demand!D97</f>
        <v>0</v>
      </c>
      <c r="G99" s="3" t="n">
        <f aca="false">solgen!D97</f>
        <v>0</v>
      </c>
      <c r="H99" s="3" t="n">
        <f aca="false">import!D97</f>
        <v>0</v>
      </c>
      <c r="I99" s="3" t="n">
        <f aca="false">-export!D97</f>
        <v>-0</v>
      </c>
      <c r="J99" s="3" t="n">
        <f aca="false">-charge!D97</f>
        <v>-0</v>
      </c>
      <c r="K99" s="3" t="n">
        <f aca="false">discharge!D97</f>
        <v>0</v>
      </c>
      <c r="L99" s="3" t="n">
        <f aca="false">soc!D97/investment!$E$3 *100</f>
        <v>42.7492147029658</v>
      </c>
    </row>
    <row r="100" customFormat="false" ht="13.8" hidden="false" customHeight="false" outlineLevel="0" collapsed="false">
      <c r="B100" s="11" t="n">
        <f aca="false">_xlfn.NUMBERVALUE(solar!B97)</f>
        <v>0</v>
      </c>
      <c r="C100" s="12" t="n">
        <f aca="false">solar!C97</f>
        <v>0</v>
      </c>
      <c r="D100" s="6" t="n">
        <v>96</v>
      </c>
      <c r="E100" s="17" t="n">
        <f aca="false">IFERROR(INDEX($B$5:$C$173, MATCH($D100, $B$5:$B$175, 0), 2), 0)*investment!$C$3</f>
        <v>0</v>
      </c>
      <c r="F100" s="18" t="n">
        <f aca="false">demand!D98</f>
        <v>0</v>
      </c>
      <c r="G100" s="3" t="n">
        <f aca="false">solgen!D98</f>
        <v>0</v>
      </c>
      <c r="H100" s="3" t="n">
        <f aca="false">import!D98</f>
        <v>0</v>
      </c>
      <c r="I100" s="3" t="n">
        <f aca="false">-export!D98</f>
        <v>-0</v>
      </c>
      <c r="J100" s="3" t="n">
        <f aca="false">-charge!D98</f>
        <v>-0</v>
      </c>
      <c r="K100" s="3" t="n">
        <f aca="false">discharge!D98</f>
        <v>0</v>
      </c>
      <c r="L100" s="3" t="n">
        <f aca="false">soc!D98/investment!$E$3 *100</f>
        <v>40.3019594330729</v>
      </c>
    </row>
    <row r="101" customFormat="false" ht="13.8" hidden="false" customHeight="false" outlineLevel="0" collapsed="false">
      <c r="B101" s="11" t="n">
        <f aca="false">_xlfn.NUMBERVALUE(solar!B98)</f>
        <v>0</v>
      </c>
      <c r="C101" s="12" t="n">
        <f aca="false">solar!C98</f>
        <v>0</v>
      </c>
      <c r="D101" s="6" t="n">
        <v>97</v>
      </c>
      <c r="E101" s="17" t="n">
        <f aca="false">IFERROR(INDEX($B$5:$C$173, MATCH($D101, $B$5:$B$175, 0), 2), 0)*investment!$C$3</f>
        <v>0</v>
      </c>
      <c r="F101" s="18" t="n">
        <f aca="false">demand!D99</f>
        <v>0</v>
      </c>
      <c r="G101" s="3" t="n">
        <f aca="false">solgen!D99</f>
        <v>0</v>
      </c>
      <c r="H101" s="3" t="n">
        <f aca="false">import!D99</f>
        <v>0</v>
      </c>
      <c r="I101" s="3" t="n">
        <f aca="false">-export!D99</f>
        <v>-0</v>
      </c>
      <c r="J101" s="3" t="n">
        <f aca="false">-charge!D99</f>
        <v>-0</v>
      </c>
      <c r="K101" s="3" t="n">
        <f aca="false">discharge!D99</f>
        <v>0</v>
      </c>
      <c r="L101" s="3" t="n">
        <f aca="false">soc!D99/investment!$E$3 *100</f>
        <v>34.5443145834883</v>
      </c>
    </row>
    <row r="102" customFormat="false" ht="13.8" hidden="false" customHeight="false" outlineLevel="0" collapsed="false">
      <c r="B102" s="11" t="n">
        <f aca="false">_xlfn.NUMBERVALUE(solar!B99)</f>
        <v>0</v>
      </c>
      <c r="C102" s="12" t="n">
        <f aca="false">solar!C99</f>
        <v>0</v>
      </c>
      <c r="D102" s="6" t="n">
        <v>98</v>
      </c>
      <c r="E102" s="17" t="n">
        <f aca="false">IFERROR(INDEX($B$5:$C$173, MATCH($D102, $B$5:$B$175, 0), 2), 0)*investment!$C$3</f>
        <v>0</v>
      </c>
      <c r="F102" s="18" t="n">
        <f aca="false">demand!D100</f>
        <v>0</v>
      </c>
      <c r="G102" s="3" t="n">
        <f aca="false">solgen!D100</f>
        <v>0</v>
      </c>
      <c r="H102" s="3" t="n">
        <f aca="false">import!D100</f>
        <v>0</v>
      </c>
      <c r="I102" s="3" t="n">
        <f aca="false">-export!D100</f>
        <v>-0</v>
      </c>
      <c r="J102" s="3" t="n">
        <f aca="false">-charge!D100</f>
        <v>-0</v>
      </c>
      <c r="K102" s="3" t="n">
        <f aca="false">discharge!D100</f>
        <v>0</v>
      </c>
      <c r="L102" s="3" t="n">
        <f aca="false">soc!D100/investment!$E$3 *100</f>
        <v>25.908106395357</v>
      </c>
    </row>
    <row r="103" customFormat="false" ht="13.8" hidden="false" customHeight="false" outlineLevel="0" collapsed="false">
      <c r="B103" s="11" t="n">
        <f aca="false">_xlfn.NUMBERVALUE(solar!B100)</f>
        <v>0</v>
      </c>
      <c r="C103" s="12" t="n">
        <f aca="false">solar!C100</f>
        <v>0</v>
      </c>
      <c r="D103" s="6" t="n">
        <v>99</v>
      </c>
      <c r="E103" s="17" t="n">
        <f aca="false">IFERROR(INDEX($B$5:$C$173, MATCH($D103, $B$5:$B$175, 0), 2), 0)*investment!$C$3</f>
        <v>0</v>
      </c>
      <c r="F103" s="18" t="n">
        <f aca="false">demand!D101</f>
        <v>0</v>
      </c>
      <c r="G103" s="3" t="n">
        <f aca="false">solgen!D101</f>
        <v>0</v>
      </c>
      <c r="H103" s="3" t="n">
        <f aca="false">import!D101</f>
        <v>0</v>
      </c>
      <c r="I103" s="3" t="n">
        <f aca="false">-export!D101</f>
        <v>-0</v>
      </c>
      <c r="J103" s="3" t="n">
        <f aca="false">-charge!D101</f>
        <v>-0</v>
      </c>
      <c r="K103" s="3" t="n">
        <f aca="false">discharge!D101</f>
        <v>0</v>
      </c>
      <c r="L103" s="3" t="n">
        <f aca="false">soc!D101/investment!$E$3 *100</f>
        <v>17.2719845693076</v>
      </c>
    </row>
    <row r="104" customFormat="false" ht="13.8" hidden="false" customHeight="false" outlineLevel="0" collapsed="false">
      <c r="B104" s="11" t="n">
        <f aca="false">_xlfn.NUMBERVALUE(solar!B101)</f>
        <v>0</v>
      </c>
      <c r="C104" s="12" t="n">
        <f aca="false">solar!C101</f>
        <v>0</v>
      </c>
      <c r="D104" s="6" t="n">
        <v>100</v>
      </c>
      <c r="E104" s="17" t="n">
        <f aca="false">IFERROR(INDEX($B$5:$C$173, MATCH($D104, $B$5:$B$175, 0), 2), 0)*investment!$C$3</f>
        <v>0</v>
      </c>
      <c r="F104" s="18" t="n">
        <f aca="false">demand!D102</f>
        <v>0</v>
      </c>
      <c r="G104" s="3" t="n">
        <f aca="false">solgen!D102</f>
        <v>0</v>
      </c>
      <c r="H104" s="3" t="n">
        <f aca="false">import!D102</f>
        <v>0</v>
      </c>
      <c r="I104" s="3" t="n">
        <f aca="false">-export!D102</f>
        <v>-0</v>
      </c>
      <c r="J104" s="3" t="n">
        <f aca="false">-charge!D102</f>
        <v>-0</v>
      </c>
      <c r="K104" s="3" t="n">
        <f aca="false">discharge!D102</f>
        <v>0</v>
      </c>
      <c r="L104" s="3" t="n">
        <f aca="false">soc!D102/investment!$E$3 *100</f>
        <v>8.63594910447648</v>
      </c>
    </row>
    <row r="105" customFormat="false" ht="13.8" hidden="false" customHeight="false" outlineLevel="0" collapsed="false">
      <c r="B105" s="11" t="n">
        <f aca="false">_xlfn.NUMBERVALUE(solar!B102)</f>
        <v>0</v>
      </c>
      <c r="C105" s="12" t="n">
        <f aca="false">solar!C102</f>
        <v>0</v>
      </c>
      <c r="D105" s="6" t="n">
        <v>101</v>
      </c>
      <c r="E105" s="17" t="n">
        <f aca="false">IFERROR(INDEX($B$5:$C$173, MATCH($D105, $B$5:$B$175, 0), 2), 0)*investment!$C$3</f>
        <v>0</v>
      </c>
      <c r="F105" s="18" t="n">
        <f aca="false">demand!D103</f>
        <v>0</v>
      </c>
      <c r="G105" s="3" t="n">
        <f aca="false">solgen!D103</f>
        <v>0</v>
      </c>
      <c r="H105" s="3" t="n">
        <f aca="false">import!D103</f>
        <v>0</v>
      </c>
      <c r="I105" s="3" t="n">
        <f aca="false">-export!D103</f>
        <v>-0</v>
      </c>
      <c r="J105" s="3" t="n">
        <f aca="false">-charge!D103</f>
        <v>-0</v>
      </c>
      <c r="K105" s="3" t="n">
        <f aca="false">discharge!D103</f>
        <v>0</v>
      </c>
      <c r="L105" s="3" t="n">
        <f aca="false">soc!D103/investment!$E$3 *100</f>
        <v>0</v>
      </c>
    </row>
    <row r="106" customFormat="false" ht="13.8" hidden="false" customHeight="false" outlineLevel="0" collapsed="false">
      <c r="B106" s="11" t="n">
        <f aca="false">_xlfn.NUMBERVALUE(solar!B103)</f>
        <v>0</v>
      </c>
      <c r="C106" s="12" t="n">
        <f aca="false">solar!C103</f>
        <v>0</v>
      </c>
      <c r="D106" s="6" t="n">
        <v>102</v>
      </c>
      <c r="E106" s="17" t="n">
        <f aca="false">IFERROR(INDEX($B$5:$C$173, MATCH($D106, $B$5:$B$175, 0), 2), 0)*investment!$C$3</f>
        <v>0</v>
      </c>
      <c r="F106" s="18" t="n">
        <f aca="false">demand!D104</f>
        <v>0</v>
      </c>
      <c r="G106" s="3" t="n">
        <f aca="false">solgen!D104</f>
        <v>0</v>
      </c>
      <c r="H106" s="3" t="n">
        <f aca="false">import!D104</f>
        <v>0</v>
      </c>
      <c r="I106" s="3" t="n">
        <f aca="false">-export!D104</f>
        <v>-0</v>
      </c>
      <c r="J106" s="3" t="n">
        <f aca="false">-charge!D104</f>
        <v>-0</v>
      </c>
      <c r="K106" s="3" t="n">
        <f aca="false">discharge!D104</f>
        <v>0</v>
      </c>
      <c r="L106" s="3" t="n">
        <f aca="false">soc!D104/investment!$E$3 *100</f>
        <v>0</v>
      </c>
    </row>
    <row r="107" customFormat="false" ht="13.8" hidden="false" customHeight="false" outlineLevel="0" collapsed="false">
      <c r="B107" s="11" t="n">
        <f aca="false">_xlfn.NUMBERVALUE(solar!B104)</f>
        <v>0</v>
      </c>
      <c r="C107" s="12" t="n">
        <f aca="false">solar!C104</f>
        <v>0</v>
      </c>
      <c r="D107" s="6" t="n">
        <v>103</v>
      </c>
      <c r="E107" s="17" t="n">
        <f aca="false">IFERROR(INDEX($B$5:$C$173, MATCH($D107, $B$5:$B$175, 0), 2), 0)*investment!$C$3</f>
        <v>0</v>
      </c>
      <c r="F107" s="18" t="n">
        <f aca="false">demand!D105</f>
        <v>0</v>
      </c>
      <c r="G107" s="3" t="n">
        <f aca="false">solgen!D105</f>
        <v>0</v>
      </c>
      <c r="H107" s="3" t="n">
        <f aca="false">import!D105</f>
        <v>0</v>
      </c>
      <c r="I107" s="3" t="n">
        <f aca="false">-export!D105</f>
        <v>-0</v>
      </c>
      <c r="J107" s="3" t="n">
        <f aca="false">-charge!D105</f>
        <v>-0</v>
      </c>
      <c r="K107" s="3" t="n">
        <f aca="false">discharge!D105</f>
        <v>0</v>
      </c>
      <c r="L107" s="3" t="n">
        <f aca="false">soc!D105/investment!$E$3 *100</f>
        <v>0</v>
      </c>
    </row>
    <row r="108" customFormat="false" ht="13.8" hidden="false" customHeight="false" outlineLevel="0" collapsed="false">
      <c r="B108" s="11" t="n">
        <f aca="false">_xlfn.NUMBERVALUE(solar!B105)</f>
        <v>0</v>
      </c>
      <c r="C108" s="12" t="n">
        <f aca="false">solar!C105</f>
        <v>0</v>
      </c>
      <c r="D108" s="6" t="n">
        <v>104</v>
      </c>
      <c r="E108" s="17" t="n">
        <f aca="false">IFERROR(INDEX($B$5:$C$173, MATCH($D108, $B$5:$B$175, 0), 2), 0)*investment!$C$3</f>
        <v>0</v>
      </c>
      <c r="F108" s="18" t="n">
        <f aca="false">demand!D106</f>
        <v>0</v>
      </c>
      <c r="G108" s="3" t="n">
        <f aca="false">solgen!D106</f>
        <v>0</v>
      </c>
      <c r="H108" s="3" t="n">
        <f aca="false">import!D106</f>
        <v>0</v>
      </c>
      <c r="I108" s="3" t="n">
        <f aca="false">-export!D106</f>
        <v>-0</v>
      </c>
      <c r="J108" s="3" t="n">
        <f aca="false">-charge!D106</f>
        <v>-0</v>
      </c>
      <c r="K108" s="3" t="n">
        <f aca="false">discharge!D106</f>
        <v>0</v>
      </c>
      <c r="L108" s="3" t="n">
        <f aca="false">soc!D106/investment!$E$3 *100</f>
        <v>0</v>
      </c>
    </row>
    <row r="109" customFormat="false" ht="13.8" hidden="false" customHeight="false" outlineLevel="0" collapsed="false">
      <c r="B109" s="11" t="n">
        <f aca="false">_xlfn.NUMBERVALUE(solar!B106)</f>
        <v>0</v>
      </c>
      <c r="C109" s="12" t="n">
        <f aca="false">solar!C106</f>
        <v>0</v>
      </c>
      <c r="D109" s="6" t="n">
        <v>105</v>
      </c>
      <c r="E109" s="17" t="n">
        <f aca="false">IFERROR(INDEX($B$5:$C$173, MATCH($D109, $B$5:$B$175, 0), 2), 0)*investment!$C$3</f>
        <v>0</v>
      </c>
      <c r="F109" s="18" t="n">
        <f aca="false">demand!D107</f>
        <v>0</v>
      </c>
      <c r="G109" s="3" t="n">
        <f aca="false">solgen!D107</f>
        <v>0</v>
      </c>
      <c r="H109" s="3" t="n">
        <f aca="false">import!D107</f>
        <v>0</v>
      </c>
      <c r="I109" s="3" t="n">
        <f aca="false">-export!D107</f>
        <v>-0</v>
      </c>
      <c r="J109" s="3" t="n">
        <f aca="false">-charge!D107</f>
        <v>-0</v>
      </c>
      <c r="K109" s="3" t="n">
        <f aca="false">discharge!D107</f>
        <v>0</v>
      </c>
      <c r="L109" s="3" t="n">
        <f aca="false">soc!D107/investment!$E$3 *100</f>
        <v>0</v>
      </c>
    </row>
    <row r="110" customFormat="false" ht="13.8" hidden="false" customHeight="false" outlineLevel="0" collapsed="false">
      <c r="B110" s="11" t="n">
        <f aca="false">_xlfn.NUMBERVALUE(solar!B107)</f>
        <v>0</v>
      </c>
      <c r="C110" s="12" t="n">
        <f aca="false">solar!C107</f>
        <v>0</v>
      </c>
      <c r="D110" s="6" t="n">
        <v>106</v>
      </c>
      <c r="E110" s="17" t="n">
        <f aca="false">IFERROR(INDEX($B$5:$C$173, MATCH($D110, $B$5:$B$175, 0), 2), 0)*investment!$C$3</f>
        <v>0</v>
      </c>
      <c r="F110" s="18" t="n">
        <f aca="false">demand!D108</f>
        <v>0</v>
      </c>
      <c r="G110" s="3" t="n">
        <f aca="false">solgen!D108</f>
        <v>0</v>
      </c>
      <c r="H110" s="3" t="n">
        <f aca="false">import!D108</f>
        <v>0</v>
      </c>
      <c r="I110" s="3" t="n">
        <f aca="false">-export!D108</f>
        <v>-0</v>
      </c>
      <c r="J110" s="3" t="n">
        <f aca="false">-charge!D108</f>
        <v>-0</v>
      </c>
      <c r="K110" s="3" t="n">
        <f aca="false">discharge!D108</f>
        <v>0</v>
      </c>
      <c r="L110" s="3" t="n">
        <f aca="false">soc!D108/investment!$E$3 *100</f>
        <v>0</v>
      </c>
    </row>
    <row r="111" customFormat="false" ht="13.8" hidden="false" customHeight="false" outlineLevel="0" collapsed="false">
      <c r="B111" s="11" t="n">
        <f aca="false">_xlfn.NUMBERVALUE(solar!B108)</f>
        <v>0</v>
      </c>
      <c r="C111" s="12" t="n">
        <f aca="false">solar!C108</f>
        <v>0</v>
      </c>
      <c r="D111" s="6" t="n">
        <v>107</v>
      </c>
      <c r="E111" s="17" t="n">
        <f aca="false">IFERROR(INDEX($B$5:$C$173, MATCH($D111, $B$5:$B$175, 0), 2), 0)*investment!$C$3</f>
        <v>0</v>
      </c>
      <c r="F111" s="18" t="n">
        <f aca="false">demand!D109</f>
        <v>0</v>
      </c>
      <c r="G111" s="3" t="n">
        <f aca="false">solgen!D109</f>
        <v>0</v>
      </c>
      <c r="H111" s="3" t="n">
        <f aca="false">import!D109</f>
        <v>0</v>
      </c>
      <c r="I111" s="3" t="n">
        <f aca="false">-export!D109</f>
        <v>-0</v>
      </c>
      <c r="J111" s="3" t="n">
        <f aca="false">-charge!D109</f>
        <v>-0</v>
      </c>
      <c r="K111" s="3" t="n">
        <f aca="false">discharge!D109</f>
        <v>0</v>
      </c>
      <c r="L111" s="3" t="n">
        <f aca="false">soc!D109/investment!$E$3 *100</f>
        <v>10.4318360268858</v>
      </c>
    </row>
    <row r="112" customFormat="false" ht="13.8" hidden="false" customHeight="false" outlineLevel="0" collapsed="false">
      <c r="B112" s="11" t="n">
        <f aca="false">_xlfn.NUMBERVALUE(solar!B109)</f>
        <v>0</v>
      </c>
      <c r="C112" s="12" t="n">
        <f aca="false">solar!C109</f>
        <v>0</v>
      </c>
      <c r="D112" s="6" t="n">
        <v>108</v>
      </c>
      <c r="E112" s="17" t="n">
        <f aca="false">IFERROR(INDEX($B$5:$C$173, MATCH($D112, $B$5:$B$175, 0), 2), 0)*investment!$C$3</f>
        <v>0</v>
      </c>
      <c r="F112" s="18" t="n">
        <f aca="false">demand!D110</f>
        <v>0</v>
      </c>
      <c r="G112" s="3" t="n">
        <f aca="false">solgen!D110</f>
        <v>0</v>
      </c>
      <c r="H112" s="3" t="n">
        <f aca="false">import!D110</f>
        <v>0</v>
      </c>
      <c r="I112" s="3" t="n">
        <f aca="false">-export!D110</f>
        <v>-0</v>
      </c>
      <c r="J112" s="3" t="n">
        <f aca="false">-charge!D110</f>
        <v>-0</v>
      </c>
      <c r="K112" s="3" t="n">
        <f aca="false">discharge!D110</f>
        <v>0</v>
      </c>
      <c r="L112" s="3" t="n">
        <f aca="false">soc!D110/investment!$E$3 *100</f>
        <v>34.04285655776</v>
      </c>
    </row>
    <row r="113" customFormat="false" ht="13.8" hidden="false" customHeight="false" outlineLevel="0" collapsed="false">
      <c r="B113" s="11" t="n">
        <f aca="false">_xlfn.NUMBERVALUE(solar!B110)</f>
        <v>0</v>
      </c>
      <c r="C113" s="12" t="n">
        <f aca="false">solar!C110</f>
        <v>0</v>
      </c>
      <c r="D113" s="6" t="n">
        <v>109</v>
      </c>
      <c r="E113" s="17" t="n">
        <f aca="false">IFERROR(INDEX($B$5:$C$173, MATCH($D113, $B$5:$B$175, 0), 2), 0)*investment!$C$3</f>
        <v>0</v>
      </c>
      <c r="F113" s="18" t="n">
        <f aca="false">demand!D111</f>
        <v>0</v>
      </c>
      <c r="G113" s="3" t="n">
        <f aca="false">solgen!D111</f>
        <v>0</v>
      </c>
      <c r="H113" s="3" t="n">
        <f aca="false">import!D111</f>
        <v>0</v>
      </c>
      <c r="I113" s="3" t="n">
        <f aca="false">-export!D111</f>
        <v>-0</v>
      </c>
      <c r="J113" s="3" t="n">
        <f aca="false">-charge!D111</f>
        <v>-0</v>
      </c>
      <c r="K113" s="3" t="n">
        <f aca="false">discharge!D111</f>
        <v>0</v>
      </c>
      <c r="L113" s="3" t="n">
        <f aca="false">soc!D111/investment!$E$3 *100</f>
        <v>58.7757219683172</v>
      </c>
    </row>
    <row r="114" customFormat="false" ht="13.8" hidden="false" customHeight="false" outlineLevel="0" collapsed="false">
      <c r="B114" s="11" t="n">
        <f aca="false">_xlfn.NUMBERVALUE(solar!B111)</f>
        <v>0</v>
      </c>
      <c r="C114" s="12" t="n">
        <f aca="false">solar!C111</f>
        <v>0</v>
      </c>
      <c r="D114" s="6" t="n">
        <v>110</v>
      </c>
      <c r="E114" s="17" t="n">
        <f aca="false">IFERROR(INDEX($B$5:$C$173, MATCH($D114, $B$5:$B$175, 0), 2), 0)*investment!$C$3</f>
        <v>0</v>
      </c>
      <c r="F114" s="18" t="n">
        <f aca="false">demand!D112</f>
        <v>0</v>
      </c>
      <c r="G114" s="3" t="n">
        <f aca="false">solgen!D112</f>
        <v>0</v>
      </c>
      <c r="H114" s="3" t="n">
        <f aca="false">import!D112</f>
        <v>0</v>
      </c>
      <c r="I114" s="3" t="n">
        <f aca="false">-export!D112</f>
        <v>-0</v>
      </c>
      <c r="J114" s="3" t="n">
        <f aca="false">-charge!D112</f>
        <v>-0</v>
      </c>
      <c r="K114" s="3" t="n">
        <f aca="false">discharge!D112</f>
        <v>0</v>
      </c>
      <c r="L114" s="3" t="n">
        <f aca="false">soc!D112/investment!$E$3 *100</f>
        <v>76.5233296369979</v>
      </c>
    </row>
    <row r="115" customFormat="false" ht="13.8" hidden="false" customHeight="false" outlineLevel="0" collapsed="false">
      <c r="B115" s="11" t="n">
        <f aca="false">_xlfn.NUMBERVALUE(solar!B112)</f>
        <v>0</v>
      </c>
      <c r="C115" s="12" t="n">
        <f aca="false">solar!C112</f>
        <v>0</v>
      </c>
      <c r="D115" s="6" t="n">
        <v>111</v>
      </c>
      <c r="E115" s="17" t="n">
        <f aca="false">IFERROR(INDEX($B$5:$C$173, MATCH($D115, $B$5:$B$175, 0), 2), 0)*investment!$C$3</f>
        <v>0</v>
      </c>
      <c r="F115" s="18" t="n">
        <f aca="false">demand!D113</f>
        <v>0</v>
      </c>
      <c r="G115" s="3" t="n">
        <f aca="false">solgen!D113</f>
        <v>0</v>
      </c>
      <c r="H115" s="3" t="n">
        <f aca="false">import!D113</f>
        <v>0</v>
      </c>
      <c r="I115" s="3" t="n">
        <f aca="false">-export!D113</f>
        <v>-0</v>
      </c>
      <c r="J115" s="3" t="n">
        <f aca="false">-charge!D113</f>
        <v>-0</v>
      </c>
      <c r="K115" s="3" t="n">
        <f aca="false">discharge!D113</f>
        <v>0</v>
      </c>
      <c r="L115" s="3" t="n">
        <f aca="false">soc!D113/investment!$E$3 *100</f>
        <v>84.4814123442425</v>
      </c>
    </row>
    <row r="116" customFormat="false" ht="13.8" hidden="false" customHeight="false" outlineLevel="0" collapsed="false">
      <c r="B116" s="11" t="n">
        <f aca="false">_xlfn.NUMBERVALUE(solar!B113)</f>
        <v>0</v>
      </c>
      <c r="C116" s="12" t="n">
        <f aca="false">solar!C113</f>
        <v>0</v>
      </c>
      <c r="D116" s="6" t="n">
        <v>112</v>
      </c>
      <c r="E116" s="17" t="n">
        <f aca="false">IFERROR(INDEX($B$5:$C$173, MATCH($D116, $B$5:$B$175, 0), 2), 0)*investment!$C$3</f>
        <v>0</v>
      </c>
      <c r="F116" s="18" t="n">
        <f aca="false">demand!D114</f>
        <v>0</v>
      </c>
      <c r="G116" s="3" t="n">
        <f aca="false">solgen!D114</f>
        <v>0</v>
      </c>
      <c r="H116" s="3" t="n">
        <f aca="false">import!D114</f>
        <v>0</v>
      </c>
      <c r="I116" s="3" t="n">
        <f aca="false">-export!D114</f>
        <v>-0</v>
      </c>
      <c r="J116" s="3" t="n">
        <f aca="false">-charge!D114</f>
        <v>-0</v>
      </c>
      <c r="K116" s="3" t="n">
        <f aca="false">discharge!D114</f>
        <v>0</v>
      </c>
      <c r="L116" s="3" t="n">
        <f aca="false">soc!D114/investment!$E$3 *100</f>
        <v>92.8993769438403</v>
      </c>
    </row>
    <row r="117" customFormat="false" ht="13.8" hidden="false" customHeight="false" outlineLevel="0" collapsed="false">
      <c r="B117" s="11" t="n">
        <f aca="false">_xlfn.NUMBERVALUE(solar!B114)</f>
        <v>0</v>
      </c>
      <c r="C117" s="12" t="n">
        <f aca="false">solar!C114</f>
        <v>0</v>
      </c>
      <c r="D117" s="6" t="n">
        <v>113</v>
      </c>
      <c r="E117" s="17" t="n">
        <f aca="false">IFERROR(INDEX($B$5:$C$173, MATCH($D117, $B$5:$B$175, 0), 2), 0)*investment!$C$3</f>
        <v>0</v>
      </c>
      <c r="F117" s="18" t="n">
        <f aca="false">demand!D115</f>
        <v>0</v>
      </c>
      <c r="G117" s="3" t="n">
        <f aca="false">solgen!D115</f>
        <v>0</v>
      </c>
      <c r="H117" s="3" t="n">
        <f aca="false">import!D115</f>
        <v>0</v>
      </c>
      <c r="I117" s="3" t="n">
        <f aca="false">-export!D115</f>
        <v>-0</v>
      </c>
      <c r="J117" s="3" t="n">
        <f aca="false">-charge!D115</f>
        <v>-0</v>
      </c>
      <c r="K117" s="3" t="n">
        <f aca="false">discharge!D115</f>
        <v>0</v>
      </c>
      <c r="L117" s="3" t="n">
        <f aca="false">soc!D115/investment!$E$3 *100</f>
        <v>98.003414520564</v>
      </c>
    </row>
    <row r="118" customFormat="false" ht="13.8" hidden="false" customHeight="false" outlineLevel="0" collapsed="false">
      <c r="B118" s="11" t="n">
        <f aca="false">_xlfn.NUMBERVALUE(solar!B115)</f>
        <v>0</v>
      </c>
      <c r="C118" s="12" t="n">
        <f aca="false">solar!C115</f>
        <v>0</v>
      </c>
      <c r="D118" s="6" t="n">
        <v>114</v>
      </c>
      <c r="E118" s="17" t="n">
        <f aca="false">IFERROR(INDEX($B$5:$C$173, MATCH($D118, $B$5:$B$175, 0), 2), 0)*investment!$C$3</f>
        <v>0</v>
      </c>
      <c r="F118" s="18" t="n">
        <f aca="false">demand!D116</f>
        <v>0</v>
      </c>
      <c r="G118" s="3" t="n">
        <f aca="false">solgen!D116</f>
        <v>0</v>
      </c>
      <c r="H118" s="3" t="n">
        <f aca="false">import!D116</f>
        <v>0</v>
      </c>
      <c r="I118" s="3" t="n">
        <f aca="false">-export!D116</f>
        <v>-0</v>
      </c>
      <c r="J118" s="3" t="n">
        <f aca="false">-charge!D116</f>
        <v>-0</v>
      </c>
      <c r="K118" s="3" t="n">
        <f aca="false">discharge!D116</f>
        <v>0</v>
      </c>
      <c r="L118" s="3" t="n">
        <f aca="false">soc!D116/investment!$E$3 *100</f>
        <v>100</v>
      </c>
    </row>
    <row r="119" customFormat="false" ht="13.8" hidden="false" customHeight="false" outlineLevel="0" collapsed="false">
      <c r="B119" s="11" t="n">
        <f aca="false">_xlfn.NUMBERVALUE(solar!B116)</f>
        <v>0</v>
      </c>
      <c r="C119" s="12" t="n">
        <f aca="false">solar!C116</f>
        <v>0</v>
      </c>
      <c r="D119" s="6" t="n">
        <v>115</v>
      </c>
      <c r="E119" s="17" t="n">
        <f aca="false">IFERROR(INDEX($B$5:$C$173, MATCH($D119, $B$5:$B$175, 0), 2), 0)*investment!$C$3</f>
        <v>0</v>
      </c>
      <c r="F119" s="18" t="n">
        <f aca="false">demand!D117</f>
        <v>0</v>
      </c>
      <c r="G119" s="3" t="n">
        <f aca="false">solgen!D117</f>
        <v>0</v>
      </c>
      <c r="H119" s="3" t="n">
        <f aca="false">import!D117</f>
        <v>0</v>
      </c>
      <c r="I119" s="3" t="n">
        <f aca="false">-export!D117</f>
        <v>-0</v>
      </c>
      <c r="J119" s="3" t="n">
        <f aca="false">-charge!D117</f>
        <v>-0</v>
      </c>
      <c r="K119" s="3" t="n">
        <f aca="false">discharge!D117</f>
        <v>0</v>
      </c>
      <c r="L119" s="3" t="n">
        <f aca="false">soc!D117/investment!$E$3 *100</f>
        <v>91.8149628594771</v>
      </c>
    </row>
    <row r="120" customFormat="false" ht="13.8" hidden="false" customHeight="false" outlineLevel="0" collapsed="false">
      <c r="B120" s="11" t="n">
        <f aca="false">_xlfn.NUMBERVALUE(solar!B117)</f>
        <v>0</v>
      </c>
      <c r="C120" s="12" t="n">
        <f aca="false">solar!C117</f>
        <v>0</v>
      </c>
      <c r="D120" s="6" t="n">
        <v>116</v>
      </c>
      <c r="E120" s="17" t="n">
        <f aca="false">IFERROR(INDEX($B$5:$C$173, MATCH($D120, $B$5:$B$175, 0), 2), 0)*investment!$C$3</f>
        <v>0</v>
      </c>
      <c r="F120" s="18" t="n">
        <f aca="false">demand!D118</f>
        <v>0</v>
      </c>
      <c r="G120" s="3" t="n">
        <f aca="false">solgen!D118</f>
        <v>0</v>
      </c>
      <c r="H120" s="3" t="n">
        <f aca="false">import!D118</f>
        <v>0</v>
      </c>
      <c r="I120" s="3" t="n">
        <f aca="false">-export!D118</f>
        <v>-0</v>
      </c>
      <c r="J120" s="3" t="n">
        <f aca="false">-charge!D118</f>
        <v>-0</v>
      </c>
      <c r="K120" s="3" t="n">
        <f aca="false">discharge!D118</f>
        <v>0</v>
      </c>
      <c r="L120" s="3" t="n">
        <f aca="false">soc!D118/investment!$E$3 *100</f>
        <v>83.1781819648631</v>
      </c>
    </row>
    <row r="121" customFormat="false" ht="13.8" hidden="false" customHeight="false" outlineLevel="0" collapsed="false">
      <c r="B121" s="11" t="n">
        <f aca="false">_xlfn.NUMBERVALUE(solar!B118)</f>
        <v>0</v>
      </c>
      <c r="C121" s="12" t="n">
        <f aca="false">solar!C118</f>
        <v>0</v>
      </c>
      <c r="D121" s="6" t="n">
        <v>117</v>
      </c>
      <c r="E121" s="17" t="n">
        <f aca="false">IFERROR(INDEX($B$5:$C$173, MATCH($D121, $B$5:$B$175, 0), 2), 0)*investment!$C$3</f>
        <v>0</v>
      </c>
      <c r="F121" s="18" t="n">
        <f aca="false">demand!D119</f>
        <v>0</v>
      </c>
      <c r="G121" s="3" t="n">
        <f aca="false">solgen!D119</f>
        <v>0</v>
      </c>
      <c r="H121" s="3" t="n">
        <f aca="false">import!D119</f>
        <v>0</v>
      </c>
      <c r="I121" s="3" t="n">
        <f aca="false">-export!D119</f>
        <v>-0</v>
      </c>
      <c r="J121" s="3" t="n">
        <f aca="false">-charge!D119</f>
        <v>-0</v>
      </c>
      <c r="K121" s="3" t="n">
        <f aca="false">discharge!D119</f>
        <v>0</v>
      </c>
      <c r="L121" s="3" t="n">
        <f aca="false">soc!D119/investment!$E$3 *100</f>
        <v>74.541487438058</v>
      </c>
    </row>
    <row r="122" customFormat="false" ht="13.8" hidden="false" customHeight="false" outlineLevel="0" collapsed="false">
      <c r="B122" s="11" t="n">
        <f aca="false">_xlfn.NUMBERVALUE(solar!B119)</f>
        <v>0</v>
      </c>
      <c r="C122" s="12" t="n">
        <f aca="false">solar!C119</f>
        <v>0</v>
      </c>
      <c r="D122" s="6" t="n">
        <v>118</v>
      </c>
      <c r="E122" s="17" t="n">
        <f aca="false">IFERROR(INDEX($B$5:$C$173, MATCH($D122, $B$5:$B$175, 0), 2), 0)*investment!$C$3</f>
        <v>0</v>
      </c>
      <c r="F122" s="18" t="n">
        <f aca="false">demand!D120</f>
        <v>0</v>
      </c>
      <c r="G122" s="3" t="n">
        <f aca="false">solgen!D120</f>
        <v>0</v>
      </c>
      <c r="H122" s="3" t="n">
        <f aca="false">import!D120</f>
        <v>0</v>
      </c>
      <c r="I122" s="3" t="n">
        <f aca="false">-export!D120</f>
        <v>-0</v>
      </c>
      <c r="J122" s="3" t="n">
        <f aca="false">-charge!D120</f>
        <v>-0</v>
      </c>
      <c r="K122" s="3" t="n">
        <f aca="false">discharge!D120</f>
        <v>0</v>
      </c>
      <c r="L122" s="3" t="n">
        <f aca="false">soc!D120/investment!$E$3 *100</f>
        <v>65.9048792781982</v>
      </c>
    </row>
    <row r="123" customFormat="false" ht="13.8" hidden="false" customHeight="false" outlineLevel="0" collapsed="false">
      <c r="B123" s="11" t="n">
        <f aca="false">_xlfn.NUMBERVALUE(solar!B120)</f>
        <v>0</v>
      </c>
      <c r="C123" s="12" t="n">
        <f aca="false">solar!C120</f>
        <v>0</v>
      </c>
      <c r="D123" s="6" t="n">
        <v>119</v>
      </c>
      <c r="E123" s="17" t="n">
        <f aca="false">IFERROR(INDEX($B$5:$C$173, MATCH($D123, $B$5:$B$175, 0), 2), 0)*investment!$C$3</f>
        <v>0</v>
      </c>
      <c r="F123" s="18" t="n">
        <f aca="false">demand!D121</f>
        <v>0</v>
      </c>
      <c r="G123" s="3" t="n">
        <f aca="false">solgen!D121</f>
        <v>0</v>
      </c>
      <c r="H123" s="3" t="n">
        <f aca="false">import!D121</f>
        <v>0</v>
      </c>
      <c r="I123" s="3" t="n">
        <f aca="false">-export!D121</f>
        <v>-0</v>
      </c>
      <c r="J123" s="3" t="n">
        <f aca="false">-charge!D121</f>
        <v>-0</v>
      </c>
      <c r="K123" s="3" t="n">
        <f aca="false">discharge!D121</f>
        <v>0</v>
      </c>
      <c r="L123" s="3" t="n">
        <f aca="false">soc!D121/investment!$E$3 *100</f>
        <v>57.2683574844201</v>
      </c>
    </row>
    <row r="124" customFormat="false" ht="13.8" hidden="false" customHeight="false" outlineLevel="0" collapsed="false">
      <c r="B124" s="11" t="n">
        <f aca="false">_xlfn.NUMBERVALUE(solar!B121)</f>
        <v>0</v>
      </c>
      <c r="C124" s="12" t="n">
        <f aca="false">solar!C121</f>
        <v>0</v>
      </c>
      <c r="D124" s="6" t="n">
        <v>120</v>
      </c>
      <c r="E124" s="17" t="n">
        <f aca="false">IFERROR(INDEX($B$5:$C$173, MATCH($D124, $B$5:$B$175, 0), 2), 0)*investment!$C$3</f>
        <v>0</v>
      </c>
      <c r="F124" s="18" t="n">
        <f aca="false">demand!D122</f>
        <v>0</v>
      </c>
      <c r="G124" s="3" t="n">
        <f aca="false">solgen!D122</f>
        <v>0</v>
      </c>
      <c r="H124" s="3" t="n">
        <f aca="false">import!D122</f>
        <v>0</v>
      </c>
      <c r="I124" s="3" t="n">
        <f aca="false">-export!D122</f>
        <v>-0</v>
      </c>
      <c r="J124" s="3" t="n">
        <f aca="false">-charge!D122</f>
        <v>-0</v>
      </c>
      <c r="K124" s="3" t="n">
        <f aca="false">discharge!D122</f>
        <v>0</v>
      </c>
      <c r="L124" s="3" t="n">
        <f aca="false">soc!D122/investment!$E$3 *100</f>
        <v>48.6319220558598</v>
      </c>
    </row>
    <row r="125" customFormat="false" ht="13.8" hidden="false" customHeight="false" outlineLevel="0" collapsed="false">
      <c r="B125" s="11" t="n">
        <f aca="false">_xlfn.NUMBERVALUE(solar!B122)</f>
        <v>0</v>
      </c>
      <c r="C125" s="12" t="n">
        <f aca="false">solar!C122</f>
        <v>0</v>
      </c>
      <c r="D125" s="6" t="n">
        <v>121</v>
      </c>
      <c r="E125" s="17" t="n">
        <f aca="false">IFERROR(INDEX($B$5:$C$173, MATCH($D125, $B$5:$B$175, 0), 2), 0)*investment!$C$3</f>
        <v>0</v>
      </c>
      <c r="F125" s="18" t="n">
        <f aca="false">demand!D123</f>
        <v>0</v>
      </c>
      <c r="G125" s="3" t="n">
        <f aca="false">solgen!D123</f>
        <v>0</v>
      </c>
      <c r="H125" s="3" t="n">
        <f aca="false">import!D123</f>
        <v>0</v>
      </c>
      <c r="I125" s="3" t="n">
        <f aca="false">-export!D123</f>
        <v>-0</v>
      </c>
      <c r="J125" s="3" t="n">
        <f aca="false">-charge!D123</f>
        <v>-0</v>
      </c>
      <c r="K125" s="3" t="n">
        <f aca="false">discharge!D123</f>
        <v>0</v>
      </c>
      <c r="L125" s="3" t="n">
        <f aca="false">soc!D123/investment!$E$3 *100</f>
        <v>40.7152282204027</v>
      </c>
    </row>
    <row r="126" customFormat="false" ht="13.8" hidden="false" customHeight="false" outlineLevel="0" collapsed="false">
      <c r="B126" s="11" t="n">
        <f aca="false">_xlfn.NUMBERVALUE(solar!B123)</f>
        <v>0</v>
      </c>
      <c r="C126" s="12" t="n">
        <f aca="false">solar!C123</f>
        <v>0</v>
      </c>
      <c r="D126" s="6" t="n">
        <v>122</v>
      </c>
      <c r="E126" s="17" t="n">
        <f aca="false">IFERROR(INDEX($B$5:$C$173, MATCH($D126, $B$5:$B$175, 0), 2), 0)*investment!$C$3</f>
        <v>0</v>
      </c>
      <c r="F126" s="18" t="n">
        <f aca="false">demand!D124</f>
        <v>0</v>
      </c>
      <c r="G126" s="3" t="n">
        <f aca="false">solgen!D124</f>
        <v>0</v>
      </c>
      <c r="H126" s="3" t="n">
        <f aca="false">import!D124</f>
        <v>0</v>
      </c>
      <c r="I126" s="3" t="n">
        <f aca="false">-export!D124</f>
        <v>-0</v>
      </c>
      <c r="J126" s="3" t="n">
        <f aca="false">-charge!D124</f>
        <v>-0</v>
      </c>
      <c r="K126" s="3" t="n">
        <f aca="false">discharge!D124</f>
        <v>0</v>
      </c>
      <c r="L126" s="3" t="n">
        <f aca="false">soc!D124/investment!$E$3 *100</f>
        <v>32.078958323135</v>
      </c>
    </row>
    <row r="127" customFormat="false" ht="13.8" hidden="false" customHeight="false" outlineLevel="0" collapsed="false">
      <c r="B127" s="11" t="n">
        <f aca="false">_xlfn.NUMBERVALUE(solar!B124)</f>
        <v>0</v>
      </c>
      <c r="C127" s="12" t="n">
        <f aca="false">solar!C124</f>
        <v>0</v>
      </c>
      <c r="D127" s="6" t="n">
        <v>123</v>
      </c>
      <c r="E127" s="17" t="n">
        <f aca="false">IFERROR(INDEX($B$5:$C$173, MATCH($D127, $B$5:$B$175, 0), 2), 0)*investment!$C$3</f>
        <v>0</v>
      </c>
      <c r="F127" s="18" t="n">
        <f aca="false">demand!D125</f>
        <v>0</v>
      </c>
      <c r="G127" s="3" t="n">
        <f aca="false">solgen!D125</f>
        <v>0</v>
      </c>
      <c r="H127" s="3" t="n">
        <f aca="false">import!D125</f>
        <v>0</v>
      </c>
      <c r="I127" s="3" t="n">
        <f aca="false">-export!D125</f>
        <v>-0</v>
      </c>
      <c r="J127" s="3" t="n">
        <f aca="false">-charge!D125</f>
        <v>-0</v>
      </c>
      <c r="K127" s="3" t="n">
        <f aca="false">discharge!D125</f>
        <v>0</v>
      </c>
      <c r="L127" s="3" t="n">
        <f aca="false">soc!D125/investment!$E$3 *100</f>
        <v>23.4427747885664</v>
      </c>
    </row>
    <row r="128" customFormat="false" ht="13.8" hidden="false" customHeight="false" outlineLevel="0" collapsed="false">
      <c r="B128" s="11" t="n">
        <f aca="false">_xlfn.NUMBERVALUE(solar!B125)</f>
        <v>0</v>
      </c>
      <c r="C128" s="12" t="n">
        <f aca="false">solar!C125</f>
        <v>0</v>
      </c>
      <c r="D128" s="6" t="n">
        <v>124</v>
      </c>
      <c r="E128" s="17" t="n">
        <f aca="false">IFERROR(INDEX($B$5:$C$173, MATCH($D128, $B$5:$B$175, 0), 2), 0)*investment!$C$3</f>
        <v>0</v>
      </c>
      <c r="F128" s="18" t="n">
        <f aca="false">demand!D126</f>
        <v>0</v>
      </c>
      <c r="G128" s="3" t="n">
        <f aca="false">solgen!D126</f>
        <v>0</v>
      </c>
      <c r="H128" s="3" t="n">
        <f aca="false">import!D126</f>
        <v>0</v>
      </c>
      <c r="I128" s="3" t="n">
        <f aca="false">-export!D126</f>
        <v>-0</v>
      </c>
      <c r="J128" s="3" t="n">
        <f aca="false">-charge!D126</f>
        <v>-0</v>
      </c>
      <c r="K128" s="3" t="n">
        <f aca="false">discharge!D126</f>
        <v>0</v>
      </c>
      <c r="L128" s="3" t="n">
        <f aca="false">soc!D126/investment!$E$3 *100</f>
        <v>14.8066776158331</v>
      </c>
    </row>
    <row r="129" customFormat="false" ht="13.8" hidden="false" customHeight="false" outlineLevel="0" collapsed="false">
      <c r="B129" s="11" t="n">
        <f aca="false">_xlfn.NUMBERVALUE(solar!B126)</f>
        <v>0</v>
      </c>
      <c r="C129" s="12" t="n">
        <f aca="false">solar!C126</f>
        <v>0</v>
      </c>
      <c r="D129" s="6" t="n">
        <v>125</v>
      </c>
      <c r="E129" s="17" t="n">
        <f aca="false">IFERROR(INDEX($B$5:$C$173, MATCH($D129, $B$5:$B$175, 0), 2), 0)*investment!$C$3</f>
        <v>0</v>
      </c>
      <c r="F129" s="18" t="n">
        <f aca="false">demand!D127</f>
        <v>0</v>
      </c>
      <c r="G129" s="3" t="n">
        <f aca="false">solgen!D127</f>
        <v>0</v>
      </c>
      <c r="H129" s="3" t="n">
        <f aca="false">import!D127</f>
        <v>0</v>
      </c>
      <c r="I129" s="3" t="n">
        <f aca="false">-export!D127</f>
        <v>-0</v>
      </c>
      <c r="J129" s="3" t="n">
        <f aca="false">-charge!D127</f>
        <v>-0</v>
      </c>
      <c r="K129" s="3" t="n">
        <f aca="false">discharge!D127</f>
        <v>0</v>
      </c>
      <c r="L129" s="3" t="n">
        <f aca="false">soc!D127/investment!$E$3 *100</f>
        <v>6.17066680407157</v>
      </c>
    </row>
    <row r="130" customFormat="false" ht="13.8" hidden="false" customHeight="false" outlineLevel="0" collapsed="false">
      <c r="B130" s="11" t="n">
        <f aca="false">_xlfn.NUMBERVALUE(solar!B127)</f>
        <v>0</v>
      </c>
      <c r="C130" s="12" t="n">
        <f aca="false">solar!C127</f>
        <v>0</v>
      </c>
      <c r="D130" s="6" t="n">
        <v>126</v>
      </c>
      <c r="E130" s="17" t="n">
        <f aca="false">IFERROR(INDEX($B$5:$C$173, MATCH($D130, $B$5:$B$175, 0), 2), 0)*investment!$C$3</f>
        <v>0</v>
      </c>
      <c r="F130" s="18" t="n">
        <f aca="false">demand!D128</f>
        <v>0</v>
      </c>
      <c r="G130" s="3" t="n">
        <f aca="false">solgen!D128</f>
        <v>0</v>
      </c>
      <c r="H130" s="3" t="n">
        <f aca="false">import!D128</f>
        <v>0</v>
      </c>
      <c r="I130" s="3" t="n">
        <f aca="false">-export!D128</f>
        <v>-0</v>
      </c>
      <c r="J130" s="3" t="n">
        <f aca="false">-charge!D128</f>
        <v>-0</v>
      </c>
      <c r="K130" s="3" t="n">
        <f aca="false">discharge!D128</f>
        <v>0</v>
      </c>
      <c r="L130" s="3" t="n">
        <f aca="false">soc!D128/investment!$E$3 *100</f>
        <v>0</v>
      </c>
    </row>
    <row r="131" customFormat="false" ht="13.8" hidden="false" customHeight="false" outlineLevel="0" collapsed="false">
      <c r="B131" s="11" t="n">
        <f aca="false">_xlfn.NUMBERVALUE(solar!B128)</f>
        <v>0</v>
      </c>
      <c r="C131" s="12" t="n">
        <f aca="false">solar!C128</f>
        <v>0</v>
      </c>
      <c r="D131" s="6" t="n">
        <v>127</v>
      </c>
      <c r="E131" s="17" t="n">
        <f aca="false">IFERROR(INDEX($B$5:$C$173, MATCH($D131, $B$5:$B$175, 0), 2), 0)*investment!$C$3</f>
        <v>0</v>
      </c>
      <c r="F131" s="18" t="n">
        <f aca="false">demand!D129</f>
        <v>0</v>
      </c>
      <c r="G131" s="3" t="n">
        <f aca="false">solgen!D129</f>
        <v>0</v>
      </c>
      <c r="H131" s="3" t="n">
        <f aca="false">import!D129</f>
        <v>0</v>
      </c>
      <c r="I131" s="3" t="n">
        <f aca="false">-export!D129</f>
        <v>-0</v>
      </c>
      <c r="J131" s="3" t="n">
        <f aca="false">-charge!D129</f>
        <v>-0</v>
      </c>
      <c r="K131" s="3" t="n">
        <f aca="false">discharge!D129</f>
        <v>0</v>
      </c>
      <c r="L131" s="3" t="n">
        <f aca="false">soc!D129/investment!$E$3 *100</f>
        <v>0.197008898155222</v>
      </c>
    </row>
    <row r="132" customFormat="false" ht="13.8" hidden="false" customHeight="false" outlineLevel="0" collapsed="false">
      <c r="B132" s="11" t="n">
        <f aca="false">_xlfn.NUMBERVALUE(solar!B129)</f>
        <v>0</v>
      </c>
      <c r="C132" s="12" t="n">
        <f aca="false">solar!C129</f>
        <v>0</v>
      </c>
      <c r="D132" s="6" t="n">
        <v>128</v>
      </c>
      <c r="E132" s="17" t="n">
        <f aca="false">IFERROR(INDEX($B$5:$C$173, MATCH($D132, $B$5:$B$175, 0), 2), 0)*investment!$C$3</f>
        <v>0</v>
      </c>
      <c r="F132" s="18" t="n">
        <f aca="false">demand!D130</f>
        <v>0</v>
      </c>
      <c r="G132" s="3" t="n">
        <f aca="false">solgen!D130</f>
        <v>0</v>
      </c>
      <c r="H132" s="3" t="n">
        <f aca="false">import!D130</f>
        <v>0</v>
      </c>
      <c r="I132" s="3" t="n">
        <f aca="false">-export!D130</f>
        <v>-0</v>
      </c>
      <c r="J132" s="3" t="n">
        <f aca="false">-charge!D130</f>
        <v>-0</v>
      </c>
      <c r="K132" s="3" t="n">
        <f aca="false">discharge!D130</f>
        <v>0</v>
      </c>
      <c r="L132" s="3" t="n">
        <f aca="false">soc!D130/investment!$E$3 *100</f>
        <v>2.84526864425208</v>
      </c>
    </row>
    <row r="133" customFormat="false" ht="13.8" hidden="false" customHeight="false" outlineLevel="0" collapsed="false">
      <c r="B133" s="11" t="n">
        <f aca="false">_xlfn.NUMBERVALUE(solar!B130)</f>
        <v>0</v>
      </c>
      <c r="C133" s="12" t="n">
        <f aca="false">solar!C130</f>
        <v>0</v>
      </c>
      <c r="D133" s="6" t="n">
        <v>129</v>
      </c>
      <c r="E133" s="17" t="n">
        <f aca="false">IFERROR(INDEX($B$5:$C$173, MATCH($D133, $B$5:$B$175, 0), 2), 0)*investment!$C$3</f>
        <v>0</v>
      </c>
      <c r="F133" s="18" t="n">
        <f aca="false">demand!D131</f>
        <v>0</v>
      </c>
      <c r="G133" s="3" t="n">
        <f aca="false">solgen!D131</f>
        <v>0</v>
      </c>
      <c r="H133" s="3" t="n">
        <f aca="false">import!D131</f>
        <v>0</v>
      </c>
      <c r="I133" s="3" t="n">
        <f aca="false">-export!D131</f>
        <v>-0</v>
      </c>
      <c r="J133" s="3" t="n">
        <f aca="false">-charge!D131</f>
        <v>-0</v>
      </c>
      <c r="K133" s="3" t="n">
        <f aca="false">discharge!D131</f>
        <v>0</v>
      </c>
      <c r="L133" s="3" t="n">
        <f aca="false">soc!D131/investment!$E$3 *100</f>
        <v>11.0239869285979</v>
      </c>
    </row>
    <row r="134" customFormat="false" ht="13.8" hidden="false" customHeight="false" outlineLevel="0" collapsed="false">
      <c r="B134" s="11" t="n">
        <f aca="false">_xlfn.NUMBERVALUE(solar!B131)</f>
        <v>0</v>
      </c>
      <c r="C134" s="12" t="n">
        <f aca="false">solar!C131</f>
        <v>0</v>
      </c>
      <c r="D134" s="6" t="n">
        <v>130</v>
      </c>
      <c r="E134" s="17" t="n">
        <f aca="false">IFERROR(INDEX($B$5:$C$173, MATCH($D134, $B$5:$B$175, 0), 2), 0)*investment!$C$3</f>
        <v>0</v>
      </c>
      <c r="F134" s="18" t="n">
        <f aca="false">demand!D132</f>
        <v>0</v>
      </c>
      <c r="G134" s="3" t="n">
        <f aca="false">solgen!D132</f>
        <v>0</v>
      </c>
      <c r="H134" s="3" t="n">
        <f aca="false">import!D132</f>
        <v>0</v>
      </c>
      <c r="I134" s="3" t="n">
        <f aca="false">-export!D132</f>
        <v>-0</v>
      </c>
      <c r="J134" s="3" t="n">
        <f aca="false">-charge!D132</f>
        <v>-0</v>
      </c>
      <c r="K134" s="3" t="n">
        <f aca="false">discharge!D132</f>
        <v>0</v>
      </c>
      <c r="L134" s="3" t="n">
        <f aca="false">soc!D132/investment!$E$3 *100</f>
        <v>23.0901849117828</v>
      </c>
    </row>
    <row r="135" customFormat="false" ht="13.8" hidden="false" customHeight="false" outlineLevel="0" collapsed="false">
      <c r="B135" s="11" t="n">
        <f aca="false">_xlfn.NUMBERVALUE(solar!B132)</f>
        <v>0</v>
      </c>
      <c r="C135" s="12" t="n">
        <f aca="false">solar!C132</f>
        <v>0</v>
      </c>
      <c r="D135" s="6" t="n">
        <v>131</v>
      </c>
      <c r="E135" s="17" t="n">
        <f aca="false">IFERROR(INDEX($B$5:$C$173, MATCH($D135, $B$5:$B$175, 0), 2), 0)*investment!$C$3</f>
        <v>0</v>
      </c>
      <c r="F135" s="18" t="n">
        <f aca="false">demand!D133</f>
        <v>0</v>
      </c>
      <c r="G135" s="3" t="n">
        <f aca="false">solgen!D133</f>
        <v>0</v>
      </c>
      <c r="H135" s="3" t="n">
        <f aca="false">import!D133</f>
        <v>0</v>
      </c>
      <c r="I135" s="3" t="n">
        <f aca="false">-export!D133</f>
        <v>-0</v>
      </c>
      <c r="J135" s="3" t="n">
        <f aca="false">-charge!D133</f>
        <v>-0</v>
      </c>
      <c r="K135" s="3" t="n">
        <f aca="false">discharge!D133</f>
        <v>0</v>
      </c>
      <c r="L135" s="3" t="n">
        <f aca="false">soc!D133/investment!$E$3 *100</f>
        <v>38.9708270110836</v>
      </c>
    </row>
    <row r="136" customFormat="false" ht="13.8" hidden="false" customHeight="false" outlineLevel="0" collapsed="false">
      <c r="B136" s="11" t="n">
        <f aca="false">_xlfn.NUMBERVALUE(solar!B133)</f>
        <v>0</v>
      </c>
      <c r="C136" s="12" t="n">
        <f aca="false">solar!C133</f>
        <v>0</v>
      </c>
      <c r="D136" s="6" t="n">
        <v>132</v>
      </c>
      <c r="E136" s="17" t="n">
        <f aca="false">IFERROR(INDEX($B$5:$C$173, MATCH($D136, $B$5:$B$175, 0), 2), 0)*investment!$C$3</f>
        <v>0</v>
      </c>
      <c r="F136" s="18" t="n">
        <f aca="false">demand!D134</f>
        <v>0</v>
      </c>
      <c r="G136" s="3" t="n">
        <f aca="false">solgen!D134</f>
        <v>0</v>
      </c>
      <c r="H136" s="3" t="n">
        <f aca="false">import!D134</f>
        <v>0</v>
      </c>
      <c r="I136" s="3" t="n">
        <f aca="false">-export!D134</f>
        <v>-0</v>
      </c>
      <c r="J136" s="3" t="n">
        <f aca="false">-charge!D134</f>
        <v>-0</v>
      </c>
      <c r="K136" s="3" t="n">
        <f aca="false">discharge!D134</f>
        <v>0</v>
      </c>
      <c r="L136" s="3" t="n">
        <f aca="false">soc!D134/investment!$E$3 *100</f>
        <v>57.7533945979175</v>
      </c>
    </row>
    <row r="137" customFormat="false" ht="13.8" hidden="false" customHeight="false" outlineLevel="0" collapsed="false">
      <c r="B137" s="11" t="n">
        <f aca="false">_xlfn.NUMBERVALUE(solar!B134)</f>
        <v>0</v>
      </c>
      <c r="C137" s="12" t="n">
        <f aca="false">solar!C134</f>
        <v>0</v>
      </c>
      <c r="D137" s="6" t="n">
        <v>133</v>
      </c>
      <c r="E137" s="17" t="n">
        <f aca="false">IFERROR(INDEX($B$5:$C$173, MATCH($D137, $B$5:$B$175, 0), 2), 0)*investment!$C$3</f>
        <v>0</v>
      </c>
      <c r="F137" s="18" t="n">
        <f aca="false">demand!D135</f>
        <v>0</v>
      </c>
      <c r="G137" s="3" t="n">
        <f aca="false">solgen!D135</f>
        <v>0</v>
      </c>
      <c r="H137" s="3" t="n">
        <f aca="false">import!D135</f>
        <v>0</v>
      </c>
      <c r="I137" s="3" t="n">
        <f aca="false">-export!D135</f>
        <v>-0</v>
      </c>
      <c r="J137" s="3" t="n">
        <f aca="false">-charge!D135</f>
        <v>-0</v>
      </c>
      <c r="K137" s="3" t="n">
        <f aca="false">discharge!D135</f>
        <v>0</v>
      </c>
      <c r="L137" s="3" t="n">
        <f aca="false">soc!D135/investment!$E$3 *100</f>
        <v>73.6551520491946</v>
      </c>
    </row>
    <row r="138" customFormat="false" ht="13.8" hidden="false" customHeight="false" outlineLevel="0" collapsed="false">
      <c r="B138" s="11" t="n">
        <f aca="false">_xlfn.NUMBERVALUE(solar!B135)</f>
        <v>0</v>
      </c>
      <c r="C138" s="12" t="n">
        <f aca="false">solar!C135</f>
        <v>0</v>
      </c>
      <c r="D138" s="6" t="n">
        <v>134</v>
      </c>
      <c r="E138" s="17" t="n">
        <f aca="false">IFERROR(INDEX($B$5:$C$173, MATCH($D138, $B$5:$B$175, 0), 2), 0)*investment!$C$3</f>
        <v>0</v>
      </c>
      <c r="F138" s="18" t="n">
        <f aca="false">demand!D136</f>
        <v>0</v>
      </c>
      <c r="G138" s="3" t="n">
        <f aca="false">solgen!D136</f>
        <v>0</v>
      </c>
      <c r="H138" s="3" t="n">
        <f aca="false">import!D136</f>
        <v>0</v>
      </c>
      <c r="I138" s="3" t="n">
        <f aca="false">-export!D136</f>
        <v>-0</v>
      </c>
      <c r="J138" s="3" t="n">
        <f aca="false">-charge!D136</f>
        <v>-0</v>
      </c>
      <c r="K138" s="3" t="n">
        <f aca="false">discharge!D136</f>
        <v>0</v>
      </c>
      <c r="L138" s="3" t="n">
        <f aca="false">soc!D136/investment!$E$3 *100</f>
        <v>84.8840092327803</v>
      </c>
    </row>
    <row r="139" customFormat="false" ht="13.8" hidden="false" customHeight="false" outlineLevel="0" collapsed="false">
      <c r="B139" s="11" t="n">
        <f aca="false">_xlfn.NUMBERVALUE(solar!B136)</f>
        <v>0</v>
      </c>
      <c r="C139" s="12" t="n">
        <f aca="false">solar!C136</f>
        <v>0</v>
      </c>
      <c r="D139" s="6" t="n">
        <v>135</v>
      </c>
      <c r="E139" s="17" t="n">
        <f aca="false">IFERROR(INDEX($B$5:$C$173, MATCH($D139, $B$5:$B$175, 0), 2), 0)*investment!$C$3</f>
        <v>0</v>
      </c>
      <c r="F139" s="18" t="n">
        <f aca="false">demand!D137</f>
        <v>0</v>
      </c>
      <c r="G139" s="3" t="n">
        <f aca="false">solgen!D137</f>
        <v>0</v>
      </c>
      <c r="H139" s="3" t="n">
        <f aca="false">import!D137</f>
        <v>0</v>
      </c>
      <c r="I139" s="3" t="n">
        <f aca="false">-export!D137</f>
        <v>-0</v>
      </c>
      <c r="J139" s="3" t="n">
        <f aca="false">-charge!D137</f>
        <v>-0</v>
      </c>
      <c r="K139" s="3" t="n">
        <f aca="false">discharge!D137</f>
        <v>0</v>
      </c>
      <c r="L139" s="3" t="n">
        <f aca="false">soc!D137/investment!$E$3 *100</f>
        <v>88.5420392459951</v>
      </c>
    </row>
    <row r="140" customFormat="false" ht="13.8" hidden="false" customHeight="false" outlineLevel="0" collapsed="false">
      <c r="B140" s="11" t="n">
        <f aca="false">_xlfn.NUMBERVALUE(solar!B137)</f>
        <v>0</v>
      </c>
      <c r="C140" s="12" t="n">
        <f aca="false">solar!C137</f>
        <v>0</v>
      </c>
      <c r="D140" s="6" t="n">
        <v>136</v>
      </c>
      <c r="E140" s="17" t="n">
        <f aca="false">IFERROR(INDEX($B$5:$C$173, MATCH($D140, $B$5:$B$175, 0), 2), 0)*investment!$C$3</f>
        <v>0</v>
      </c>
      <c r="F140" s="18" t="n">
        <f aca="false">demand!D138</f>
        <v>0</v>
      </c>
      <c r="G140" s="3" t="n">
        <f aca="false">solgen!D138</f>
        <v>0</v>
      </c>
      <c r="H140" s="3" t="n">
        <f aca="false">import!D138</f>
        <v>0</v>
      </c>
      <c r="I140" s="3" t="n">
        <f aca="false">-export!D138</f>
        <v>-0</v>
      </c>
      <c r="J140" s="3" t="n">
        <f aca="false">-charge!D138</f>
        <v>-0</v>
      </c>
      <c r="K140" s="3" t="n">
        <f aca="false">discharge!D138</f>
        <v>0</v>
      </c>
      <c r="L140" s="3" t="n">
        <f aca="false">soc!D138/investment!$E$3 *100</f>
        <v>89.5969449775876</v>
      </c>
    </row>
    <row r="141" customFormat="false" ht="13.8" hidden="false" customHeight="false" outlineLevel="0" collapsed="false">
      <c r="B141" s="11" t="n">
        <f aca="false">_xlfn.NUMBERVALUE(solar!B138)</f>
        <v>0</v>
      </c>
      <c r="C141" s="12" t="n">
        <f aca="false">solar!C138</f>
        <v>0</v>
      </c>
      <c r="D141" s="6" t="n">
        <v>137</v>
      </c>
      <c r="E141" s="17" t="n">
        <f aca="false">IFERROR(INDEX($B$5:$C$173, MATCH($D141, $B$5:$B$175, 0), 2), 0)*investment!$C$3</f>
        <v>0</v>
      </c>
      <c r="F141" s="18" t="n">
        <f aca="false">demand!D139</f>
        <v>0</v>
      </c>
      <c r="G141" s="3" t="n">
        <f aca="false">solgen!D139</f>
        <v>0</v>
      </c>
      <c r="H141" s="3" t="n">
        <f aca="false">import!D139</f>
        <v>0</v>
      </c>
      <c r="I141" s="3" t="n">
        <f aca="false">-export!D139</f>
        <v>-0</v>
      </c>
      <c r="J141" s="3" t="n">
        <f aca="false">-charge!D139</f>
        <v>-0</v>
      </c>
      <c r="K141" s="3" t="n">
        <f aca="false">discharge!D139</f>
        <v>0</v>
      </c>
      <c r="L141" s="3" t="n">
        <f aca="false">soc!D139/investment!$E$3 *100</f>
        <v>90.2408172030447</v>
      </c>
    </row>
    <row r="142" customFormat="false" ht="13.8" hidden="false" customHeight="false" outlineLevel="0" collapsed="false">
      <c r="B142" s="11" t="n">
        <f aca="false">_xlfn.NUMBERVALUE(solar!B139)</f>
        <v>0</v>
      </c>
      <c r="C142" s="12" t="n">
        <f aca="false">solar!C139</f>
        <v>0</v>
      </c>
      <c r="D142" s="6" t="n">
        <v>138</v>
      </c>
      <c r="E142" s="17" t="n">
        <f aca="false">IFERROR(INDEX($B$5:$C$173, MATCH($D142, $B$5:$B$175, 0), 2), 0)*investment!$C$3</f>
        <v>0</v>
      </c>
      <c r="F142" s="18" t="n">
        <f aca="false">demand!D140</f>
        <v>0</v>
      </c>
      <c r="G142" s="3" t="n">
        <f aca="false">solgen!D140</f>
        <v>0</v>
      </c>
      <c r="H142" s="3" t="n">
        <f aca="false">import!D140</f>
        <v>0</v>
      </c>
      <c r="I142" s="3" t="n">
        <f aca="false">-export!D140</f>
        <v>-0</v>
      </c>
      <c r="J142" s="3" t="n">
        <f aca="false">-charge!D140</f>
        <v>-0</v>
      </c>
      <c r="K142" s="3" t="n">
        <f aca="false">discharge!D140</f>
        <v>0</v>
      </c>
      <c r="L142" s="3" t="n">
        <f aca="false">soc!D140/investment!$E$3 *100</f>
        <v>90.3079065998488</v>
      </c>
    </row>
    <row r="143" customFormat="false" ht="13.8" hidden="false" customHeight="false" outlineLevel="0" collapsed="false">
      <c r="B143" s="11" t="n">
        <f aca="false">_xlfn.NUMBERVALUE(solar!B140)</f>
        <v>0</v>
      </c>
      <c r="C143" s="12" t="n">
        <f aca="false">solar!C140</f>
        <v>0</v>
      </c>
      <c r="D143" s="6" t="n">
        <v>139</v>
      </c>
      <c r="E143" s="17" t="n">
        <f aca="false">IFERROR(INDEX($B$5:$C$173, MATCH($D143, $B$5:$B$175, 0), 2), 0)*investment!$C$3</f>
        <v>0</v>
      </c>
      <c r="F143" s="18" t="n">
        <f aca="false">demand!D141</f>
        <v>0</v>
      </c>
      <c r="G143" s="3" t="n">
        <f aca="false">solgen!D141</f>
        <v>0</v>
      </c>
      <c r="H143" s="3" t="n">
        <f aca="false">import!D141</f>
        <v>0</v>
      </c>
      <c r="I143" s="3" t="n">
        <f aca="false">-export!D141</f>
        <v>-0</v>
      </c>
      <c r="J143" s="3" t="n">
        <f aca="false">-charge!D141</f>
        <v>-0</v>
      </c>
      <c r="K143" s="3" t="n">
        <f aca="false">discharge!D141</f>
        <v>0</v>
      </c>
      <c r="L143" s="3" t="n">
        <f aca="false">soc!D141/investment!$E$3 *100</f>
        <v>81.6711407757974</v>
      </c>
    </row>
    <row r="144" customFormat="false" ht="13.8" hidden="false" customHeight="false" outlineLevel="0" collapsed="false">
      <c r="B144" s="11" t="n">
        <f aca="false">_xlfn.NUMBERVALUE(solar!B141)</f>
        <v>0</v>
      </c>
      <c r="C144" s="12" t="n">
        <f aca="false">solar!C141</f>
        <v>0</v>
      </c>
      <c r="D144" s="6" t="n">
        <v>140</v>
      </c>
      <c r="E144" s="17" t="n">
        <f aca="false">IFERROR(INDEX($B$5:$C$173, MATCH($D144, $B$5:$B$175, 0), 2), 0)*investment!$C$3</f>
        <v>0</v>
      </c>
      <c r="F144" s="18" t="n">
        <f aca="false">demand!D142</f>
        <v>0</v>
      </c>
      <c r="G144" s="3" t="n">
        <f aca="false">solgen!D142</f>
        <v>0</v>
      </c>
      <c r="H144" s="3" t="n">
        <f aca="false">import!D142</f>
        <v>0</v>
      </c>
      <c r="I144" s="3" t="n">
        <f aca="false">-export!D142</f>
        <v>-0</v>
      </c>
      <c r="J144" s="3" t="n">
        <f aca="false">-charge!D142</f>
        <v>-0</v>
      </c>
      <c r="K144" s="3" t="n">
        <f aca="false">discharge!D142</f>
        <v>0</v>
      </c>
      <c r="L144" s="3" t="n">
        <f aca="false">soc!D142/investment!$E$3 *100</f>
        <v>73.0344613194042</v>
      </c>
    </row>
    <row r="145" customFormat="false" ht="13.8" hidden="false" customHeight="false" outlineLevel="0" collapsed="false">
      <c r="B145" s="11" t="n">
        <f aca="false">_xlfn.NUMBERVALUE(solar!B142)</f>
        <v>0</v>
      </c>
      <c r="C145" s="12" t="n">
        <f aca="false">solar!C142</f>
        <v>0</v>
      </c>
      <c r="D145" s="6" t="n">
        <v>141</v>
      </c>
      <c r="E145" s="17" t="n">
        <f aca="false">IFERROR(INDEX($B$5:$C$173, MATCH($D145, $B$5:$B$175, 0), 2), 0)*investment!$C$3</f>
        <v>0</v>
      </c>
      <c r="F145" s="18" t="n">
        <f aca="false">demand!D143</f>
        <v>0</v>
      </c>
      <c r="G145" s="3" t="n">
        <f aca="false">solgen!D143</f>
        <v>0</v>
      </c>
      <c r="H145" s="3" t="n">
        <f aca="false">import!D143</f>
        <v>0</v>
      </c>
      <c r="I145" s="3" t="n">
        <f aca="false">-export!D143</f>
        <v>-0</v>
      </c>
      <c r="J145" s="3" t="n">
        <f aca="false">-charge!D143</f>
        <v>-0</v>
      </c>
      <c r="K145" s="3" t="n">
        <f aca="false">discharge!D143</f>
        <v>0</v>
      </c>
      <c r="L145" s="3" t="n">
        <f aca="false">soc!D143/investment!$E$3 *100</f>
        <v>64.3978682298056</v>
      </c>
    </row>
    <row r="146" customFormat="false" ht="13.8" hidden="false" customHeight="false" outlineLevel="0" collapsed="false">
      <c r="B146" s="11" t="n">
        <f aca="false">_xlfn.NUMBERVALUE(solar!B143)</f>
        <v>0</v>
      </c>
      <c r="C146" s="12" t="n">
        <f aca="false">solar!C143</f>
        <v>0</v>
      </c>
      <c r="D146" s="6" t="n">
        <v>142</v>
      </c>
      <c r="E146" s="17" t="n">
        <f aca="false">IFERROR(INDEX($B$5:$C$173, MATCH($D146, $B$5:$B$175, 0), 2), 0)*investment!$C$3</f>
        <v>0</v>
      </c>
      <c r="F146" s="18" t="n">
        <f aca="false">demand!D144</f>
        <v>0</v>
      </c>
      <c r="G146" s="3" t="n">
        <f aca="false">solgen!D144</f>
        <v>0</v>
      </c>
      <c r="H146" s="3" t="n">
        <f aca="false">import!D144</f>
        <v>0</v>
      </c>
      <c r="I146" s="3" t="n">
        <f aca="false">-export!D144</f>
        <v>-0</v>
      </c>
      <c r="J146" s="3" t="n">
        <f aca="false">-charge!D144</f>
        <v>-0</v>
      </c>
      <c r="K146" s="3" t="n">
        <f aca="false">discharge!D144</f>
        <v>0</v>
      </c>
      <c r="L146" s="3" t="n">
        <f aca="false">soc!D144/investment!$E$3 *100</f>
        <v>55.7613615061379</v>
      </c>
    </row>
    <row r="147" customFormat="false" ht="13.8" hidden="false" customHeight="false" outlineLevel="0" collapsed="false">
      <c r="B147" s="11" t="n">
        <f aca="false">_xlfn.NUMBERVALUE(solar!B144)</f>
        <v>0</v>
      </c>
      <c r="C147" s="12" t="n">
        <f aca="false">solar!C144</f>
        <v>0</v>
      </c>
      <c r="D147" s="6" t="n">
        <v>143</v>
      </c>
      <c r="E147" s="17" t="n">
        <f aca="false">IFERROR(INDEX($B$5:$C$173, MATCH($D147, $B$5:$B$175, 0), 2), 0)*investment!$C$3</f>
        <v>0</v>
      </c>
      <c r="F147" s="18" t="n">
        <f aca="false">demand!D145</f>
        <v>0</v>
      </c>
      <c r="G147" s="3" t="n">
        <f aca="false">solgen!D145</f>
        <v>0</v>
      </c>
      <c r="H147" s="3" t="n">
        <f aca="false">import!D145</f>
        <v>0</v>
      </c>
      <c r="I147" s="3" t="n">
        <f aca="false">-export!D145</f>
        <v>-0</v>
      </c>
      <c r="J147" s="3" t="n">
        <f aca="false">-charge!D145</f>
        <v>-0</v>
      </c>
      <c r="K147" s="3" t="n">
        <f aca="false">discharge!D145</f>
        <v>0</v>
      </c>
      <c r="L147" s="3" t="n">
        <f aca="false">soc!D145/investment!$E$3 *100</f>
        <v>47.1249411475374</v>
      </c>
    </row>
    <row r="148" customFormat="false" ht="13.8" hidden="false" customHeight="false" outlineLevel="0" collapsed="false">
      <c r="B148" s="11" t="n">
        <f aca="false">_xlfn.NUMBERVALUE(solar!B145)</f>
        <v>0</v>
      </c>
      <c r="C148" s="12" t="n">
        <f aca="false">solar!C145</f>
        <v>0</v>
      </c>
      <c r="D148" s="6" t="n">
        <v>144</v>
      </c>
      <c r="E148" s="17" t="n">
        <f aca="false">IFERROR(INDEX($B$5:$C$173, MATCH($D148, $B$5:$B$175, 0), 2), 0)*investment!$C$3</f>
        <v>0</v>
      </c>
      <c r="F148" s="18" t="n">
        <f aca="false">demand!D146</f>
        <v>0</v>
      </c>
      <c r="G148" s="3" t="n">
        <f aca="false">solgen!D146</f>
        <v>0</v>
      </c>
      <c r="H148" s="3" t="n">
        <f aca="false">import!D146</f>
        <v>0</v>
      </c>
      <c r="I148" s="3" t="n">
        <f aca="false">-export!D146</f>
        <v>-0</v>
      </c>
      <c r="J148" s="3" t="n">
        <f aca="false">-charge!D146</f>
        <v>-0</v>
      </c>
      <c r="K148" s="3" t="n">
        <f aca="false">discharge!D146</f>
        <v>0</v>
      </c>
      <c r="L148" s="3" t="n">
        <f aca="false">soc!D146/investment!$E$3 *100</f>
        <v>38.4886071531404</v>
      </c>
    </row>
    <row r="149" customFormat="false" ht="13.8" hidden="false" customHeight="false" outlineLevel="0" collapsed="false">
      <c r="B149" s="11" t="n">
        <f aca="false">_xlfn.NUMBERVALUE(solar!B146)</f>
        <v>0</v>
      </c>
      <c r="C149" s="12" t="n">
        <f aca="false">solar!C146</f>
        <v>0</v>
      </c>
      <c r="D149" s="6" t="n">
        <v>145</v>
      </c>
      <c r="E149" s="17" t="n">
        <f aca="false">IFERROR(INDEX($B$5:$C$173, MATCH($D149, $B$5:$B$175, 0), 2), 0)*investment!$C$3</f>
        <v>0</v>
      </c>
      <c r="F149" s="18" t="n">
        <f aca="false">demand!D147</f>
        <v>0</v>
      </c>
      <c r="G149" s="3" t="n">
        <f aca="false">solgen!D147</f>
        <v>0</v>
      </c>
      <c r="H149" s="3" t="n">
        <f aca="false">import!D147</f>
        <v>0</v>
      </c>
      <c r="I149" s="3" t="n">
        <f aca="false">-export!D147</f>
        <v>-0</v>
      </c>
      <c r="J149" s="3" t="n">
        <f aca="false">-charge!D147</f>
        <v>-0</v>
      </c>
      <c r="K149" s="3" t="n">
        <f aca="false">discharge!D147</f>
        <v>0</v>
      </c>
      <c r="L149" s="3" t="n">
        <f aca="false">soc!D147/investment!$E$3 *100</f>
        <v>38.2003601755694</v>
      </c>
    </row>
    <row r="150" customFormat="false" ht="13.8" hidden="false" customHeight="false" outlineLevel="0" collapsed="false">
      <c r="B150" s="11" t="n">
        <f aca="false">_xlfn.NUMBERVALUE(solar!B147)</f>
        <v>0</v>
      </c>
      <c r="C150" s="12" t="n">
        <f aca="false">solar!C147</f>
        <v>0</v>
      </c>
      <c r="D150" s="6" t="n">
        <v>146</v>
      </c>
      <c r="E150" s="17" t="n">
        <f aca="false">IFERROR(INDEX($B$5:$C$173, MATCH($D150, $B$5:$B$175, 0), 2), 0)*investment!$C$3</f>
        <v>0</v>
      </c>
      <c r="F150" s="18" t="n">
        <f aca="false">demand!D148</f>
        <v>0</v>
      </c>
      <c r="G150" s="3" t="n">
        <f aca="false">solgen!D148</f>
        <v>0</v>
      </c>
      <c r="H150" s="3" t="n">
        <f aca="false">import!D148</f>
        <v>0</v>
      </c>
      <c r="I150" s="3" t="n">
        <f aca="false">-export!D148</f>
        <v>-0</v>
      </c>
      <c r="J150" s="3" t="n">
        <f aca="false">-charge!D148</f>
        <v>-0</v>
      </c>
      <c r="K150" s="3" t="n">
        <f aca="false">discharge!D148</f>
        <v>0</v>
      </c>
      <c r="L150" s="3" t="n">
        <f aca="false">soc!D148/investment!$E$3 *100</f>
        <v>29.5641154269822</v>
      </c>
    </row>
    <row r="151" customFormat="false" ht="13.8" hidden="false" customHeight="false" outlineLevel="0" collapsed="false">
      <c r="B151" s="11" t="n">
        <f aca="false">_xlfn.NUMBERVALUE(solar!B148)</f>
        <v>0</v>
      </c>
      <c r="C151" s="12" t="n">
        <f aca="false">solar!C148</f>
        <v>0</v>
      </c>
      <c r="D151" s="6" t="n">
        <v>147</v>
      </c>
      <c r="E151" s="17" t="n">
        <f aca="false">IFERROR(INDEX($B$5:$C$173, MATCH($D151, $B$5:$B$175, 0), 2), 0)*investment!$C$3</f>
        <v>0</v>
      </c>
      <c r="F151" s="18" t="n">
        <f aca="false">demand!D149</f>
        <v>0</v>
      </c>
      <c r="G151" s="3" t="n">
        <f aca="false">solgen!D149</f>
        <v>0</v>
      </c>
      <c r="H151" s="3" t="n">
        <f aca="false">import!D149</f>
        <v>0</v>
      </c>
      <c r="I151" s="3" t="n">
        <f aca="false">-export!D149</f>
        <v>-0</v>
      </c>
      <c r="J151" s="3" t="n">
        <f aca="false">-charge!D149</f>
        <v>-0</v>
      </c>
      <c r="K151" s="3" t="n">
        <f aca="false">discharge!D149</f>
        <v>0</v>
      </c>
      <c r="L151" s="3" t="n">
        <f aca="false">soc!D149/investment!$E$3 *100</f>
        <v>20.9279570408425</v>
      </c>
    </row>
    <row r="152" customFormat="false" ht="13.8" hidden="false" customHeight="false" outlineLevel="0" collapsed="false">
      <c r="B152" s="11" t="n">
        <f aca="false">_xlfn.NUMBERVALUE(solar!B149)</f>
        <v>0</v>
      </c>
      <c r="C152" s="12" t="n">
        <f aca="false">solar!C149</f>
        <v>0</v>
      </c>
      <c r="D152" s="6" t="n">
        <v>148</v>
      </c>
      <c r="E152" s="17" t="n">
        <f aca="false">IFERROR(INDEX($B$5:$C$173, MATCH($D152, $B$5:$B$175, 0), 2), 0)*investment!$C$3</f>
        <v>0</v>
      </c>
      <c r="F152" s="18" t="n">
        <f aca="false">demand!D150</f>
        <v>0</v>
      </c>
      <c r="G152" s="3" t="n">
        <f aca="false">solgen!D150</f>
        <v>0</v>
      </c>
      <c r="H152" s="3" t="n">
        <f aca="false">import!D150</f>
        <v>0</v>
      </c>
      <c r="I152" s="3" t="n">
        <f aca="false">-export!D150</f>
        <v>-0</v>
      </c>
      <c r="J152" s="3" t="n">
        <f aca="false">-charge!D150</f>
        <v>-0</v>
      </c>
      <c r="K152" s="3" t="n">
        <f aca="false">discharge!D150</f>
        <v>0</v>
      </c>
      <c r="L152" s="3" t="n">
        <f aca="false">soc!D150/investment!$E$3 *100</f>
        <v>12.2918850162867</v>
      </c>
    </row>
    <row r="153" customFormat="false" ht="13.8" hidden="false" customHeight="false" outlineLevel="0" collapsed="false">
      <c r="B153" s="11" t="n">
        <f aca="false">_xlfn.NUMBERVALUE(solar!B150)</f>
        <v>0</v>
      </c>
      <c r="C153" s="12" t="n">
        <f aca="false">solar!C150</f>
        <v>0</v>
      </c>
      <c r="D153" s="6" t="n">
        <v>149</v>
      </c>
      <c r="E153" s="17" t="n">
        <f aca="false">IFERROR(INDEX($B$5:$C$173, MATCH($D153, $B$5:$B$175, 0), 2), 0)*investment!$C$3</f>
        <v>0</v>
      </c>
      <c r="F153" s="18" t="n">
        <f aca="false">demand!D151</f>
        <v>0</v>
      </c>
      <c r="G153" s="3" t="n">
        <f aca="false">solgen!D151</f>
        <v>0</v>
      </c>
      <c r="H153" s="3" t="n">
        <f aca="false">import!D151</f>
        <v>0</v>
      </c>
      <c r="I153" s="3" t="n">
        <f aca="false">-export!D151</f>
        <v>-0</v>
      </c>
      <c r="J153" s="3" t="n">
        <f aca="false">-charge!D151</f>
        <v>-0</v>
      </c>
      <c r="K153" s="3" t="n">
        <f aca="false">discharge!D151</f>
        <v>0</v>
      </c>
      <c r="L153" s="3" t="n">
        <f aca="false">soc!D151/investment!$E$3 *100</f>
        <v>3.65589935245107</v>
      </c>
    </row>
    <row r="154" customFormat="false" ht="13.8" hidden="false" customHeight="false" outlineLevel="0" collapsed="false">
      <c r="B154" s="11" t="n">
        <f aca="false">_xlfn.NUMBERVALUE(solar!B151)</f>
        <v>0</v>
      </c>
      <c r="C154" s="12" t="n">
        <f aca="false">solar!C151</f>
        <v>0</v>
      </c>
      <c r="D154" s="6" t="n">
        <v>150</v>
      </c>
      <c r="E154" s="17" t="n">
        <f aca="false">IFERROR(INDEX($B$5:$C$173, MATCH($D154, $B$5:$B$175, 0), 2), 0)*investment!$C$3</f>
        <v>0</v>
      </c>
      <c r="F154" s="18" t="n">
        <f aca="false">demand!D152</f>
        <v>0</v>
      </c>
      <c r="G154" s="3" t="n">
        <f aca="false">solgen!D152</f>
        <v>0</v>
      </c>
      <c r="H154" s="3" t="n">
        <f aca="false">import!D152</f>
        <v>0</v>
      </c>
      <c r="I154" s="3" t="n">
        <f aca="false">-export!D152</f>
        <v>-0</v>
      </c>
      <c r="J154" s="3" t="n">
        <f aca="false">-charge!D152</f>
        <v>-0</v>
      </c>
      <c r="K154" s="3" t="n">
        <f aca="false">discharge!D152</f>
        <v>0</v>
      </c>
      <c r="L154" s="3" t="n">
        <f aca="false">soc!D152/investment!$E$3 *100</f>
        <v>0</v>
      </c>
    </row>
    <row r="155" customFormat="false" ht="13.8" hidden="false" customHeight="false" outlineLevel="0" collapsed="false">
      <c r="B155" s="11" t="n">
        <f aca="false">_xlfn.NUMBERVALUE(solar!B152)</f>
        <v>0</v>
      </c>
      <c r="C155" s="12" t="n">
        <f aca="false">solar!C152</f>
        <v>0</v>
      </c>
      <c r="D155" s="6" t="n">
        <v>151</v>
      </c>
      <c r="E155" s="17" t="n">
        <f aca="false">IFERROR(INDEX($B$5:$C$173, MATCH($D155, $B$5:$B$175, 0), 2), 0)*investment!$C$3</f>
        <v>0</v>
      </c>
      <c r="F155" s="18" t="n">
        <f aca="false">demand!D153</f>
        <v>0</v>
      </c>
      <c r="G155" s="3" t="n">
        <f aca="false">solgen!D153</f>
        <v>0</v>
      </c>
      <c r="H155" s="3" t="n">
        <f aca="false">import!D153</f>
        <v>0</v>
      </c>
      <c r="I155" s="3" t="n">
        <f aca="false">-export!D153</f>
        <v>-0</v>
      </c>
      <c r="J155" s="3" t="n">
        <f aca="false">-charge!D153</f>
        <v>-0</v>
      </c>
      <c r="K155" s="3" t="n">
        <f aca="false">discharge!D153</f>
        <v>0</v>
      </c>
      <c r="L155" s="3" t="n">
        <f aca="false">soc!D153/investment!$E$3 *100</f>
        <v>0</v>
      </c>
    </row>
    <row r="156" customFormat="false" ht="13.8" hidden="false" customHeight="false" outlineLevel="0" collapsed="false">
      <c r="B156" s="11" t="n">
        <f aca="false">_xlfn.NUMBERVALUE(solar!B153)</f>
        <v>0</v>
      </c>
      <c r="C156" s="12" t="n">
        <f aca="false">solar!C153</f>
        <v>0</v>
      </c>
      <c r="D156" s="6" t="n">
        <v>152</v>
      </c>
      <c r="E156" s="17" t="n">
        <f aca="false">IFERROR(INDEX($B$5:$C$173, MATCH($D156, $B$5:$B$175, 0), 2), 0)*investment!$C$3</f>
        <v>0</v>
      </c>
      <c r="F156" s="18" t="n">
        <f aca="false">demand!D154</f>
        <v>0</v>
      </c>
      <c r="G156" s="3" t="n">
        <f aca="false">solgen!D154</f>
        <v>0</v>
      </c>
      <c r="H156" s="3" t="n">
        <f aca="false">import!D154</f>
        <v>0</v>
      </c>
      <c r="I156" s="3" t="n">
        <f aca="false">-export!D154</f>
        <v>-0</v>
      </c>
      <c r="J156" s="3" t="n">
        <f aca="false">-charge!D154</f>
        <v>-0</v>
      </c>
      <c r="K156" s="3" t="n">
        <f aca="false">discharge!D154</f>
        <v>0</v>
      </c>
      <c r="L156" s="3" t="n">
        <f aca="false">soc!D154/investment!$E$3 *100</f>
        <v>0</v>
      </c>
    </row>
    <row r="157" customFormat="false" ht="13.8" hidden="false" customHeight="false" outlineLevel="0" collapsed="false">
      <c r="B157" s="11" t="n">
        <f aca="false">_xlfn.NUMBERVALUE(solar!B154)</f>
        <v>0</v>
      </c>
      <c r="C157" s="12" t="n">
        <f aca="false">solar!C154</f>
        <v>0</v>
      </c>
      <c r="D157" s="6" t="n">
        <v>153</v>
      </c>
      <c r="E157" s="17" t="n">
        <f aca="false">IFERROR(INDEX($B$5:$C$173, MATCH($D157, $B$5:$B$175, 0), 2), 0)*investment!$C$3</f>
        <v>0</v>
      </c>
      <c r="F157" s="18" t="n">
        <f aca="false">demand!D155</f>
        <v>0</v>
      </c>
      <c r="G157" s="3" t="n">
        <f aca="false">solgen!D155</f>
        <v>0</v>
      </c>
      <c r="H157" s="3" t="n">
        <f aca="false">import!D155</f>
        <v>0</v>
      </c>
      <c r="I157" s="3" t="n">
        <f aca="false">-export!D155</f>
        <v>-0</v>
      </c>
      <c r="J157" s="3" t="n">
        <f aca="false">-charge!D155</f>
        <v>-0</v>
      </c>
      <c r="K157" s="3" t="n">
        <f aca="false">discharge!D155</f>
        <v>0</v>
      </c>
      <c r="L157" s="3" t="n">
        <f aca="false">soc!D155/investment!$E$3 *100</f>
        <v>0</v>
      </c>
    </row>
    <row r="158" customFormat="false" ht="13.8" hidden="false" customHeight="false" outlineLevel="0" collapsed="false">
      <c r="B158" s="11" t="n">
        <f aca="false">_xlfn.NUMBERVALUE(solar!B155)</f>
        <v>0</v>
      </c>
      <c r="C158" s="12" t="n">
        <f aca="false">solar!C155</f>
        <v>0</v>
      </c>
      <c r="D158" s="6" t="n">
        <v>154</v>
      </c>
      <c r="E158" s="17" t="n">
        <f aca="false">IFERROR(INDEX($B$5:$C$173, MATCH($D158, $B$5:$B$175, 0), 2), 0)*investment!$C$3</f>
        <v>0</v>
      </c>
      <c r="F158" s="18" t="n">
        <f aca="false">demand!D156</f>
        <v>0</v>
      </c>
      <c r="G158" s="3" t="n">
        <f aca="false">solgen!D156</f>
        <v>0</v>
      </c>
      <c r="H158" s="3" t="n">
        <f aca="false">import!D156</f>
        <v>0</v>
      </c>
      <c r="I158" s="3" t="n">
        <f aca="false">-export!D156</f>
        <v>-0</v>
      </c>
      <c r="J158" s="3" t="n">
        <f aca="false">-charge!D156</f>
        <v>-0</v>
      </c>
      <c r="K158" s="3" t="n">
        <f aca="false">discharge!D156</f>
        <v>0</v>
      </c>
      <c r="L158" s="3" t="n">
        <f aca="false">soc!D156/investment!$E$3 *100</f>
        <v>0</v>
      </c>
    </row>
    <row r="159" customFormat="false" ht="13.8" hidden="false" customHeight="false" outlineLevel="0" collapsed="false">
      <c r="B159" s="11" t="n">
        <f aca="false">_xlfn.NUMBERVALUE(solar!B156)</f>
        <v>0</v>
      </c>
      <c r="C159" s="12" t="n">
        <f aca="false">solar!C156</f>
        <v>0</v>
      </c>
      <c r="D159" s="6" t="n">
        <v>155</v>
      </c>
      <c r="E159" s="17" t="n">
        <f aca="false">IFERROR(INDEX($B$5:$C$173, MATCH($D159, $B$5:$B$175, 0), 2), 0)*investment!$C$3</f>
        <v>0</v>
      </c>
      <c r="F159" s="18" t="n">
        <f aca="false">demand!D157</f>
        <v>0</v>
      </c>
      <c r="G159" s="3" t="n">
        <f aca="false">solgen!D157</f>
        <v>0</v>
      </c>
      <c r="H159" s="3" t="n">
        <f aca="false">import!D157</f>
        <v>0</v>
      </c>
      <c r="I159" s="3" t="n">
        <f aca="false">-export!D157</f>
        <v>-0</v>
      </c>
      <c r="J159" s="3" t="n">
        <f aca="false">-charge!D157</f>
        <v>-0</v>
      </c>
      <c r="K159" s="3" t="n">
        <f aca="false">discharge!D157</f>
        <v>0</v>
      </c>
      <c r="L159" s="3" t="n">
        <f aca="false">soc!D157/investment!$E$3 *100</f>
        <v>0</v>
      </c>
    </row>
    <row r="160" customFormat="false" ht="13.8" hidden="false" customHeight="false" outlineLevel="0" collapsed="false">
      <c r="B160" s="11" t="n">
        <f aca="false">_xlfn.NUMBERVALUE(solar!B157)</f>
        <v>0</v>
      </c>
      <c r="C160" s="12" t="n">
        <f aca="false">solar!C157</f>
        <v>0</v>
      </c>
      <c r="D160" s="6" t="n">
        <v>156</v>
      </c>
      <c r="E160" s="17" t="n">
        <f aca="false">IFERROR(INDEX($B$5:$C$173, MATCH($D160, $B$5:$B$175, 0), 2), 0)*investment!$C$3</f>
        <v>0</v>
      </c>
      <c r="F160" s="18" t="n">
        <f aca="false">demand!D158</f>
        <v>0</v>
      </c>
      <c r="G160" s="3" t="n">
        <f aca="false">solgen!D158</f>
        <v>0</v>
      </c>
      <c r="H160" s="3" t="n">
        <f aca="false">import!D158</f>
        <v>0</v>
      </c>
      <c r="I160" s="3" t="n">
        <f aca="false">-export!D158</f>
        <v>-0</v>
      </c>
      <c r="J160" s="3" t="n">
        <f aca="false">-charge!D158</f>
        <v>-0</v>
      </c>
      <c r="K160" s="3" t="n">
        <f aca="false">discharge!D158</f>
        <v>0</v>
      </c>
      <c r="L160" s="3" t="n">
        <f aca="false">soc!D158/investment!$E$3 *100</f>
        <v>0</v>
      </c>
    </row>
    <row r="161" customFormat="false" ht="13.8" hidden="false" customHeight="false" outlineLevel="0" collapsed="false">
      <c r="B161" s="11" t="n">
        <f aca="false">_xlfn.NUMBERVALUE(solar!B158)</f>
        <v>0</v>
      </c>
      <c r="C161" s="12" t="n">
        <f aca="false">solar!C158</f>
        <v>0</v>
      </c>
      <c r="D161" s="6" t="n">
        <v>157</v>
      </c>
      <c r="E161" s="17" t="n">
        <f aca="false">IFERROR(INDEX($B$5:$C$173, MATCH($D161, $B$5:$B$175, 0), 2), 0)*investment!$C$3</f>
        <v>0</v>
      </c>
      <c r="F161" s="18" t="n">
        <f aca="false">demand!D159</f>
        <v>0</v>
      </c>
      <c r="G161" s="3" t="n">
        <f aca="false">solgen!D159</f>
        <v>0</v>
      </c>
      <c r="H161" s="3" t="n">
        <f aca="false">import!D159</f>
        <v>0</v>
      </c>
      <c r="I161" s="3" t="n">
        <f aca="false">-export!D159</f>
        <v>-0</v>
      </c>
      <c r="J161" s="3" t="n">
        <f aca="false">-charge!D159</f>
        <v>-0</v>
      </c>
      <c r="K161" s="3" t="n">
        <f aca="false">discharge!D159</f>
        <v>0</v>
      </c>
      <c r="L161" s="3" t="n">
        <f aca="false">soc!D159/investment!$E$3 *100</f>
        <v>9.43018723904727</v>
      </c>
    </row>
    <row r="162" customFormat="false" ht="13.8" hidden="false" customHeight="false" outlineLevel="0" collapsed="false">
      <c r="B162" s="11" t="n">
        <f aca="false">_xlfn.NUMBERVALUE(solar!B159)</f>
        <v>0</v>
      </c>
      <c r="C162" s="12" t="n">
        <f aca="false">solar!C159</f>
        <v>0</v>
      </c>
      <c r="D162" s="6" t="n">
        <v>158</v>
      </c>
      <c r="E162" s="17" t="n">
        <f aca="false">IFERROR(INDEX($B$5:$C$173, MATCH($D162, $B$5:$B$175, 0), 2), 0)*investment!$C$3</f>
        <v>0</v>
      </c>
      <c r="F162" s="18" t="n">
        <f aca="false">demand!D160</f>
        <v>0</v>
      </c>
      <c r="G162" s="3" t="n">
        <f aca="false">solgen!D160</f>
        <v>0</v>
      </c>
      <c r="H162" s="3" t="n">
        <f aca="false">import!D160</f>
        <v>0</v>
      </c>
      <c r="I162" s="3" t="n">
        <f aca="false">-export!D160</f>
        <v>-0</v>
      </c>
      <c r="J162" s="3" t="n">
        <f aca="false">-charge!D160</f>
        <v>-0</v>
      </c>
      <c r="K162" s="3" t="n">
        <f aca="false">discharge!D160</f>
        <v>0</v>
      </c>
      <c r="L162" s="3" t="n">
        <f aca="false">soc!D160/investment!$E$3 *100</f>
        <v>21.6129708882392</v>
      </c>
    </row>
    <row r="163" customFormat="false" ht="13.8" hidden="false" customHeight="false" outlineLevel="0" collapsed="false">
      <c r="B163" s="11" t="n">
        <f aca="false">_xlfn.NUMBERVALUE(solar!B160)</f>
        <v>0</v>
      </c>
      <c r="C163" s="12" t="n">
        <f aca="false">solar!C160</f>
        <v>0</v>
      </c>
      <c r="D163" s="6" t="n">
        <v>159</v>
      </c>
      <c r="E163" s="17" t="n">
        <f aca="false">IFERROR(INDEX($B$5:$C$173, MATCH($D163, $B$5:$B$175, 0), 2), 0)*investment!$C$3</f>
        <v>0</v>
      </c>
      <c r="F163" s="18" t="n">
        <f aca="false">demand!D161</f>
        <v>0</v>
      </c>
      <c r="G163" s="3" t="n">
        <f aca="false">solgen!D161</f>
        <v>0</v>
      </c>
      <c r="H163" s="3" t="n">
        <f aca="false">import!D161</f>
        <v>0</v>
      </c>
      <c r="I163" s="3" t="n">
        <f aca="false">-export!D161</f>
        <v>-0</v>
      </c>
      <c r="J163" s="3" t="n">
        <f aca="false">-charge!D161</f>
        <v>-0</v>
      </c>
      <c r="K163" s="3" t="n">
        <f aca="false">discharge!D161</f>
        <v>0</v>
      </c>
      <c r="L163" s="3" t="n">
        <f aca="false">soc!D161/investment!$E$3 *100</f>
        <v>31.7480901968107</v>
      </c>
    </row>
    <row r="164" customFormat="false" ht="13.8" hidden="false" customHeight="false" outlineLevel="0" collapsed="false">
      <c r="B164" s="11" t="n">
        <f aca="false">_xlfn.NUMBERVALUE(solar!B161)</f>
        <v>0</v>
      </c>
      <c r="C164" s="12" t="n">
        <f aca="false">solar!C161</f>
        <v>0</v>
      </c>
      <c r="D164" s="6" t="n">
        <v>160</v>
      </c>
      <c r="E164" s="17" t="n">
        <f aca="false">IFERROR(INDEX($B$5:$C$173, MATCH($D164, $B$5:$B$175, 0), 2), 0)*investment!$C$3</f>
        <v>0</v>
      </c>
      <c r="F164" s="18" t="n">
        <f aca="false">demand!D162</f>
        <v>0</v>
      </c>
      <c r="G164" s="3" t="n">
        <f aca="false">solgen!D162</f>
        <v>0</v>
      </c>
      <c r="H164" s="3" t="n">
        <f aca="false">import!D162</f>
        <v>0</v>
      </c>
      <c r="I164" s="3" t="n">
        <f aca="false">-export!D162</f>
        <v>-0</v>
      </c>
      <c r="J164" s="3" t="n">
        <f aca="false">-charge!D162</f>
        <v>-0</v>
      </c>
      <c r="K164" s="3" t="n">
        <f aca="false">discharge!D162</f>
        <v>0</v>
      </c>
      <c r="L164" s="3" t="n">
        <f aca="false">soc!D162/investment!$E$3 *100</f>
        <v>37.1563225127267</v>
      </c>
    </row>
    <row r="165" customFormat="false" ht="13.8" hidden="false" customHeight="false" outlineLevel="0" collapsed="false">
      <c r="B165" s="11" t="n">
        <f aca="false">_xlfn.NUMBERVALUE(solar!B162)</f>
        <v>0</v>
      </c>
      <c r="C165" s="12" t="n">
        <f aca="false">solar!C162</f>
        <v>0</v>
      </c>
      <c r="D165" s="6" t="n">
        <v>161</v>
      </c>
      <c r="E165" s="17" t="n">
        <f aca="false">IFERROR(INDEX($B$5:$C$173, MATCH($D165, $B$5:$B$175, 0), 2), 0)*investment!$C$3</f>
        <v>0</v>
      </c>
      <c r="F165" s="18" t="n">
        <f aca="false">demand!D163</f>
        <v>0</v>
      </c>
      <c r="G165" s="3" t="n">
        <f aca="false">solgen!D163</f>
        <v>0</v>
      </c>
      <c r="H165" s="3" t="n">
        <f aca="false">import!D163</f>
        <v>0</v>
      </c>
      <c r="I165" s="3" t="n">
        <f aca="false">-export!D163</f>
        <v>-0</v>
      </c>
      <c r="J165" s="3" t="n">
        <f aca="false">-charge!D163</f>
        <v>-0</v>
      </c>
      <c r="K165" s="3" t="n">
        <f aca="false">discharge!D163</f>
        <v>0</v>
      </c>
      <c r="L165" s="3" t="n">
        <f aca="false">soc!D163/investment!$E$3 *100</f>
        <v>38.2268866466994</v>
      </c>
    </row>
    <row r="166" customFormat="false" ht="13.8" hidden="false" customHeight="false" outlineLevel="0" collapsed="false">
      <c r="B166" s="11" t="n">
        <f aca="false">_xlfn.NUMBERVALUE(solar!B163)</f>
        <v>0</v>
      </c>
      <c r="C166" s="12" t="n">
        <f aca="false">solar!C163</f>
        <v>0</v>
      </c>
      <c r="D166" s="6" t="n">
        <v>162</v>
      </c>
      <c r="E166" s="17" t="n">
        <f aca="false">IFERROR(INDEX($B$5:$C$173, MATCH($D166, $B$5:$B$175, 0), 2), 0)*investment!$C$3</f>
        <v>0</v>
      </c>
      <c r="F166" s="18" t="n">
        <f aca="false">demand!D164</f>
        <v>0</v>
      </c>
      <c r="G166" s="3" t="n">
        <f aca="false">solgen!D164</f>
        <v>0</v>
      </c>
      <c r="H166" s="3" t="n">
        <f aca="false">import!D164</f>
        <v>0</v>
      </c>
      <c r="I166" s="3" t="n">
        <f aca="false">-export!D164</f>
        <v>-0</v>
      </c>
      <c r="J166" s="3" t="n">
        <f aca="false">-charge!D164</f>
        <v>-0</v>
      </c>
      <c r="K166" s="3" t="n">
        <f aca="false">discharge!D164</f>
        <v>0</v>
      </c>
      <c r="L166" s="3" t="n">
        <f aca="false">soc!D164/investment!$E$3 *100</f>
        <v>38.7187020972522</v>
      </c>
    </row>
    <row r="167" customFormat="false" ht="13.8" hidden="false" customHeight="false" outlineLevel="0" collapsed="false">
      <c r="B167" s="11" t="n">
        <f aca="false">_xlfn.NUMBERVALUE(solar!B164)</f>
        <v>0</v>
      </c>
      <c r="C167" s="12" t="n">
        <f aca="false">solar!C164</f>
        <v>0</v>
      </c>
      <c r="D167" s="6" t="n">
        <v>163</v>
      </c>
      <c r="E167" s="17" t="n">
        <f aca="false">IFERROR(INDEX($B$5:$C$173, MATCH($D167, $B$5:$B$175, 0), 2), 0)*investment!$C$3</f>
        <v>0</v>
      </c>
      <c r="F167" s="18" t="n">
        <f aca="false">demand!D165</f>
        <v>0</v>
      </c>
      <c r="G167" s="3" t="n">
        <f aca="false">solgen!D165</f>
        <v>0</v>
      </c>
      <c r="H167" s="3" t="n">
        <f aca="false">import!D165</f>
        <v>0</v>
      </c>
      <c r="I167" s="3" t="n">
        <f aca="false">-export!D165</f>
        <v>-0</v>
      </c>
      <c r="J167" s="3" t="n">
        <f aca="false">-charge!D165</f>
        <v>-0</v>
      </c>
      <c r="K167" s="3" t="n">
        <f aca="false">discharge!D165</f>
        <v>0</v>
      </c>
      <c r="L167" s="3" t="n">
        <f aca="false">soc!D165/investment!$E$3 *100</f>
        <v>34.5443145834883</v>
      </c>
    </row>
    <row r="168" customFormat="false" ht="13.8" hidden="false" customHeight="false" outlineLevel="0" collapsed="false">
      <c r="B168" s="11" t="n">
        <f aca="false">_xlfn.NUMBERVALUE(solar!B165)</f>
        <v>0</v>
      </c>
      <c r="C168" s="12" t="n">
        <f aca="false">solar!C165</f>
        <v>0</v>
      </c>
      <c r="D168" s="6" t="n">
        <v>164</v>
      </c>
      <c r="E168" s="17" t="n">
        <f aca="false">IFERROR(INDEX($B$5:$C$173, MATCH($D168, $B$5:$B$175, 0), 2), 0)*investment!$C$3</f>
        <v>0</v>
      </c>
      <c r="F168" s="18" t="n">
        <f aca="false">demand!D166</f>
        <v>0</v>
      </c>
      <c r="G168" s="3" t="n">
        <f aca="false">solgen!D166</f>
        <v>0</v>
      </c>
      <c r="H168" s="3" t="n">
        <f aca="false">import!D166</f>
        <v>0</v>
      </c>
      <c r="I168" s="3" t="n">
        <f aca="false">-export!D166</f>
        <v>-0</v>
      </c>
      <c r="J168" s="3" t="n">
        <f aca="false">-charge!D166</f>
        <v>-0</v>
      </c>
      <c r="K168" s="3" t="n">
        <f aca="false">discharge!D166</f>
        <v>0</v>
      </c>
      <c r="L168" s="3" t="n">
        <f aca="false">soc!D166/investment!$E$3 *100</f>
        <v>25.908106395357</v>
      </c>
    </row>
    <row r="169" customFormat="false" ht="13.8" hidden="false" customHeight="false" outlineLevel="0" collapsed="false">
      <c r="B169" s="11" t="n">
        <f aca="false">_xlfn.NUMBERVALUE(solar!B166)</f>
        <v>0</v>
      </c>
      <c r="C169" s="12" t="n">
        <f aca="false">solar!C166</f>
        <v>0</v>
      </c>
      <c r="D169" s="6" t="n">
        <v>165</v>
      </c>
      <c r="E169" s="17" t="n">
        <f aca="false">IFERROR(INDEX($B$5:$C$173, MATCH($D169, $B$5:$B$175, 0), 2), 0)*investment!$C$3</f>
        <v>0</v>
      </c>
      <c r="F169" s="18" t="n">
        <f aca="false">demand!D167</f>
        <v>0</v>
      </c>
      <c r="G169" s="3" t="n">
        <f aca="false">solgen!D167</f>
        <v>0</v>
      </c>
      <c r="H169" s="3" t="n">
        <f aca="false">import!D167</f>
        <v>0</v>
      </c>
      <c r="I169" s="3" t="n">
        <f aca="false">-export!D167</f>
        <v>-0</v>
      </c>
      <c r="J169" s="3" t="n">
        <f aca="false">-charge!D167</f>
        <v>-0</v>
      </c>
      <c r="K169" s="3" t="n">
        <f aca="false">discharge!D167</f>
        <v>0</v>
      </c>
      <c r="L169" s="3" t="n">
        <f aca="false">soc!D167/investment!$E$3 *100</f>
        <v>17.2719845693076</v>
      </c>
    </row>
    <row r="170" customFormat="false" ht="13.8" hidden="false" customHeight="false" outlineLevel="0" collapsed="false">
      <c r="B170" s="11" t="n">
        <f aca="false">_xlfn.NUMBERVALUE(solar!B167)</f>
        <v>0</v>
      </c>
      <c r="C170" s="12" t="n">
        <f aca="false">solar!C167</f>
        <v>0</v>
      </c>
      <c r="D170" s="6" t="n">
        <v>166</v>
      </c>
      <c r="E170" s="17" t="n">
        <f aca="false">IFERROR(INDEX($B$5:$C$173, MATCH($D170, $B$5:$B$175, 0), 2), 0)*investment!$C$3</f>
        <v>0</v>
      </c>
      <c r="F170" s="18" t="n">
        <f aca="false">demand!D168</f>
        <v>0</v>
      </c>
      <c r="G170" s="3" t="n">
        <f aca="false">solgen!D168</f>
        <v>0</v>
      </c>
      <c r="H170" s="3" t="n">
        <f aca="false">import!D168</f>
        <v>0</v>
      </c>
      <c r="I170" s="3" t="n">
        <f aca="false">-export!D168</f>
        <v>-0</v>
      </c>
      <c r="J170" s="3" t="n">
        <f aca="false">-charge!D168</f>
        <v>-0</v>
      </c>
      <c r="K170" s="3" t="n">
        <f aca="false">discharge!D168</f>
        <v>0</v>
      </c>
      <c r="L170" s="3" t="n">
        <f aca="false">soc!D168/investment!$E$3 *100</f>
        <v>8.63594910447648</v>
      </c>
    </row>
    <row r="171" customFormat="false" ht="13.8" hidden="false" customHeight="false" outlineLevel="0" collapsed="false">
      <c r="B171" s="11" t="n">
        <f aca="false">_xlfn.NUMBERVALUE(solar!B168)</f>
        <v>0</v>
      </c>
      <c r="C171" s="12" t="n">
        <f aca="false">solar!C168</f>
        <v>0</v>
      </c>
      <c r="D171" s="6" t="n">
        <v>167</v>
      </c>
      <c r="E171" s="17" t="n">
        <f aca="false">IFERROR(INDEX($B$5:$C$173, MATCH($D171, $B$5:$B$175, 0), 2), 0)*investment!$C$3</f>
        <v>0</v>
      </c>
      <c r="F171" s="18" t="n">
        <f aca="false">demand!D169</f>
        <v>0</v>
      </c>
      <c r="G171" s="3" t="n">
        <f aca="false">solgen!D169</f>
        <v>0</v>
      </c>
      <c r="H171" s="3" t="n">
        <f aca="false">import!D169</f>
        <v>0</v>
      </c>
      <c r="I171" s="3" t="n">
        <f aca="false">-export!D169</f>
        <v>-0</v>
      </c>
      <c r="J171" s="3" t="n">
        <f aca="false">-charge!D169</f>
        <v>-0</v>
      </c>
      <c r="K171" s="3" t="n">
        <f aca="false">discharge!D169</f>
        <v>0</v>
      </c>
      <c r="L171" s="3" t="n">
        <f aca="false">soc!D169/investment!$E$3 *100</f>
        <v>0</v>
      </c>
    </row>
    <row r="172" customFormat="false" ht="13.8" hidden="false" customHeight="false" outlineLevel="0" collapsed="false">
      <c r="B172" s="11" t="n">
        <f aca="false">_xlfn.NUMBERVALUE(solar!B169)</f>
        <v>0</v>
      </c>
      <c r="C172" s="12" t="n">
        <f aca="false">solar!C169</f>
        <v>0</v>
      </c>
      <c r="D172" s="6" t="n">
        <v>168</v>
      </c>
      <c r="E172" s="17" t="n">
        <f aca="false">IFERROR(INDEX($B$5:$C$173, MATCH($D172, $B$5:$B$175, 0), 2), 0)*investment!$C$3</f>
        <v>0</v>
      </c>
      <c r="F172" s="18" t="n">
        <f aca="false">demand!D170</f>
        <v>0</v>
      </c>
      <c r="G172" s="3" t="n">
        <f aca="false">solgen!D170</f>
        <v>0</v>
      </c>
      <c r="H172" s="3" t="n">
        <f aca="false">import!D170</f>
        <v>0</v>
      </c>
      <c r="I172" s="3" t="n">
        <f aca="false">-export!D170</f>
        <v>-0</v>
      </c>
      <c r="J172" s="3" t="n">
        <f aca="false">-charge!D170</f>
        <v>-0</v>
      </c>
      <c r="K172" s="3" t="n">
        <f aca="false">discharge!D170</f>
        <v>0</v>
      </c>
      <c r="L172" s="3" t="n">
        <f aca="false">soc!D170/investment!$E$3 *100</f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1" sqref="B13:E16 L5"/>
    </sheetView>
  </sheetViews>
  <sheetFormatPr defaultColWidth="8.54296875" defaultRowHeight="13.8" zeroHeight="false" outlineLevelRow="0" outlineLevelCol="0"/>
  <cols>
    <col collapsed="false" customWidth="true" hidden="false" outlineLevel="0" max="2" min="2" style="6" width="8.85"/>
    <col collapsed="false" customWidth="true" hidden="false" outlineLevel="0" max="4" min="4" style="6" width="8.85"/>
    <col collapsed="false" customWidth="true" hidden="false" outlineLevel="0" max="5" min="5" style="7" width="8.85"/>
    <col collapsed="false" customWidth="true" hidden="false" outlineLevel="0" max="6" min="6" style="3" width="9.43"/>
  </cols>
  <sheetData>
    <row r="2" customFormat="false" ht="13.8" hidden="false" customHeight="false" outlineLevel="0" collapsed="false">
      <c r="B2" s="8" t="s">
        <v>5</v>
      </c>
      <c r="C2" s="9" t="n">
        <v>3</v>
      </c>
      <c r="D2" s="10" t="s">
        <v>20</v>
      </c>
    </row>
    <row r="4" customFormat="false" ht="13.8" hidden="false" customHeight="false" outlineLevel="0" collapsed="false">
      <c r="B4" s="11" t="s">
        <v>7</v>
      </c>
      <c r="C4" s="12"/>
      <c r="D4" s="13" t="s">
        <v>9</v>
      </c>
      <c r="E4" s="14" t="s">
        <v>10</v>
      </c>
      <c r="F4" s="15" t="s">
        <v>11</v>
      </c>
      <c r="G4" s="15" t="s">
        <v>12</v>
      </c>
      <c r="H4" s="15" t="s">
        <v>13</v>
      </c>
      <c r="I4" s="15" t="s">
        <v>14</v>
      </c>
      <c r="J4" s="15" t="s">
        <v>15</v>
      </c>
      <c r="K4" s="15" t="s">
        <v>16</v>
      </c>
      <c r="L4" s="15" t="s">
        <v>17</v>
      </c>
    </row>
    <row r="5" customFormat="false" ht="13.8" hidden="false" customHeight="false" outlineLevel="0" collapsed="false">
      <c r="B5" s="11" t="n">
        <f aca="false">_xlfn.NUMBERVALUE(solar!B2)</f>
        <v>8</v>
      </c>
      <c r="C5" s="12" t="n">
        <f aca="false">solar!C2</f>
        <v>0</v>
      </c>
      <c r="D5" s="6" t="n">
        <v>1</v>
      </c>
      <c r="E5" s="17" t="n">
        <f aca="false">IFERROR(INDEX($B$5:$C$173, MATCH($D5, $B$5:$B$175, 0), 2), 0)*investment!$C$4</f>
        <v>0</v>
      </c>
      <c r="F5" s="18" t="n">
        <f aca="false">demand!E3</f>
        <v>0</v>
      </c>
      <c r="G5" s="3" t="n">
        <f aca="false">solgen!E3</f>
        <v>0</v>
      </c>
      <c r="H5" s="3" t="n">
        <f aca="false">import!E3</f>
        <v>0</v>
      </c>
      <c r="I5" s="3" t="n">
        <f aca="false">-export!E3</f>
        <v>-0</v>
      </c>
      <c r="J5" s="3" t="n">
        <f aca="false">-charge!E3</f>
        <v>-0</v>
      </c>
      <c r="K5" s="3" t="n">
        <f aca="false">discharge!E3</f>
        <v>0</v>
      </c>
      <c r="L5" s="3" t="n">
        <f aca="false">soc!E3/investment!$E$4 *100</f>
        <v>66.948082456703</v>
      </c>
    </row>
    <row r="6" customFormat="false" ht="13.8" hidden="false" customHeight="false" outlineLevel="0" collapsed="false">
      <c r="B6" s="11" t="n">
        <f aca="false">_xlfn.NUMBERVALUE(solar!B3)</f>
        <v>9</v>
      </c>
      <c r="C6" s="12" t="n">
        <f aca="false">solar!C3</f>
        <v>0</v>
      </c>
      <c r="D6" s="6" t="n">
        <v>2</v>
      </c>
      <c r="E6" s="17" t="n">
        <f aca="false">IFERROR(INDEX($B$5:$C$173, MATCH($D6, $B$5:$B$175, 0), 2), 0)*investment!$C$4</f>
        <v>0</v>
      </c>
      <c r="F6" s="18" t="n">
        <f aca="false">demand!E4</f>
        <v>0</v>
      </c>
      <c r="G6" s="3" t="n">
        <f aca="false">solgen!E4</f>
        <v>0</v>
      </c>
      <c r="H6" s="3" t="n">
        <f aca="false">import!E4</f>
        <v>0</v>
      </c>
      <c r="I6" s="3" t="n">
        <f aca="false">-export!E4</f>
        <v>-0</v>
      </c>
      <c r="J6" s="3" t="n">
        <f aca="false">-charge!E4</f>
        <v>-0</v>
      </c>
      <c r="K6" s="3" t="n">
        <f aca="false">discharge!E4</f>
        <v>0</v>
      </c>
      <c r="L6" s="3" t="n">
        <f aca="false">soc!E4/investment!$E$4 *100</f>
        <v>63.2851359903137</v>
      </c>
    </row>
    <row r="7" customFormat="false" ht="13.8" hidden="false" customHeight="false" outlineLevel="0" collapsed="false">
      <c r="B7" s="11" t="n">
        <f aca="false">_xlfn.NUMBERVALUE(solar!B4)</f>
        <v>10</v>
      </c>
      <c r="C7" s="12" t="n">
        <f aca="false">solar!C4</f>
        <v>0</v>
      </c>
      <c r="D7" s="6" t="n">
        <v>3</v>
      </c>
      <c r="E7" s="17" t="n">
        <f aca="false">IFERROR(INDEX($B$5:$C$173, MATCH($D7, $B$5:$B$175, 0), 2), 0)*investment!$C$4</f>
        <v>0</v>
      </c>
      <c r="F7" s="18" t="n">
        <f aca="false">demand!E5</f>
        <v>0</v>
      </c>
      <c r="G7" s="3" t="n">
        <f aca="false">solgen!E5</f>
        <v>0</v>
      </c>
      <c r="H7" s="3" t="n">
        <f aca="false">import!E5</f>
        <v>0</v>
      </c>
      <c r="I7" s="3" t="n">
        <f aca="false">-export!E5</f>
        <v>-0</v>
      </c>
      <c r="J7" s="3" t="n">
        <f aca="false">-charge!E5</f>
        <v>-0</v>
      </c>
      <c r="K7" s="3" t="n">
        <f aca="false">discharge!E5</f>
        <v>0</v>
      </c>
      <c r="L7" s="3" t="n">
        <f aca="false">soc!E5/investment!$E$4 *100</f>
        <v>59.8837990552587</v>
      </c>
    </row>
    <row r="8" customFormat="false" ht="13.8" hidden="false" customHeight="false" outlineLevel="0" collapsed="false">
      <c r="B8" s="11" t="n">
        <f aca="false">_xlfn.NUMBERVALUE(solar!B5)</f>
        <v>11</v>
      </c>
      <c r="C8" s="12" t="n">
        <f aca="false">solar!C5</f>
        <v>0</v>
      </c>
      <c r="D8" s="6" t="n">
        <v>4</v>
      </c>
      <c r="E8" s="17" t="n">
        <f aca="false">IFERROR(INDEX($B$5:$C$173, MATCH($D8, $B$5:$B$175, 0), 2), 0)*investment!$C$4</f>
        <v>0</v>
      </c>
      <c r="F8" s="18" t="n">
        <f aca="false">demand!E6</f>
        <v>0</v>
      </c>
      <c r="G8" s="3" t="n">
        <f aca="false">solgen!E6</f>
        <v>0</v>
      </c>
      <c r="H8" s="3" t="n">
        <f aca="false">import!E6</f>
        <v>0</v>
      </c>
      <c r="I8" s="3" t="n">
        <f aca="false">-export!E6</f>
        <v>-0</v>
      </c>
      <c r="J8" s="3" t="n">
        <f aca="false">-charge!E6</f>
        <v>-0</v>
      </c>
      <c r="K8" s="3" t="n">
        <f aca="false">discharge!E6</f>
        <v>0</v>
      </c>
      <c r="L8" s="3" t="n">
        <f aca="false">soc!E6/investment!$E$4 *100</f>
        <v>56.7441030423005</v>
      </c>
    </row>
    <row r="9" customFormat="false" ht="13.8" hidden="false" customHeight="false" outlineLevel="0" collapsed="false">
      <c r="B9" s="11" t="n">
        <f aca="false">_xlfn.NUMBERVALUE(solar!B6)</f>
        <v>12</v>
      </c>
      <c r="C9" s="12" t="n">
        <f aca="false">solar!C6</f>
        <v>0</v>
      </c>
      <c r="D9" s="6" t="n">
        <v>5</v>
      </c>
      <c r="E9" s="17" t="n">
        <f aca="false">IFERROR(INDEX($B$5:$C$173, MATCH($D9, $B$5:$B$175, 0), 2), 0)*investment!$C$4</f>
        <v>0</v>
      </c>
      <c r="F9" s="18" t="n">
        <f aca="false">demand!E7</f>
        <v>0</v>
      </c>
      <c r="G9" s="3" t="n">
        <f aca="false">solgen!E7</f>
        <v>0</v>
      </c>
      <c r="H9" s="3" t="n">
        <f aca="false">import!E7</f>
        <v>0</v>
      </c>
      <c r="I9" s="3" t="n">
        <f aca="false">-export!E7</f>
        <v>-0</v>
      </c>
      <c r="J9" s="3" t="n">
        <f aca="false">-charge!E7</f>
        <v>-0</v>
      </c>
      <c r="K9" s="3" t="n">
        <f aca="false">discharge!E7</f>
        <v>0</v>
      </c>
      <c r="L9" s="3" t="n">
        <f aca="false">soc!E7/investment!$E$4 *100</f>
        <v>53.517224787774</v>
      </c>
    </row>
    <row r="10" customFormat="false" ht="13.8" hidden="false" customHeight="false" outlineLevel="0" collapsed="false">
      <c r="B10" s="11" t="n">
        <f aca="false">_xlfn.NUMBERVALUE(solar!B7)</f>
        <v>13</v>
      </c>
      <c r="C10" s="12" t="n">
        <f aca="false">solar!C7</f>
        <v>0</v>
      </c>
      <c r="D10" s="6" t="n">
        <v>6</v>
      </c>
      <c r="E10" s="17" t="n">
        <f aca="false">IFERROR(INDEX($B$5:$C$173, MATCH($D10, $B$5:$B$175, 0), 2), 0)*investment!$C$4</f>
        <v>0</v>
      </c>
      <c r="F10" s="18" t="n">
        <f aca="false">demand!E8</f>
        <v>0</v>
      </c>
      <c r="G10" s="3" t="n">
        <f aca="false">solgen!E8</f>
        <v>0</v>
      </c>
      <c r="H10" s="3" t="n">
        <f aca="false">import!E8</f>
        <v>0</v>
      </c>
      <c r="I10" s="3" t="n">
        <f aca="false">-export!E8</f>
        <v>-0</v>
      </c>
      <c r="J10" s="3" t="n">
        <f aca="false">-charge!E8</f>
        <v>-0</v>
      </c>
      <c r="K10" s="3" t="n">
        <f aca="false">discharge!E8</f>
        <v>0</v>
      </c>
      <c r="L10" s="3" t="n">
        <f aca="false">soc!E8/investment!$E$4 *100</f>
        <v>50.4007532730664</v>
      </c>
    </row>
    <row r="11" customFormat="false" ht="13.8" hidden="false" customHeight="false" outlineLevel="0" collapsed="false">
      <c r="B11" s="11" t="n">
        <f aca="false">_xlfn.NUMBERVALUE(solar!B8)</f>
        <v>14</v>
      </c>
      <c r="C11" s="12" t="n">
        <f aca="false">solar!C8</f>
        <v>0</v>
      </c>
      <c r="D11" s="6" t="n">
        <v>7</v>
      </c>
      <c r="E11" s="17" t="n">
        <f aca="false">IFERROR(INDEX($B$5:$C$173, MATCH($D11, $B$5:$B$175, 0), 2), 0)*investment!$C$4</f>
        <v>0</v>
      </c>
      <c r="F11" s="18" t="n">
        <f aca="false">demand!E9</f>
        <v>0</v>
      </c>
      <c r="G11" s="3" t="n">
        <f aca="false">solgen!E9</f>
        <v>0</v>
      </c>
      <c r="H11" s="3" t="n">
        <f aca="false">import!E9</f>
        <v>0</v>
      </c>
      <c r="I11" s="3" t="n">
        <f aca="false">-export!E9</f>
        <v>-0</v>
      </c>
      <c r="J11" s="3" t="n">
        <f aca="false">-charge!E9</f>
        <v>-0</v>
      </c>
      <c r="K11" s="3" t="n">
        <f aca="false">discharge!E9</f>
        <v>0</v>
      </c>
      <c r="L11" s="3" t="n">
        <f aca="false">soc!E9/investment!$E$4 *100</f>
        <v>47.5469230965509</v>
      </c>
    </row>
    <row r="12" customFormat="false" ht="13.8" hidden="false" customHeight="false" outlineLevel="0" collapsed="false">
      <c r="B12" s="11" t="n">
        <f aca="false">_xlfn.NUMBERVALUE(solar!B9)</f>
        <v>15</v>
      </c>
      <c r="C12" s="12" t="n">
        <f aca="false">solar!C9</f>
        <v>0</v>
      </c>
      <c r="D12" s="6" t="n">
        <v>8</v>
      </c>
      <c r="E12" s="17" t="n">
        <f aca="false">IFERROR(INDEX($B$5:$C$173, MATCH($D12, $B$5:$B$175, 0), 2), 0)*investment!$C$4</f>
        <v>0</v>
      </c>
      <c r="F12" s="18" t="n">
        <f aca="false">demand!E10</f>
        <v>0</v>
      </c>
      <c r="G12" s="3" t="n">
        <f aca="false">solgen!E10</f>
        <v>0</v>
      </c>
      <c r="H12" s="3" t="n">
        <f aca="false">import!E10</f>
        <v>0</v>
      </c>
      <c r="I12" s="3" t="n">
        <f aca="false">-export!E10</f>
        <v>-0</v>
      </c>
      <c r="J12" s="3" t="n">
        <f aca="false">-charge!E10</f>
        <v>-0</v>
      </c>
      <c r="K12" s="3" t="n">
        <f aca="false">discharge!E10</f>
        <v>0</v>
      </c>
      <c r="L12" s="3" t="n">
        <f aca="false">soc!E10/investment!$E$4 *100</f>
        <v>47.54644762732</v>
      </c>
    </row>
    <row r="13" customFormat="false" ht="13.8" hidden="false" customHeight="false" outlineLevel="0" collapsed="false">
      <c r="B13" s="11" t="n">
        <f aca="false">_xlfn.NUMBERVALUE(solar!B10)</f>
        <v>16</v>
      </c>
      <c r="C13" s="12" t="n">
        <f aca="false">solar!C10</f>
        <v>0</v>
      </c>
      <c r="D13" s="6" t="n">
        <v>9</v>
      </c>
      <c r="E13" s="17" t="n">
        <f aca="false">IFERROR(INDEX($B$5:$C$173, MATCH($D13, $B$5:$B$175, 0), 2), 0)*investment!$C$4</f>
        <v>0</v>
      </c>
      <c r="F13" s="18" t="n">
        <f aca="false">demand!E11</f>
        <v>0</v>
      </c>
      <c r="G13" s="3" t="n">
        <f aca="false">solgen!E11</f>
        <v>0</v>
      </c>
      <c r="H13" s="3" t="n">
        <f aca="false">import!E11</f>
        <v>0</v>
      </c>
      <c r="I13" s="3" t="n">
        <f aca="false">-export!E11</f>
        <v>-0</v>
      </c>
      <c r="J13" s="3" t="n">
        <f aca="false">-charge!E11</f>
        <v>-0</v>
      </c>
      <c r="K13" s="3" t="n">
        <f aca="false">discharge!E11</f>
        <v>0</v>
      </c>
      <c r="L13" s="3" t="n">
        <f aca="false">soc!E11/investment!$E$4 *100</f>
        <v>47.5459721628437</v>
      </c>
    </row>
    <row r="14" customFormat="false" ht="13.8" hidden="false" customHeight="false" outlineLevel="0" collapsed="false">
      <c r="B14" s="11" t="n">
        <f aca="false">_xlfn.NUMBERVALUE(solar!B11)</f>
        <v>17</v>
      </c>
      <c r="C14" s="12" t="n">
        <f aca="false">solar!C11</f>
        <v>0</v>
      </c>
      <c r="D14" s="6" t="n">
        <v>10</v>
      </c>
      <c r="E14" s="17" t="n">
        <f aca="false">IFERROR(INDEX($B$5:$C$173, MATCH($D14, $B$5:$B$175, 0), 2), 0)*investment!$C$4</f>
        <v>0</v>
      </c>
      <c r="F14" s="18" t="n">
        <f aca="false">demand!E12</f>
        <v>0</v>
      </c>
      <c r="G14" s="3" t="n">
        <f aca="false">solgen!E12</f>
        <v>0</v>
      </c>
      <c r="H14" s="3" t="n">
        <f aca="false">import!E12</f>
        <v>0</v>
      </c>
      <c r="I14" s="3" t="n">
        <f aca="false">-export!E12</f>
        <v>-0</v>
      </c>
      <c r="J14" s="3" t="n">
        <f aca="false">-charge!E12</f>
        <v>-0</v>
      </c>
      <c r="K14" s="3" t="n">
        <f aca="false">discharge!E12</f>
        <v>0</v>
      </c>
      <c r="L14" s="3" t="n">
        <f aca="false">soc!E12/investment!$E$4 *100</f>
        <v>47.5454967031221</v>
      </c>
    </row>
    <row r="15" customFormat="false" ht="13.8" hidden="false" customHeight="false" outlineLevel="0" collapsed="false">
      <c r="B15" s="11" t="n">
        <f aca="false">_xlfn.NUMBERVALUE(solar!B12)</f>
        <v>18</v>
      </c>
      <c r="C15" s="12" t="n">
        <f aca="false">solar!C12</f>
        <v>0</v>
      </c>
      <c r="D15" s="6" t="n">
        <v>11</v>
      </c>
      <c r="E15" s="17" t="n">
        <f aca="false">IFERROR(INDEX($B$5:$C$173, MATCH($D15, $B$5:$B$175, 0), 2), 0)*investment!$C$4</f>
        <v>0</v>
      </c>
      <c r="F15" s="18" t="n">
        <f aca="false">demand!E13</f>
        <v>0</v>
      </c>
      <c r="G15" s="3" t="n">
        <f aca="false">solgen!E13</f>
        <v>0</v>
      </c>
      <c r="H15" s="3" t="n">
        <f aca="false">import!E13</f>
        <v>0</v>
      </c>
      <c r="I15" s="3" t="n">
        <f aca="false">-export!E13</f>
        <v>-0</v>
      </c>
      <c r="J15" s="3" t="n">
        <f aca="false">-charge!E13</f>
        <v>-0</v>
      </c>
      <c r="K15" s="3" t="n">
        <f aca="false">discharge!E13</f>
        <v>0</v>
      </c>
      <c r="L15" s="3" t="n">
        <f aca="false">soc!E13/investment!$E$4 *100</f>
        <v>47.5450212481551</v>
      </c>
    </row>
    <row r="16" customFormat="false" ht="13.8" hidden="false" customHeight="false" outlineLevel="0" collapsed="false">
      <c r="B16" s="11" t="n">
        <f aca="false">_xlfn.NUMBERVALUE(solar!B13)</f>
        <v>19</v>
      </c>
      <c r="C16" s="12" t="n">
        <f aca="false">solar!C13</f>
        <v>0</v>
      </c>
      <c r="D16" s="6" t="n">
        <v>12</v>
      </c>
      <c r="E16" s="17" t="n">
        <f aca="false">IFERROR(INDEX($B$5:$C$173, MATCH($D16, $B$5:$B$175, 0), 2), 0)*investment!$C$4</f>
        <v>0</v>
      </c>
      <c r="F16" s="18" t="n">
        <f aca="false">demand!E14</f>
        <v>0</v>
      </c>
      <c r="G16" s="3" t="n">
        <f aca="false">solgen!E14</f>
        <v>0</v>
      </c>
      <c r="H16" s="3" t="n">
        <f aca="false">import!E14</f>
        <v>0</v>
      </c>
      <c r="I16" s="3" t="n">
        <f aca="false">-export!E14</f>
        <v>-0</v>
      </c>
      <c r="J16" s="3" t="n">
        <f aca="false">-charge!E14</f>
        <v>-0</v>
      </c>
      <c r="K16" s="3" t="n">
        <f aca="false">discharge!E14</f>
        <v>0</v>
      </c>
      <c r="L16" s="3" t="n">
        <f aca="false">soc!E14/investment!$E$4 *100</f>
        <v>47.5445457979426</v>
      </c>
    </row>
    <row r="17" customFormat="false" ht="13.8" hidden="false" customHeight="false" outlineLevel="0" collapsed="false">
      <c r="B17" s="11" t="n">
        <f aca="false">_xlfn.NUMBERVALUE(solar!B14)</f>
        <v>32</v>
      </c>
      <c r="C17" s="12" t="n">
        <f aca="false">solar!C14</f>
        <v>0</v>
      </c>
      <c r="D17" s="6" t="n">
        <v>13</v>
      </c>
      <c r="E17" s="17" t="n">
        <f aca="false">IFERROR(INDEX($B$5:$C$173, MATCH($D17, $B$5:$B$175, 0), 2), 0)*investment!$C$4</f>
        <v>0</v>
      </c>
      <c r="F17" s="18" t="n">
        <f aca="false">demand!E15</f>
        <v>0</v>
      </c>
      <c r="G17" s="3" t="n">
        <f aca="false">solgen!E15</f>
        <v>0</v>
      </c>
      <c r="H17" s="3" t="n">
        <f aca="false">import!E15</f>
        <v>0</v>
      </c>
      <c r="I17" s="3" t="n">
        <f aca="false">-export!E15</f>
        <v>-0</v>
      </c>
      <c r="J17" s="3" t="n">
        <f aca="false">-charge!E15</f>
        <v>-0</v>
      </c>
      <c r="K17" s="3" t="n">
        <f aca="false">discharge!E15</f>
        <v>0</v>
      </c>
      <c r="L17" s="3" t="n">
        <f aca="false">soc!E15/investment!$E$4 *100</f>
        <v>62.9080333307216</v>
      </c>
    </row>
    <row r="18" customFormat="false" ht="13.8" hidden="false" customHeight="false" outlineLevel="0" collapsed="false">
      <c r="B18" s="11" t="n">
        <f aca="false">_xlfn.NUMBERVALUE(solar!B15)</f>
        <v>33</v>
      </c>
      <c r="C18" s="12" t="n">
        <f aca="false">solar!C15</f>
        <v>0</v>
      </c>
      <c r="D18" s="6" t="n">
        <v>14</v>
      </c>
      <c r="E18" s="17" t="n">
        <f aca="false">IFERROR(INDEX($B$5:$C$173, MATCH($D18, $B$5:$B$175, 0), 2), 0)*investment!$C$4</f>
        <v>0</v>
      </c>
      <c r="F18" s="18" t="n">
        <f aca="false">demand!E16</f>
        <v>0</v>
      </c>
      <c r="G18" s="3" t="n">
        <f aca="false">solgen!E16</f>
        <v>0</v>
      </c>
      <c r="H18" s="3" t="n">
        <f aca="false">import!E16</f>
        <v>0</v>
      </c>
      <c r="I18" s="3" t="n">
        <f aca="false">-export!E16</f>
        <v>-0</v>
      </c>
      <c r="J18" s="3" t="n">
        <f aca="false">-charge!E16</f>
        <v>-0</v>
      </c>
      <c r="K18" s="3" t="n">
        <f aca="false">discharge!E16</f>
        <v>0</v>
      </c>
      <c r="L18" s="3" t="n">
        <f aca="false">soc!E16/investment!$E$4 *100</f>
        <v>83.5051456915039</v>
      </c>
    </row>
    <row r="19" customFormat="false" ht="13.8" hidden="false" customHeight="false" outlineLevel="0" collapsed="false">
      <c r="B19" s="11" t="n">
        <f aca="false">_xlfn.NUMBERVALUE(solar!B16)</f>
        <v>34</v>
      </c>
      <c r="C19" s="12" t="n">
        <f aca="false">solar!C16</f>
        <v>0</v>
      </c>
      <c r="D19" s="6" t="n">
        <v>15</v>
      </c>
      <c r="E19" s="17" t="n">
        <f aca="false">IFERROR(INDEX($B$5:$C$173, MATCH($D19, $B$5:$B$175, 0), 2), 0)*investment!$C$4</f>
        <v>0</v>
      </c>
      <c r="F19" s="18" t="n">
        <f aca="false">demand!E17</f>
        <v>0</v>
      </c>
      <c r="G19" s="3" t="n">
        <f aca="false">solgen!E17</f>
        <v>0</v>
      </c>
      <c r="H19" s="3" t="n">
        <f aca="false">import!E17</f>
        <v>0</v>
      </c>
      <c r="I19" s="3" t="n">
        <f aca="false">-export!E17</f>
        <v>-0</v>
      </c>
      <c r="J19" s="3" t="n">
        <f aca="false">-charge!E17</f>
        <v>-0</v>
      </c>
      <c r="K19" s="3" t="n">
        <f aca="false">discharge!E17</f>
        <v>0</v>
      </c>
      <c r="L19" s="3" t="n">
        <f aca="false">soc!E17/investment!$E$4 *100</f>
        <v>99.9999999999995</v>
      </c>
    </row>
    <row r="20" customFormat="false" ht="13.8" hidden="false" customHeight="false" outlineLevel="0" collapsed="false">
      <c r="B20" s="11" t="n">
        <f aca="false">_xlfn.NUMBERVALUE(solar!B17)</f>
        <v>35</v>
      </c>
      <c r="C20" s="12" t="n">
        <f aca="false">solar!C17</f>
        <v>0</v>
      </c>
      <c r="D20" s="6" t="n">
        <v>16</v>
      </c>
      <c r="E20" s="17" t="n">
        <f aca="false">IFERROR(INDEX($B$5:$C$173, MATCH($D20, $B$5:$B$175, 0), 2), 0)*investment!$C$4</f>
        <v>0</v>
      </c>
      <c r="F20" s="18" t="n">
        <f aca="false">demand!E18</f>
        <v>0</v>
      </c>
      <c r="G20" s="3" t="n">
        <f aca="false">solgen!E18</f>
        <v>0</v>
      </c>
      <c r="H20" s="3" t="n">
        <f aca="false">import!E18</f>
        <v>0</v>
      </c>
      <c r="I20" s="3" t="n">
        <f aca="false">-export!E18</f>
        <v>-0</v>
      </c>
      <c r="J20" s="3" t="n">
        <f aca="false">-charge!E18</f>
        <v>-0</v>
      </c>
      <c r="K20" s="3" t="n">
        <f aca="false">discharge!E18</f>
        <v>0</v>
      </c>
      <c r="L20" s="3" t="n">
        <f aca="false">soc!E18/investment!$E$4 *100</f>
        <v>99.1393375298916</v>
      </c>
    </row>
    <row r="21" customFormat="false" ht="13.8" hidden="false" customHeight="false" outlineLevel="0" collapsed="false">
      <c r="B21" s="11" t="n">
        <f aca="false">_xlfn.NUMBERVALUE(solar!B18)</f>
        <v>36</v>
      </c>
      <c r="C21" s="12" t="n">
        <f aca="false">solar!C18</f>
        <v>0</v>
      </c>
      <c r="D21" s="6" t="n">
        <v>17</v>
      </c>
      <c r="E21" s="17" t="n">
        <f aca="false">IFERROR(INDEX($B$5:$C$173, MATCH($D21, $B$5:$B$175, 0), 2), 0)*investment!$C$4</f>
        <v>0</v>
      </c>
      <c r="F21" s="18" t="n">
        <f aca="false">demand!E19</f>
        <v>0</v>
      </c>
      <c r="G21" s="3" t="n">
        <f aca="false">solgen!E19</f>
        <v>0</v>
      </c>
      <c r="H21" s="3" t="n">
        <f aca="false">import!E19</f>
        <v>0</v>
      </c>
      <c r="I21" s="3" t="n">
        <f aca="false">-export!E19</f>
        <v>-0</v>
      </c>
      <c r="J21" s="3" t="n">
        <f aca="false">-charge!E19</f>
        <v>-0</v>
      </c>
      <c r="K21" s="3" t="n">
        <f aca="false">discharge!E19</f>
        <v>0</v>
      </c>
      <c r="L21" s="3" t="n">
        <f aca="false">soc!E19/investment!$E$4 *100</f>
        <v>94.5366794470711</v>
      </c>
    </row>
    <row r="22" customFormat="false" ht="13.8" hidden="false" customHeight="false" outlineLevel="0" collapsed="false">
      <c r="B22" s="11" t="n">
        <f aca="false">_xlfn.NUMBERVALUE(solar!B19)</f>
        <v>37</v>
      </c>
      <c r="C22" s="12" t="n">
        <f aca="false">solar!C19</f>
        <v>0</v>
      </c>
      <c r="D22" s="6" t="n">
        <v>18</v>
      </c>
      <c r="E22" s="17" t="n">
        <f aca="false">IFERROR(INDEX($B$5:$C$173, MATCH($D22, $B$5:$B$175, 0), 2), 0)*investment!$C$4</f>
        <v>0</v>
      </c>
      <c r="F22" s="18" t="n">
        <f aca="false">demand!E20</f>
        <v>0</v>
      </c>
      <c r="G22" s="3" t="n">
        <f aca="false">solgen!E20</f>
        <v>0</v>
      </c>
      <c r="H22" s="3" t="n">
        <f aca="false">import!E20</f>
        <v>0</v>
      </c>
      <c r="I22" s="3" t="n">
        <f aca="false">-export!E20</f>
        <v>-0</v>
      </c>
      <c r="J22" s="3" t="n">
        <f aca="false">-charge!E20</f>
        <v>-0</v>
      </c>
      <c r="K22" s="3" t="n">
        <f aca="false">discharge!E20</f>
        <v>0</v>
      </c>
      <c r="L22" s="3" t="n">
        <f aca="false">soc!E20/investment!$E$4 *100</f>
        <v>72.7313011871678</v>
      </c>
    </row>
    <row r="23" customFormat="false" ht="13.8" hidden="false" customHeight="false" outlineLevel="0" collapsed="false">
      <c r="B23" s="11" t="n">
        <f aca="false">_xlfn.NUMBERVALUE(solar!B20)</f>
        <v>38</v>
      </c>
      <c r="C23" s="12" t="n">
        <f aca="false">solar!C20</f>
        <v>0</v>
      </c>
      <c r="D23" s="6" t="n">
        <v>19</v>
      </c>
      <c r="E23" s="17" t="n">
        <f aca="false">IFERROR(INDEX($B$5:$C$173, MATCH($D23, $B$5:$B$175, 0), 2), 0)*investment!$C$4</f>
        <v>0</v>
      </c>
      <c r="F23" s="18" t="n">
        <f aca="false">demand!E21</f>
        <v>0</v>
      </c>
      <c r="G23" s="3" t="n">
        <f aca="false">solgen!E21</f>
        <v>0</v>
      </c>
      <c r="H23" s="3" t="n">
        <f aca="false">import!E21</f>
        <v>0</v>
      </c>
      <c r="I23" s="3" t="n">
        <f aca="false">-export!E21</f>
        <v>-0</v>
      </c>
      <c r="J23" s="3" t="n">
        <f aca="false">-charge!E21</f>
        <v>-0</v>
      </c>
      <c r="K23" s="3" t="n">
        <f aca="false">discharge!E21</f>
        <v>0</v>
      </c>
      <c r="L23" s="3" t="n">
        <f aca="false">soc!E21/investment!$E$4 *100</f>
        <v>50.5650426535816</v>
      </c>
    </row>
    <row r="24" customFormat="false" ht="13.8" hidden="false" customHeight="false" outlineLevel="0" collapsed="false">
      <c r="B24" s="11" t="n">
        <f aca="false">_xlfn.NUMBERVALUE(solar!B21)</f>
        <v>39</v>
      </c>
      <c r="C24" s="12" t="n">
        <f aca="false">solar!C21</f>
        <v>0</v>
      </c>
      <c r="D24" s="6" t="n">
        <v>20</v>
      </c>
      <c r="E24" s="17" t="n">
        <f aca="false">IFERROR(INDEX($B$5:$C$173, MATCH($D24, $B$5:$B$175, 0), 2), 0)*investment!$C$4</f>
        <v>0</v>
      </c>
      <c r="F24" s="18" t="n">
        <f aca="false">demand!E22</f>
        <v>0</v>
      </c>
      <c r="G24" s="3" t="n">
        <f aca="false">solgen!E22</f>
        <v>0</v>
      </c>
      <c r="H24" s="3" t="n">
        <f aca="false">import!E22</f>
        <v>0</v>
      </c>
      <c r="I24" s="3" t="n">
        <f aca="false">-export!E22</f>
        <v>-0</v>
      </c>
      <c r="J24" s="3" t="n">
        <f aca="false">-charge!E22</f>
        <v>-0</v>
      </c>
      <c r="K24" s="3" t="n">
        <f aca="false">discharge!E22</f>
        <v>0</v>
      </c>
      <c r="L24" s="3" t="n">
        <f aca="false">soc!E22/investment!$E$4 *100</f>
        <v>42.1936164350657</v>
      </c>
    </row>
    <row r="25" customFormat="false" ht="13.8" hidden="false" customHeight="false" outlineLevel="0" collapsed="false">
      <c r="B25" s="11" t="n">
        <f aca="false">_xlfn.NUMBERVALUE(solar!B22)</f>
        <v>40</v>
      </c>
      <c r="C25" s="12" t="n">
        <f aca="false">solar!C22</f>
        <v>0</v>
      </c>
      <c r="D25" s="6" t="n">
        <v>21</v>
      </c>
      <c r="E25" s="17" t="n">
        <f aca="false">IFERROR(INDEX($B$5:$C$173, MATCH($D25, $B$5:$B$175, 0), 2), 0)*investment!$C$4</f>
        <v>0</v>
      </c>
      <c r="F25" s="18" t="n">
        <f aca="false">demand!E23</f>
        <v>0</v>
      </c>
      <c r="G25" s="3" t="n">
        <f aca="false">solgen!E23</f>
        <v>0</v>
      </c>
      <c r="H25" s="3" t="n">
        <f aca="false">import!E23</f>
        <v>0</v>
      </c>
      <c r="I25" s="3" t="n">
        <f aca="false">-export!E23</f>
        <v>-0</v>
      </c>
      <c r="J25" s="3" t="n">
        <f aca="false">-charge!E23</f>
        <v>-0</v>
      </c>
      <c r="K25" s="3" t="n">
        <f aca="false">discharge!E23</f>
        <v>0</v>
      </c>
      <c r="L25" s="3" t="n">
        <f aca="false">soc!E23/investment!$E$4 *100</f>
        <v>35.1302317410264</v>
      </c>
    </row>
    <row r="26" customFormat="false" ht="13.8" hidden="false" customHeight="false" outlineLevel="0" collapsed="false">
      <c r="B26" s="11" t="n">
        <f aca="false">_xlfn.NUMBERVALUE(solar!B23)</f>
        <v>41</v>
      </c>
      <c r="C26" s="12" t="n">
        <f aca="false">solar!C23</f>
        <v>0</v>
      </c>
      <c r="D26" s="6" t="n">
        <v>22</v>
      </c>
      <c r="E26" s="17" t="n">
        <f aca="false">IFERROR(INDEX($B$5:$C$173, MATCH($D26, $B$5:$B$175, 0), 2), 0)*investment!$C$4</f>
        <v>0</v>
      </c>
      <c r="F26" s="18" t="n">
        <f aca="false">demand!E24</f>
        <v>0</v>
      </c>
      <c r="G26" s="3" t="n">
        <f aca="false">solgen!E24</f>
        <v>0</v>
      </c>
      <c r="H26" s="3" t="n">
        <f aca="false">import!E24</f>
        <v>0</v>
      </c>
      <c r="I26" s="3" t="n">
        <f aca="false">-export!E24</f>
        <v>-0</v>
      </c>
      <c r="J26" s="3" t="n">
        <f aca="false">-charge!E24</f>
        <v>-0</v>
      </c>
      <c r="K26" s="3" t="n">
        <f aca="false">discharge!E24</f>
        <v>0</v>
      </c>
      <c r="L26" s="3" t="n">
        <f aca="false">soc!E24/investment!$E$4 *100</f>
        <v>28.0669176808342</v>
      </c>
    </row>
    <row r="27" customFormat="false" ht="13.8" hidden="false" customHeight="false" outlineLevel="0" collapsed="false">
      <c r="B27" s="11" t="n">
        <f aca="false">_xlfn.NUMBERVALUE(solar!B24)</f>
        <v>42</v>
      </c>
      <c r="C27" s="12" t="n">
        <f aca="false">solar!C24</f>
        <v>0</v>
      </c>
      <c r="D27" s="6" t="n">
        <v>23</v>
      </c>
      <c r="E27" s="17" t="n">
        <f aca="false">IFERROR(INDEX($B$5:$C$173, MATCH($D27, $B$5:$B$175, 0), 2), 0)*investment!$C$4</f>
        <v>0</v>
      </c>
      <c r="F27" s="18" t="n">
        <f aca="false">demand!E25</f>
        <v>0</v>
      </c>
      <c r="G27" s="3" t="n">
        <f aca="false">solgen!E25</f>
        <v>0</v>
      </c>
      <c r="H27" s="3" t="n">
        <f aca="false">import!E25</f>
        <v>0</v>
      </c>
      <c r="I27" s="3" t="n">
        <f aca="false">-export!E25</f>
        <v>-0</v>
      </c>
      <c r="J27" s="3" t="n">
        <f aca="false">-charge!E25</f>
        <v>-0</v>
      </c>
      <c r="K27" s="3" t="n">
        <f aca="false">discharge!E25</f>
        <v>0</v>
      </c>
      <c r="L27" s="3" t="n">
        <f aca="false">soc!E25/investment!$E$4 *100</f>
        <v>24.4392318787609</v>
      </c>
    </row>
    <row r="28" customFormat="false" ht="13.8" hidden="false" customHeight="false" outlineLevel="0" collapsed="false">
      <c r="B28" s="11" t="n">
        <f aca="false">_xlfn.NUMBERVALUE(solar!B25)</f>
        <v>43</v>
      </c>
      <c r="C28" s="12" t="n">
        <f aca="false">solar!C25</f>
        <v>0</v>
      </c>
      <c r="D28" s="6" t="n">
        <v>24</v>
      </c>
      <c r="E28" s="17" t="n">
        <f aca="false">IFERROR(INDEX($B$5:$C$173, MATCH($D28, $B$5:$B$175, 0), 2), 0)*investment!$C$4</f>
        <v>0</v>
      </c>
      <c r="F28" s="18" t="n">
        <f aca="false">demand!E26</f>
        <v>0</v>
      </c>
      <c r="G28" s="3" t="n">
        <f aca="false">solgen!E26</f>
        <v>0</v>
      </c>
      <c r="H28" s="3" t="n">
        <f aca="false">import!E26</f>
        <v>0</v>
      </c>
      <c r="I28" s="3" t="n">
        <f aca="false">-export!E26</f>
        <v>-0</v>
      </c>
      <c r="J28" s="3" t="n">
        <f aca="false">-charge!E26</f>
        <v>-0</v>
      </c>
      <c r="K28" s="3" t="n">
        <f aca="false">discharge!E26</f>
        <v>0</v>
      </c>
      <c r="L28" s="3" t="n">
        <f aca="false">soc!E26/investment!$E$4 *100</f>
        <v>22.5816689450372</v>
      </c>
    </row>
    <row r="29" customFormat="false" ht="13.8" hidden="false" customHeight="false" outlineLevel="0" collapsed="false">
      <c r="B29" s="11" t="n">
        <f aca="false">_xlfn.NUMBERVALUE(solar!B26)</f>
        <v>56</v>
      </c>
      <c r="C29" s="12" t="n">
        <f aca="false">solar!C26</f>
        <v>0</v>
      </c>
      <c r="D29" s="6" t="n">
        <v>25</v>
      </c>
      <c r="E29" s="17" t="n">
        <f aca="false">IFERROR(INDEX($B$5:$C$173, MATCH($D29, $B$5:$B$175, 0), 2), 0)*investment!$C$4</f>
        <v>0</v>
      </c>
      <c r="F29" s="18" t="n">
        <f aca="false">demand!E27</f>
        <v>0</v>
      </c>
      <c r="G29" s="3" t="n">
        <f aca="false">solgen!E27</f>
        <v>0</v>
      </c>
      <c r="H29" s="3" t="n">
        <f aca="false">import!E27</f>
        <v>0</v>
      </c>
      <c r="I29" s="3" t="n">
        <f aca="false">-export!E27</f>
        <v>-0</v>
      </c>
      <c r="J29" s="3" t="n">
        <f aca="false">-charge!E27</f>
        <v>-0</v>
      </c>
      <c r="K29" s="3" t="n">
        <f aca="false">discharge!E27</f>
        <v>0</v>
      </c>
      <c r="L29" s="3" t="n">
        <f aca="false">soc!E27/investment!$E$4 *100</f>
        <v>17.9556271716759</v>
      </c>
    </row>
    <row r="30" customFormat="false" ht="13.8" hidden="false" customHeight="false" outlineLevel="0" collapsed="false">
      <c r="B30" s="11" t="n">
        <f aca="false">_xlfn.NUMBERVALUE(solar!B27)</f>
        <v>57</v>
      </c>
      <c r="C30" s="12" t="n">
        <f aca="false">solar!C27</f>
        <v>0</v>
      </c>
      <c r="D30" s="6" t="n">
        <v>26</v>
      </c>
      <c r="E30" s="17" t="n">
        <f aca="false">IFERROR(INDEX($B$5:$C$173, MATCH($D30, $B$5:$B$175, 0), 2), 0)*investment!$C$4</f>
        <v>0</v>
      </c>
      <c r="F30" s="18" t="n">
        <f aca="false">demand!E28</f>
        <v>0</v>
      </c>
      <c r="G30" s="3" t="n">
        <f aca="false">solgen!E28</f>
        <v>0</v>
      </c>
      <c r="H30" s="3" t="n">
        <f aca="false">import!E28</f>
        <v>0</v>
      </c>
      <c r="I30" s="3" t="n">
        <f aca="false">-export!E28</f>
        <v>-0</v>
      </c>
      <c r="J30" s="3" t="n">
        <f aca="false">-charge!E28</f>
        <v>-0</v>
      </c>
      <c r="K30" s="3" t="n">
        <f aca="false">discharge!E28</f>
        <v>0</v>
      </c>
      <c r="L30" s="3" t="n">
        <f aca="false">soc!E28/investment!$E$4 *100</f>
        <v>14.4719228816221</v>
      </c>
    </row>
    <row r="31" customFormat="false" ht="13.8" hidden="false" customHeight="false" outlineLevel="0" collapsed="false">
      <c r="B31" s="11" t="n">
        <f aca="false">_xlfn.NUMBERVALUE(solar!B28)</f>
        <v>58</v>
      </c>
      <c r="C31" s="12" t="n">
        <f aca="false">solar!C28</f>
        <v>0</v>
      </c>
      <c r="D31" s="6" t="n">
        <v>27</v>
      </c>
      <c r="E31" s="17" t="n">
        <f aca="false">IFERROR(INDEX($B$5:$C$173, MATCH($D31, $B$5:$B$175, 0), 2), 0)*investment!$C$4</f>
        <v>0</v>
      </c>
      <c r="F31" s="18" t="n">
        <f aca="false">demand!E29</f>
        <v>0</v>
      </c>
      <c r="G31" s="3" t="n">
        <f aca="false">solgen!E29</f>
        <v>0</v>
      </c>
      <c r="H31" s="3" t="n">
        <f aca="false">import!E29</f>
        <v>0</v>
      </c>
      <c r="I31" s="3" t="n">
        <f aca="false">-export!E29</f>
        <v>-0</v>
      </c>
      <c r="J31" s="3" t="n">
        <f aca="false">-charge!E29</f>
        <v>-0</v>
      </c>
      <c r="K31" s="3" t="n">
        <f aca="false">discharge!E29</f>
        <v>0</v>
      </c>
      <c r="L31" s="3" t="n">
        <f aca="false">soc!E29/investment!$E$4 *100</f>
        <v>10.8095011768285</v>
      </c>
    </row>
    <row r="32" customFormat="false" ht="13.8" hidden="false" customHeight="false" outlineLevel="0" collapsed="false">
      <c r="B32" s="11" t="n">
        <f aca="false">_xlfn.NUMBERVALUE(solar!B29)</f>
        <v>59</v>
      </c>
      <c r="C32" s="12" t="n">
        <f aca="false">solar!C29</f>
        <v>0</v>
      </c>
      <c r="D32" s="6" t="n">
        <v>28</v>
      </c>
      <c r="E32" s="17" t="n">
        <f aca="false">IFERROR(INDEX($B$5:$C$173, MATCH($D32, $B$5:$B$175, 0), 2), 0)*investment!$C$4</f>
        <v>0</v>
      </c>
      <c r="F32" s="18" t="n">
        <f aca="false">demand!E30</f>
        <v>0</v>
      </c>
      <c r="G32" s="3" t="n">
        <f aca="false">solgen!E30</f>
        <v>0</v>
      </c>
      <c r="H32" s="3" t="n">
        <f aca="false">import!E30</f>
        <v>0</v>
      </c>
      <c r="I32" s="3" t="n">
        <f aca="false">-export!E30</f>
        <v>-0</v>
      </c>
      <c r="J32" s="3" t="n">
        <f aca="false">-charge!E30</f>
        <v>-0</v>
      </c>
      <c r="K32" s="3" t="n">
        <f aca="false">discharge!E30</f>
        <v>0</v>
      </c>
      <c r="L32" s="3" t="n">
        <f aca="false">soc!E30/investment!$E$4 *100</f>
        <v>7.14711609625201</v>
      </c>
    </row>
    <row r="33" customFormat="false" ht="13.8" hidden="false" customHeight="false" outlineLevel="0" collapsed="false">
      <c r="B33" s="11" t="n">
        <f aca="false">_xlfn.NUMBERVALUE(solar!B30)</f>
        <v>60</v>
      </c>
      <c r="C33" s="12" t="n">
        <f aca="false">solar!C30</f>
        <v>0</v>
      </c>
      <c r="D33" s="6" t="n">
        <v>29</v>
      </c>
      <c r="E33" s="17" t="n">
        <f aca="false">IFERROR(INDEX($B$5:$C$173, MATCH($D33, $B$5:$B$175, 0), 2), 0)*investment!$C$4</f>
        <v>0</v>
      </c>
      <c r="F33" s="18" t="n">
        <f aca="false">demand!E31</f>
        <v>0</v>
      </c>
      <c r="G33" s="3" t="n">
        <f aca="false">solgen!E31</f>
        <v>0</v>
      </c>
      <c r="H33" s="3" t="n">
        <f aca="false">import!E31</f>
        <v>0</v>
      </c>
      <c r="I33" s="3" t="n">
        <f aca="false">-export!E31</f>
        <v>-0</v>
      </c>
      <c r="J33" s="3" t="n">
        <f aca="false">-charge!E31</f>
        <v>-0</v>
      </c>
      <c r="K33" s="3" t="n">
        <f aca="false">discharge!E31</f>
        <v>0</v>
      </c>
      <c r="L33" s="3" t="n">
        <f aca="false">soc!E31/investment!$E$4 *100</f>
        <v>4.89734972745276</v>
      </c>
    </row>
    <row r="34" customFormat="false" ht="13.8" hidden="false" customHeight="false" outlineLevel="0" collapsed="false">
      <c r="B34" s="11" t="n">
        <f aca="false">_xlfn.NUMBERVALUE(solar!B31)</f>
        <v>61</v>
      </c>
      <c r="C34" s="12" t="n">
        <f aca="false">solar!C31</f>
        <v>0</v>
      </c>
      <c r="D34" s="6" t="n">
        <v>30</v>
      </c>
      <c r="E34" s="17" t="n">
        <f aca="false">IFERROR(INDEX($B$5:$C$173, MATCH($D34, $B$5:$B$175, 0), 2), 0)*investment!$C$4</f>
        <v>0</v>
      </c>
      <c r="F34" s="18" t="n">
        <f aca="false">demand!E32</f>
        <v>0</v>
      </c>
      <c r="G34" s="3" t="n">
        <f aca="false">solgen!E32</f>
        <v>0</v>
      </c>
      <c r="H34" s="3" t="n">
        <f aca="false">import!E32</f>
        <v>0</v>
      </c>
      <c r="I34" s="3" t="n">
        <f aca="false">-export!E32</f>
        <v>-0</v>
      </c>
      <c r="J34" s="3" t="n">
        <f aca="false">-charge!E32</f>
        <v>-0</v>
      </c>
      <c r="K34" s="3" t="n">
        <f aca="false">discharge!E32</f>
        <v>0</v>
      </c>
      <c r="L34" s="3" t="n">
        <f aca="false">soc!E32/investment!$E$4 *100</f>
        <v>0.307616663277714</v>
      </c>
    </row>
    <row r="35" customFormat="false" ht="13.8" hidden="false" customHeight="false" outlineLevel="0" collapsed="false">
      <c r="B35" s="11" t="n">
        <f aca="false">_xlfn.NUMBERVALUE(solar!B32)</f>
        <v>62</v>
      </c>
      <c r="C35" s="12" t="n">
        <f aca="false">solar!C32</f>
        <v>0</v>
      </c>
      <c r="D35" s="6" t="n">
        <v>31</v>
      </c>
      <c r="E35" s="17" t="n">
        <f aca="false">IFERROR(INDEX($B$5:$C$173, MATCH($D35, $B$5:$B$175, 0), 2), 0)*investment!$C$4</f>
        <v>0</v>
      </c>
      <c r="F35" s="18" t="n">
        <f aca="false">demand!E33</f>
        <v>0</v>
      </c>
      <c r="G35" s="3" t="n">
        <f aca="false">solgen!E33</f>
        <v>0</v>
      </c>
      <c r="H35" s="3" t="n">
        <f aca="false">import!E33</f>
        <v>0</v>
      </c>
      <c r="I35" s="3" t="n">
        <f aca="false">-export!E33</f>
        <v>-0</v>
      </c>
      <c r="J35" s="3" t="n">
        <f aca="false">-charge!E33</f>
        <v>-0</v>
      </c>
      <c r="K35" s="3" t="n">
        <f aca="false">discharge!E33</f>
        <v>0</v>
      </c>
      <c r="L35" s="3" t="n">
        <f aca="false">soc!E33/investment!$E$4 *100</f>
        <v>0</v>
      </c>
    </row>
    <row r="36" customFormat="false" ht="13.8" hidden="false" customHeight="false" outlineLevel="0" collapsed="false">
      <c r="B36" s="11" t="n">
        <f aca="false">_xlfn.NUMBERVALUE(solar!B33)</f>
        <v>63</v>
      </c>
      <c r="C36" s="12" t="n">
        <f aca="false">solar!C33</f>
        <v>0</v>
      </c>
      <c r="D36" s="6" t="n">
        <v>32</v>
      </c>
      <c r="E36" s="17" t="n">
        <f aca="false">IFERROR(INDEX($B$5:$C$173, MATCH($D36, $B$5:$B$175, 0), 2), 0)*investment!$C$4</f>
        <v>0</v>
      </c>
      <c r="F36" s="18" t="n">
        <f aca="false">demand!E34</f>
        <v>0</v>
      </c>
      <c r="G36" s="3" t="n">
        <f aca="false">solgen!E34</f>
        <v>0</v>
      </c>
      <c r="H36" s="3" t="n">
        <f aca="false">import!E34</f>
        <v>0</v>
      </c>
      <c r="I36" s="3" t="n">
        <f aca="false">-export!E34</f>
        <v>-0</v>
      </c>
      <c r="J36" s="3" t="n">
        <f aca="false">-charge!E34</f>
        <v>-0</v>
      </c>
      <c r="K36" s="3" t="n">
        <f aca="false">discharge!E34</f>
        <v>0</v>
      </c>
      <c r="L36" s="3" t="n">
        <f aca="false">soc!E34/investment!$E$4 *100</f>
        <v>0</v>
      </c>
    </row>
    <row r="37" customFormat="false" ht="13.8" hidden="false" customHeight="false" outlineLevel="0" collapsed="false">
      <c r="B37" s="11" t="n">
        <f aca="false">_xlfn.NUMBERVALUE(solar!B34)</f>
        <v>64</v>
      </c>
      <c r="C37" s="12" t="n">
        <f aca="false">solar!C34</f>
        <v>0</v>
      </c>
      <c r="D37" s="6" t="n">
        <v>33</v>
      </c>
      <c r="E37" s="17" t="n">
        <f aca="false">IFERROR(INDEX($B$5:$C$173, MATCH($D37, $B$5:$B$175, 0), 2), 0)*investment!$C$4</f>
        <v>0</v>
      </c>
      <c r="F37" s="18" t="n">
        <f aca="false">demand!E35</f>
        <v>0</v>
      </c>
      <c r="G37" s="3" t="n">
        <f aca="false">solgen!E35</f>
        <v>0</v>
      </c>
      <c r="H37" s="3" t="n">
        <f aca="false">import!E35</f>
        <v>0</v>
      </c>
      <c r="I37" s="3" t="n">
        <f aca="false">-export!E35</f>
        <v>-0</v>
      </c>
      <c r="J37" s="3" t="n">
        <f aca="false">-charge!E35</f>
        <v>-0</v>
      </c>
      <c r="K37" s="3" t="n">
        <f aca="false">discharge!E35</f>
        <v>0</v>
      </c>
      <c r="L37" s="3" t="n">
        <f aca="false">soc!E35/investment!$E$4 *100</f>
        <v>0</v>
      </c>
    </row>
    <row r="38" customFormat="false" ht="13.8" hidden="false" customHeight="false" outlineLevel="0" collapsed="false">
      <c r="B38" s="11" t="n">
        <f aca="false">_xlfn.NUMBERVALUE(solar!B35)</f>
        <v>65</v>
      </c>
      <c r="C38" s="12" t="n">
        <f aca="false">solar!C35</f>
        <v>0</v>
      </c>
      <c r="D38" s="6" t="n">
        <v>34</v>
      </c>
      <c r="E38" s="17" t="n">
        <f aca="false">IFERROR(INDEX($B$5:$C$173, MATCH($D38, $B$5:$B$175, 0), 2), 0)*investment!$C$4</f>
        <v>0</v>
      </c>
      <c r="F38" s="18" t="n">
        <f aca="false">demand!E36</f>
        <v>0</v>
      </c>
      <c r="G38" s="3" t="n">
        <f aca="false">solgen!E36</f>
        <v>0</v>
      </c>
      <c r="H38" s="3" t="n">
        <f aca="false">import!E36</f>
        <v>0</v>
      </c>
      <c r="I38" s="3" t="n">
        <f aca="false">-export!E36</f>
        <v>-0</v>
      </c>
      <c r="J38" s="3" t="n">
        <f aca="false">-charge!E36</f>
        <v>-0</v>
      </c>
      <c r="K38" s="3" t="n">
        <f aca="false">discharge!E36</f>
        <v>0</v>
      </c>
      <c r="L38" s="3" t="n">
        <f aca="false">soc!E36/investment!$E$4 *100</f>
        <v>0</v>
      </c>
    </row>
    <row r="39" customFormat="false" ht="13.8" hidden="false" customHeight="false" outlineLevel="0" collapsed="false">
      <c r="B39" s="11" t="n">
        <f aca="false">_xlfn.NUMBERVALUE(solar!B36)</f>
        <v>66</v>
      </c>
      <c r="C39" s="12" t="n">
        <f aca="false">solar!C36</f>
        <v>0</v>
      </c>
      <c r="D39" s="6" t="n">
        <v>35</v>
      </c>
      <c r="E39" s="17" t="n">
        <f aca="false">IFERROR(INDEX($B$5:$C$173, MATCH($D39, $B$5:$B$175, 0), 2), 0)*investment!$C$4</f>
        <v>0</v>
      </c>
      <c r="F39" s="18" t="n">
        <f aca="false">demand!E37</f>
        <v>0</v>
      </c>
      <c r="G39" s="3" t="n">
        <f aca="false">solgen!E37</f>
        <v>0</v>
      </c>
      <c r="H39" s="3" t="n">
        <f aca="false">import!E37</f>
        <v>0</v>
      </c>
      <c r="I39" s="3" t="n">
        <f aca="false">-export!E37</f>
        <v>-0</v>
      </c>
      <c r="J39" s="3" t="n">
        <f aca="false">-charge!E37</f>
        <v>-0</v>
      </c>
      <c r="K39" s="3" t="n">
        <f aca="false">discharge!E37</f>
        <v>0</v>
      </c>
      <c r="L39" s="3" t="n">
        <f aca="false">soc!E37/investment!$E$4 *100</f>
        <v>0</v>
      </c>
    </row>
    <row r="40" customFormat="false" ht="13.8" hidden="false" customHeight="false" outlineLevel="0" collapsed="false">
      <c r="B40" s="11" t="n">
        <f aca="false">_xlfn.NUMBERVALUE(solar!B37)</f>
        <v>67</v>
      </c>
      <c r="C40" s="12" t="n">
        <f aca="false">solar!C37</f>
        <v>0</v>
      </c>
      <c r="D40" s="6" t="n">
        <v>36</v>
      </c>
      <c r="E40" s="17" t="n">
        <f aca="false">IFERROR(INDEX($B$5:$C$173, MATCH($D40, $B$5:$B$175, 0), 2), 0)*investment!$C$4</f>
        <v>0</v>
      </c>
      <c r="F40" s="18" t="n">
        <f aca="false">demand!E38</f>
        <v>0</v>
      </c>
      <c r="G40" s="3" t="n">
        <f aca="false">solgen!E38</f>
        <v>0</v>
      </c>
      <c r="H40" s="3" t="n">
        <f aca="false">import!E38</f>
        <v>0</v>
      </c>
      <c r="I40" s="3" t="n">
        <f aca="false">-export!E38</f>
        <v>-0</v>
      </c>
      <c r="J40" s="3" t="n">
        <f aca="false">-charge!E38</f>
        <v>-0</v>
      </c>
      <c r="K40" s="3" t="n">
        <f aca="false">discharge!E38</f>
        <v>0</v>
      </c>
      <c r="L40" s="3" t="n">
        <f aca="false">soc!E38/investment!$E$4 *100</f>
        <v>4.7499552111511</v>
      </c>
    </row>
    <row r="41" customFormat="false" ht="13.8" hidden="false" customHeight="false" outlineLevel="0" collapsed="false">
      <c r="B41" s="11" t="n">
        <f aca="false">_xlfn.NUMBERVALUE(solar!B38)</f>
        <v>80</v>
      </c>
      <c r="C41" s="12" t="n">
        <f aca="false">solar!C38</f>
        <v>0</v>
      </c>
      <c r="D41" s="6" t="n">
        <v>37</v>
      </c>
      <c r="E41" s="17" t="n">
        <f aca="false">IFERROR(INDEX($B$5:$C$173, MATCH($D41, $B$5:$B$175, 0), 2), 0)*investment!$C$4</f>
        <v>0</v>
      </c>
      <c r="F41" s="18" t="n">
        <f aca="false">demand!E39</f>
        <v>0</v>
      </c>
      <c r="G41" s="3" t="n">
        <f aca="false">solgen!E39</f>
        <v>0</v>
      </c>
      <c r="H41" s="3" t="n">
        <f aca="false">import!E39</f>
        <v>0</v>
      </c>
      <c r="I41" s="3" t="n">
        <f aca="false">-export!E39</f>
        <v>-0</v>
      </c>
      <c r="J41" s="3" t="n">
        <f aca="false">-charge!E39</f>
        <v>-0</v>
      </c>
      <c r="K41" s="3" t="n">
        <f aca="false">discharge!E39</f>
        <v>0</v>
      </c>
      <c r="L41" s="3" t="n">
        <f aca="false">soc!E39/investment!$E$4 *100</f>
        <v>18.7817172428075</v>
      </c>
    </row>
    <row r="42" customFormat="false" ht="13.8" hidden="false" customHeight="false" outlineLevel="0" collapsed="false">
      <c r="B42" s="11" t="n">
        <f aca="false">_xlfn.NUMBERVALUE(solar!B39)</f>
        <v>81</v>
      </c>
      <c r="C42" s="12" t="n">
        <f aca="false">solar!C39</f>
        <v>0</v>
      </c>
      <c r="D42" s="6" t="n">
        <v>38</v>
      </c>
      <c r="E42" s="17" t="n">
        <f aca="false">IFERROR(INDEX($B$5:$C$173, MATCH($D42, $B$5:$B$175, 0), 2), 0)*investment!$C$4</f>
        <v>0</v>
      </c>
      <c r="F42" s="18" t="n">
        <f aca="false">demand!E40</f>
        <v>0</v>
      </c>
      <c r="G42" s="3" t="n">
        <f aca="false">solgen!E40</f>
        <v>0</v>
      </c>
      <c r="H42" s="3" t="n">
        <f aca="false">import!E40</f>
        <v>0</v>
      </c>
      <c r="I42" s="3" t="n">
        <f aca="false">-export!E40</f>
        <v>-0</v>
      </c>
      <c r="J42" s="3" t="n">
        <f aca="false">-charge!E40</f>
        <v>-0</v>
      </c>
      <c r="K42" s="3" t="n">
        <f aca="false">discharge!E40</f>
        <v>0</v>
      </c>
      <c r="L42" s="3" t="n">
        <f aca="false">soc!E40/investment!$E$4 *100</f>
        <v>41.1786222416597</v>
      </c>
    </row>
    <row r="43" customFormat="false" ht="13.8" hidden="false" customHeight="false" outlineLevel="0" collapsed="false">
      <c r="B43" s="11" t="n">
        <f aca="false">_xlfn.NUMBERVALUE(solar!B40)</f>
        <v>82</v>
      </c>
      <c r="C43" s="12" t="n">
        <f aca="false">solar!C40</f>
        <v>0</v>
      </c>
      <c r="D43" s="6" t="n">
        <v>39</v>
      </c>
      <c r="E43" s="17" t="n">
        <f aca="false">IFERROR(INDEX($B$5:$C$173, MATCH($D43, $B$5:$B$175, 0), 2), 0)*investment!$C$4</f>
        <v>0</v>
      </c>
      <c r="F43" s="18" t="n">
        <f aca="false">demand!E41</f>
        <v>0</v>
      </c>
      <c r="G43" s="3" t="n">
        <f aca="false">solgen!E41</f>
        <v>0</v>
      </c>
      <c r="H43" s="3" t="n">
        <f aca="false">import!E41</f>
        <v>0</v>
      </c>
      <c r="I43" s="3" t="n">
        <f aca="false">-export!E41</f>
        <v>-0</v>
      </c>
      <c r="J43" s="3" t="n">
        <f aca="false">-charge!E41</f>
        <v>-0</v>
      </c>
      <c r="K43" s="3" t="n">
        <f aca="false">discharge!E41</f>
        <v>0</v>
      </c>
      <c r="L43" s="3" t="n">
        <f aca="false">soc!E41/investment!$E$4 *100</f>
        <v>59.0853306168552</v>
      </c>
    </row>
    <row r="44" customFormat="false" ht="13.8" hidden="false" customHeight="false" outlineLevel="0" collapsed="false">
      <c r="B44" s="11" t="n">
        <f aca="false">_xlfn.NUMBERVALUE(solar!B41)</f>
        <v>83</v>
      </c>
      <c r="C44" s="12" t="n">
        <f aca="false">solar!C41</f>
        <v>0</v>
      </c>
      <c r="D44" s="6" t="n">
        <v>40</v>
      </c>
      <c r="E44" s="17" t="n">
        <f aca="false">IFERROR(INDEX($B$5:$C$173, MATCH($D44, $B$5:$B$175, 0), 2), 0)*investment!$C$4</f>
        <v>0</v>
      </c>
      <c r="F44" s="18" t="n">
        <f aca="false">demand!E42</f>
        <v>0</v>
      </c>
      <c r="G44" s="3" t="n">
        <f aca="false">solgen!E42</f>
        <v>0</v>
      </c>
      <c r="H44" s="3" t="n">
        <f aca="false">import!E42</f>
        <v>0</v>
      </c>
      <c r="I44" s="3" t="n">
        <f aca="false">-export!E42</f>
        <v>-0</v>
      </c>
      <c r="J44" s="3" t="n">
        <f aca="false">-charge!E42</f>
        <v>-0</v>
      </c>
      <c r="K44" s="3" t="n">
        <f aca="false">discharge!E42</f>
        <v>0</v>
      </c>
      <c r="L44" s="3" t="n">
        <f aca="false">soc!E42/investment!$E$4 *100</f>
        <v>69.7275628846966</v>
      </c>
    </row>
    <row r="45" customFormat="false" ht="13.8" hidden="false" customHeight="false" outlineLevel="0" collapsed="false">
      <c r="B45" s="11" t="n">
        <f aca="false">_xlfn.NUMBERVALUE(solar!B42)</f>
        <v>84</v>
      </c>
      <c r="C45" s="12" t="n">
        <f aca="false">solar!C42</f>
        <v>0</v>
      </c>
      <c r="D45" s="6" t="n">
        <v>41</v>
      </c>
      <c r="E45" s="17" t="n">
        <f aca="false">IFERROR(INDEX($B$5:$C$173, MATCH($D45, $B$5:$B$175, 0), 2), 0)*investment!$C$4</f>
        <v>0</v>
      </c>
      <c r="F45" s="18" t="n">
        <f aca="false">demand!E43</f>
        <v>0</v>
      </c>
      <c r="G45" s="3" t="n">
        <f aca="false">solgen!E43</f>
        <v>0</v>
      </c>
      <c r="H45" s="3" t="n">
        <f aca="false">import!E43</f>
        <v>0</v>
      </c>
      <c r="I45" s="3" t="n">
        <f aca="false">-export!E43</f>
        <v>-0</v>
      </c>
      <c r="J45" s="3" t="n">
        <f aca="false">-charge!E43</f>
        <v>-0</v>
      </c>
      <c r="K45" s="3" t="n">
        <f aca="false">discharge!E43</f>
        <v>0</v>
      </c>
      <c r="L45" s="3" t="n">
        <f aca="false">soc!E43/investment!$E$4 *100</f>
        <v>52.678580719944</v>
      </c>
    </row>
    <row r="46" customFormat="false" ht="13.8" hidden="false" customHeight="false" outlineLevel="0" collapsed="false">
      <c r="B46" s="11" t="n">
        <f aca="false">_xlfn.NUMBERVALUE(solar!B43)</f>
        <v>85</v>
      </c>
      <c r="C46" s="12" t="n">
        <f aca="false">solar!C43</f>
        <v>0</v>
      </c>
      <c r="D46" s="6" t="n">
        <v>42</v>
      </c>
      <c r="E46" s="17" t="n">
        <f aca="false">IFERROR(INDEX($B$5:$C$173, MATCH($D46, $B$5:$B$175, 0), 2), 0)*investment!$C$4</f>
        <v>0</v>
      </c>
      <c r="F46" s="18" t="n">
        <f aca="false">demand!E44</f>
        <v>0</v>
      </c>
      <c r="G46" s="3" t="n">
        <f aca="false">solgen!E44</f>
        <v>0</v>
      </c>
      <c r="H46" s="3" t="n">
        <f aca="false">import!E44</f>
        <v>0</v>
      </c>
      <c r="I46" s="3" t="n">
        <f aca="false">-export!E44</f>
        <v>-0</v>
      </c>
      <c r="J46" s="3" t="n">
        <f aca="false">-charge!E44</f>
        <v>-0</v>
      </c>
      <c r="K46" s="3" t="n">
        <f aca="false">discharge!E44</f>
        <v>0</v>
      </c>
      <c r="L46" s="3" t="n">
        <f aca="false">soc!E44/investment!$E$4 *100</f>
        <v>45.2846516895167</v>
      </c>
    </row>
    <row r="47" customFormat="false" ht="13.8" hidden="false" customHeight="false" outlineLevel="0" collapsed="false">
      <c r="B47" s="11" t="n">
        <f aca="false">_xlfn.NUMBERVALUE(solar!B44)</f>
        <v>86</v>
      </c>
      <c r="C47" s="12" t="n">
        <f aca="false">solar!C44</f>
        <v>0</v>
      </c>
      <c r="D47" s="6" t="n">
        <v>43</v>
      </c>
      <c r="E47" s="17" t="n">
        <f aca="false">IFERROR(INDEX($B$5:$C$173, MATCH($D47, $B$5:$B$175, 0), 2), 0)*investment!$C$4</f>
        <v>0</v>
      </c>
      <c r="F47" s="18" t="n">
        <f aca="false">demand!E45</f>
        <v>0</v>
      </c>
      <c r="G47" s="3" t="n">
        <f aca="false">solgen!E45</f>
        <v>0</v>
      </c>
      <c r="H47" s="3" t="n">
        <f aca="false">import!E45</f>
        <v>0</v>
      </c>
      <c r="I47" s="3" t="n">
        <f aca="false">-export!E45</f>
        <v>-0</v>
      </c>
      <c r="J47" s="3" t="n">
        <f aca="false">-charge!E45</f>
        <v>-0</v>
      </c>
      <c r="K47" s="3" t="n">
        <f aca="false">discharge!E45</f>
        <v>0</v>
      </c>
      <c r="L47" s="3" t="n">
        <f aca="false">soc!E45/investment!$E$4 *100</f>
        <v>43.072926329311</v>
      </c>
    </row>
    <row r="48" customFormat="false" ht="13.8" hidden="false" customHeight="false" outlineLevel="0" collapsed="false">
      <c r="B48" s="11" t="n">
        <f aca="false">_xlfn.NUMBERVALUE(solar!B45)</f>
        <v>87</v>
      </c>
      <c r="C48" s="12" t="n">
        <f aca="false">solar!C45</f>
        <v>0</v>
      </c>
      <c r="D48" s="6" t="n">
        <v>44</v>
      </c>
      <c r="E48" s="17" t="n">
        <f aca="false">IFERROR(INDEX($B$5:$C$173, MATCH($D48, $B$5:$B$175, 0), 2), 0)*investment!$C$4</f>
        <v>0</v>
      </c>
      <c r="F48" s="18" t="n">
        <f aca="false">demand!E46</f>
        <v>0</v>
      </c>
      <c r="G48" s="3" t="n">
        <f aca="false">solgen!E46</f>
        <v>0</v>
      </c>
      <c r="H48" s="3" t="n">
        <f aca="false">import!E46</f>
        <v>0</v>
      </c>
      <c r="I48" s="3" t="n">
        <f aca="false">-export!E46</f>
        <v>-0</v>
      </c>
      <c r="J48" s="3" t="n">
        <f aca="false">-charge!E46</f>
        <v>-0</v>
      </c>
      <c r="K48" s="3" t="n">
        <f aca="false">discharge!E46</f>
        <v>0</v>
      </c>
      <c r="L48" s="3" t="n">
        <f aca="false">soc!E46/investment!$E$4 *100</f>
        <v>36.9250890090034</v>
      </c>
    </row>
    <row r="49" customFormat="false" ht="13.8" hidden="false" customHeight="false" outlineLevel="0" collapsed="false">
      <c r="B49" s="11" t="n">
        <f aca="false">_xlfn.NUMBERVALUE(solar!B46)</f>
        <v>88</v>
      </c>
      <c r="C49" s="12" t="n">
        <f aca="false">solar!C46</f>
        <v>0</v>
      </c>
      <c r="D49" s="6" t="n">
        <v>45</v>
      </c>
      <c r="E49" s="17" t="n">
        <f aca="false">IFERROR(INDEX($B$5:$C$173, MATCH($D49, $B$5:$B$175, 0), 2), 0)*investment!$C$4</f>
        <v>0</v>
      </c>
      <c r="F49" s="18" t="n">
        <f aca="false">demand!E47</f>
        <v>0</v>
      </c>
      <c r="G49" s="3" t="n">
        <f aca="false">solgen!E47</f>
        <v>0</v>
      </c>
      <c r="H49" s="3" t="n">
        <f aca="false">import!E47</f>
        <v>0</v>
      </c>
      <c r="I49" s="3" t="n">
        <f aca="false">-export!E47</f>
        <v>-0</v>
      </c>
      <c r="J49" s="3" t="n">
        <f aca="false">-charge!E47</f>
        <v>-0</v>
      </c>
      <c r="K49" s="3" t="n">
        <f aca="false">discharge!E47</f>
        <v>0</v>
      </c>
      <c r="L49" s="3" t="n">
        <f aca="false">soc!E47/investment!$E$4 *100</f>
        <v>33.2755197172991</v>
      </c>
    </row>
    <row r="50" customFormat="false" ht="13.8" hidden="false" customHeight="false" outlineLevel="0" collapsed="false">
      <c r="B50" s="11" t="n">
        <f aca="false">_xlfn.NUMBERVALUE(solar!B47)</f>
        <v>89</v>
      </c>
      <c r="C50" s="12" t="n">
        <f aca="false">solar!C47</f>
        <v>0</v>
      </c>
      <c r="D50" s="6" t="n">
        <v>46</v>
      </c>
      <c r="E50" s="17" t="n">
        <f aca="false">IFERROR(INDEX($B$5:$C$173, MATCH($D50, $B$5:$B$175, 0), 2), 0)*investment!$C$4</f>
        <v>0</v>
      </c>
      <c r="F50" s="18" t="n">
        <f aca="false">demand!E48</f>
        <v>0</v>
      </c>
      <c r="G50" s="3" t="n">
        <f aca="false">solgen!E48</f>
        <v>0</v>
      </c>
      <c r="H50" s="3" t="n">
        <f aca="false">import!E48</f>
        <v>0</v>
      </c>
      <c r="I50" s="3" t="n">
        <f aca="false">-export!E48</f>
        <v>-0</v>
      </c>
      <c r="J50" s="3" t="n">
        <f aca="false">-charge!E48</f>
        <v>-0</v>
      </c>
      <c r="K50" s="3" t="n">
        <f aca="false">discharge!E48</f>
        <v>0</v>
      </c>
      <c r="L50" s="3" t="n">
        <f aca="false">soc!E48/investment!$E$4 *100</f>
        <v>28.9763626379105</v>
      </c>
    </row>
    <row r="51" customFormat="false" ht="13.8" hidden="false" customHeight="false" outlineLevel="0" collapsed="false">
      <c r="B51" s="11" t="n">
        <f aca="false">_xlfn.NUMBERVALUE(solar!B48)</f>
        <v>90</v>
      </c>
      <c r="C51" s="12" t="n">
        <f aca="false">solar!C48</f>
        <v>0</v>
      </c>
      <c r="D51" s="6" t="n">
        <v>47</v>
      </c>
      <c r="E51" s="17" t="n">
        <f aca="false">IFERROR(INDEX($B$5:$C$173, MATCH($D51, $B$5:$B$175, 0), 2), 0)*investment!$C$4</f>
        <v>0</v>
      </c>
      <c r="F51" s="18" t="n">
        <f aca="false">demand!E49</f>
        <v>0</v>
      </c>
      <c r="G51" s="3" t="n">
        <f aca="false">solgen!E49</f>
        <v>0</v>
      </c>
      <c r="H51" s="3" t="n">
        <f aca="false">import!E49</f>
        <v>0</v>
      </c>
      <c r="I51" s="3" t="n">
        <f aca="false">-export!E49</f>
        <v>-0</v>
      </c>
      <c r="J51" s="3" t="n">
        <f aca="false">-charge!E49</f>
        <v>-0</v>
      </c>
      <c r="K51" s="3" t="n">
        <f aca="false">discharge!E49</f>
        <v>0</v>
      </c>
      <c r="L51" s="3" t="n">
        <f aca="false">soc!E49/investment!$E$4 *100</f>
        <v>25.32687283347</v>
      </c>
    </row>
    <row r="52" customFormat="false" ht="13.8" hidden="false" customHeight="false" outlineLevel="0" collapsed="false">
      <c r="B52" s="11" t="n">
        <f aca="false">_xlfn.NUMBERVALUE(solar!B49)</f>
        <v>91</v>
      </c>
      <c r="C52" s="12" t="n">
        <f aca="false">solar!C49</f>
        <v>0</v>
      </c>
      <c r="D52" s="6" t="n">
        <v>48</v>
      </c>
      <c r="E52" s="17" t="n">
        <f aca="false">IFERROR(INDEX($B$5:$C$173, MATCH($D52, $B$5:$B$175, 0), 2), 0)*investment!$C$4</f>
        <v>0</v>
      </c>
      <c r="F52" s="18" t="n">
        <f aca="false">demand!E50</f>
        <v>0</v>
      </c>
      <c r="G52" s="3" t="n">
        <f aca="false">solgen!E50</f>
        <v>0</v>
      </c>
      <c r="H52" s="3" t="n">
        <f aca="false">import!E50</f>
        <v>0</v>
      </c>
      <c r="I52" s="3" t="n">
        <f aca="false">-export!E50</f>
        <v>-0</v>
      </c>
      <c r="J52" s="3" t="n">
        <f aca="false">-charge!E50</f>
        <v>-0</v>
      </c>
      <c r="K52" s="3" t="n">
        <f aca="false">discharge!E50</f>
        <v>0</v>
      </c>
      <c r="L52" s="3" t="n">
        <f aca="false">soc!E50/investment!$E$4 *100</f>
        <v>21.3852997441153</v>
      </c>
    </row>
    <row r="53" customFormat="false" ht="13.8" hidden="false" customHeight="false" outlineLevel="0" collapsed="false">
      <c r="B53" s="11" t="n">
        <f aca="false">_xlfn.NUMBERVALUE(solar!B50)</f>
        <v>104</v>
      </c>
      <c r="C53" s="12" t="n">
        <f aca="false">solar!C50</f>
        <v>0</v>
      </c>
      <c r="D53" s="6" t="n">
        <v>49</v>
      </c>
      <c r="E53" s="17" t="n">
        <f aca="false">IFERROR(INDEX($B$5:$C$173, MATCH($D53, $B$5:$B$175, 0), 2), 0)*investment!$C$4</f>
        <v>0</v>
      </c>
      <c r="F53" s="18" t="n">
        <f aca="false">demand!E51</f>
        <v>0</v>
      </c>
      <c r="G53" s="3" t="n">
        <f aca="false">solgen!E51</f>
        <v>0</v>
      </c>
      <c r="H53" s="3" t="n">
        <f aca="false">import!E51</f>
        <v>0</v>
      </c>
      <c r="I53" s="3" t="n">
        <f aca="false">-export!E51</f>
        <v>-0</v>
      </c>
      <c r="J53" s="3" t="n">
        <f aca="false">-charge!E51</f>
        <v>-0</v>
      </c>
      <c r="K53" s="3" t="n">
        <f aca="false">discharge!E51</f>
        <v>0</v>
      </c>
      <c r="L53" s="3" t="n">
        <f aca="false">soc!E51/investment!$E$4 *100</f>
        <v>18.0715954459512</v>
      </c>
    </row>
    <row r="54" customFormat="false" ht="13.8" hidden="false" customHeight="false" outlineLevel="0" collapsed="false">
      <c r="B54" s="11" t="n">
        <f aca="false">_xlfn.NUMBERVALUE(solar!B51)</f>
        <v>105</v>
      </c>
      <c r="C54" s="12" t="n">
        <f aca="false">solar!C51</f>
        <v>0</v>
      </c>
      <c r="D54" s="6" t="n">
        <v>50</v>
      </c>
      <c r="E54" s="17" t="n">
        <f aca="false">IFERROR(INDEX($B$5:$C$173, MATCH($D54, $B$5:$B$175, 0), 2), 0)*investment!$C$4</f>
        <v>0</v>
      </c>
      <c r="F54" s="18" t="n">
        <f aca="false">demand!E52</f>
        <v>0</v>
      </c>
      <c r="G54" s="3" t="n">
        <f aca="false">solgen!E52</f>
        <v>0</v>
      </c>
      <c r="H54" s="3" t="n">
        <f aca="false">import!E52</f>
        <v>0</v>
      </c>
      <c r="I54" s="3" t="n">
        <f aca="false">-export!E52</f>
        <v>-0</v>
      </c>
      <c r="J54" s="3" t="n">
        <f aca="false">-charge!E52</f>
        <v>-0</v>
      </c>
      <c r="K54" s="3" t="n">
        <f aca="false">discharge!E52</f>
        <v>0</v>
      </c>
      <c r="L54" s="3" t="n">
        <f aca="false">soc!E52/investment!$E$4 *100</f>
        <v>14.409137744432</v>
      </c>
    </row>
    <row r="55" customFormat="false" ht="13.8" hidden="false" customHeight="false" outlineLevel="0" collapsed="false">
      <c r="B55" s="11" t="n">
        <f aca="false">_xlfn.NUMBERVALUE(solar!B52)</f>
        <v>106</v>
      </c>
      <c r="C55" s="12" t="n">
        <f aca="false">solar!C52</f>
        <v>0</v>
      </c>
      <c r="D55" s="6" t="n">
        <v>51</v>
      </c>
      <c r="E55" s="17" t="n">
        <f aca="false">IFERROR(INDEX($B$5:$C$173, MATCH($D55, $B$5:$B$175, 0), 2), 0)*investment!$C$4</f>
        <v>0</v>
      </c>
      <c r="F55" s="18" t="n">
        <f aca="false">demand!E53</f>
        <v>0</v>
      </c>
      <c r="G55" s="3" t="n">
        <f aca="false">solgen!E53</f>
        <v>0</v>
      </c>
      <c r="H55" s="3" t="n">
        <f aca="false">import!E53</f>
        <v>0</v>
      </c>
      <c r="I55" s="3" t="n">
        <f aca="false">-export!E53</f>
        <v>-0</v>
      </c>
      <c r="J55" s="3" t="n">
        <f aca="false">-charge!E53</f>
        <v>-0</v>
      </c>
      <c r="K55" s="3" t="n">
        <f aca="false">discharge!E53</f>
        <v>0</v>
      </c>
      <c r="L55" s="3" t="n">
        <f aca="false">soc!E53/investment!$E$4 *100</f>
        <v>12.1069909764139</v>
      </c>
    </row>
    <row r="56" customFormat="false" ht="13.8" hidden="false" customHeight="false" outlineLevel="0" collapsed="false">
      <c r="B56" s="11" t="n">
        <f aca="false">_xlfn.NUMBERVALUE(solar!B53)</f>
        <v>107</v>
      </c>
      <c r="C56" s="12" t="n">
        <f aca="false">solar!C53</f>
        <v>0</v>
      </c>
      <c r="D56" s="6" t="n">
        <v>52</v>
      </c>
      <c r="E56" s="17" t="n">
        <f aca="false">IFERROR(INDEX($B$5:$C$173, MATCH($D56, $B$5:$B$175, 0), 2), 0)*investment!$C$4</f>
        <v>0</v>
      </c>
      <c r="F56" s="18" t="n">
        <f aca="false">demand!E54</f>
        <v>0</v>
      </c>
      <c r="G56" s="3" t="n">
        <f aca="false">solgen!E54</f>
        <v>0</v>
      </c>
      <c r="H56" s="3" t="n">
        <f aca="false">import!E54</f>
        <v>0</v>
      </c>
      <c r="I56" s="3" t="n">
        <f aca="false">-export!E54</f>
        <v>-0</v>
      </c>
      <c r="J56" s="3" t="n">
        <f aca="false">-charge!E54</f>
        <v>-0</v>
      </c>
      <c r="K56" s="3" t="n">
        <f aca="false">discharge!E54</f>
        <v>0</v>
      </c>
      <c r="L56" s="3" t="n">
        <f aca="false">soc!E54/investment!$E$4 *100</f>
        <v>10.057722168566</v>
      </c>
    </row>
    <row r="57" customFormat="false" ht="13.8" hidden="false" customHeight="false" outlineLevel="0" collapsed="false">
      <c r="B57" s="11" t="n">
        <f aca="false">_xlfn.NUMBERVALUE(solar!B54)</f>
        <v>108</v>
      </c>
      <c r="C57" s="12" t="n">
        <f aca="false">solar!C54</f>
        <v>0</v>
      </c>
      <c r="D57" s="6" t="n">
        <v>53</v>
      </c>
      <c r="E57" s="17" t="n">
        <f aca="false">IFERROR(INDEX($B$5:$C$173, MATCH($D57, $B$5:$B$175, 0), 2), 0)*investment!$C$4</f>
        <v>0</v>
      </c>
      <c r="F57" s="18" t="n">
        <f aca="false">demand!E55</f>
        <v>0</v>
      </c>
      <c r="G57" s="3" t="n">
        <f aca="false">solgen!E55</f>
        <v>0</v>
      </c>
      <c r="H57" s="3" t="n">
        <f aca="false">import!E55</f>
        <v>0</v>
      </c>
      <c r="I57" s="3" t="n">
        <f aca="false">-export!E55</f>
        <v>-0</v>
      </c>
      <c r="J57" s="3" t="n">
        <f aca="false">-charge!E55</f>
        <v>-0</v>
      </c>
      <c r="K57" s="3" t="n">
        <f aca="false">discharge!E55</f>
        <v>0</v>
      </c>
      <c r="L57" s="3" t="n">
        <f aca="false">soc!E55/investment!$E$4 *100</f>
        <v>8.16979017885473</v>
      </c>
    </row>
    <row r="58" customFormat="false" ht="13.8" hidden="false" customHeight="false" outlineLevel="0" collapsed="false">
      <c r="B58" s="11" t="n">
        <f aca="false">_xlfn.NUMBERVALUE(solar!B55)</f>
        <v>109</v>
      </c>
      <c r="C58" s="12" t="n">
        <f aca="false">solar!C55</f>
        <v>0</v>
      </c>
      <c r="D58" s="6" t="n">
        <v>54</v>
      </c>
      <c r="E58" s="17" t="n">
        <f aca="false">IFERROR(INDEX($B$5:$C$173, MATCH($D58, $B$5:$B$175, 0), 2), 0)*investment!$C$4</f>
        <v>0</v>
      </c>
      <c r="F58" s="18" t="n">
        <f aca="false">demand!E56</f>
        <v>0</v>
      </c>
      <c r="G58" s="3" t="n">
        <f aca="false">solgen!E56</f>
        <v>0</v>
      </c>
      <c r="H58" s="3" t="n">
        <f aca="false">import!E56</f>
        <v>0</v>
      </c>
      <c r="I58" s="3" t="n">
        <f aca="false">-export!E56</f>
        <v>-0</v>
      </c>
      <c r="J58" s="3" t="n">
        <f aca="false">-charge!E56</f>
        <v>-0</v>
      </c>
      <c r="K58" s="3" t="n">
        <f aca="false">discharge!E56</f>
        <v>0</v>
      </c>
      <c r="L58" s="3" t="n">
        <f aca="false">soc!E56/investment!$E$4 *100</f>
        <v>3.33383353103868</v>
      </c>
    </row>
    <row r="59" customFormat="false" ht="13.8" hidden="false" customHeight="false" outlineLevel="0" collapsed="false">
      <c r="B59" s="11" t="n">
        <f aca="false">_xlfn.NUMBERVALUE(solar!B56)</f>
        <v>110</v>
      </c>
      <c r="C59" s="12" t="n">
        <f aca="false">solar!C56</f>
        <v>0</v>
      </c>
      <c r="D59" s="6" t="n">
        <v>55</v>
      </c>
      <c r="E59" s="17" t="n">
        <f aca="false">IFERROR(INDEX($B$5:$C$173, MATCH($D59, $B$5:$B$175, 0), 2), 0)*investment!$C$4</f>
        <v>0</v>
      </c>
      <c r="F59" s="18" t="n">
        <f aca="false">demand!E57</f>
        <v>0</v>
      </c>
      <c r="G59" s="3" t="n">
        <f aca="false">solgen!E57</f>
        <v>0</v>
      </c>
      <c r="H59" s="3" t="n">
        <f aca="false">import!E57</f>
        <v>0</v>
      </c>
      <c r="I59" s="3" t="n">
        <f aca="false">-export!E57</f>
        <v>-0</v>
      </c>
      <c r="J59" s="3" t="n">
        <f aca="false">-charge!E57</f>
        <v>-0</v>
      </c>
      <c r="K59" s="3" t="n">
        <f aca="false">discharge!E57</f>
        <v>0</v>
      </c>
      <c r="L59" s="3" t="n">
        <f aca="false">soc!E57/investment!$E$4 *100</f>
        <v>0</v>
      </c>
    </row>
    <row r="60" customFormat="false" ht="13.8" hidden="false" customHeight="false" outlineLevel="0" collapsed="false">
      <c r="B60" s="11" t="n">
        <f aca="false">_xlfn.NUMBERVALUE(solar!B57)</f>
        <v>111</v>
      </c>
      <c r="C60" s="12" t="n">
        <f aca="false">solar!C57</f>
        <v>0</v>
      </c>
      <c r="D60" s="6" t="n">
        <v>56</v>
      </c>
      <c r="E60" s="17" t="n">
        <f aca="false">IFERROR(INDEX($B$5:$C$173, MATCH($D60, $B$5:$B$175, 0), 2), 0)*investment!$C$4</f>
        <v>0</v>
      </c>
      <c r="F60" s="18" t="n">
        <f aca="false">demand!E58</f>
        <v>0</v>
      </c>
      <c r="G60" s="3" t="n">
        <f aca="false">solgen!E58</f>
        <v>0</v>
      </c>
      <c r="H60" s="3" t="n">
        <f aca="false">import!E58</f>
        <v>0</v>
      </c>
      <c r="I60" s="3" t="n">
        <f aca="false">-export!E58</f>
        <v>-0</v>
      </c>
      <c r="J60" s="3" t="n">
        <f aca="false">-charge!E58</f>
        <v>-0</v>
      </c>
      <c r="K60" s="3" t="n">
        <f aca="false">discharge!E58</f>
        <v>0</v>
      </c>
      <c r="L60" s="3" t="n">
        <f aca="false">soc!E58/investment!$E$4 *100</f>
        <v>0</v>
      </c>
    </row>
    <row r="61" customFormat="false" ht="13.8" hidden="false" customHeight="false" outlineLevel="0" collapsed="false">
      <c r="B61" s="11" t="n">
        <f aca="false">_xlfn.NUMBERVALUE(solar!B58)</f>
        <v>112</v>
      </c>
      <c r="C61" s="12" t="n">
        <f aca="false">solar!C58</f>
        <v>0</v>
      </c>
      <c r="D61" s="6" t="n">
        <v>57</v>
      </c>
      <c r="E61" s="17" t="n">
        <f aca="false">IFERROR(INDEX($B$5:$C$173, MATCH($D61, $B$5:$B$175, 0), 2), 0)*investment!$C$4</f>
        <v>0</v>
      </c>
      <c r="F61" s="18" t="n">
        <f aca="false">demand!E59</f>
        <v>0</v>
      </c>
      <c r="G61" s="3" t="n">
        <f aca="false">solgen!E59</f>
        <v>0</v>
      </c>
      <c r="H61" s="3" t="n">
        <f aca="false">import!E59</f>
        <v>0</v>
      </c>
      <c r="I61" s="3" t="n">
        <f aca="false">-export!E59</f>
        <v>-0</v>
      </c>
      <c r="J61" s="3" t="n">
        <f aca="false">-charge!E59</f>
        <v>-0</v>
      </c>
      <c r="K61" s="3" t="n">
        <f aca="false">discharge!E59</f>
        <v>0</v>
      </c>
      <c r="L61" s="3" t="n">
        <f aca="false">soc!E59/investment!$E$4 *100</f>
        <v>0</v>
      </c>
    </row>
    <row r="62" customFormat="false" ht="13.8" hidden="false" customHeight="false" outlineLevel="0" collapsed="false">
      <c r="B62" s="11" t="n">
        <f aca="false">_xlfn.NUMBERVALUE(solar!B59)</f>
        <v>113</v>
      </c>
      <c r="C62" s="12" t="n">
        <f aca="false">solar!C59</f>
        <v>0</v>
      </c>
      <c r="D62" s="6" t="n">
        <v>58</v>
      </c>
      <c r="E62" s="17" t="n">
        <f aca="false">IFERROR(INDEX($B$5:$C$173, MATCH($D62, $B$5:$B$175, 0), 2), 0)*investment!$C$4</f>
        <v>0</v>
      </c>
      <c r="F62" s="18" t="n">
        <f aca="false">demand!E60</f>
        <v>0</v>
      </c>
      <c r="G62" s="3" t="n">
        <f aca="false">solgen!E60</f>
        <v>0</v>
      </c>
      <c r="H62" s="3" t="n">
        <f aca="false">import!E60</f>
        <v>0</v>
      </c>
      <c r="I62" s="3" t="n">
        <f aca="false">-export!E60</f>
        <v>-0</v>
      </c>
      <c r="J62" s="3" t="n">
        <f aca="false">-charge!E60</f>
        <v>-0</v>
      </c>
      <c r="K62" s="3" t="n">
        <f aca="false">discharge!E60</f>
        <v>0</v>
      </c>
      <c r="L62" s="3" t="n">
        <f aca="false">soc!E60/investment!$E$4 *100</f>
        <v>0</v>
      </c>
    </row>
    <row r="63" customFormat="false" ht="13.8" hidden="false" customHeight="false" outlineLevel="0" collapsed="false">
      <c r="B63" s="11" t="n">
        <f aca="false">_xlfn.NUMBERVALUE(solar!B60)</f>
        <v>114</v>
      </c>
      <c r="C63" s="12" t="n">
        <f aca="false">solar!C60</f>
        <v>0</v>
      </c>
      <c r="D63" s="6" t="n">
        <v>59</v>
      </c>
      <c r="E63" s="17" t="n">
        <f aca="false">IFERROR(INDEX($B$5:$C$173, MATCH($D63, $B$5:$B$175, 0), 2), 0)*investment!$C$4</f>
        <v>0</v>
      </c>
      <c r="F63" s="18" t="n">
        <f aca="false">demand!E61</f>
        <v>0</v>
      </c>
      <c r="G63" s="3" t="n">
        <f aca="false">solgen!E61</f>
        <v>0</v>
      </c>
      <c r="H63" s="3" t="n">
        <f aca="false">import!E61</f>
        <v>0</v>
      </c>
      <c r="I63" s="3" t="n">
        <f aca="false">-export!E61</f>
        <v>-0</v>
      </c>
      <c r="J63" s="3" t="n">
        <f aca="false">-charge!E61</f>
        <v>-0</v>
      </c>
      <c r="K63" s="3" t="n">
        <f aca="false">discharge!E61</f>
        <v>0</v>
      </c>
      <c r="L63" s="3" t="n">
        <f aca="false">soc!E61/investment!$E$4 *100</f>
        <v>0</v>
      </c>
    </row>
    <row r="64" customFormat="false" ht="13.8" hidden="false" customHeight="false" outlineLevel="0" collapsed="false">
      <c r="B64" s="11" t="n">
        <f aca="false">_xlfn.NUMBERVALUE(solar!B61)</f>
        <v>115</v>
      </c>
      <c r="C64" s="12" t="n">
        <f aca="false">solar!C61</f>
        <v>0</v>
      </c>
      <c r="D64" s="6" t="n">
        <v>60</v>
      </c>
      <c r="E64" s="17" t="n">
        <f aca="false">IFERROR(INDEX($B$5:$C$173, MATCH($D64, $B$5:$B$175, 0), 2), 0)*investment!$C$4</f>
        <v>0</v>
      </c>
      <c r="F64" s="18" t="n">
        <f aca="false">demand!E62</f>
        <v>0</v>
      </c>
      <c r="G64" s="3" t="n">
        <f aca="false">solgen!E62</f>
        <v>0</v>
      </c>
      <c r="H64" s="3" t="n">
        <f aca="false">import!E62</f>
        <v>0</v>
      </c>
      <c r="I64" s="3" t="n">
        <f aca="false">-export!E62</f>
        <v>-0</v>
      </c>
      <c r="J64" s="3" t="n">
        <f aca="false">-charge!E62</f>
        <v>-0</v>
      </c>
      <c r="K64" s="3" t="n">
        <f aca="false">discharge!E62</f>
        <v>0</v>
      </c>
      <c r="L64" s="3" t="n">
        <f aca="false">soc!E62/investment!$E$4 *100</f>
        <v>0</v>
      </c>
    </row>
    <row r="65" customFormat="false" ht="13.8" hidden="false" customHeight="false" outlineLevel="0" collapsed="false">
      <c r="B65" s="11" t="n">
        <f aca="false">_xlfn.NUMBERVALUE(solar!B62)</f>
        <v>128</v>
      </c>
      <c r="C65" s="12" t="n">
        <f aca="false">solar!C62</f>
        <v>0</v>
      </c>
      <c r="D65" s="6" t="n">
        <v>61</v>
      </c>
      <c r="E65" s="17" t="n">
        <f aca="false">IFERROR(INDEX($B$5:$C$173, MATCH($D65, $B$5:$B$175, 0), 2), 0)*investment!$C$4</f>
        <v>0</v>
      </c>
      <c r="F65" s="18" t="n">
        <f aca="false">demand!E63</f>
        <v>0</v>
      </c>
      <c r="G65" s="3" t="n">
        <f aca="false">solgen!E63</f>
        <v>0</v>
      </c>
      <c r="H65" s="3" t="n">
        <f aca="false">import!E63</f>
        <v>0</v>
      </c>
      <c r="I65" s="3" t="n">
        <f aca="false">-export!E63</f>
        <v>-0</v>
      </c>
      <c r="J65" s="3" t="n">
        <f aca="false">-charge!E63</f>
        <v>-0</v>
      </c>
      <c r="K65" s="3" t="n">
        <f aca="false">discharge!E63</f>
        <v>0</v>
      </c>
      <c r="L65" s="3" t="n">
        <f aca="false">soc!E63/investment!$E$4 *100</f>
        <v>11.5850191901267</v>
      </c>
    </row>
    <row r="66" customFormat="false" ht="13.8" hidden="false" customHeight="false" outlineLevel="0" collapsed="false">
      <c r="B66" s="11" t="n">
        <f aca="false">_xlfn.NUMBERVALUE(solar!B63)</f>
        <v>129</v>
      </c>
      <c r="C66" s="12" t="n">
        <f aca="false">solar!C63</f>
        <v>0</v>
      </c>
      <c r="D66" s="6" t="n">
        <v>62</v>
      </c>
      <c r="E66" s="17" t="n">
        <f aca="false">IFERROR(INDEX($B$5:$C$173, MATCH($D66, $B$5:$B$175, 0), 2), 0)*investment!$C$4</f>
        <v>0</v>
      </c>
      <c r="F66" s="18" t="n">
        <f aca="false">demand!E64</f>
        <v>0</v>
      </c>
      <c r="G66" s="3" t="n">
        <f aca="false">solgen!E64</f>
        <v>0</v>
      </c>
      <c r="H66" s="3" t="n">
        <f aca="false">import!E64</f>
        <v>0</v>
      </c>
      <c r="I66" s="3" t="n">
        <f aca="false">-export!E64</f>
        <v>-0</v>
      </c>
      <c r="J66" s="3" t="n">
        <f aca="false">-charge!E64</f>
        <v>-0</v>
      </c>
      <c r="K66" s="3" t="n">
        <f aca="false">discharge!E64</f>
        <v>0</v>
      </c>
      <c r="L66" s="3" t="n">
        <f aca="false">soc!E64/investment!$E$4 *100</f>
        <v>34.4779135801305</v>
      </c>
    </row>
    <row r="67" customFormat="false" ht="13.8" hidden="false" customHeight="false" outlineLevel="0" collapsed="false">
      <c r="B67" s="11" t="n">
        <f aca="false">_xlfn.NUMBERVALUE(solar!B64)</f>
        <v>130</v>
      </c>
      <c r="C67" s="12" t="n">
        <f aca="false">solar!C64</f>
        <v>0</v>
      </c>
      <c r="D67" s="6" t="n">
        <v>63</v>
      </c>
      <c r="E67" s="17" t="n">
        <f aca="false">IFERROR(INDEX($B$5:$C$173, MATCH($D67, $B$5:$B$175, 0), 2), 0)*investment!$C$4</f>
        <v>0</v>
      </c>
      <c r="F67" s="18" t="n">
        <f aca="false">demand!E65</f>
        <v>0</v>
      </c>
      <c r="G67" s="3" t="n">
        <f aca="false">solgen!E65</f>
        <v>0</v>
      </c>
      <c r="H67" s="3" t="n">
        <f aca="false">import!E65</f>
        <v>0</v>
      </c>
      <c r="I67" s="3" t="n">
        <f aca="false">-export!E65</f>
        <v>-0</v>
      </c>
      <c r="J67" s="3" t="n">
        <f aca="false">-charge!E65</f>
        <v>-0</v>
      </c>
      <c r="K67" s="3" t="n">
        <f aca="false">discharge!E65</f>
        <v>0</v>
      </c>
      <c r="L67" s="3" t="n">
        <f aca="false">soc!E65/investment!$E$4 *100</f>
        <v>52.6135155983648</v>
      </c>
    </row>
    <row r="68" customFormat="false" ht="13.8" hidden="false" customHeight="false" outlineLevel="0" collapsed="false">
      <c r="B68" s="11" t="n">
        <f aca="false">_xlfn.NUMBERVALUE(solar!B65)</f>
        <v>131</v>
      </c>
      <c r="C68" s="12" t="n">
        <f aca="false">solar!C65</f>
        <v>0</v>
      </c>
      <c r="D68" s="6" t="n">
        <v>64</v>
      </c>
      <c r="E68" s="17" t="n">
        <f aca="false">IFERROR(INDEX($B$5:$C$173, MATCH($D68, $B$5:$B$175, 0), 2), 0)*investment!$C$4</f>
        <v>0</v>
      </c>
      <c r="F68" s="18" t="n">
        <f aca="false">demand!E66</f>
        <v>0</v>
      </c>
      <c r="G68" s="3" t="n">
        <f aca="false">solgen!E66</f>
        <v>0</v>
      </c>
      <c r="H68" s="3" t="n">
        <f aca="false">import!E66</f>
        <v>0</v>
      </c>
      <c r="I68" s="3" t="n">
        <f aca="false">-export!E66</f>
        <v>-0</v>
      </c>
      <c r="J68" s="3" t="n">
        <f aca="false">-charge!E66</f>
        <v>-0</v>
      </c>
      <c r="K68" s="3" t="n">
        <f aca="false">discharge!E66</f>
        <v>0</v>
      </c>
      <c r="L68" s="3" t="n">
        <f aca="false">soc!E66/investment!$E$4 *100</f>
        <v>57.7149215385912</v>
      </c>
    </row>
    <row r="69" customFormat="false" ht="13.8" hidden="false" customHeight="false" outlineLevel="0" collapsed="false">
      <c r="B69" s="11" t="n">
        <f aca="false">_xlfn.NUMBERVALUE(solar!B66)</f>
        <v>132</v>
      </c>
      <c r="C69" s="12" t="n">
        <f aca="false">solar!C66</f>
        <v>0</v>
      </c>
      <c r="D69" s="6" t="n">
        <v>65</v>
      </c>
      <c r="E69" s="17" t="n">
        <f aca="false">IFERROR(INDEX($B$5:$C$173, MATCH($D69, $B$5:$B$175, 0), 2), 0)*investment!$C$4</f>
        <v>0</v>
      </c>
      <c r="F69" s="18" t="n">
        <f aca="false">demand!E67</f>
        <v>0</v>
      </c>
      <c r="G69" s="3" t="n">
        <f aca="false">solgen!E67</f>
        <v>0</v>
      </c>
      <c r="H69" s="3" t="n">
        <f aca="false">import!E67</f>
        <v>0</v>
      </c>
      <c r="I69" s="3" t="n">
        <f aca="false">-export!E67</f>
        <v>-0</v>
      </c>
      <c r="J69" s="3" t="n">
        <f aca="false">-charge!E67</f>
        <v>-0</v>
      </c>
      <c r="K69" s="3" t="n">
        <f aca="false">discharge!E67</f>
        <v>0</v>
      </c>
      <c r="L69" s="3" t="n">
        <f aca="false">soc!E67/investment!$E$4 *100</f>
        <v>53.6791432482112</v>
      </c>
    </row>
    <row r="70" customFormat="false" ht="13.8" hidden="false" customHeight="false" outlineLevel="0" collapsed="false">
      <c r="B70" s="11" t="n">
        <f aca="false">_xlfn.NUMBERVALUE(solar!B67)</f>
        <v>133</v>
      </c>
      <c r="C70" s="12" t="n">
        <f aca="false">solar!C67</f>
        <v>0</v>
      </c>
      <c r="D70" s="6" t="n">
        <v>66</v>
      </c>
      <c r="E70" s="17" t="n">
        <f aca="false">IFERROR(INDEX($B$5:$C$173, MATCH($D70, $B$5:$B$175, 0), 2), 0)*investment!$C$4</f>
        <v>0</v>
      </c>
      <c r="F70" s="18" t="n">
        <f aca="false">demand!E68</f>
        <v>0</v>
      </c>
      <c r="G70" s="3" t="n">
        <f aca="false">solgen!E68</f>
        <v>0</v>
      </c>
      <c r="H70" s="3" t="n">
        <f aca="false">import!E68</f>
        <v>0</v>
      </c>
      <c r="I70" s="3" t="n">
        <f aca="false">-export!E68</f>
        <v>-0</v>
      </c>
      <c r="J70" s="3" t="n">
        <f aca="false">-charge!E68</f>
        <v>-0</v>
      </c>
      <c r="K70" s="3" t="n">
        <f aca="false">discharge!E68</f>
        <v>0</v>
      </c>
      <c r="L70" s="3" t="n">
        <f aca="false">soc!E68/investment!$E$4 *100</f>
        <v>47.2161330740381</v>
      </c>
    </row>
    <row r="71" customFormat="false" ht="13.8" hidden="false" customHeight="false" outlineLevel="0" collapsed="false">
      <c r="B71" s="11" t="n">
        <f aca="false">_xlfn.NUMBERVALUE(solar!B68)</f>
        <v>134</v>
      </c>
      <c r="C71" s="12" t="n">
        <f aca="false">solar!C68</f>
        <v>0</v>
      </c>
      <c r="D71" s="6" t="n">
        <v>67</v>
      </c>
      <c r="E71" s="17" t="n">
        <f aca="false">IFERROR(INDEX($B$5:$C$173, MATCH($D71, $B$5:$B$175, 0), 2), 0)*investment!$C$4</f>
        <v>0</v>
      </c>
      <c r="F71" s="18" t="n">
        <f aca="false">demand!E69</f>
        <v>0</v>
      </c>
      <c r="G71" s="3" t="n">
        <f aca="false">solgen!E69</f>
        <v>0</v>
      </c>
      <c r="H71" s="3" t="n">
        <f aca="false">import!E69</f>
        <v>0</v>
      </c>
      <c r="I71" s="3" t="n">
        <f aca="false">-export!E69</f>
        <v>-0</v>
      </c>
      <c r="J71" s="3" t="n">
        <f aca="false">-charge!E69</f>
        <v>-0</v>
      </c>
      <c r="K71" s="3" t="n">
        <f aca="false">discharge!E69</f>
        <v>0</v>
      </c>
      <c r="L71" s="3" t="n">
        <f aca="false">soc!E69/investment!$E$4 *100</f>
        <v>41.8285534875148</v>
      </c>
    </row>
    <row r="72" customFormat="false" ht="13.8" hidden="false" customHeight="false" outlineLevel="0" collapsed="false">
      <c r="B72" s="11" t="n">
        <f aca="false">_xlfn.NUMBERVALUE(solar!B69)</f>
        <v>135</v>
      </c>
      <c r="C72" s="12" t="n">
        <f aca="false">solar!C69</f>
        <v>0</v>
      </c>
      <c r="D72" s="6" t="n">
        <v>68</v>
      </c>
      <c r="E72" s="17" t="n">
        <f aca="false">IFERROR(INDEX($B$5:$C$173, MATCH($D72, $B$5:$B$175, 0), 2), 0)*investment!$C$4</f>
        <v>0</v>
      </c>
      <c r="F72" s="18" t="n">
        <f aca="false">demand!E70</f>
        <v>0</v>
      </c>
      <c r="G72" s="3" t="n">
        <f aca="false">solgen!E70</f>
        <v>0</v>
      </c>
      <c r="H72" s="3" t="n">
        <f aca="false">import!E70</f>
        <v>0</v>
      </c>
      <c r="I72" s="3" t="n">
        <f aca="false">-export!E70</f>
        <v>-0</v>
      </c>
      <c r="J72" s="3" t="n">
        <f aca="false">-charge!E70</f>
        <v>-0</v>
      </c>
      <c r="K72" s="3" t="n">
        <f aca="false">discharge!E70</f>
        <v>0</v>
      </c>
      <c r="L72" s="3" t="n">
        <f aca="false">soc!E70/investment!$E$4 *100</f>
        <v>34.7651593645443</v>
      </c>
    </row>
    <row r="73" customFormat="false" ht="13.8" hidden="false" customHeight="false" outlineLevel="0" collapsed="false">
      <c r="B73" s="11" t="n">
        <f aca="false">_xlfn.NUMBERVALUE(solar!B70)</f>
        <v>136</v>
      </c>
      <c r="C73" s="12" t="n">
        <f aca="false">solar!C70</f>
        <v>0</v>
      </c>
      <c r="D73" s="6" t="n">
        <v>69</v>
      </c>
      <c r="E73" s="17" t="n">
        <f aca="false">IFERROR(INDEX($B$5:$C$173, MATCH($D73, $B$5:$B$175, 0), 2), 0)*investment!$C$4</f>
        <v>0</v>
      </c>
      <c r="F73" s="18" t="n">
        <f aca="false">demand!E71</f>
        <v>0</v>
      </c>
      <c r="G73" s="3" t="n">
        <f aca="false">solgen!E71</f>
        <v>0</v>
      </c>
      <c r="H73" s="3" t="n">
        <f aca="false">import!E71</f>
        <v>0</v>
      </c>
      <c r="I73" s="3" t="n">
        <f aca="false">-export!E71</f>
        <v>-0</v>
      </c>
      <c r="J73" s="3" t="n">
        <f aca="false">-charge!E71</f>
        <v>-0</v>
      </c>
      <c r="K73" s="3" t="n">
        <f aca="false">discharge!E71</f>
        <v>0</v>
      </c>
      <c r="L73" s="3" t="n">
        <f aca="false">soc!E71/investment!$E$4 *100</f>
        <v>27.7018489550758</v>
      </c>
    </row>
    <row r="74" customFormat="false" ht="13.8" hidden="false" customHeight="false" outlineLevel="0" collapsed="false">
      <c r="B74" s="11" t="n">
        <f aca="false">_xlfn.NUMBERVALUE(solar!B71)</f>
        <v>137</v>
      </c>
      <c r="C74" s="12" t="n">
        <f aca="false">solar!C71</f>
        <v>0</v>
      </c>
      <c r="D74" s="6" t="n">
        <v>70</v>
      </c>
      <c r="E74" s="17" t="n">
        <f aca="false">IFERROR(INDEX($B$5:$C$173, MATCH($D74, $B$5:$B$175, 0), 2), 0)*investment!$C$4</f>
        <v>0</v>
      </c>
      <c r="F74" s="18" t="n">
        <f aca="false">demand!E72</f>
        <v>0</v>
      </c>
      <c r="G74" s="3" t="n">
        <f aca="false">solgen!E72</f>
        <v>0</v>
      </c>
      <c r="H74" s="3" t="n">
        <f aca="false">import!E72</f>
        <v>0</v>
      </c>
      <c r="I74" s="3" t="n">
        <f aca="false">-export!E72</f>
        <v>-0</v>
      </c>
      <c r="J74" s="3" t="n">
        <f aca="false">-charge!E72</f>
        <v>-0</v>
      </c>
      <c r="K74" s="3" t="n">
        <f aca="false">discharge!E72</f>
        <v>0</v>
      </c>
      <c r="L74" s="3" t="n">
        <f aca="false">soc!E72/investment!$E$4 *100</f>
        <v>25.1684752223029</v>
      </c>
    </row>
    <row r="75" customFormat="false" ht="13.8" hidden="false" customHeight="false" outlineLevel="0" collapsed="false">
      <c r="B75" s="11" t="n">
        <f aca="false">_xlfn.NUMBERVALUE(solar!B72)</f>
        <v>138</v>
      </c>
      <c r="C75" s="12" t="n">
        <f aca="false">solar!C72</f>
        <v>0</v>
      </c>
      <c r="D75" s="6" t="n">
        <v>71</v>
      </c>
      <c r="E75" s="17" t="n">
        <f aca="false">IFERROR(INDEX($B$5:$C$173, MATCH($D75, $B$5:$B$175, 0), 2), 0)*investment!$C$4</f>
        <v>0</v>
      </c>
      <c r="F75" s="18" t="n">
        <f aca="false">demand!E73</f>
        <v>0</v>
      </c>
      <c r="G75" s="3" t="n">
        <f aca="false">solgen!E73</f>
        <v>0</v>
      </c>
      <c r="H75" s="3" t="n">
        <f aca="false">import!E73</f>
        <v>0</v>
      </c>
      <c r="I75" s="3" t="n">
        <f aca="false">-export!E73</f>
        <v>-0</v>
      </c>
      <c r="J75" s="3" t="n">
        <f aca="false">-charge!E73</f>
        <v>-0</v>
      </c>
      <c r="K75" s="3" t="n">
        <f aca="false">discharge!E73</f>
        <v>0</v>
      </c>
      <c r="L75" s="3" t="n">
        <f aca="false">soc!E73/investment!$E$4 *100</f>
        <v>22.029126362583</v>
      </c>
    </row>
    <row r="76" customFormat="false" ht="13.8" hidden="false" customHeight="false" outlineLevel="0" collapsed="false">
      <c r="B76" s="11" t="n">
        <f aca="false">_xlfn.NUMBERVALUE(solar!B73)</f>
        <v>139</v>
      </c>
      <c r="C76" s="12" t="n">
        <f aca="false">solar!C73</f>
        <v>0</v>
      </c>
      <c r="D76" s="6" t="n">
        <v>72</v>
      </c>
      <c r="E76" s="17" t="n">
        <f aca="false">IFERROR(INDEX($B$5:$C$173, MATCH($D76, $B$5:$B$175, 0), 2), 0)*investment!$C$4</f>
        <v>0</v>
      </c>
      <c r="F76" s="18" t="n">
        <f aca="false">demand!E74</f>
        <v>0</v>
      </c>
      <c r="G76" s="3" t="n">
        <f aca="false">solgen!E74</f>
        <v>0</v>
      </c>
      <c r="H76" s="3" t="n">
        <f aca="false">import!E74</f>
        <v>0</v>
      </c>
      <c r="I76" s="3" t="n">
        <f aca="false">-export!E74</f>
        <v>-0</v>
      </c>
      <c r="J76" s="3" t="n">
        <f aca="false">-charge!E74</f>
        <v>-0</v>
      </c>
      <c r="K76" s="3" t="n">
        <f aca="false">discharge!E74</f>
        <v>0</v>
      </c>
      <c r="L76" s="3" t="n">
        <f aca="false">soc!E74/investment!$E$4 *100</f>
        <v>19.5873819771479</v>
      </c>
    </row>
    <row r="77" customFormat="false" ht="13.8" hidden="false" customHeight="false" outlineLevel="0" collapsed="false">
      <c r="B77" s="11" t="n">
        <f aca="false">_xlfn.NUMBERVALUE(solar!B74)</f>
        <v>152</v>
      </c>
      <c r="C77" s="12" t="n">
        <f aca="false">solar!C74</f>
        <v>0</v>
      </c>
      <c r="D77" s="6" t="n">
        <v>73</v>
      </c>
      <c r="E77" s="17" t="n">
        <f aca="false">IFERROR(INDEX($B$5:$C$173, MATCH($D77, $B$5:$B$175, 0), 2), 0)*investment!$C$4</f>
        <v>0</v>
      </c>
      <c r="F77" s="18" t="n">
        <f aca="false">demand!E75</f>
        <v>0</v>
      </c>
      <c r="G77" s="3" t="n">
        <f aca="false">solgen!E75</f>
        <v>0</v>
      </c>
      <c r="H77" s="3" t="n">
        <f aca="false">import!E75</f>
        <v>0</v>
      </c>
      <c r="I77" s="3" t="n">
        <f aca="false">-export!E75</f>
        <v>-0</v>
      </c>
      <c r="J77" s="3" t="n">
        <f aca="false">-charge!E75</f>
        <v>-0</v>
      </c>
      <c r="K77" s="3" t="n">
        <f aca="false">discharge!E75</f>
        <v>0</v>
      </c>
      <c r="L77" s="3" t="n">
        <f aca="false">soc!E75/investment!$E$4 *100</f>
        <v>17.4944485495547</v>
      </c>
    </row>
    <row r="78" customFormat="false" ht="13.8" hidden="false" customHeight="false" outlineLevel="0" collapsed="false">
      <c r="B78" s="11" t="n">
        <f aca="false">_xlfn.NUMBERVALUE(solar!B75)</f>
        <v>153</v>
      </c>
      <c r="C78" s="12" t="n">
        <f aca="false">solar!C75</f>
        <v>0</v>
      </c>
      <c r="D78" s="6" t="n">
        <v>74</v>
      </c>
      <c r="E78" s="17" t="n">
        <f aca="false">IFERROR(INDEX($B$5:$C$173, MATCH($D78, $B$5:$B$175, 0), 2), 0)*investment!$C$4</f>
        <v>0</v>
      </c>
      <c r="F78" s="18" t="n">
        <f aca="false">demand!E76</f>
        <v>0</v>
      </c>
      <c r="G78" s="3" t="n">
        <f aca="false">solgen!E76</f>
        <v>0</v>
      </c>
      <c r="H78" s="3" t="n">
        <f aca="false">import!E76</f>
        <v>0</v>
      </c>
      <c r="I78" s="3" t="n">
        <f aca="false">-export!E76</f>
        <v>-0</v>
      </c>
      <c r="J78" s="3" t="n">
        <f aca="false">-charge!E76</f>
        <v>-0</v>
      </c>
      <c r="K78" s="3" t="n">
        <f aca="false">discharge!E76</f>
        <v>0</v>
      </c>
      <c r="L78" s="3" t="n">
        <f aca="false">soc!E76/investment!$E$4 *100</f>
        <v>13.8319966195045</v>
      </c>
    </row>
    <row r="79" customFormat="false" ht="13.8" hidden="false" customHeight="false" outlineLevel="0" collapsed="false">
      <c r="B79" s="11" t="n">
        <f aca="false">_xlfn.NUMBERVALUE(solar!B76)</f>
        <v>154</v>
      </c>
      <c r="C79" s="12" t="n">
        <f aca="false">solar!C76</f>
        <v>0</v>
      </c>
      <c r="D79" s="6" t="n">
        <v>75</v>
      </c>
      <c r="E79" s="17" t="n">
        <f aca="false">IFERROR(INDEX($B$5:$C$173, MATCH($D79, $B$5:$B$175, 0), 2), 0)*investment!$C$4</f>
        <v>0</v>
      </c>
      <c r="F79" s="18" t="n">
        <f aca="false">demand!E77</f>
        <v>0</v>
      </c>
      <c r="G79" s="3" t="n">
        <f aca="false">solgen!E77</f>
        <v>0</v>
      </c>
      <c r="H79" s="3" t="n">
        <f aca="false">import!E77</f>
        <v>0</v>
      </c>
      <c r="I79" s="3" t="n">
        <f aca="false">-export!E77</f>
        <v>-0</v>
      </c>
      <c r="J79" s="3" t="n">
        <f aca="false">-charge!E77</f>
        <v>-0</v>
      </c>
      <c r="K79" s="3" t="n">
        <f aca="false">discharge!E77</f>
        <v>0</v>
      </c>
      <c r="L79" s="3" t="n">
        <f aca="false">soc!E77/investment!$E$4 *100</f>
        <v>10.1695813139736</v>
      </c>
    </row>
    <row r="80" customFormat="false" ht="13.8" hidden="false" customHeight="false" outlineLevel="0" collapsed="false">
      <c r="B80" s="11" t="n">
        <f aca="false">_xlfn.NUMBERVALUE(solar!B77)</f>
        <v>155</v>
      </c>
      <c r="C80" s="12" t="n">
        <f aca="false">solar!C77</f>
        <v>0</v>
      </c>
      <c r="D80" s="6" t="n">
        <v>76</v>
      </c>
      <c r="E80" s="17" t="n">
        <f aca="false">IFERROR(INDEX($B$5:$C$173, MATCH($D80, $B$5:$B$175, 0), 2), 0)*investment!$C$4</f>
        <v>0</v>
      </c>
      <c r="F80" s="18" t="n">
        <f aca="false">demand!E78</f>
        <v>0</v>
      </c>
      <c r="G80" s="3" t="n">
        <f aca="false">solgen!E78</f>
        <v>0</v>
      </c>
      <c r="H80" s="3" t="n">
        <f aca="false">import!E78</f>
        <v>0</v>
      </c>
      <c r="I80" s="3" t="n">
        <f aca="false">-export!E78</f>
        <v>-0</v>
      </c>
      <c r="J80" s="3" t="n">
        <f aca="false">-charge!E78</f>
        <v>-0</v>
      </c>
      <c r="K80" s="3" t="n">
        <f aca="false">discharge!E78</f>
        <v>0</v>
      </c>
      <c r="L80" s="3" t="n">
        <f aca="false">soc!E78/investment!$E$4 *100</f>
        <v>6.50720263259567</v>
      </c>
    </row>
    <row r="81" customFormat="false" ht="13.8" hidden="false" customHeight="false" outlineLevel="0" collapsed="false">
      <c r="B81" s="11" t="n">
        <f aca="false">_xlfn.NUMBERVALUE(solar!B78)</f>
        <v>156</v>
      </c>
      <c r="C81" s="12" t="n">
        <f aca="false">solar!C78</f>
        <v>0</v>
      </c>
      <c r="D81" s="6" t="n">
        <v>77</v>
      </c>
      <c r="E81" s="17" t="n">
        <f aca="false">IFERROR(INDEX($B$5:$C$173, MATCH($D81, $B$5:$B$175, 0), 2), 0)*investment!$C$4</f>
        <v>0</v>
      </c>
      <c r="F81" s="18" t="n">
        <f aca="false">demand!E79</f>
        <v>0</v>
      </c>
      <c r="G81" s="3" t="n">
        <f aca="false">solgen!E79</f>
        <v>0</v>
      </c>
      <c r="H81" s="3" t="n">
        <f aca="false">import!E79</f>
        <v>0</v>
      </c>
      <c r="I81" s="3" t="n">
        <f aca="false">-export!E79</f>
        <v>-0</v>
      </c>
      <c r="J81" s="3" t="n">
        <f aca="false">-charge!E79</f>
        <v>-0</v>
      </c>
      <c r="K81" s="3" t="n">
        <f aca="false">discharge!E79</f>
        <v>0</v>
      </c>
      <c r="L81" s="3" t="n">
        <f aca="false">soc!E79/investment!$E$4 *100</f>
        <v>2.84486057500459</v>
      </c>
    </row>
    <row r="82" customFormat="false" ht="13.8" hidden="false" customHeight="false" outlineLevel="0" collapsed="false">
      <c r="B82" s="11" t="n">
        <f aca="false">_xlfn.NUMBERVALUE(solar!B79)</f>
        <v>157</v>
      </c>
      <c r="C82" s="12" t="n">
        <f aca="false">solar!C79</f>
        <v>0</v>
      </c>
      <c r="D82" s="6" t="n">
        <v>78</v>
      </c>
      <c r="E82" s="17" t="n">
        <f aca="false">IFERROR(INDEX($B$5:$C$173, MATCH($D82, $B$5:$B$175, 0), 2), 0)*investment!$C$4</f>
        <v>0</v>
      </c>
      <c r="F82" s="18" t="n">
        <f aca="false">demand!E80</f>
        <v>0</v>
      </c>
      <c r="G82" s="3" t="n">
        <f aca="false">solgen!E80</f>
        <v>0</v>
      </c>
      <c r="H82" s="3" t="n">
        <f aca="false">import!E80</f>
        <v>0</v>
      </c>
      <c r="I82" s="3" t="n">
        <f aca="false">-export!E80</f>
        <v>-0</v>
      </c>
      <c r="J82" s="3" t="n">
        <f aca="false">-charge!E80</f>
        <v>-0</v>
      </c>
      <c r="K82" s="3" t="n">
        <f aca="false">discharge!E80</f>
        <v>0</v>
      </c>
      <c r="L82" s="3" t="n">
        <f aca="false">soc!E80/investment!$E$4 *100</f>
        <v>0</v>
      </c>
    </row>
    <row r="83" customFormat="false" ht="13.8" hidden="false" customHeight="false" outlineLevel="0" collapsed="false">
      <c r="B83" s="11" t="n">
        <f aca="false">_xlfn.NUMBERVALUE(solar!B80)</f>
        <v>158</v>
      </c>
      <c r="C83" s="12" t="n">
        <f aca="false">solar!C80</f>
        <v>0</v>
      </c>
      <c r="D83" s="6" t="n">
        <v>79</v>
      </c>
      <c r="E83" s="17" t="n">
        <f aca="false">IFERROR(INDEX($B$5:$C$173, MATCH($D83, $B$5:$B$175, 0), 2), 0)*investment!$C$4</f>
        <v>0</v>
      </c>
      <c r="F83" s="18" t="n">
        <f aca="false">demand!E81</f>
        <v>0</v>
      </c>
      <c r="G83" s="3" t="n">
        <f aca="false">solgen!E81</f>
        <v>0</v>
      </c>
      <c r="H83" s="3" t="n">
        <f aca="false">import!E81</f>
        <v>0</v>
      </c>
      <c r="I83" s="3" t="n">
        <f aca="false">-export!E81</f>
        <v>-0</v>
      </c>
      <c r="J83" s="3" t="n">
        <f aca="false">-charge!E81</f>
        <v>-0</v>
      </c>
      <c r="K83" s="3" t="n">
        <f aca="false">discharge!E81</f>
        <v>0</v>
      </c>
      <c r="L83" s="3" t="n">
        <f aca="false">soc!E81/investment!$E$4 *100</f>
        <v>0</v>
      </c>
    </row>
    <row r="84" customFormat="false" ht="13.8" hidden="false" customHeight="false" outlineLevel="0" collapsed="false">
      <c r="B84" s="11" t="n">
        <f aca="false">_xlfn.NUMBERVALUE(solar!B81)</f>
        <v>159</v>
      </c>
      <c r="C84" s="12" t="n">
        <f aca="false">solar!C81</f>
        <v>0</v>
      </c>
      <c r="D84" s="6" t="n">
        <v>80</v>
      </c>
      <c r="E84" s="17" t="n">
        <f aca="false">IFERROR(INDEX($B$5:$C$173, MATCH($D84, $B$5:$B$175, 0), 2), 0)*investment!$C$4</f>
        <v>0</v>
      </c>
      <c r="F84" s="18" t="n">
        <f aca="false">demand!E82</f>
        <v>0</v>
      </c>
      <c r="G84" s="3" t="n">
        <f aca="false">solgen!E82</f>
        <v>0</v>
      </c>
      <c r="H84" s="3" t="n">
        <f aca="false">import!E82</f>
        <v>0</v>
      </c>
      <c r="I84" s="3" t="n">
        <f aca="false">-export!E82</f>
        <v>-0</v>
      </c>
      <c r="J84" s="3" t="n">
        <f aca="false">-charge!E82</f>
        <v>-0</v>
      </c>
      <c r="K84" s="3" t="n">
        <f aca="false">discharge!E82</f>
        <v>0</v>
      </c>
      <c r="L84" s="3" t="n">
        <f aca="false">soc!E82/investment!$E$4 *100</f>
        <v>0</v>
      </c>
    </row>
    <row r="85" customFormat="false" ht="13.8" hidden="false" customHeight="false" outlineLevel="0" collapsed="false">
      <c r="B85" s="11" t="n">
        <f aca="false">_xlfn.NUMBERVALUE(solar!B82)</f>
        <v>160</v>
      </c>
      <c r="C85" s="12" t="n">
        <f aca="false">solar!C82</f>
        <v>0</v>
      </c>
      <c r="D85" s="6" t="n">
        <v>81</v>
      </c>
      <c r="E85" s="17" t="n">
        <f aca="false">IFERROR(INDEX($B$5:$C$173, MATCH($D85, $B$5:$B$175, 0), 2), 0)*investment!$C$4</f>
        <v>0</v>
      </c>
      <c r="F85" s="18" t="n">
        <f aca="false">demand!E83</f>
        <v>0</v>
      </c>
      <c r="G85" s="3" t="n">
        <f aca="false">solgen!E83</f>
        <v>0</v>
      </c>
      <c r="H85" s="3" t="n">
        <f aca="false">import!E83</f>
        <v>0</v>
      </c>
      <c r="I85" s="3" t="n">
        <f aca="false">-export!E83</f>
        <v>-0</v>
      </c>
      <c r="J85" s="3" t="n">
        <f aca="false">-charge!E83</f>
        <v>-0</v>
      </c>
      <c r="K85" s="3" t="n">
        <f aca="false">discharge!E83</f>
        <v>0</v>
      </c>
      <c r="L85" s="3" t="n">
        <f aca="false">soc!E83/investment!$E$4 *100</f>
        <v>0</v>
      </c>
    </row>
    <row r="86" customFormat="false" ht="13.8" hidden="false" customHeight="false" outlineLevel="0" collapsed="false">
      <c r="B86" s="11" t="n">
        <f aca="false">_xlfn.NUMBERVALUE(solar!B83)</f>
        <v>161</v>
      </c>
      <c r="C86" s="12" t="n">
        <f aca="false">solar!C83</f>
        <v>0</v>
      </c>
      <c r="D86" s="6" t="n">
        <v>82</v>
      </c>
      <c r="E86" s="17" t="n">
        <f aca="false">IFERROR(INDEX($B$5:$C$173, MATCH($D86, $B$5:$B$175, 0), 2), 0)*investment!$C$4</f>
        <v>0</v>
      </c>
      <c r="F86" s="18" t="n">
        <f aca="false">demand!E84</f>
        <v>0</v>
      </c>
      <c r="G86" s="3" t="n">
        <f aca="false">solgen!E84</f>
        <v>0</v>
      </c>
      <c r="H86" s="3" t="n">
        <f aca="false">import!E84</f>
        <v>0</v>
      </c>
      <c r="I86" s="3" t="n">
        <f aca="false">-export!E84</f>
        <v>-0</v>
      </c>
      <c r="J86" s="3" t="n">
        <f aca="false">-charge!E84</f>
        <v>-0</v>
      </c>
      <c r="K86" s="3" t="n">
        <f aca="false">discharge!E84</f>
        <v>0</v>
      </c>
      <c r="L86" s="3" t="n">
        <f aca="false">soc!E84/investment!$E$4 *100</f>
        <v>0</v>
      </c>
    </row>
    <row r="87" customFormat="false" ht="13.8" hidden="false" customHeight="false" outlineLevel="0" collapsed="false">
      <c r="B87" s="11" t="n">
        <f aca="false">_xlfn.NUMBERVALUE(solar!B84)</f>
        <v>162</v>
      </c>
      <c r="C87" s="12" t="n">
        <f aca="false">solar!C84</f>
        <v>0</v>
      </c>
      <c r="D87" s="6" t="n">
        <v>83</v>
      </c>
      <c r="E87" s="17" t="n">
        <f aca="false">IFERROR(INDEX($B$5:$C$173, MATCH($D87, $B$5:$B$175, 0), 2), 0)*investment!$C$4</f>
        <v>0</v>
      </c>
      <c r="F87" s="18" t="n">
        <f aca="false">demand!E85</f>
        <v>0</v>
      </c>
      <c r="G87" s="3" t="n">
        <f aca="false">solgen!E85</f>
        <v>0</v>
      </c>
      <c r="H87" s="3" t="n">
        <f aca="false">import!E85</f>
        <v>0</v>
      </c>
      <c r="I87" s="3" t="n">
        <f aca="false">-export!E85</f>
        <v>-0</v>
      </c>
      <c r="J87" s="3" t="n">
        <f aca="false">-charge!E85</f>
        <v>-0</v>
      </c>
      <c r="K87" s="3" t="n">
        <f aca="false">discharge!E85</f>
        <v>0</v>
      </c>
      <c r="L87" s="3" t="n">
        <f aca="false">soc!E85/investment!$E$4 *100</f>
        <v>0</v>
      </c>
    </row>
    <row r="88" customFormat="false" ht="13.8" hidden="false" customHeight="false" outlineLevel="0" collapsed="false">
      <c r="B88" s="11" t="n">
        <f aca="false">_xlfn.NUMBERVALUE(solar!B85)</f>
        <v>163</v>
      </c>
      <c r="C88" s="12" t="n">
        <f aca="false">solar!C85</f>
        <v>0</v>
      </c>
      <c r="D88" s="6" t="n">
        <v>84</v>
      </c>
      <c r="E88" s="17" t="n">
        <f aca="false">IFERROR(INDEX($B$5:$C$173, MATCH($D88, $B$5:$B$175, 0), 2), 0)*investment!$C$4</f>
        <v>0</v>
      </c>
      <c r="F88" s="18" t="n">
        <f aca="false">demand!E86</f>
        <v>0</v>
      </c>
      <c r="G88" s="3" t="n">
        <f aca="false">solgen!E86</f>
        <v>0</v>
      </c>
      <c r="H88" s="3" t="n">
        <f aca="false">import!E86</f>
        <v>0</v>
      </c>
      <c r="I88" s="3" t="n">
        <f aca="false">-export!E86</f>
        <v>-0</v>
      </c>
      <c r="J88" s="3" t="n">
        <f aca="false">-charge!E86</f>
        <v>-0</v>
      </c>
      <c r="K88" s="3" t="n">
        <f aca="false">discharge!E86</f>
        <v>0</v>
      </c>
      <c r="L88" s="3" t="n">
        <f aca="false">soc!E86/investment!$E$4 *100</f>
        <v>5.25256934079135</v>
      </c>
    </row>
    <row r="89" customFormat="false" ht="13.8" hidden="false" customHeight="false" outlineLevel="0" collapsed="false">
      <c r="B89" s="11" t="n">
        <f aca="false">_xlfn.NUMBERVALUE(solar!B86)</f>
        <v>0</v>
      </c>
      <c r="C89" s="12" t="n">
        <f aca="false">solar!C86</f>
        <v>0</v>
      </c>
      <c r="D89" s="6" t="n">
        <v>85</v>
      </c>
      <c r="E89" s="17" t="n">
        <f aca="false">IFERROR(INDEX($B$5:$C$173, MATCH($D89, $B$5:$B$175, 0), 2), 0)*investment!$C$4</f>
        <v>0</v>
      </c>
      <c r="F89" s="18" t="n">
        <f aca="false">demand!E87</f>
        <v>0</v>
      </c>
      <c r="G89" s="3" t="n">
        <f aca="false">solgen!E87</f>
        <v>0</v>
      </c>
      <c r="H89" s="3" t="n">
        <f aca="false">import!E87</f>
        <v>0</v>
      </c>
      <c r="I89" s="3" t="n">
        <f aca="false">-export!E87</f>
        <v>-0</v>
      </c>
      <c r="J89" s="3" t="n">
        <f aca="false">-charge!E87</f>
        <v>-0</v>
      </c>
      <c r="K89" s="3" t="n">
        <f aca="false">discharge!E87</f>
        <v>0</v>
      </c>
      <c r="L89" s="3" t="n">
        <f aca="false">soc!E87/investment!$E$4 *100</f>
        <v>27.9089060886301</v>
      </c>
    </row>
    <row r="90" customFormat="false" ht="13.8" hidden="false" customHeight="false" outlineLevel="0" collapsed="false">
      <c r="B90" s="11" t="n">
        <f aca="false">_xlfn.NUMBERVALUE(solar!B87)</f>
        <v>0</v>
      </c>
      <c r="C90" s="12" t="n">
        <f aca="false">solar!C87</f>
        <v>0</v>
      </c>
      <c r="D90" s="6" t="n">
        <v>86</v>
      </c>
      <c r="E90" s="17" t="n">
        <f aca="false">IFERROR(INDEX($B$5:$C$173, MATCH($D90, $B$5:$B$175, 0), 2), 0)*investment!$C$4</f>
        <v>0</v>
      </c>
      <c r="F90" s="18" t="n">
        <f aca="false">demand!E88</f>
        <v>0</v>
      </c>
      <c r="G90" s="3" t="n">
        <f aca="false">solgen!E88</f>
        <v>0</v>
      </c>
      <c r="H90" s="3" t="n">
        <f aca="false">import!E88</f>
        <v>0</v>
      </c>
      <c r="I90" s="3" t="n">
        <f aca="false">-export!E88</f>
        <v>-0</v>
      </c>
      <c r="J90" s="3" t="n">
        <f aca="false">-charge!E88</f>
        <v>-0</v>
      </c>
      <c r="K90" s="3" t="n">
        <f aca="false">discharge!E88</f>
        <v>0</v>
      </c>
      <c r="L90" s="3" t="n">
        <f aca="false">soc!E88/investment!$E$4 *100</f>
        <v>45.3407420814527</v>
      </c>
    </row>
    <row r="91" customFormat="false" ht="13.8" hidden="false" customHeight="false" outlineLevel="0" collapsed="false">
      <c r="B91" s="11" t="n">
        <f aca="false">_xlfn.NUMBERVALUE(solar!B88)</f>
        <v>0</v>
      </c>
      <c r="C91" s="12" t="n">
        <f aca="false">solar!C88</f>
        <v>0</v>
      </c>
      <c r="D91" s="6" t="n">
        <v>87</v>
      </c>
      <c r="E91" s="17" t="n">
        <f aca="false">IFERROR(INDEX($B$5:$C$173, MATCH($D91, $B$5:$B$175, 0), 2), 0)*investment!$C$4</f>
        <v>0</v>
      </c>
      <c r="F91" s="18" t="n">
        <f aca="false">demand!E89</f>
        <v>0</v>
      </c>
      <c r="G91" s="3" t="n">
        <f aca="false">solgen!E89</f>
        <v>0</v>
      </c>
      <c r="H91" s="3" t="n">
        <f aca="false">import!E89</f>
        <v>0</v>
      </c>
      <c r="I91" s="3" t="n">
        <f aca="false">-export!E89</f>
        <v>-0</v>
      </c>
      <c r="J91" s="3" t="n">
        <f aca="false">-charge!E89</f>
        <v>-0</v>
      </c>
      <c r="K91" s="3" t="n">
        <f aca="false">discharge!E89</f>
        <v>0</v>
      </c>
      <c r="L91" s="3" t="n">
        <f aca="false">soc!E89/investment!$E$4 *100</f>
        <v>54.1276693439877</v>
      </c>
    </row>
    <row r="92" customFormat="false" ht="13.8" hidden="false" customHeight="false" outlineLevel="0" collapsed="false">
      <c r="B92" s="11" t="n">
        <f aca="false">_xlfn.NUMBERVALUE(solar!B89)</f>
        <v>0</v>
      </c>
      <c r="C92" s="12" t="n">
        <f aca="false">solar!C89</f>
        <v>0</v>
      </c>
      <c r="D92" s="6" t="n">
        <v>88</v>
      </c>
      <c r="E92" s="17" t="n">
        <f aca="false">IFERROR(INDEX($B$5:$C$173, MATCH($D92, $B$5:$B$175, 0), 2), 0)*investment!$C$4</f>
        <v>0</v>
      </c>
      <c r="F92" s="18" t="n">
        <f aca="false">demand!E90</f>
        <v>0</v>
      </c>
      <c r="G92" s="3" t="n">
        <f aca="false">solgen!E90</f>
        <v>0</v>
      </c>
      <c r="H92" s="3" t="n">
        <f aca="false">import!E90</f>
        <v>0</v>
      </c>
      <c r="I92" s="3" t="n">
        <f aca="false">-export!E90</f>
        <v>-0</v>
      </c>
      <c r="J92" s="3" t="n">
        <f aca="false">-charge!E90</f>
        <v>-0</v>
      </c>
      <c r="K92" s="3" t="n">
        <f aca="false">discharge!E90</f>
        <v>0</v>
      </c>
      <c r="L92" s="3" t="n">
        <f aca="false">soc!E90/investment!$E$4 *100</f>
        <v>56.4666840159442</v>
      </c>
    </row>
    <row r="93" customFormat="false" ht="13.8" hidden="false" customHeight="false" outlineLevel="0" collapsed="false">
      <c r="B93" s="11" t="n">
        <f aca="false">_xlfn.NUMBERVALUE(solar!B90)</f>
        <v>0</v>
      </c>
      <c r="C93" s="12" t="n">
        <f aca="false">solar!C90</f>
        <v>0</v>
      </c>
      <c r="D93" s="6" t="n">
        <v>89</v>
      </c>
      <c r="E93" s="17" t="n">
        <f aca="false">IFERROR(INDEX($B$5:$C$173, MATCH($D93, $B$5:$B$175, 0), 2), 0)*investment!$C$4</f>
        <v>0</v>
      </c>
      <c r="F93" s="18" t="n">
        <f aca="false">demand!E91</f>
        <v>0</v>
      </c>
      <c r="G93" s="3" t="n">
        <f aca="false">solgen!E91</f>
        <v>0</v>
      </c>
      <c r="H93" s="3" t="n">
        <f aca="false">import!E91</f>
        <v>0</v>
      </c>
      <c r="I93" s="3" t="n">
        <f aca="false">-export!E91</f>
        <v>-0</v>
      </c>
      <c r="J93" s="3" t="n">
        <f aca="false">-charge!E91</f>
        <v>-0</v>
      </c>
      <c r="K93" s="3" t="n">
        <f aca="false">discharge!E91</f>
        <v>0</v>
      </c>
      <c r="L93" s="3" t="n">
        <f aca="false">soc!E91/investment!$E$4 *100</f>
        <v>51.8989544757164</v>
      </c>
    </row>
    <row r="94" customFormat="false" ht="13.8" hidden="false" customHeight="false" outlineLevel="0" collapsed="false">
      <c r="B94" s="11" t="n">
        <f aca="false">_xlfn.NUMBERVALUE(solar!B91)</f>
        <v>0</v>
      </c>
      <c r="C94" s="12" t="n">
        <f aca="false">solar!C91</f>
        <v>0</v>
      </c>
      <c r="D94" s="6" t="n">
        <v>90</v>
      </c>
      <c r="E94" s="17" t="n">
        <f aca="false">IFERROR(INDEX($B$5:$C$173, MATCH($D94, $B$5:$B$175, 0), 2), 0)*investment!$C$4</f>
        <v>0</v>
      </c>
      <c r="F94" s="18" t="n">
        <f aca="false">demand!E92</f>
        <v>0</v>
      </c>
      <c r="G94" s="3" t="n">
        <f aca="false">solgen!E92</f>
        <v>0</v>
      </c>
      <c r="H94" s="3" t="n">
        <f aca="false">import!E92</f>
        <v>0</v>
      </c>
      <c r="I94" s="3" t="n">
        <f aca="false">-export!E92</f>
        <v>-0</v>
      </c>
      <c r="J94" s="3" t="n">
        <f aca="false">-charge!E92</f>
        <v>-0</v>
      </c>
      <c r="K94" s="3" t="n">
        <f aca="false">discharge!E92</f>
        <v>0</v>
      </c>
      <c r="L94" s="3" t="n">
        <f aca="false">soc!E92/investment!$E$4 *100</f>
        <v>44.3090109625007</v>
      </c>
    </row>
    <row r="95" customFormat="false" ht="13.8" hidden="false" customHeight="false" outlineLevel="0" collapsed="false">
      <c r="B95" s="11" t="n">
        <f aca="false">_xlfn.NUMBERVALUE(solar!B92)</f>
        <v>0</v>
      </c>
      <c r="C95" s="12" t="n">
        <f aca="false">solar!C92</f>
        <v>0</v>
      </c>
      <c r="D95" s="6" t="n">
        <v>91</v>
      </c>
      <c r="E95" s="17" t="n">
        <f aca="false">IFERROR(INDEX($B$5:$C$173, MATCH($D95, $B$5:$B$175, 0), 2), 0)*investment!$C$4</f>
        <v>0</v>
      </c>
      <c r="F95" s="18" t="n">
        <f aca="false">demand!E93</f>
        <v>0</v>
      </c>
      <c r="G95" s="3" t="n">
        <f aca="false">solgen!E93</f>
        <v>0</v>
      </c>
      <c r="H95" s="3" t="n">
        <f aca="false">import!E93</f>
        <v>0</v>
      </c>
      <c r="I95" s="3" t="n">
        <f aca="false">-export!E93</f>
        <v>-0</v>
      </c>
      <c r="J95" s="3" t="n">
        <f aca="false">-charge!E93</f>
        <v>-0</v>
      </c>
      <c r="K95" s="3" t="n">
        <f aca="false">discharge!E93</f>
        <v>0</v>
      </c>
      <c r="L95" s="3" t="n">
        <f aca="false">soc!E93/investment!$E$4 *100</f>
        <v>37.2456051145162</v>
      </c>
    </row>
    <row r="96" customFormat="false" ht="13.8" hidden="false" customHeight="false" outlineLevel="0" collapsed="false">
      <c r="B96" s="11" t="n">
        <f aca="false">_xlfn.NUMBERVALUE(solar!B93)</f>
        <v>0</v>
      </c>
      <c r="C96" s="12" t="n">
        <f aca="false">solar!C93</f>
        <v>0</v>
      </c>
      <c r="D96" s="6" t="n">
        <v>92</v>
      </c>
      <c r="E96" s="17" t="n">
        <f aca="false">IFERROR(INDEX($B$5:$C$173, MATCH($D96, $B$5:$B$175, 0), 2), 0)*investment!$C$4</f>
        <v>0</v>
      </c>
      <c r="F96" s="18" t="n">
        <f aca="false">demand!E94</f>
        <v>0</v>
      </c>
      <c r="G96" s="3" t="n">
        <f aca="false">solgen!E94</f>
        <v>0</v>
      </c>
      <c r="H96" s="3" t="n">
        <f aca="false">import!E94</f>
        <v>0</v>
      </c>
      <c r="I96" s="3" t="n">
        <f aca="false">-export!E94</f>
        <v>-0</v>
      </c>
      <c r="J96" s="3" t="n">
        <f aca="false">-charge!E94</f>
        <v>-0</v>
      </c>
      <c r="K96" s="3" t="n">
        <f aca="false">discharge!E94</f>
        <v>0</v>
      </c>
      <c r="L96" s="3" t="n">
        <f aca="false">soc!E94/investment!$E$4 *100</f>
        <v>33.3126308010058</v>
      </c>
    </row>
    <row r="97" customFormat="false" ht="13.8" hidden="false" customHeight="false" outlineLevel="0" collapsed="false">
      <c r="B97" s="11" t="n">
        <f aca="false">_xlfn.NUMBERVALUE(solar!B94)</f>
        <v>0</v>
      </c>
      <c r="C97" s="12" t="n">
        <f aca="false">solar!C94</f>
        <v>0</v>
      </c>
      <c r="D97" s="6" t="n">
        <v>93</v>
      </c>
      <c r="E97" s="17" t="n">
        <f aca="false">IFERROR(INDEX($B$5:$C$173, MATCH($D97, $B$5:$B$175, 0), 2), 0)*investment!$C$4</f>
        <v>0</v>
      </c>
      <c r="F97" s="18" t="n">
        <f aca="false">demand!E95</f>
        <v>0</v>
      </c>
      <c r="G97" s="3" t="n">
        <f aca="false">solgen!E95</f>
        <v>0</v>
      </c>
      <c r="H97" s="3" t="n">
        <f aca="false">import!E95</f>
        <v>0</v>
      </c>
      <c r="I97" s="3" t="n">
        <f aca="false">-export!E95</f>
        <v>-0</v>
      </c>
      <c r="J97" s="3" t="n">
        <f aca="false">-charge!E95</f>
        <v>-0</v>
      </c>
      <c r="K97" s="3" t="n">
        <f aca="false">discharge!E95</f>
        <v>0</v>
      </c>
      <c r="L97" s="3" t="n">
        <f aca="false">soc!E95/investment!$E$4 *100</f>
        <v>29.990089266364</v>
      </c>
    </row>
    <row r="98" customFormat="false" ht="13.8" hidden="false" customHeight="false" outlineLevel="0" collapsed="false">
      <c r="B98" s="11" t="n">
        <f aca="false">_xlfn.NUMBERVALUE(solar!B95)</f>
        <v>0</v>
      </c>
      <c r="C98" s="12" t="n">
        <f aca="false">solar!C95</f>
        <v>0</v>
      </c>
      <c r="D98" s="6" t="n">
        <v>94</v>
      </c>
      <c r="E98" s="17" t="n">
        <f aca="false">IFERROR(INDEX($B$5:$C$173, MATCH($D98, $B$5:$B$175, 0), 2), 0)*investment!$C$4</f>
        <v>0</v>
      </c>
      <c r="F98" s="18" t="n">
        <f aca="false">demand!E96</f>
        <v>0</v>
      </c>
      <c r="G98" s="3" t="n">
        <f aca="false">solgen!E96</f>
        <v>0</v>
      </c>
      <c r="H98" s="3" t="n">
        <f aca="false">import!E96</f>
        <v>0</v>
      </c>
      <c r="I98" s="3" t="n">
        <f aca="false">-export!E96</f>
        <v>-0</v>
      </c>
      <c r="J98" s="3" t="n">
        <f aca="false">-charge!E96</f>
        <v>-0</v>
      </c>
      <c r="K98" s="3" t="n">
        <f aca="false">discharge!E96</f>
        <v>0</v>
      </c>
      <c r="L98" s="3" t="n">
        <f aca="false">soc!E96/investment!$E$4 *100</f>
        <v>27.1994787309018</v>
      </c>
    </row>
    <row r="99" customFormat="false" ht="13.8" hidden="false" customHeight="false" outlineLevel="0" collapsed="false">
      <c r="B99" s="11" t="n">
        <f aca="false">_xlfn.NUMBERVALUE(solar!B96)</f>
        <v>0</v>
      </c>
      <c r="C99" s="12" t="n">
        <f aca="false">solar!C96</f>
        <v>0</v>
      </c>
      <c r="D99" s="6" t="n">
        <v>95</v>
      </c>
      <c r="E99" s="17" t="n">
        <f aca="false">IFERROR(INDEX($B$5:$C$173, MATCH($D99, $B$5:$B$175, 0), 2), 0)*investment!$C$4</f>
        <v>0</v>
      </c>
      <c r="F99" s="18" t="n">
        <f aca="false">demand!E97</f>
        <v>0</v>
      </c>
      <c r="G99" s="3" t="n">
        <f aca="false">solgen!E97</f>
        <v>0</v>
      </c>
      <c r="H99" s="3" t="n">
        <f aca="false">import!E97</f>
        <v>0</v>
      </c>
      <c r="I99" s="3" t="n">
        <f aca="false">-export!E97</f>
        <v>-0</v>
      </c>
      <c r="J99" s="3" t="n">
        <f aca="false">-charge!E97</f>
        <v>-0</v>
      </c>
      <c r="K99" s="3" t="n">
        <f aca="false">discharge!E97</f>
        <v>0</v>
      </c>
      <c r="L99" s="3" t="n">
        <f aca="false">soc!E97/investment!$E$4 *100</f>
        <v>25.2808624525401</v>
      </c>
    </row>
    <row r="100" customFormat="false" ht="13.8" hidden="false" customHeight="false" outlineLevel="0" collapsed="false">
      <c r="B100" s="11" t="n">
        <f aca="false">_xlfn.NUMBERVALUE(solar!B97)</f>
        <v>0</v>
      </c>
      <c r="C100" s="12" t="n">
        <f aca="false">solar!C97</f>
        <v>0</v>
      </c>
      <c r="D100" s="6" t="n">
        <v>96</v>
      </c>
      <c r="E100" s="17" t="n">
        <f aca="false">IFERROR(INDEX($B$5:$C$173, MATCH($D100, $B$5:$B$175, 0), 2), 0)*investment!$C$4</f>
        <v>0</v>
      </c>
      <c r="F100" s="18" t="n">
        <f aca="false">demand!E98</f>
        <v>0</v>
      </c>
      <c r="G100" s="3" t="n">
        <f aca="false">solgen!E98</f>
        <v>0</v>
      </c>
      <c r="H100" s="3" t="n">
        <f aca="false">import!E98</f>
        <v>0</v>
      </c>
      <c r="I100" s="3" t="n">
        <f aca="false">-export!E98</f>
        <v>-0</v>
      </c>
      <c r="J100" s="3" t="n">
        <f aca="false">-charge!E98</f>
        <v>-0</v>
      </c>
      <c r="K100" s="3" t="n">
        <f aca="false">discharge!E98</f>
        <v>0</v>
      </c>
      <c r="L100" s="3" t="n">
        <f aca="false">soc!E98/investment!$E$4 *100</f>
        <v>21.6270506215179</v>
      </c>
    </row>
    <row r="101" customFormat="false" ht="13.8" hidden="false" customHeight="false" outlineLevel="0" collapsed="false">
      <c r="B101" s="11" t="n">
        <f aca="false">_xlfn.NUMBERVALUE(solar!B98)</f>
        <v>0</v>
      </c>
      <c r="C101" s="12" t="n">
        <f aca="false">solar!C98</f>
        <v>0</v>
      </c>
      <c r="D101" s="6" t="n">
        <v>97</v>
      </c>
      <c r="E101" s="17" t="n">
        <f aca="false">IFERROR(INDEX($B$5:$C$173, MATCH($D101, $B$5:$B$175, 0), 2), 0)*investment!$C$4</f>
        <v>0</v>
      </c>
      <c r="F101" s="18" t="n">
        <f aca="false">demand!E99</f>
        <v>0</v>
      </c>
      <c r="G101" s="3" t="n">
        <f aca="false">solgen!E99</f>
        <v>0</v>
      </c>
      <c r="H101" s="3" t="n">
        <f aca="false">import!E99</f>
        <v>0</v>
      </c>
      <c r="I101" s="3" t="n">
        <f aca="false">-export!E99</f>
        <v>-0</v>
      </c>
      <c r="J101" s="3" t="n">
        <f aca="false">-charge!E99</f>
        <v>-0</v>
      </c>
      <c r="K101" s="3" t="n">
        <f aca="false">discharge!E99</f>
        <v>0</v>
      </c>
      <c r="L101" s="3" t="n">
        <f aca="false">soc!E99/investment!$E$4 *100</f>
        <v>18.0430190339506</v>
      </c>
    </row>
    <row r="102" customFormat="false" ht="13.8" hidden="false" customHeight="false" outlineLevel="0" collapsed="false">
      <c r="B102" s="11" t="n">
        <f aca="false">_xlfn.NUMBERVALUE(solar!B99)</f>
        <v>0</v>
      </c>
      <c r="C102" s="12" t="n">
        <f aca="false">solar!C99</f>
        <v>0</v>
      </c>
      <c r="D102" s="6" t="n">
        <v>98</v>
      </c>
      <c r="E102" s="17" t="n">
        <f aca="false">IFERROR(INDEX($B$5:$C$173, MATCH($D102, $B$5:$B$175, 0), 2), 0)*investment!$C$4</f>
        <v>0</v>
      </c>
      <c r="F102" s="18" t="n">
        <f aca="false">demand!E100</f>
        <v>0</v>
      </c>
      <c r="G102" s="3" t="n">
        <f aca="false">solgen!E100</f>
        <v>0</v>
      </c>
      <c r="H102" s="3" t="n">
        <f aca="false">import!E100</f>
        <v>0</v>
      </c>
      <c r="I102" s="3" t="n">
        <f aca="false">-export!E100</f>
        <v>-0</v>
      </c>
      <c r="J102" s="3" t="n">
        <f aca="false">-charge!E100</f>
        <v>-0</v>
      </c>
      <c r="K102" s="3" t="n">
        <f aca="false">discharge!E100</f>
        <v>0</v>
      </c>
      <c r="L102" s="3" t="n">
        <f aca="false">soc!E100/investment!$E$4 *100</f>
        <v>14.1058777647175</v>
      </c>
    </row>
    <row r="103" customFormat="false" ht="13.8" hidden="false" customHeight="false" outlineLevel="0" collapsed="false">
      <c r="B103" s="11" t="n">
        <f aca="false">_xlfn.NUMBERVALUE(solar!B100)</f>
        <v>0</v>
      </c>
      <c r="C103" s="12" t="n">
        <f aca="false">solar!C100</f>
        <v>0</v>
      </c>
      <c r="D103" s="6" t="n">
        <v>99</v>
      </c>
      <c r="E103" s="17" t="n">
        <f aca="false">IFERROR(INDEX($B$5:$C$173, MATCH($D103, $B$5:$B$175, 0), 2), 0)*investment!$C$4</f>
        <v>0</v>
      </c>
      <c r="F103" s="18" t="n">
        <f aca="false">demand!E101</f>
        <v>0</v>
      </c>
      <c r="G103" s="3" t="n">
        <f aca="false">solgen!E101</f>
        <v>0</v>
      </c>
      <c r="H103" s="3" t="n">
        <f aca="false">import!E101</f>
        <v>0</v>
      </c>
      <c r="I103" s="3" t="n">
        <f aca="false">-export!E101</f>
        <v>-0</v>
      </c>
      <c r="J103" s="3" t="n">
        <f aca="false">-charge!E101</f>
        <v>-0</v>
      </c>
      <c r="K103" s="3" t="n">
        <f aca="false">discharge!E101</f>
        <v>0</v>
      </c>
      <c r="L103" s="3" t="n">
        <f aca="false">soc!E101/investment!$E$4 *100</f>
        <v>10.4434597203751</v>
      </c>
    </row>
    <row r="104" customFormat="false" ht="13.8" hidden="false" customHeight="false" outlineLevel="0" collapsed="false">
      <c r="B104" s="11" t="n">
        <f aca="false">_xlfn.NUMBERVALUE(solar!B101)</f>
        <v>0</v>
      </c>
      <c r="C104" s="12" t="n">
        <f aca="false">solar!C101</f>
        <v>0</v>
      </c>
      <c r="D104" s="6" t="n">
        <v>100</v>
      </c>
      <c r="E104" s="17" t="n">
        <f aca="false">IFERROR(INDEX($B$5:$C$173, MATCH($D104, $B$5:$B$175, 0), 2), 0)*investment!$C$4</f>
        <v>0</v>
      </c>
      <c r="F104" s="18" t="n">
        <f aca="false">demand!E102</f>
        <v>0</v>
      </c>
      <c r="G104" s="3" t="n">
        <f aca="false">solgen!E102</f>
        <v>0</v>
      </c>
      <c r="H104" s="3" t="n">
        <f aca="false">import!E102</f>
        <v>0</v>
      </c>
      <c r="I104" s="3" t="n">
        <f aca="false">-export!E102</f>
        <v>-0</v>
      </c>
      <c r="J104" s="3" t="n">
        <f aca="false">-charge!E102</f>
        <v>-0</v>
      </c>
      <c r="K104" s="3" t="n">
        <f aca="false">discharge!E102</f>
        <v>0</v>
      </c>
      <c r="L104" s="3" t="n">
        <f aca="false">soc!E102/investment!$E$4 *100</f>
        <v>6.7810783002131</v>
      </c>
    </row>
    <row r="105" customFormat="false" ht="13.8" hidden="false" customHeight="false" outlineLevel="0" collapsed="false">
      <c r="B105" s="11" t="n">
        <f aca="false">_xlfn.NUMBERVALUE(solar!B102)</f>
        <v>0</v>
      </c>
      <c r="C105" s="12" t="n">
        <f aca="false">solar!C102</f>
        <v>0</v>
      </c>
      <c r="D105" s="6" t="n">
        <v>101</v>
      </c>
      <c r="E105" s="17" t="n">
        <f aca="false">IFERROR(INDEX($B$5:$C$173, MATCH($D105, $B$5:$B$175, 0), 2), 0)*investment!$C$4</f>
        <v>0</v>
      </c>
      <c r="F105" s="18" t="n">
        <f aca="false">demand!E103</f>
        <v>0</v>
      </c>
      <c r="G105" s="3" t="n">
        <f aca="false">solgen!E103</f>
        <v>0</v>
      </c>
      <c r="H105" s="3" t="n">
        <f aca="false">import!E103</f>
        <v>0</v>
      </c>
      <c r="I105" s="3" t="n">
        <f aca="false">-export!E103</f>
        <v>-0</v>
      </c>
      <c r="J105" s="3" t="n">
        <f aca="false">-charge!E103</f>
        <v>-0</v>
      </c>
      <c r="K105" s="3" t="n">
        <f aca="false">discharge!E103</f>
        <v>0</v>
      </c>
      <c r="L105" s="3" t="n">
        <f aca="false">soc!E103/investment!$E$4 *100</f>
        <v>3.11873350386535</v>
      </c>
    </row>
    <row r="106" customFormat="false" ht="13.8" hidden="false" customHeight="false" outlineLevel="0" collapsed="false">
      <c r="B106" s="11" t="n">
        <f aca="false">_xlfn.NUMBERVALUE(solar!B103)</f>
        <v>0</v>
      </c>
      <c r="C106" s="12" t="n">
        <f aca="false">solar!C103</f>
        <v>0</v>
      </c>
      <c r="D106" s="6" t="n">
        <v>102</v>
      </c>
      <c r="E106" s="17" t="n">
        <f aca="false">IFERROR(INDEX($B$5:$C$173, MATCH($D106, $B$5:$B$175, 0), 2), 0)*investment!$C$4</f>
        <v>0</v>
      </c>
      <c r="F106" s="18" t="n">
        <f aca="false">demand!E104</f>
        <v>0</v>
      </c>
      <c r="G106" s="3" t="n">
        <f aca="false">solgen!E104</f>
        <v>0</v>
      </c>
      <c r="H106" s="3" t="n">
        <f aca="false">import!E104</f>
        <v>0</v>
      </c>
      <c r="I106" s="3" t="n">
        <f aca="false">-export!E104</f>
        <v>-0</v>
      </c>
      <c r="J106" s="3" t="n">
        <f aca="false">-charge!E104</f>
        <v>-0</v>
      </c>
      <c r="K106" s="3" t="n">
        <f aca="false">discharge!E104</f>
        <v>0</v>
      </c>
      <c r="L106" s="3" t="n">
        <f aca="false">soc!E104/investment!$E$4 *100</f>
        <v>0</v>
      </c>
    </row>
    <row r="107" customFormat="false" ht="13.8" hidden="false" customHeight="false" outlineLevel="0" collapsed="false">
      <c r="B107" s="11" t="n">
        <f aca="false">_xlfn.NUMBERVALUE(solar!B104)</f>
        <v>0</v>
      </c>
      <c r="C107" s="12" t="n">
        <f aca="false">solar!C104</f>
        <v>0</v>
      </c>
      <c r="D107" s="6" t="n">
        <v>103</v>
      </c>
      <c r="E107" s="17" t="n">
        <f aca="false">IFERROR(INDEX($B$5:$C$173, MATCH($D107, $B$5:$B$175, 0), 2), 0)*investment!$C$4</f>
        <v>0</v>
      </c>
      <c r="F107" s="18" t="n">
        <f aca="false">demand!E105</f>
        <v>0</v>
      </c>
      <c r="G107" s="3" t="n">
        <f aca="false">solgen!E105</f>
        <v>0</v>
      </c>
      <c r="H107" s="3" t="n">
        <f aca="false">import!E105</f>
        <v>0</v>
      </c>
      <c r="I107" s="3" t="n">
        <f aca="false">-export!E105</f>
        <v>-0</v>
      </c>
      <c r="J107" s="3" t="n">
        <f aca="false">-charge!E105</f>
        <v>-0</v>
      </c>
      <c r="K107" s="3" t="n">
        <f aca="false">discharge!E105</f>
        <v>0</v>
      </c>
      <c r="L107" s="3" t="n">
        <f aca="false">soc!E105/investment!$E$4 *100</f>
        <v>0.0318281231039938</v>
      </c>
    </row>
    <row r="108" customFormat="false" ht="13.8" hidden="false" customHeight="false" outlineLevel="0" collapsed="false">
      <c r="B108" s="11" t="n">
        <f aca="false">_xlfn.NUMBERVALUE(solar!B105)</f>
        <v>0</v>
      </c>
      <c r="C108" s="12" t="n">
        <f aca="false">solar!C105</f>
        <v>0</v>
      </c>
      <c r="D108" s="6" t="n">
        <v>104</v>
      </c>
      <c r="E108" s="17" t="n">
        <f aca="false">IFERROR(INDEX($B$5:$C$173, MATCH($D108, $B$5:$B$175, 0), 2), 0)*investment!$C$4</f>
        <v>0</v>
      </c>
      <c r="F108" s="18" t="n">
        <f aca="false">demand!E106</f>
        <v>0</v>
      </c>
      <c r="G108" s="3" t="n">
        <f aca="false">solgen!E106</f>
        <v>0</v>
      </c>
      <c r="H108" s="3" t="n">
        <f aca="false">import!E106</f>
        <v>0</v>
      </c>
      <c r="I108" s="3" t="n">
        <f aca="false">-export!E106</f>
        <v>-0</v>
      </c>
      <c r="J108" s="3" t="n">
        <f aca="false">-charge!E106</f>
        <v>-0</v>
      </c>
      <c r="K108" s="3" t="n">
        <f aca="false">discharge!E106</f>
        <v>0</v>
      </c>
      <c r="L108" s="3" t="n">
        <f aca="false">soc!E106/investment!$E$4 *100</f>
        <v>0.0318278048227616</v>
      </c>
    </row>
    <row r="109" customFormat="false" ht="13.8" hidden="false" customHeight="false" outlineLevel="0" collapsed="false">
      <c r="B109" s="11" t="n">
        <f aca="false">_xlfn.NUMBERVALUE(solar!B106)</f>
        <v>0</v>
      </c>
      <c r="C109" s="12" t="n">
        <f aca="false">solar!C106</f>
        <v>0</v>
      </c>
      <c r="D109" s="6" t="n">
        <v>105</v>
      </c>
      <c r="E109" s="17" t="n">
        <f aca="false">IFERROR(INDEX($B$5:$C$173, MATCH($D109, $B$5:$B$175, 0), 2), 0)*investment!$C$4</f>
        <v>0</v>
      </c>
      <c r="F109" s="18" t="n">
        <f aca="false">demand!E107</f>
        <v>0</v>
      </c>
      <c r="G109" s="3" t="n">
        <f aca="false">solgen!E107</f>
        <v>0</v>
      </c>
      <c r="H109" s="3" t="n">
        <f aca="false">import!E107</f>
        <v>0</v>
      </c>
      <c r="I109" s="3" t="n">
        <f aca="false">-export!E107</f>
        <v>-0</v>
      </c>
      <c r="J109" s="3" t="n">
        <f aca="false">-charge!E107</f>
        <v>-0</v>
      </c>
      <c r="K109" s="3" t="n">
        <f aca="false">discharge!E107</f>
        <v>0</v>
      </c>
      <c r="L109" s="3" t="n">
        <f aca="false">soc!E107/investment!$E$4 *100</f>
        <v>0.0318274865447133</v>
      </c>
    </row>
    <row r="110" customFormat="false" ht="13.8" hidden="false" customHeight="false" outlineLevel="0" collapsed="false">
      <c r="B110" s="11" t="n">
        <f aca="false">_xlfn.NUMBERVALUE(solar!B107)</f>
        <v>0</v>
      </c>
      <c r="C110" s="12" t="n">
        <f aca="false">solar!C107</f>
        <v>0</v>
      </c>
      <c r="D110" s="6" t="n">
        <v>106</v>
      </c>
      <c r="E110" s="17" t="n">
        <f aca="false">IFERROR(INDEX($B$5:$C$173, MATCH($D110, $B$5:$B$175, 0), 2), 0)*investment!$C$4</f>
        <v>0</v>
      </c>
      <c r="F110" s="18" t="n">
        <f aca="false">demand!E108</f>
        <v>0</v>
      </c>
      <c r="G110" s="3" t="n">
        <f aca="false">solgen!E108</f>
        <v>0</v>
      </c>
      <c r="H110" s="3" t="n">
        <f aca="false">import!E108</f>
        <v>0</v>
      </c>
      <c r="I110" s="3" t="n">
        <f aca="false">-export!E108</f>
        <v>-0</v>
      </c>
      <c r="J110" s="3" t="n">
        <f aca="false">-charge!E108</f>
        <v>-0</v>
      </c>
      <c r="K110" s="3" t="n">
        <f aca="false">discharge!E108</f>
        <v>0</v>
      </c>
      <c r="L110" s="3" t="n">
        <f aca="false">soc!E108/investment!$E$4 *100</f>
        <v>0.0318271682698471</v>
      </c>
    </row>
    <row r="111" customFormat="false" ht="13.8" hidden="false" customHeight="false" outlineLevel="0" collapsed="false">
      <c r="B111" s="11" t="n">
        <f aca="false">_xlfn.NUMBERVALUE(solar!B108)</f>
        <v>0</v>
      </c>
      <c r="C111" s="12" t="n">
        <f aca="false">solar!C108</f>
        <v>0</v>
      </c>
      <c r="D111" s="6" t="n">
        <v>107</v>
      </c>
      <c r="E111" s="17" t="n">
        <f aca="false">IFERROR(INDEX($B$5:$C$173, MATCH($D111, $B$5:$B$175, 0), 2), 0)*investment!$C$4</f>
        <v>0</v>
      </c>
      <c r="F111" s="18" t="n">
        <f aca="false">demand!E109</f>
        <v>0</v>
      </c>
      <c r="G111" s="3" t="n">
        <f aca="false">solgen!E109</f>
        <v>0</v>
      </c>
      <c r="H111" s="3" t="n">
        <f aca="false">import!E109</f>
        <v>0</v>
      </c>
      <c r="I111" s="3" t="n">
        <f aca="false">-export!E109</f>
        <v>-0</v>
      </c>
      <c r="J111" s="3" t="n">
        <f aca="false">-charge!E109</f>
        <v>-0</v>
      </c>
      <c r="K111" s="3" t="n">
        <f aca="false">discharge!E109</f>
        <v>0</v>
      </c>
      <c r="L111" s="3" t="n">
        <f aca="false">soc!E109/investment!$E$4 *100</f>
        <v>17.4939556943366</v>
      </c>
    </row>
    <row r="112" customFormat="false" ht="13.8" hidden="false" customHeight="false" outlineLevel="0" collapsed="false">
      <c r="B112" s="11" t="n">
        <f aca="false">_xlfn.NUMBERVALUE(solar!B109)</f>
        <v>0</v>
      </c>
      <c r="C112" s="12" t="n">
        <f aca="false">solar!C109</f>
        <v>0</v>
      </c>
      <c r="D112" s="6" t="n">
        <v>108</v>
      </c>
      <c r="E112" s="17" t="n">
        <f aca="false">IFERROR(INDEX($B$5:$C$173, MATCH($D112, $B$5:$B$175, 0), 2), 0)*investment!$C$4</f>
        <v>0</v>
      </c>
      <c r="F112" s="18" t="n">
        <f aca="false">demand!E110</f>
        <v>0</v>
      </c>
      <c r="G112" s="3" t="n">
        <f aca="false">solgen!E110</f>
        <v>0</v>
      </c>
      <c r="H112" s="3" t="n">
        <f aca="false">import!E110</f>
        <v>0</v>
      </c>
      <c r="I112" s="3" t="n">
        <f aca="false">-export!E110</f>
        <v>-0</v>
      </c>
      <c r="J112" s="3" t="n">
        <f aca="false">-charge!E110</f>
        <v>-0</v>
      </c>
      <c r="K112" s="3" t="n">
        <f aca="false">discharge!E110</f>
        <v>0</v>
      </c>
      <c r="L112" s="3" t="n">
        <f aca="false">soc!E110/investment!$E$4 *100</f>
        <v>44.2877256978527</v>
      </c>
    </row>
    <row r="113" customFormat="false" ht="13.8" hidden="false" customHeight="false" outlineLevel="0" collapsed="false">
      <c r="B113" s="11" t="n">
        <f aca="false">_xlfn.NUMBERVALUE(solar!B110)</f>
        <v>0</v>
      </c>
      <c r="C113" s="12" t="n">
        <f aca="false">solar!C110</f>
        <v>0</v>
      </c>
      <c r="D113" s="6" t="n">
        <v>109</v>
      </c>
      <c r="E113" s="17" t="n">
        <f aca="false">IFERROR(INDEX($B$5:$C$173, MATCH($D113, $B$5:$B$175, 0), 2), 0)*investment!$C$4</f>
        <v>0</v>
      </c>
      <c r="F113" s="18" t="n">
        <f aca="false">demand!E111</f>
        <v>0</v>
      </c>
      <c r="G113" s="3" t="n">
        <f aca="false">solgen!E111</f>
        <v>0</v>
      </c>
      <c r="H113" s="3" t="n">
        <f aca="false">import!E111</f>
        <v>0</v>
      </c>
      <c r="I113" s="3" t="n">
        <f aca="false">-export!E111</f>
        <v>-0</v>
      </c>
      <c r="J113" s="3" t="n">
        <f aca="false">-charge!E111</f>
        <v>-0</v>
      </c>
      <c r="K113" s="3" t="n">
        <f aca="false">discharge!E111</f>
        <v>0</v>
      </c>
      <c r="L113" s="3" t="n">
        <f aca="false">soc!E111/investment!$E$4 *100</f>
        <v>69.6485230094742</v>
      </c>
    </row>
    <row r="114" customFormat="false" ht="13.8" hidden="false" customHeight="false" outlineLevel="0" collapsed="false">
      <c r="B114" s="11" t="n">
        <f aca="false">_xlfn.NUMBERVALUE(solar!B111)</f>
        <v>0</v>
      </c>
      <c r="C114" s="12" t="n">
        <f aca="false">solar!C111</f>
        <v>0</v>
      </c>
      <c r="D114" s="6" t="n">
        <v>110</v>
      </c>
      <c r="E114" s="17" t="n">
        <f aca="false">IFERROR(INDEX($B$5:$C$173, MATCH($D114, $B$5:$B$175, 0), 2), 0)*investment!$C$4</f>
        <v>0</v>
      </c>
      <c r="F114" s="18" t="n">
        <f aca="false">demand!E112</f>
        <v>0</v>
      </c>
      <c r="G114" s="3" t="n">
        <f aca="false">solgen!E112</f>
        <v>0</v>
      </c>
      <c r="H114" s="3" t="n">
        <f aca="false">import!E112</f>
        <v>0</v>
      </c>
      <c r="I114" s="3" t="n">
        <f aca="false">-export!E112</f>
        <v>-0</v>
      </c>
      <c r="J114" s="3" t="n">
        <f aca="false">-charge!E112</f>
        <v>-0</v>
      </c>
      <c r="K114" s="3" t="n">
        <f aca="false">discharge!E112</f>
        <v>0</v>
      </c>
      <c r="L114" s="3" t="n">
        <f aca="false">soc!E112/investment!$E$4 *100</f>
        <v>87.7919039970636</v>
      </c>
    </row>
    <row r="115" customFormat="false" ht="13.8" hidden="false" customHeight="false" outlineLevel="0" collapsed="false">
      <c r="B115" s="11" t="n">
        <f aca="false">_xlfn.NUMBERVALUE(solar!B112)</f>
        <v>0</v>
      </c>
      <c r="C115" s="12" t="n">
        <f aca="false">solar!C112</f>
        <v>0</v>
      </c>
      <c r="D115" s="6" t="n">
        <v>111</v>
      </c>
      <c r="E115" s="17" t="n">
        <f aca="false">IFERROR(INDEX($B$5:$C$173, MATCH($D115, $B$5:$B$175, 0), 2), 0)*investment!$C$4</f>
        <v>0</v>
      </c>
      <c r="F115" s="18" t="n">
        <f aca="false">demand!E113</f>
        <v>0</v>
      </c>
      <c r="G115" s="3" t="n">
        <f aca="false">solgen!E113</f>
        <v>0</v>
      </c>
      <c r="H115" s="3" t="n">
        <f aca="false">import!E113</f>
        <v>0</v>
      </c>
      <c r="I115" s="3" t="n">
        <f aca="false">-export!E113</f>
        <v>-0</v>
      </c>
      <c r="J115" s="3" t="n">
        <f aca="false">-charge!E113</f>
        <v>-0</v>
      </c>
      <c r="K115" s="3" t="n">
        <f aca="false">discharge!E113</f>
        <v>0</v>
      </c>
      <c r="L115" s="3" t="n">
        <f aca="false">soc!E113/investment!$E$4 *100</f>
        <v>94.4485968705959</v>
      </c>
    </row>
    <row r="116" customFormat="false" ht="13.8" hidden="false" customHeight="false" outlineLevel="0" collapsed="false">
      <c r="B116" s="11" t="n">
        <f aca="false">_xlfn.NUMBERVALUE(solar!B113)</f>
        <v>0</v>
      </c>
      <c r="C116" s="12" t="n">
        <f aca="false">solar!C113</f>
        <v>0</v>
      </c>
      <c r="D116" s="6" t="n">
        <v>112</v>
      </c>
      <c r="E116" s="17" t="n">
        <f aca="false">IFERROR(INDEX($B$5:$C$173, MATCH($D116, $B$5:$B$175, 0), 2), 0)*investment!$C$4</f>
        <v>0</v>
      </c>
      <c r="F116" s="18" t="n">
        <f aca="false">demand!E114</f>
        <v>0</v>
      </c>
      <c r="G116" s="3" t="n">
        <f aca="false">solgen!E114</f>
        <v>0</v>
      </c>
      <c r="H116" s="3" t="n">
        <f aca="false">import!E114</f>
        <v>0</v>
      </c>
      <c r="I116" s="3" t="n">
        <f aca="false">-export!E114</f>
        <v>-0</v>
      </c>
      <c r="J116" s="3" t="n">
        <f aca="false">-charge!E114</f>
        <v>-0</v>
      </c>
      <c r="K116" s="3" t="n">
        <f aca="false">discharge!E114</f>
        <v>0</v>
      </c>
      <c r="L116" s="3" t="n">
        <f aca="false">soc!E114/investment!$E$4 *100</f>
        <v>99.3065772319727</v>
      </c>
    </row>
    <row r="117" customFormat="false" ht="13.8" hidden="false" customHeight="false" outlineLevel="0" collapsed="false">
      <c r="B117" s="11" t="n">
        <f aca="false">_xlfn.NUMBERVALUE(solar!B114)</f>
        <v>0</v>
      </c>
      <c r="C117" s="12" t="n">
        <f aca="false">solar!C114</f>
        <v>0</v>
      </c>
      <c r="D117" s="6" t="n">
        <v>113</v>
      </c>
      <c r="E117" s="17" t="n">
        <f aca="false">IFERROR(INDEX($B$5:$C$173, MATCH($D117, $B$5:$B$175, 0), 2), 0)*investment!$C$4</f>
        <v>0</v>
      </c>
      <c r="F117" s="18" t="n">
        <f aca="false">demand!E115</f>
        <v>0</v>
      </c>
      <c r="G117" s="3" t="n">
        <f aca="false">solgen!E115</f>
        <v>0</v>
      </c>
      <c r="H117" s="3" t="n">
        <f aca="false">import!E115</f>
        <v>0</v>
      </c>
      <c r="I117" s="3" t="n">
        <f aca="false">-export!E115</f>
        <v>-0</v>
      </c>
      <c r="J117" s="3" t="n">
        <f aca="false">-charge!E115</f>
        <v>-0</v>
      </c>
      <c r="K117" s="3" t="n">
        <f aca="false">discharge!E115</f>
        <v>0</v>
      </c>
      <c r="L117" s="3" t="n">
        <f aca="false">soc!E115/investment!$E$4 *100</f>
        <v>100</v>
      </c>
    </row>
    <row r="118" customFormat="false" ht="13.8" hidden="false" customHeight="false" outlineLevel="0" collapsed="false">
      <c r="B118" s="11" t="n">
        <f aca="false">_xlfn.NUMBERVALUE(solar!B115)</f>
        <v>0</v>
      </c>
      <c r="C118" s="12" t="n">
        <f aca="false">solar!C115</f>
        <v>0</v>
      </c>
      <c r="D118" s="6" t="n">
        <v>114</v>
      </c>
      <c r="E118" s="17" t="n">
        <f aca="false">IFERROR(INDEX($B$5:$C$173, MATCH($D118, $B$5:$B$175, 0), 2), 0)*investment!$C$4</f>
        <v>0</v>
      </c>
      <c r="F118" s="18" t="n">
        <f aca="false">demand!E116</f>
        <v>0</v>
      </c>
      <c r="G118" s="3" t="n">
        <f aca="false">solgen!E116</f>
        <v>0</v>
      </c>
      <c r="H118" s="3" t="n">
        <f aca="false">import!E116</f>
        <v>0</v>
      </c>
      <c r="I118" s="3" t="n">
        <f aca="false">-export!E116</f>
        <v>-0</v>
      </c>
      <c r="J118" s="3" t="n">
        <f aca="false">-charge!E116</f>
        <v>-0</v>
      </c>
      <c r="K118" s="3" t="n">
        <f aca="false">discharge!E116</f>
        <v>0</v>
      </c>
      <c r="L118" s="3" t="n">
        <f aca="false">soc!E116/investment!$E$4 *100</f>
        <v>95.0830183233313</v>
      </c>
    </row>
    <row r="119" customFormat="false" ht="13.8" hidden="false" customHeight="false" outlineLevel="0" collapsed="false">
      <c r="B119" s="11" t="n">
        <f aca="false">_xlfn.NUMBERVALUE(solar!B116)</f>
        <v>0</v>
      </c>
      <c r="C119" s="12" t="n">
        <f aca="false">solar!C116</f>
        <v>0</v>
      </c>
      <c r="D119" s="6" t="n">
        <v>115</v>
      </c>
      <c r="E119" s="17" t="n">
        <f aca="false">IFERROR(INDEX($B$5:$C$173, MATCH($D119, $B$5:$B$175, 0), 2), 0)*investment!$C$4</f>
        <v>0</v>
      </c>
      <c r="F119" s="18" t="n">
        <f aca="false">demand!E117</f>
        <v>0</v>
      </c>
      <c r="G119" s="3" t="n">
        <f aca="false">solgen!E117</f>
        <v>0</v>
      </c>
      <c r="H119" s="3" t="n">
        <f aca="false">import!E117</f>
        <v>0</v>
      </c>
      <c r="I119" s="3" t="n">
        <f aca="false">-export!E117</f>
        <v>-0</v>
      </c>
      <c r="J119" s="3" t="n">
        <f aca="false">-charge!E117</f>
        <v>-0</v>
      </c>
      <c r="K119" s="3" t="n">
        <f aca="false">discharge!E117</f>
        <v>0</v>
      </c>
      <c r="L119" s="3" t="n">
        <f aca="false">soc!E117/investment!$E$4 *100</f>
        <v>88.0442795532167</v>
      </c>
    </row>
    <row r="120" customFormat="false" ht="13.8" hidden="false" customHeight="false" outlineLevel="0" collapsed="false">
      <c r="B120" s="11" t="n">
        <f aca="false">_xlfn.NUMBERVALUE(solar!B117)</f>
        <v>0</v>
      </c>
      <c r="C120" s="12" t="n">
        <f aca="false">solar!C117</f>
        <v>0</v>
      </c>
      <c r="D120" s="6" t="n">
        <v>116</v>
      </c>
      <c r="E120" s="17" t="n">
        <f aca="false">IFERROR(INDEX($B$5:$C$173, MATCH($D120, $B$5:$B$175, 0), 2), 0)*investment!$C$4</f>
        <v>0</v>
      </c>
      <c r="F120" s="18" t="n">
        <f aca="false">demand!E118</f>
        <v>0</v>
      </c>
      <c r="G120" s="3" t="n">
        <f aca="false">solgen!E118</f>
        <v>0</v>
      </c>
      <c r="H120" s="3" t="n">
        <f aca="false">import!E118</f>
        <v>0</v>
      </c>
      <c r="I120" s="3" t="n">
        <f aca="false">-export!E118</f>
        <v>-0</v>
      </c>
      <c r="J120" s="3" t="n">
        <f aca="false">-charge!E118</f>
        <v>-0</v>
      </c>
      <c r="K120" s="3" t="n">
        <f aca="false">discharge!E118</f>
        <v>0</v>
      </c>
      <c r="L120" s="3" t="n">
        <f aca="false">soc!E118/investment!$E$4 *100</f>
        <v>80.9804363525462</v>
      </c>
    </row>
    <row r="121" customFormat="false" ht="13.8" hidden="false" customHeight="false" outlineLevel="0" collapsed="false">
      <c r="B121" s="11" t="n">
        <f aca="false">_xlfn.NUMBERVALUE(solar!B118)</f>
        <v>0</v>
      </c>
      <c r="C121" s="12" t="n">
        <f aca="false">solar!C118</f>
        <v>0</v>
      </c>
      <c r="D121" s="6" t="n">
        <v>117</v>
      </c>
      <c r="E121" s="17" t="n">
        <f aca="false">IFERROR(INDEX($B$5:$C$173, MATCH($D121, $B$5:$B$175, 0), 2), 0)*investment!$C$4</f>
        <v>0</v>
      </c>
      <c r="F121" s="18" t="n">
        <f aca="false">demand!E119</f>
        <v>0</v>
      </c>
      <c r="G121" s="3" t="n">
        <f aca="false">solgen!E119</f>
        <v>0</v>
      </c>
      <c r="H121" s="3" t="n">
        <f aca="false">import!E119</f>
        <v>0</v>
      </c>
      <c r="I121" s="3" t="n">
        <f aca="false">-export!E119</f>
        <v>-0</v>
      </c>
      <c r="J121" s="3" t="n">
        <f aca="false">-charge!E119</f>
        <v>-0</v>
      </c>
      <c r="K121" s="3" t="n">
        <f aca="false">discharge!E119</f>
        <v>0</v>
      </c>
      <c r="L121" s="3" t="n">
        <f aca="false">soc!E119/investment!$E$4 *100</f>
        <v>76.2273661187307</v>
      </c>
    </row>
    <row r="122" customFormat="false" ht="13.8" hidden="false" customHeight="false" outlineLevel="0" collapsed="false">
      <c r="B122" s="11" t="n">
        <f aca="false">_xlfn.NUMBERVALUE(solar!B119)</f>
        <v>0</v>
      </c>
      <c r="C122" s="12" t="n">
        <f aca="false">solar!C119</f>
        <v>0</v>
      </c>
      <c r="D122" s="6" t="n">
        <v>118</v>
      </c>
      <c r="E122" s="17" t="n">
        <f aca="false">IFERROR(INDEX($B$5:$C$173, MATCH($D122, $B$5:$B$175, 0), 2), 0)*investment!$C$4</f>
        <v>0</v>
      </c>
      <c r="F122" s="18" t="n">
        <f aca="false">demand!E120</f>
        <v>0</v>
      </c>
      <c r="G122" s="3" t="n">
        <f aca="false">solgen!E120</f>
        <v>0</v>
      </c>
      <c r="H122" s="3" t="n">
        <f aca="false">import!E120</f>
        <v>0</v>
      </c>
      <c r="I122" s="3" t="n">
        <f aca="false">-export!E120</f>
        <v>-0</v>
      </c>
      <c r="J122" s="3" t="n">
        <f aca="false">-charge!E120</f>
        <v>-0</v>
      </c>
      <c r="K122" s="3" t="n">
        <f aca="false">discharge!E120</f>
        <v>0</v>
      </c>
      <c r="L122" s="3" t="n">
        <f aca="false">soc!E120/investment!$E$4 *100</f>
        <v>72.5643268595047</v>
      </c>
    </row>
    <row r="123" customFormat="false" ht="13.8" hidden="false" customHeight="false" outlineLevel="0" collapsed="false">
      <c r="B123" s="11" t="n">
        <f aca="false">_xlfn.NUMBERVALUE(solar!B120)</f>
        <v>0</v>
      </c>
      <c r="C123" s="12" t="n">
        <f aca="false">solar!C120</f>
        <v>0</v>
      </c>
      <c r="D123" s="6" t="n">
        <v>119</v>
      </c>
      <c r="E123" s="17" t="n">
        <f aca="false">IFERROR(INDEX($B$5:$C$173, MATCH($D123, $B$5:$B$175, 0), 2), 0)*investment!$C$4</f>
        <v>0</v>
      </c>
      <c r="F123" s="18" t="n">
        <f aca="false">demand!E121</f>
        <v>0</v>
      </c>
      <c r="G123" s="3" t="n">
        <f aca="false">solgen!E121</f>
        <v>0</v>
      </c>
      <c r="H123" s="3" t="n">
        <f aca="false">import!E121</f>
        <v>0</v>
      </c>
      <c r="I123" s="3" t="n">
        <f aca="false">-export!E121</f>
        <v>-0</v>
      </c>
      <c r="J123" s="3" t="n">
        <f aca="false">-charge!E121</f>
        <v>-0</v>
      </c>
      <c r="K123" s="3" t="n">
        <f aca="false">discharge!E121</f>
        <v>0</v>
      </c>
      <c r="L123" s="3" t="n">
        <f aca="false">soc!E121/investment!$E$4 *100</f>
        <v>70.5013765335475</v>
      </c>
    </row>
    <row r="124" customFormat="false" ht="13.8" hidden="false" customHeight="false" outlineLevel="0" collapsed="false">
      <c r="B124" s="11" t="n">
        <f aca="false">_xlfn.NUMBERVALUE(solar!B121)</f>
        <v>0</v>
      </c>
      <c r="C124" s="12" t="n">
        <f aca="false">solar!C121</f>
        <v>0</v>
      </c>
      <c r="D124" s="6" t="n">
        <v>120</v>
      </c>
      <c r="E124" s="17" t="n">
        <f aca="false">IFERROR(INDEX($B$5:$C$173, MATCH($D124, $B$5:$B$175, 0), 2), 0)*investment!$C$4</f>
        <v>0</v>
      </c>
      <c r="F124" s="18" t="n">
        <f aca="false">demand!E122</f>
        <v>0</v>
      </c>
      <c r="G124" s="3" t="n">
        <f aca="false">solgen!E122</f>
        <v>0</v>
      </c>
      <c r="H124" s="3" t="n">
        <f aca="false">import!E122</f>
        <v>0</v>
      </c>
      <c r="I124" s="3" t="n">
        <f aca="false">-export!E122</f>
        <v>-0</v>
      </c>
      <c r="J124" s="3" t="n">
        <f aca="false">-charge!E122</f>
        <v>-0</v>
      </c>
      <c r="K124" s="3" t="n">
        <f aca="false">discharge!E122</f>
        <v>0</v>
      </c>
      <c r="L124" s="3" t="n">
        <f aca="false">soc!E122/investment!$E$4 *100</f>
        <v>66.8689074053021</v>
      </c>
    </row>
    <row r="125" customFormat="false" ht="13.8" hidden="false" customHeight="false" outlineLevel="0" collapsed="false">
      <c r="B125" s="11" t="n">
        <f aca="false">_xlfn.NUMBERVALUE(solar!B122)</f>
        <v>0</v>
      </c>
      <c r="C125" s="12" t="n">
        <f aca="false">solar!C122</f>
        <v>0</v>
      </c>
      <c r="D125" s="6" t="n">
        <v>121</v>
      </c>
      <c r="E125" s="17" t="n">
        <f aca="false">IFERROR(INDEX($B$5:$C$173, MATCH($D125, $B$5:$B$175, 0), 2), 0)*investment!$C$4</f>
        <v>0</v>
      </c>
      <c r="F125" s="18" t="n">
        <f aca="false">demand!E123</f>
        <v>0</v>
      </c>
      <c r="G125" s="3" t="n">
        <f aca="false">solgen!E123</f>
        <v>0</v>
      </c>
      <c r="H125" s="3" t="n">
        <f aca="false">import!E123</f>
        <v>0</v>
      </c>
      <c r="I125" s="3" t="n">
        <f aca="false">-export!E123</f>
        <v>-0</v>
      </c>
      <c r="J125" s="3" t="n">
        <f aca="false">-charge!E123</f>
        <v>-0</v>
      </c>
      <c r="K125" s="3" t="n">
        <f aca="false">discharge!E123</f>
        <v>0</v>
      </c>
      <c r="L125" s="3" t="n">
        <f aca="false">soc!E123/investment!$E$4 *100</f>
        <v>64.9978432300726</v>
      </c>
    </row>
    <row r="126" customFormat="false" ht="13.8" hidden="false" customHeight="false" outlineLevel="0" collapsed="false">
      <c r="B126" s="11" t="n">
        <f aca="false">_xlfn.NUMBERVALUE(solar!B123)</f>
        <v>0</v>
      </c>
      <c r="C126" s="12" t="n">
        <f aca="false">solar!C123</f>
        <v>0</v>
      </c>
      <c r="D126" s="6" t="n">
        <v>122</v>
      </c>
      <c r="E126" s="17" t="n">
        <f aca="false">IFERROR(INDEX($B$5:$C$173, MATCH($D126, $B$5:$B$175, 0), 2), 0)*investment!$C$4</f>
        <v>0</v>
      </c>
      <c r="F126" s="18" t="n">
        <f aca="false">demand!E124</f>
        <v>0</v>
      </c>
      <c r="G126" s="3" t="n">
        <f aca="false">solgen!E124</f>
        <v>0</v>
      </c>
      <c r="H126" s="3" t="n">
        <f aca="false">import!E124</f>
        <v>0</v>
      </c>
      <c r="I126" s="3" t="n">
        <f aca="false">-export!E124</f>
        <v>-0</v>
      </c>
      <c r="J126" s="3" t="n">
        <f aca="false">-charge!E124</f>
        <v>-0</v>
      </c>
      <c r="K126" s="3" t="n">
        <f aca="false">discharge!E124</f>
        <v>0</v>
      </c>
      <c r="L126" s="3" t="n">
        <f aca="false">soc!E124/investment!$E$4 *100</f>
        <v>61.3349162660755</v>
      </c>
    </row>
    <row r="127" customFormat="false" ht="13.8" hidden="false" customHeight="false" outlineLevel="0" collapsed="false">
      <c r="B127" s="11" t="n">
        <f aca="false">_xlfn.NUMBERVALUE(solar!B124)</f>
        <v>0</v>
      </c>
      <c r="C127" s="12" t="n">
        <f aca="false">solar!C124</f>
        <v>0</v>
      </c>
      <c r="D127" s="6" t="n">
        <v>123</v>
      </c>
      <c r="E127" s="17" t="n">
        <f aca="false">IFERROR(INDEX($B$5:$C$173, MATCH($D127, $B$5:$B$175, 0), 2), 0)*investment!$C$4</f>
        <v>0</v>
      </c>
      <c r="F127" s="18" t="n">
        <f aca="false">demand!E125</f>
        <v>0</v>
      </c>
      <c r="G127" s="3" t="n">
        <f aca="false">solgen!E125</f>
        <v>0</v>
      </c>
      <c r="H127" s="3" t="n">
        <f aca="false">import!E125</f>
        <v>0</v>
      </c>
      <c r="I127" s="3" t="n">
        <f aca="false">-export!E125</f>
        <v>-0</v>
      </c>
      <c r="J127" s="3" t="n">
        <f aca="false">-charge!E125</f>
        <v>-0</v>
      </c>
      <c r="K127" s="3" t="n">
        <f aca="false">discharge!E125</f>
        <v>0</v>
      </c>
      <c r="L127" s="3" t="n">
        <f aca="false">soc!E125/investment!$E$4 *100</f>
        <v>57.6720259313481</v>
      </c>
    </row>
    <row r="128" customFormat="false" ht="13.8" hidden="false" customHeight="false" outlineLevel="0" collapsed="false">
      <c r="B128" s="11" t="n">
        <f aca="false">_xlfn.NUMBERVALUE(solar!B125)</f>
        <v>0</v>
      </c>
      <c r="C128" s="12" t="n">
        <f aca="false">solar!C125</f>
        <v>0</v>
      </c>
      <c r="D128" s="6" t="n">
        <v>124</v>
      </c>
      <c r="E128" s="17" t="n">
        <f aca="false">IFERROR(INDEX($B$5:$C$173, MATCH($D128, $B$5:$B$175, 0), 2), 0)*investment!$C$4</f>
        <v>0</v>
      </c>
      <c r="F128" s="18" t="n">
        <f aca="false">demand!E126</f>
        <v>0</v>
      </c>
      <c r="G128" s="3" t="n">
        <f aca="false">solgen!E126</f>
        <v>0</v>
      </c>
      <c r="H128" s="3" t="n">
        <f aca="false">import!E126</f>
        <v>0</v>
      </c>
      <c r="I128" s="3" t="n">
        <f aca="false">-export!E126</f>
        <v>-0</v>
      </c>
      <c r="J128" s="3" t="n">
        <f aca="false">-charge!E126</f>
        <v>-0</v>
      </c>
      <c r="K128" s="3" t="n">
        <f aca="false">discharge!E126</f>
        <v>0</v>
      </c>
      <c r="L128" s="3" t="n">
        <f aca="false">soc!E126/investment!$E$4 *100</f>
        <v>54.009172225524</v>
      </c>
    </row>
    <row r="129" customFormat="false" ht="13.8" hidden="false" customHeight="false" outlineLevel="0" collapsed="false">
      <c r="B129" s="11" t="n">
        <f aca="false">_xlfn.NUMBERVALUE(solar!B126)</f>
        <v>0</v>
      </c>
      <c r="C129" s="12" t="n">
        <f aca="false">solar!C126</f>
        <v>0</v>
      </c>
      <c r="D129" s="6" t="n">
        <v>125</v>
      </c>
      <c r="E129" s="17" t="n">
        <f aca="false">IFERROR(INDEX($B$5:$C$173, MATCH($D129, $B$5:$B$175, 0), 2), 0)*investment!$C$4</f>
        <v>0</v>
      </c>
      <c r="F129" s="18" t="n">
        <f aca="false">demand!E127</f>
        <v>0</v>
      </c>
      <c r="G129" s="3" t="n">
        <f aca="false">solgen!E127</f>
        <v>0</v>
      </c>
      <c r="H129" s="3" t="n">
        <f aca="false">import!E127</f>
        <v>0</v>
      </c>
      <c r="I129" s="3" t="n">
        <f aca="false">-export!E127</f>
        <v>-0</v>
      </c>
      <c r="J129" s="3" t="n">
        <f aca="false">-charge!E127</f>
        <v>-0</v>
      </c>
      <c r="K129" s="3" t="n">
        <f aca="false">discharge!E127</f>
        <v>0</v>
      </c>
      <c r="L129" s="3" t="n">
        <f aca="false">soc!E127/investment!$E$4 *100</f>
        <v>50.346355148237</v>
      </c>
    </row>
    <row r="130" customFormat="false" ht="13.8" hidden="false" customHeight="false" outlineLevel="0" collapsed="false">
      <c r="B130" s="11" t="n">
        <f aca="false">_xlfn.NUMBERVALUE(solar!B127)</f>
        <v>0</v>
      </c>
      <c r="C130" s="12" t="n">
        <f aca="false">solar!C127</f>
        <v>0</v>
      </c>
      <c r="D130" s="6" t="n">
        <v>126</v>
      </c>
      <c r="E130" s="17" t="n">
        <f aca="false">IFERROR(INDEX($B$5:$C$173, MATCH($D130, $B$5:$B$175, 0), 2), 0)*investment!$C$4</f>
        <v>0</v>
      </c>
      <c r="F130" s="18" t="n">
        <f aca="false">demand!E128</f>
        <v>0</v>
      </c>
      <c r="G130" s="3" t="n">
        <f aca="false">solgen!E128</f>
        <v>0</v>
      </c>
      <c r="H130" s="3" t="n">
        <f aca="false">import!E128</f>
        <v>0</v>
      </c>
      <c r="I130" s="3" t="n">
        <f aca="false">-export!E128</f>
        <v>-0</v>
      </c>
      <c r="J130" s="3" t="n">
        <f aca="false">-charge!E128</f>
        <v>-0</v>
      </c>
      <c r="K130" s="3" t="n">
        <f aca="false">discharge!E128</f>
        <v>0</v>
      </c>
      <c r="L130" s="3" t="n">
        <f aca="false">soc!E128/investment!$E$4 *100</f>
        <v>48.4855400862874</v>
      </c>
    </row>
    <row r="131" customFormat="false" ht="13.8" hidden="false" customHeight="false" outlineLevel="0" collapsed="false">
      <c r="B131" s="11" t="n">
        <f aca="false">_xlfn.NUMBERVALUE(solar!B128)</f>
        <v>0</v>
      </c>
      <c r="C131" s="12" t="n">
        <f aca="false">solar!C128</f>
        <v>0</v>
      </c>
      <c r="D131" s="6" t="n">
        <v>127</v>
      </c>
      <c r="E131" s="17" t="n">
        <f aca="false">IFERROR(INDEX($B$5:$C$173, MATCH($D131, $B$5:$B$175, 0), 2), 0)*investment!$C$4</f>
        <v>0</v>
      </c>
      <c r="F131" s="18" t="n">
        <f aca="false">demand!E129</f>
        <v>0</v>
      </c>
      <c r="G131" s="3" t="n">
        <f aca="false">solgen!E129</f>
        <v>0</v>
      </c>
      <c r="H131" s="3" t="n">
        <f aca="false">import!E129</f>
        <v>0</v>
      </c>
      <c r="I131" s="3" t="n">
        <f aca="false">-export!E129</f>
        <v>-0</v>
      </c>
      <c r="J131" s="3" t="n">
        <f aca="false">-charge!E129</f>
        <v>-0</v>
      </c>
      <c r="K131" s="3" t="n">
        <f aca="false">discharge!E129</f>
        <v>0</v>
      </c>
      <c r="L131" s="3" t="n">
        <f aca="false">soc!E129/investment!$E$4 *100</f>
        <v>45.1327930831623</v>
      </c>
    </row>
    <row r="132" customFormat="false" ht="13.8" hidden="false" customHeight="false" outlineLevel="0" collapsed="false">
      <c r="B132" s="11" t="n">
        <f aca="false">_xlfn.NUMBERVALUE(solar!B129)</f>
        <v>0</v>
      </c>
      <c r="C132" s="12" t="n">
        <f aca="false">solar!C129</f>
        <v>0</v>
      </c>
      <c r="D132" s="6" t="n">
        <v>128</v>
      </c>
      <c r="E132" s="17" t="n">
        <f aca="false">IFERROR(INDEX($B$5:$C$173, MATCH($D132, $B$5:$B$175, 0), 2), 0)*investment!$C$4</f>
        <v>0</v>
      </c>
      <c r="F132" s="18" t="n">
        <f aca="false">demand!E130</f>
        <v>0</v>
      </c>
      <c r="G132" s="3" t="n">
        <f aca="false">solgen!E130</f>
        <v>0</v>
      </c>
      <c r="H132" s="3" t="n">
        <f aca="false">import!E130</f>
        <v>0</v>
      </c>
      <c r="I132" s="3" t="n">
        <f aca="false">-export!E130</f>
        <v>-0</v>
      </c>
      <c r="J132" s="3" t="n">
        <f aca="false">-charge!E130</f>
        <v>-0</v>
      </c>
      <c r="K132" s="3" t="n">
        <f aca="false">discharge!E130</f>
        <v>0</v>
      </c>
      <c r="L132" s="3" t="n">
        <f aca="false">soc!E130/investment!$E$4 *100</f>
        <v>43.8784291552422</v>
      </c>
    </row>
    <row r="133" customFormat="false" ht="13.8" hidden="false" customHeight="false" outlineLevel="0" collapsed="false">
      <c r="B133" s="11" t="n">
        <f aca="false">_xlfn.NUMBERVALUE(solar!B130)</f>
        <v>0</v>
      </c>
      <c r="C133" s="12" t="n">
        <f aca="false">solar!C130</f>
        <v>0</v>
      </c>
      <c r="D133" s="6" t="n">
        <v>129</v>
      </c>
      <c r="E133" s="17" t="n">
        <f aca="false">IFERROR(INDEX($B$5:$C$173, MATCH($D133, $B$5:$B$175, 0), 2), 0)*investment!$C$4</f>
        <v>0</v>
      </c>
      <c r="F133" s="18" t="n">
        <f aca="false">demand!E131</f>
        <v>0</v>
      </c>
      <c r="G133" s="3" t="n">
        <f aca="false">solgen!E131</f>
        <v>0</v>
      </c>
      <c r="H133" s="3" t="n">
        <f aca="false">import!E131</f>
        <v>0</v>
      </c>
      <c r="I133" s="3" t="n">
        <f aca="false">-export!E131</f>
        <v>-0</v>
      </c>
      <c r="J133" s="3" t="n">
        <f aca="false">-charge!E131</f>
        <v>-0</v>
      </c>
      <c r="K133" s="3" t="n">
        <f aca="false">discharge!E131</f>
        <v>0</v>
      </c>
      <c r="L133" s="3" t="n">
        <f aca="false">soc!E131/investment!$E$4 *100</f>
        <v>49.7361793804503</v>
      </c>
    </row>
    <row r="134" customFormat="false" ht="13.8" hidden="false" customHeight="false" outlineLevel="0" collapsed="false">
      <c r="B134" s="11" t="n">
        <f aca="false">_xlfn.NUMBERVALUE(solar!B131)</f>
        <v>0</v>
      </c>
      <c r="C134" s="12" t="n">
        <f aca="false">solar!C131</f>
        <v>0</v>
      </c>
      <c r="D134" s="6" t="n">
        <v>130</v>
      </c>
      <c r="E134" s="17" t="n">
        <f aca="false">IFERROR(INDEX($B$5:$C$173, MATCH($D134, $B$5:$B$175, 0), 2), 0)*investment!$C$4</f>
        <v>0</v>
      </c>
      <c r="F134" s="18" t="n">
        <f aca="false">demand!E132</f>
        <v>0</v>
      </c>
      <c r="G134" s="3" t="n">
        <f aca="false">solgen!E132</f>
        <v>0</v>
      </c>
      <c r="H134" s="3" t="n">
        <f aca="false">import!E132</f>
        <v>0</v>
      </c>
      <c r="I134" s="3" t="n">
        <f aca="false">-export!E132</f>
        <v>-0</v>
      </c>
      <c r="J134" s="3" t="n">
        <f aca="false">-charge!E132</f>
        <v>-0</v>
      </c>
      <c r="K134" s="3" t="n">
        <f aca="false">discharge!E132</f>
        <v>0</v>
      </c>
      <c r="L134" s="3" t="n">
        <f aca="false">soc!E132/investment!$E$4 *100</f>
        <v>60.4709014121718</v>
      </c>
    </row>
    <row r="135" customFormat="false" ht="13.8" hidden="false" customHeight="false" outlineLevel="0" collapsed="false">
      <c r="B135" s="11" t="n">
        <f aca="false">_xlfn.NUMBERVALUE(solar!B132)</f>
        <v>0</v>
      </c>
      <c r="C135" s="12" t="n">
        <f aca="false">solar!C132</f>
        <v>0</v>
      </c>
      <c r="D135" s="6" t="n">
        <v>131</v>
      </c>
      <c r="E135" s="17" t="n">
        <f aca="false">IFERROR(INDEX($B$5:$C$173, MATCH($D135, $B$5:$B$175, 0), 2), 0)*investment!$C$4</f>
        <v>0</v>
      </c>
      <c r="F135" s="18" t="n">
        <f aca="false">demand!E133</f>
        <v>0</v>
      </c>
      <c r="G135" s="3" t="n">
        <f aca="false">solgen!E133</f>
        <v>0</v>
      </c>
      <c r="H135" s="3" t="n">
        <f aca="false">import!E133</f>
        <v>0</v>
      </c>
      <c r="I135" s="3" t="n">
        <f aca="false">-export!E133</f>
        <v>-0</v>
      </c>
      <c r="J135" s="3" t="n">
        <f aca="false">-charge!E133</f>
        <v>-0</v>
      </c>
      <c r="K135" s="3" t="n">
        <f aca="false">discharge!E133</f>
        <v>0</v>
      </c>
      <c r="L135" s="3" t="n">
        <f aca="false">soc!E133/investment!$E$4 *100</f>
        <v>71.6498870015438</v>
      </c>
    </row>
    <row r="136" customFormat="false" ht="13.8" hidden="false" customHeight="false" outlineLevel="0" collapsed="false">
      <c r="B136" s="11" t="n">
        <f aca="false">_xlfn.NUMBERVALUE(solar!B133)</f>
        <v>0</v>
      </c>
      <c r="C136" s="12" t="n">
        <f aca="false">solar!C133</f>
        <v>0</v>
      </c>
      <c r="D136" s="6" t="n">
        <v>132</v>
      </c>
      <c r="E136" s="17" t="n">
        <f aca="false">IFERROR(INDEX($B$5:$C$173, MATCH($D136, $B$5:$B$175, 0), 2), 0)*investment!$C$4</f>
        <v>0</v>
      </c>
      <c r="F136" s="18" t="n">
        <f aca="false">demand!E134</f>
        <v>0</v>
      </c>
      <c r="G136" s="3" t="n">
        <f aca="false">solgen!E134</f>
        <v>0</v>
      </c>
      <c r="H136" s="3" t="n">
        <f aca="false">import!E134</f>
        <v>0</v>
      </c>
      <c r="I136" s="3" t="n">
        <f aca="false">-export!E134</f>
        <v>-0</v>
      </c>
      <c r="J136" s="3" t="n">
        <f aca="false">-charge!E134</f>
        <v>-0</v>
      </c>
      <c r="K136" s="3" t="n">
        <f aca="false">discharge!E134</f>
        <v>0</v>
      </c>
      <c r="L136" s="3" t="n">
        <f aca="false">soc!E134/investment!$E$4 *100</f>
        <v>84.2029412050666</v>
      </c>
    </row>
    <row r="137" customFormat="false" ht="13.8" hidden="false" customHeight="false" outlineLevel="0" collapsed="false">
      <c r="B137" s="11" t="n">
        <f aca="false">_xlfn.NUMBERVALUE(solar!B134)</f>
        <v>0</v>
      </c>
      <c r="C137" s="12" t="n">
        <f aca="false">solar!C134</f>
        <v>0</v>
      </c>
      <c r="D137" s="6" t="n">
        <v>133</v>
      </c>
      <c r="E137" s="17" t="n">
        <f aca="false">IFERROR(INDEX($B$5:$C$173, MATCH($D137, $B$5:$B$175, 0), 2), 0)*investment!$C$4</f>
        <v>0</v>
      </c>
      <c r="F137" s="18" t="n">
        <f aca="false">demand!E135</f>
        <v>0</v>
      </c>
      <c r="G137" s="3" t="n">
        <f aca="false">solgen!E135</f>
        <v>0</v>
      </c>
      <c r="H137" s="3" t="n">
        <f aca="false">import!E135</f>
        <v>0</v>
      </c>
      <c r="I137" s="3" t="n">
        <f aca="false">-export!E135</f>
        <v>-0</v>
      </c>
      <c r="J137" s="3" t="n">
        <f aca="false">-charge!E135</f>
        <v>-0</v>
      </c>
      <c r="K137" s="3" t="n">
        <f aca="false">discharge!E135</f>
        <v>0</v>
      </c>
      <c r="L137" s="3" t="n">
        <f aca="false">soc!E135/investment!$E$4 *100</f>
        <v>92.8377734001622</v>
      </c>
    </row>
    <row r="138" customFormat="false" ht="13.8" hidden="false" customHeight="false" outlineLevel="0" collapsed="false">
      <c r="B138" s="11" t="n">
        <f aca="false">_xlfn.NUMBERVALUE(solar!B135)</f>
        <v>0</v>
      </c>
      <c r="C138" s="12" t="n">
        <f aca="false">solar!C135</f>
        <v>0</v>
      </c>
      <c r="D138" s="6" t="n">
        <v>134</v>
      </c>
      <c r="E138" s="17" t="n">
        <f aca="false">IFERROR(INDEX($B$5:$C$173, MATCH($D138, $B$5:$B$175, 0), 2), 0)*investment!$C$4</f>
        <v>0</v>
      </c>
      <c r="F138" s="18" t="n">
        <f aca="false">demand!E136</f>
        <v>0</v>
      </c>
      <c r="G138" s="3" t="n">
        <f aca="false">solgen!E136</f>
        <v>0</v>
      </c>
      <c r="H138" s="3" t="n">
        <f aca="false">import!E136</f>
        <v>0</v>
      </c>
      <c r="I138" s="3" t="n">
        <f aca="false">-export!E136</f>
        <v>-0</v>
      </c>
      <c r="J138" s="3" t="n">
        <f aca="false">-charge!E136</f>
        <v>-0</v>
      </c>
      <c r="K138" s="3" t="n">
        <f aca="false">discharge!E136</f>
        <v>0</v>
      </c>
      <c r="L138" s="3" t="n">
        <f aca="false">soc!E136/investment!$E$4 *100</f>
        <v>86.4719933831176</v>
      </c>
    </row>
    <row r="139" customFormat="false" ht="13.8" hidden="false" customHeight="false" outlineLevel="0" collapsed="false">
      <c r="B139" s="11" t="n">
        <f aca="false">_xlfn.NUMBERVALUE(solar!B136)</f>
        <v>0</v>
      </c>
      <c r="C139" s="12" t="n">
        <f aca="false">solar!C136</f>
        <v>0</v>
      </c>
      <c r="D139" s="6" t="n">
        <v>135</v>
      </c>
      <c r="E139" s="17" t="n">
        <f aca="false">IFERROR(INDEX($B$5:$C$173, MATCH($D139, $B$5:$B$175, 0), 2), 0)*investment!$C$4</f>
        <v>0</v>
      </c>
      <c r="F139" s="18" t="n">
        <f aca="false">demand!E137</f>
        <v>0</v>
      </c>
      <c r="G139" s="3" t="n">
        <f aca="false">solgen!E137</f>
        <v>0</v>
      </c>
      <c r="H139" s="3" t="n">
        <f aca="false">import!E137</f>
        <v>0</v>
      </c>
      <c r="I139" s="3" t="n">
        <f aca="false">-export!E137</f>
        <v>-0</v>
      </c>
      <c r="J139" s="3" t="n">
        <f aca="false">-charge!E137</f>
        <v>-0</v>
      </c>
      <c r="K139" s="3" t="n">
        <f aca="false">discharge!E137</f>
        <v>0</v>
      </c>
      <c r="L139" s="3" t="n">
        <f aca="false">soc!E137/investment!$E$4 *100</f>
        <v>84.7988346578061</v>
      </c>
    </row>
    <row r="140" customFormat="false" ht="13.8" hidden="false" customHeight="false" outlineLevel="0" collapsed="false">
      <c r="B140" s="11" t="n">
        <f aca="false">_xlfn.NUMBERVALUE(solar!B137)</f>
        <v>0</v>
      </c>
      <c r="C140" s="12" t="n">
        <f aca="false">solar!C137</f>
        <v>0</v>
      </c>
      <c r="D140" s="6" t="n">
        <v>136</v>
      </c>
      <c r="E140" s="17" t="n">
        <f aca="false">IFERROR(INDEX($B$5:$C$173, MATCH($D140, $B$5:$B$175, 0), 2), 0)*investment!$C$4</f>
        <v>0</v>
      </c>
      <c r="F140" s="18" t="n">
        <f aca="false">demand!E138</f>
        <v>0</v>
      </c>
      <c r="G140" s="3" t="n">
        <f aca="false">solgen!E138</f>
        <v>0</v>
      </c>
      <c r="H140" s="3" t="n">
        <f aca="false">import!E138</f>
        <v>0</v>
      </c>
      <c r="I140" s="3" t="n">
        <f aca="false">-export!E138</f>
        <v>-0</v>
      </c>
      <c r="J140" s="3" t="n">
        <f aca="false">-charge!E138</f>
        <v>-0</v>
      </c>
      <c r="K140" s="3" t="n">
        <f aca="false">discharge!E138</f>
        <v>0</v>
      </c>
      <c r="L140" s="3" t="n">
        <f aca="false">soc!E138/investment!$E$4 *100</f>
        <v>77.3360624692261</v>
      </c>
    </row>
    <row r="141" customFormat="false" ht="13.8" hidden="false" customHeight="false" outlineLevel="0" collapsed="false">
      <c r="B141" s="11" t="n">
        <f aca="false">_xlfn.NUMBERVALUE(solar!B138)</f>
        <v>0</v>
      </c>
      <c r="C141" s="12" t="n">
        <f aca="false">solar!C138</f>
        <v>0</v>
      </c>
      <c r="D141" s="6" t="n">
        <v>137</v>
      </c>
      <c r="E141" s="17" t="n">
        <f aca="false">IFERROR(INDEX($B$5:$C$173, MATCH($D141, $B$5:$B$175, 0), 2), 0)*investment!$C$4</f>
        <v>0</v>
      </c>
      <c r="F141" s="18" t="n">
        <f aca="false">demand!E139</f>
        <v>0</v>
      </c>
      <c r="G141" s="3" t="n">
        <f aca="false">solgen!E139</f>
        <v>0</v>
      </c>
      <c r="H141" s="3" t="n">
        <f aca="false">import!E139</f>
        <v>0</v>
      </c>
      <c r="I141" s="3" t="n">
        <f aca="false">-export!E139</f>
        <v>-0</v>
      </c>
      <c r="J141" s="3" t="n">
        <f aca="false">-charge!E139</f>
        <v>-0</v>
      </c>
      <c r="K141" s="3" t="n">
        <f aca="false">discharge!E139</f>
        <v>0</v>
      </c>
      <c r="L141" s="3" t="n">
        <f aca="false">soc!E139/investment!$E$4 *100</f>
        <v>57.8006574201978</v>
      </c>
    </row>
    <row r="142" customFormat="false" ht="13.8" hidden="false" customHeight="false" outlineLevel="0" collapsed="false">
      <c r="B142" s="11" t="n">
        <f aca="false">_xlfn.NUMBERVALUE(solar!B139)</f>
        <v>0</v>
      </c>
      <c r="C142" s="12" t="n">
        <f aca="false">solar!C139</f>
        <v>0</v>
      </c>
      <c r="D142" s="6" t="n">
        <v>138</v>
      </c>
      <c r="E142" s="17" t="n">
        <f aca="false">IFERROR(INDEX($B$5:$C$173, MATCH($D142, $B$5:$B$175, 0), 2), 0)*investment!$C$4</f>
        <v>0</v>
      </c>
      <c r="F142" s="18" t="n">
        <f aca="false">demand!E140</f>
        <v>0</v>
      </c>
      <c r="G142" s="3" t="n">
        <f aca="false">solgen!E140</f>
        <v>0</v>
      </c>
      <c r="H142" s="3" t="n">
        <f aca="false">import!E140</f>
        <v>0</v>
      </c>
      <c r="I142" s="3" t="n">
        <f aca="false">-export!E140</f>
        <v>-0</v>
      </c>
      <c r="J142" s="3" t="n">
        <f aca="false">-charge!E140</f>
        <v>-0</v>
      </c>
      <c r="K142" s="3" t="n">
        <f aca="false">discharge!E140</f>
        <v>0</v>
      </c>
      <c r="L142" s="3" t="n">
        <f aca="false">soc!E140/investment!$E$4 *100</f>
        <v>40.9219832497891</v>
      </c>
    </row>
    <row r="143" customFormat="false" ht="13.8" hidden="false" customHeight="false" outlineLevel="0" collapsed="false">
      <c r="B143" s="11" t="n">
        <f aca="false">_xlfn.NUMBERVALUE(solar!B140)</f>
        <v>0</v>
      </c>
      <c r="C143" s="12" t="n">
        <f aca="false">solar!C140</f>
        <v>0</v>
      </c>
      <c r="D143" s="6" t="n">
        <v>139</v>
      </c>
      <c r="E143" s="17" t="n">
        <f aca="false">IFERROR(INDEX($B$5:$C$173, MATCH($D143, $B$5:$B$175, 0), 2), 0)*investment!$C$4</f>
        <v>0</v>
      </c>
      <c r="F143" s="18" t="n">
        <f aca="false">demand!E141</f>
        <v>0</v>
      </c>
      <c r="G143" s="3" t="n">
        <f aca="false">solgen!E141</f>
        <v>0</v>
      </c>
      <c r="H143" s="3" t="n">
        <f aca="false">import!E141</f>
        <v>0</v>
      </c>
      <c r="I143" s="3" t="n">
        <f aca="false">-export!E141</f>
        <v>-0</v>
      </c>
      <c r="J143" s="3" t="n">
        <f aca="false">-charge!E141</f>
        <v>-0</v>
      </c>
      <c r="K143" s="3" t="n">
        <f aca="false">discharge!E141</f>
        <v>0</v>
      </c>
      <c r="L143" s="3" t="n">
        <f aca="false">soc!E141/investment!$E$4 *100</f>
        <v>33.8585572098977</v>
      </c>
    </row>
    <row r="144" customFormat="false" ht="13.8" hidden="false" customHeight="false" outlineLevel="0" collapsed="false">
      <c r="B144" s="11" t="n">
        <f aca="false">_xlfn.NUMBERVALUE(solar!B141)</f>
        <v>0</v>
      </c>
      <c r="C144" s="12" t="n">
        <f aca="false">solar!C141</f>
        <v>0</v>
      </c>
      <c r="D144" s="6" t="n">
        <v>140</v>
      </c>
      <c r="E144" s="17" t="n">
        <f aca="false">IFERROR(INDEX($B$5:$C$173, MATCH($D144, $B$5:$B$175, 0), 2), 0)*investment!$C$4</f>
        <v>0</v>
      </c>
      <c r="F144" s="18" t="n">
        <f aca="false">demand!E142</f>
        <v>0</v>
      </c>
      <c r="G144" s="3" t="n">
        <f aca="false">solgen!E142</f>
        <v>0</v>
      </c>
      <c r="H144" s="3" t="n">
        <f aca="false">import!E142</f>
        <v>0</v>
      </c>
      <c r="I144" s="3" t="n">
        <f aca="false">-export!E142</f>
        <v>-0</v>
      </c>
      <c r="J144" s="3" t="n">
        <f aca="false">-charge!E142</f>
        <v>-0</v>
      </c>
      <c r="K144" s="3" t="n">
        <f aca="false">discharge!E142</f>
        <v>0</v>
      </c>
      <c r="L144" s="3" t="n">
        <f aca="false">soc!E142/investment!$E$4 *100</f>
        <v>26.1368970524628</v>
      </c>
    </row>
    <row r="145" customFormat="false" ht="13.8" hidden="false" customHeight="false" outlineLevel="0" collapsed="false">
      <c r="B145" s="11" t="n">
        <f aca="false">_xlfn.NUMBERVALUE(solar!B142)</f>
        <v>0</v>
      </c>
      <c r="C145" s="12" t="n">
        <f aca="false">solar!C142</f>
        <v>0</v>
      </c>
      <c r="D145" s="6" t="n">
        <v>141</v>
      </c>
      <c r="E145" s="17" t="n">
        <f aca="false">IFERROR(INDEX($B$5:$C$173, MATCH($D145, $B$5:$B$175, 0), 2), 0)*investment!$C$4</f>
        <v>0</v>
      </c>
      <c r="F145" s="18" t="n">
        <f aca="false">demand!E143</f>
        <v>0</v>
      </c>
      <c r="G145" s="3" t="n">
        <f aca="false">solgen!E143</f>
        <v>0</v>
      </c>
      <c r="H145" s="3" t="n">
        <f aca="false">import!E143</f>
        <v>0</v>
      </c>
      <c r="I145" s="3" t="n">
        <f aca="false">-export!E143</f>
        <v>-0</v>
      </c>
      <c r="J145" s="3" t="n">
        <f aca="false">-charge!E143</f>
        <v>-0</v>
      </c>
      <c r="K145" s="3" t="n">
        <f aca="false">discharge!E143</f>
        <v>0</v>
      </c>
      <c r="L145" s="3" t="n">
        <f aca="false">soc!E143/investment!$E$4 *100</f>
        <v>23.5076413743712</v>
      </c>
    </row>
    <row r="146" customFormat="false" ht="13.8" hidden="false" customHeight="false" outlineLevel="0" collapsed="false">
      <c r="B146" s="11" t="n">
        <f aca="false">_xlfn.NUMBERVALUE(solar!B143)</f>
        <v>0</v>
      </c>
      <c r="C146" s="12" t="n">
        <f aca="false">solar!C143</f>
        <v>0</v>
      </c>
      <c r="D146" s="6" t="n">
        <v>142</v>
      </c>
      <c r="E146" s="17" t="n">
        <f aca="false">IFERROR(INDEX($B$5:$C$173, MATCH($D146, $B$5:$B$175, 0), 2), 0)*investment!$C$4</f>
        <v>0</v>
      </c>
      <c r="F146" s="18" t="n">
        <f aca="false">demand!E144</f>
        <v>0</v>
      </c>
      <c r="G146" s="3" t="n">
        <f aca="false">solgen!E144</f>
        <v>0</v>
      </c>
      <c r="H146" s="3" t="n">
        <f aca="false">import!E144</f>
        <v>0</v>
      </c>
      <c r="I146" s="3" t="n">
        <f aca="false">-export!E144</f>
        <v>-0</v>
      </c>
      <c r="J146" s="3" t="n">
        <f aca="false">-charge!E144</f>
        <v>-0</v>
      </c>
      <c r="K146" s="3" t="n">
        <f aca="false">discharge!E144</f>
        <v>0</v>
      </c>
      <c r="L146" s="3" t="n">
        <f aca="false">soc!E144/investment!$E$4 *100</f>
        <v>20.3857450493239</v>
      </c>
    </row>
    <row r="147" customFormat="false" ht="13.8" hidden="false" customHeight="false" outlineLevel="0" collapsed="false">
      <c r="B147" s="11" t="n">
        <f aca="false">_xlfn.NUMBERVALUE(solar!B144)</f>
        <v>0</v>
      </c>
      <c r="C147" s="12" t="n">
        <f aca="false">solar!C144</f>
        <v>0</v>
      </c>
      <c r="D147" s="6" t="n">
        <v>143</v>
      </c>
      <c r="E147" s="17" t="n">
        <f aca="false">IFERROR(INDEX($B$5:$C$173, MATCH($D147, $B$5:$B$175, 0), 2), 0)*investment!$C$4</f>
        <v>0</v>
      </c>
      <c r="F147" s="18" t="n">
        <f aca="false">demand!E145</f>
        <v>0</v>
      </c>
      <c r="G147" s="3" t="n">
        <f aca="false">solgen!E145</f>
        <v>0</v>
      </c>
      <c r="H147" s="3" t="n">
        <f aca="false">import!E145</f>
        <v>0</v>
      </c>
      <c r="I147" s="3" t="n">
        <f aca="false">-export!E145</f>
        <v>-0</v>
      </c>
      <c r="J147" s="3" t="n">
        <f aca="false">-charge!E145</f>
        <v>-0</v>
      </c>
      <c r="K147" s="3" t="n">
        <f aca="false">discharge!E145</f>
        <v>0</v>
      </c>
      <c r="L147" s="3" t="n">
        <f aca="false">soc!E145/investment!$E$4 *100</f>
        <v>18.4715558898826</v>
      </c>
    </row>
    <row r="148" customFormat="false" ht="13.8" hidden="false" customHeight="false" outlineLevel="0" collapsed="false">
      <c r="B148" s="11" t="n">
        <f aca="false">_xlfn.NUMBERVALUE(solar!B145)</f>
        <v>0</v>
      </c>
      <c r="C148" s="12" t="n">
        <f aca="false">solar!C145</f>
        <v>0</v>
      </c>
      <c r="D148" s="6" t="n">
        <v>144</v>
      </c>
      <c r="E148" s="17" t="n">
        <f aca="false">IFERROR(INDEX($B$5:$C$173, MATCH($D148, $B$5:$B$175, 0), 2), 0)*investment!$C$4</f>
        <v>0</v>
      </c>
      <c r="F148" s="18" t="n">
        <f aca="false">demand!E146</f>
        <v>0</v>
      </c>
      <c r="G148" s="3" t="n">
        <f aca="false">solgen!E146</f>
        <v>0</v>
      </c>
      <c r="H148" s="3" t="n">
        <f aca="false">import!E146</f>
        <v>0</v>
      </c>
      <c r="I148" s="3" t="n">
        <f aca="false">-export!E146</f>
        <v>-0</v>
      </c>
      <c r="J148" s="3" t="n">
        <f aca="false">-charge!E146</f>
        <v>-0</v>
      </c>
      <c r="K148" s="3" t="n">
        <f aca="false">discharge!E146</f>
        <v>0</v>
      </c>
      <c r="L148" s="3" t="n">
        <f aca="false">soc!E146/investment!$E$4 *100</f>
        <v>15.9034026073721</v>
      </c>
    </row>
    <row r="149" customFormat="false" ht="13.8" hidden="false" customHeight="false" outlineLevel="0" collapsed="false">
      <c r="B149" s="11" t="n">
        <f aca="false">_xlfn.NUMBERVALUE(solar!B146)</f>
        <v>0</v>
      </c>
      <c r="C149" s="12" t="n">
        <f aca="false">solar!C146</f>
        <v>0</v>
      </c>
      <c r="D149" s="6" t="n">
        <v>145</v>
      </c>
      <c r="E149" s="17" t="n">
        <f aca="false">IFERROR(INDEX($B$5:$C$173, MATCH($D149, $B$5:$B$175, 0), 2), 0)*investment!$C$4</f>
        <v>0</v>
      </c>
      <c r="F149" s="18" t="n">
        <f aca="false">demand!E147</f>
        <v>0</v>
      </c>
      <c r="G149" s="3" t="n">
        <f aca="false">solgen!E147</f>
        <v>0</v>
      </c>
      <c r="H149" s="3" t="n">
        <f aca="false">import!E147</f>
        <v>0</v>
      </c>
      <c r="I149" s="3" t="n">
        <f aca="false">-export!E147</f>
        <v>-0</v>
      </c>
      <c r="J149" s="3" t="n">
        <f aca="false">-charge!E147</f>
        <v>-0</v>
      </c>
      <c r="K149" s="3" t="n">
        <f aca="false">discharge!E147</f>
        <v>0</v>
      </c>
      <c r="L149" s="3" t="n">
        <f aca="false">soc!E147/investment!$E$4 *100</f>
        <v>14.0502840135246</v>
      </c>
    </row>
    <row r="150" customFormat="false" ht="13.8" hidden="false" customHeight="false" outlineLevel="0" collapsed="false">
      <c r="B150" s="11" t="n">
        <f aca="false">_xlfn.NUMBERVALUE(solar!B147)</f>
        <v>0</v>
      </c>
      <c r="C150" s="12" t="n">
        <f aca="false">solar!C147</f>
        <v>0</v>
      </c>
      <c r="D150" s="6" t="n">
        <v>146</v>
      </c>
      <c r="E150" s="17" t="n">
        <f aca="false">IFERROR(INDEX($B$5:$C$173, MATCH($D150, $B$5:$B$175, 0), 2), 0)*investment!$C$4</f>
        <v>0</v>
      </c>
      <c r="F150" s="18" t="n">
        <f aca="false">demand!E148</f>
        <v>0</v>
      </c>
      <c r="G150" s="3" t="n">
        <f aca="false">solgen!E148</f>
        <v>0</v>
      </c>
      <c r="H150" s="3" t="n">
        <f aca="false">import!E148</f>
        <v>0</v>
      </c>
      <c r="I150" s="3" t="n">
        <f aca="false">-export!E148</f>
        <v>-0</v>
      </c>
      <c r="J150" s="3" t="n">
        <f aca="false">-charge!E148</f>
        <v>-0</v>
      </c>
      <c r="K150" s="3" t="n">
        <f aca="false">discharge!E148</f>
        <v>0</v>
      </c>
      <c r="L150" s="3" t="n">
        <f aca="false">soc!E148/investment!$E$4 *100</f>
        <v>11.4124312383963</v>
      </c>
    </row>
    <row r="151" customFormat="false" ht="13.8" hidden="false" customHeight="false" outlineLevel="0" collapsed="false">
      <c r="B151" s="11" t="n">
        <f aca="false">_xlfn.NUMBERVALUE(solar!B148)</f>
        <v>0</v>
      </c>
      <c r="C151" s="12" t="n">
        <f aca="false">solar!C148</f>
        <v>0</v>
      </c>
      <c r="D151" s="6" t="n">
        <v>147</v>
      </c>
      <c r="E151" s="17" t="n">
        <f aca="false">IFERROR(INDEX($B$5:$C$173, MATCH($D151, $B$5:$B$175, 0), 2), 0)*investment!$C$4</f>
        <v>0</v>
      </c>
      <c r="F151" s="18" t="n">
        <f aca="false">demand!E149</f>
        <v>0</v>
      </c>
      <c r="G151" s="3" t="n">
        <f aca="false">solgen!E149</f>
        <v>0</v>
      </c>
      <c r="H151" s="3" t="n">
        <f aca="false">import!E149</f>
        <v>0</v>
      </c>
      <c r="I151" s="3" t="n">
        <f aca="false">-export!E149</f>
        <v>-0</v>
      </c>
      <c r="J151" s="3" t="n">
        <f aca="false">-charge!E149</f>
        <v>-0</v>
      </c>
      <c r="K151" s="3" t="n">
        <f aca="false">discharge!E149</f>
        <v>0</v>
      </c>
      <c r="L151" s="3" t="n">
        <f aca="false">soc!E149/investment!$E$4 *100</f>
        <v>8.79204076812985</v>
      </c>
    </row>
    <row r="152" customFormat="false" ht="13.8" hidden="false" customHeight="false" outlineLevel="0" collapsed="false">
      <c r="B152" s="11" t="n">
        <f aca="false">_xlfn.NUMBERVALUE(solar!B149)</f>
        <v>0</v>
      </c>
      <c r="C152" s="12" t="n">
        <f aca="false">solar!C149</f>
        <v>0</v>
      </c>
      <c r="D152" s="6" t="n">
        <v>148</v>
      </c>
      <c r="E152" s="17" t="n">
        <f aca="false">IFERROR(INDEX($B$5:$C$173, MATCH($D152, $B$5:$B$175, 0), 2), 0)*investment!$C$4</f>
        <v>0</v>
      </c>
      <c r="F152" s="18" t="n">
        <f aca="false">demand!E150</f>
        <v>0</v>
      </c>
      <c r="G152" s="3" t="n">
        <f aca="false">solgen!E150</f>
        <v>0</v>
      </c>
      <c r="H152" s="3" t="n">
        <f aca="false">import!E150</f>
        <v>0</v>
      </c>
      <c r="I152" s="3" t="n">
        <f aca="false">-export!E150</f>
        <v>-0</v>
      </c>
      <c r="J152" s="3" t="n">
        <f aca="false">-charge!E150</f>
        <v>-0</v>
      </c>
      <c r="K152" s="3" t="n">
        <f aca="false">discharge!E150</f>
        <v>0</v>
      </c>
      <c r="L152" s="3" t="n">
        <f aca="false">soc!E150/investment!$E$4 *100</f>
        <v>5.70080447017339</v>
      </c>
    </row>
    <row r="153" customFormat="false" ht="13.8" hidden="false" customHeight="false" outlineLevel="0" collapsed="false">
      <c r="B153" s="11" t="n">
        <f aca="false">_xlfn.NUMBERVALUE(solar!B150)</f>
        <v>0</v>
      </c>
      <c r="C153" s="12" t="n">
        <f aca="false">solar!C150</f>
        <v>0</v>
      </c>
      <c r="D153" s="6" t="n">
        <v>149</v>
      </c>
      <c r="E153" s="17" t="n">
        <f aca="false">IFERROR(INDEX($B$5:$C$173, MATCH($D153, $B$5:$B$175, 0), 2), 0)*investment!$C$4</f>
        <v>0</v>
      </c>
      <c r="F153" s="18" t="n">
        <f aca="false">demand!E151</f>
        <v>0</v>
      </c>
      <c r="G153" s="3" t="n">
        <f aca="false">solgen!E151</f>
        <v>0</v>
      </c>
      <c r="H153" s="3" t="n">
        <f aca="false">import!E151</f>
        <v>0</v>
      </c>
      <c r="I153" s="3" t="n">
        <f aca="false">-export!E151</f>
        <v>-0</v>
      </c>
      <c r="J153" s="3" t="n">
        <f aca="false">-charge!E151</f>
        <v>-0</v>
      </c>
      <c r="K153" s="3" t="n">
        <f aca="false">discharge!E151</f>
        <v>0</v>
      </c>
      <c r="L153" s="3" t="n">
        <f aca="false">soc!E151/investment!$E$4 *100</f>
        <v>3.25922336795721</v>
      </c>
    </row>
    <row r="154" customFormat="false" ht="13.8" hidden="false" customHeight="false" outlineLevel="0" collapsed="false">
      <c r="B154" s="11" t="n">
        <f aca="false">_xlfn.NUMBERVALUE(solar!B151)</f>
        <v>0</v>
      </c>
      <c r="C154" s="12" t="n">
        <f aca="false">solar!C151</f>
        <v>0</v>
      </c>
      <c r="D154" s="6" t="n">
        <v>150</v>
      </c>
      <c r="E154" s="17" t="n">
        <f aca="false">IFERROR(INDEX($B$5:$C$173, MATCH($D154, $B$5:$B$175, 0), 2), 0)*investment!$C$4</f>
        <v>0</v>
      </c>
      <c r="F154" s="18" t="n">
        <f aca="false">demand!E152</f>
        <v>0</v>
      </c>
      <c r="G154" s="3" t="n">
        <f aca="false">solgen!E152</f>
        <v>0</v>
      </c>
      <c r="H154" s="3" t="n">
        <f aca="false">import!E152</f>
        <v>0</v>
      </c>
      <c r="I154" s="3" t="n">
        <f aca="false">-export!E152</f>
        <v>-0</v>
      </c>
      <c r="J154" s="3" t="n">
        <f aca="false">-charge!E152</f>
        <v>-0</v>
      </c>
      <c r="K154" s="3" t="n">
        <f aca="false">discharge!E152</f>
        <v>0</v>
      </c>
      <c r="L154" s="3" t="n">
        <f aca="false">soc!E152/investment!$E$4 *100</f>
        <v>0.0671793893419139</v>
      </c>
    </row>
    <row r="155" customFormat="false" ht="13.8" hidden="false" customHeight="false" outlineLevel="0" collapsed="false">
      <c r="B155" s="11" t="n">
        <f aca="false">_xlfn.NUMBERVALUE(solar!B152)</f>
        <v>0</v>
      </c>
      <c r="C155" s="12" t="n">
        <f aca="false">solar!C152</f>
        <v>0</v>
      </c>
      <c r="D155" s="6" t="n">
        <v>151</v>
      </c>
      <c r="E155" s="17" t="n">
        <f aca="false">IFERROR(INDEX($B$5:$C$173, MATCH($D155, $B$5:$B$175, 0), 2), 0)*investment!$C$4</f>
        <v>0</v>
      </c>
      <c r="F155" s="18" t="n">
        <f aca="false">demand!E153</f>
        <v>0</v>
      </c>
      <c r="G155" s="3" t="n">
        <f aca="false">solgen!E153</f>
        <v>0</v>
      </c>
      <c r="H155" s="3" t="n">
        <f aca="false">import!E153</f>
        <v>0</v>
      </c>
      <c r="I155" s="3" t="n">
        <f aca="false">-export!E153</f>
        <v>-0</v>
      </c>
      <c r="J155" s="3" t="n">
        <f aca="false">-charge!E153</f>
        <v>-0</v>
      </c>
      <c r="K155" s="3" t="n">
        <f aca="false">discharge!E153</f>
        <v>0</v>
      </c>
      <c r="L155" s="3" t="n">
        <f aca="false">soc!E153/investment!$E$4 *100</f>
        <v>0</v>
      </c>
    </row>
    <row r="156" customFormat="false" ht="13.8" hidden="false" customHeight="false" outlineLevel="0" collapsed="false">
      <c r="B156" s="11" t="n">
        <f aca="false">_xlfn.NUMBERVALUE(solar!B153)</f>
        <v>0</v>
      </c>
      <c r="C156" s="12" t="n">
        <f aca="false">solar!C153</f>
        <v>0</v>
      </c>
      <c r="D156" s="6" t="n">
        <v>152</v>
      </c>
      <c r="E156" s="17" t="n">
        <f aca="false">IFERROR(INDEX($B$5:$C$173, MATCH($D156, $B$5:$B$175, 0), 2), 0)*investment!$C$4</f>
        <v>0</v>
      </c>
      <c r="F156" s="18" t="n">
        <f aca="false">demand!E154</f>
        <v>0</v>
      </c>
      <c r="G156" s="3" t="n">
        <f aca="false">solgen!E154</f>
        <v>0</v>
      </c>
      <c r="H156" s="3" t="n">
        <f aca="false">import!E154</f>
        <v>0</v>
      </c>
      <c r="I156" s="3" t="n">
        <f aca="false">-export!E154</f>
        <v>-0</v>
      </c>
      <c r="J156" s="3" t="n">
        <f aca="false">-charge!E154</f>
        <v>-0</v>
      </c>
      <c r="K156" s="3" t="n">
        <f aca="false">discharge!E154</f>
        <v>0</v>
      </c>
      <c r="L156" s="3" t="n">
        <f aca="false">soc!E154/investment!$E$4 *100</f>
        <v>0</v>
      </c>
    </row>
    <row r="157" customFormat="false" ht="13.8" hidden="false" customHeight="false" outlineLevel="0" collapsed="false">
      <c r="B157" s="11" t="n">
        <f aca="false">_xlfn.NUMBERVALUE(solar!B154)</f>
        <v>0</v>
      </c>
      <c r="C157" s="12" t="n">
        <f aca="false">solar!C154</f>
        <v>0</v>
      </c>
      <c r="D157" s="6" t="n">
        <v>153</v>
      </c>
      <c r="E157" s="17" t="n">
        <f aca="false">IFERROR(INDEX($B$5:$C$173, MATCH($D157, $B$5:$B$175, 0), 2), 0)*investment!$C$4</f>
        <v>0</v>
      </c>
      <c r="F157" s="18" t="n">
        <f aca="false">demand!E155</f>
        <v>0</v>
      </c>
      <c r="G157" s="3" t="n">
        <f aca="false">solgen!E155</f>
        <v>0</v>
      </c>
      <c r="H157" s="3" t="n">
        <f aca="false">import!E155</f>
        <v>0</v>
      </c>
      <c r="I157" s="3" t="n">
        <f aca="false">-export!E155</f>
        <v>-0</v>
      </c>
      <c r="J157" s="3" t="n">
        <f aca="false">-charge!E155</f>
        <v>-0</v>
      </c>
      <c r="K157" s="3" t="n">
        <f aca="false">discharge!E155</f>
        <v>0</v>
      </c>
      <c r="L157" s="3" t="n">
        <f aca="false">soc!E155/investment!$E$4 *100</f>
        <v>0</v>
      </c>
    </row>
    <row r="158" customFormat="false" ht="13.8" hidden="false" customHeight="false" outlineLevel="0" collapsed="false">
      <c r="B158" s="11" t="n">
        <f aca="false">_xlfn.NUMBERVALUE(solar!B155)</f>
        <v>0</v>
      </c>
      <c r="C158" s="12" t="n">
        <f aca="false">solar!C155</f>
        <v>0</v>
      </c>
      <c r="D158" s="6" t="n">
        <v>154</v>
      </c>
      <c r="E158" s="17" t="n">
        <f aca="false">IFERROR(INDEX($B$5:$C$173, MATCH($D158, $B$5:$B$175, 0), 2), 0)*investment!$C$4</f>
        <v>0</v>
      </c>
      <c r="F158" s="18" t="n">
        <f aca="false">demand!E156</f>
        <v>0</v>
      </c>
      <c r="G158" s="3" t="n">
        <f aca="false">solgen!E156</f>
        <v>0</v>
      </c>
      <c r="H158" s="3" t="n">
        <f aca="false">import!E156</f>
        <v>0</v>
      </c>
      <c r="I158" s="3" t="n">
        <f aca="false">-export!E156</f>
        <v>-0</v>
      </c>
      <c r="J158" s="3" t="n">
        <f aca="false">-charge!E156</f>
        <v>-0</v>
      </c>
      <c r="K158" s="3" t="n">
        <f aca="false">discharge!E156</f>
        <v>0</v>
      </c>
      <c r="L158" s="3" t="n">
        <f aca="false">soc!E156/investment!$E$4 *100</f>
        <v>5.53046251089293</v>
      </c>
    </row>
    <row r="159" customFormat="false" ht="13.8" hidden="false" customHeight="false" outlineLevel="0" collapsed="false">
      <c r="B159" s="11" t="n">
        <f aca="false">_xlfn.NUMBERVALUE(solar!B156)</f>
        <v>0</v>
      </c>
      <c r="C159" s="12" t="n">
        <f aca="false">solar!C156</f>
        <v>0</v>
      </c>
      <c r="D159" s="6" t="n">
        <v>155</v>
      </c>
      <c r="E159" s="17" t="n">
        <f aca="false">IFERROR(INDEX($B$5:$C$173, MATCH($D159, $B$5:$B$175, 0), 2), 0)*investment!$C$4</f>
        <v>0</v>
      </c>
      <c r="F159" s="18" t="n">
        <f aca="false">demand!E157</f>
        <v>0</v>
      </c>
      <c r="G159" s="3" t="n">
        <f aca="false">solgen!E157</f>
        <v>0</v>
      </c>
      <c r="H159" s="3" t="n">
        <f aca="false">import!E157</f>
        <v>0</v>
      </c>
      <c r="I159" s="3" t="n">
        <f aca="false">-export!E157</f>
        <v>-0</v>
      </c>
      <c r="J159" s="3" t="n">
        <f aca="false">-charge!E157</f>
        <v>-0</v>
      </c>
      <c r="K159" s="3" t="n">
        <f aca="false">discharge!E157</f>
        <v>0</v>
      </c>
      <c r="L159" s="3" t="n">
        <f aca="false">soc!E157/investment!$E$4 *100</f>
        <v>22.9981827326465</v>
      </c>
    </row>
    <row r="160" customFormat="false" ht="13.8" hidden="false" customHeight="false" outlineLevel="0" collapsed="false">
      <c r="B160" s="11" t="n">
        <f aca="false">_xlfn.NUMBERVALUE(solar!B157)</f>
        <v>0</v>
      </c>
      <c r="C160" s="12" t="n">
        <f aca="false">solar!C157</f>
        <v>0</v>
      </c>
      <c r="D160" s="6" t="n">
        <v>156</v>
      </c>
      <c r="E160" s="17" t="n">
        <f aca="false">IFERROR(INDEX($B$5:$C$173, MATCH($D160, $B$5:$B$175, 0), 2), 0)*investment!$C$4</f>
        <v>0</v>
      </c>
      <c r="F160" s="18" t="n">
        <f aca="false">demand!E158</f>
        <v>0</v>
      </c>
      <c r="G160" s="3" t="n">
        <f aca="false">solgen!E158</f>
        <v>0</v>
      </c>
      <c r="H160" s="3" t="n">
        <f aca="false">import!E158</f>
        <v>0</v>
      </c>
      <c r="I160" s="3" t="n">
        <f aca="false">-export!E158</f>
        <v>-0</v>
      </c>
      <c r="J160" s="3" t="n">
        <f aca="false">-charge!E158</f>
        <v>-0</v>
      </c>
      <c r="K160" s="3" t="n">
        <f aca="false">discharge!E158</f>
        <v>0</v>
      </c>
      <c r="L160" s="3" t="n">
        <f aca="false">soc!E158/investment!$E$4 *100</f>
        <v>38.3024691243676</v>
      </c>
    </row>
    <row r="161" customFormat="false" ht="13.8" hidden="false" customHeight="false" outlineLevel="0" collapsed="false">
      <c r="B161" s="11" t="n">
        <f aca="false">_xlfn.NUMBERVALUE(solar!B158)</f>
        <v>0</v>
      </c>
      <c r="C161" s="12" t="n">
        <f aca="false">solar!C158</f>
        <v>0</v>
      </c>
      <c r="D161" s="6" t="n">
        <v>157</v>
      </c>
      <c r="E161" s="17" t="n">
        <f aca="false">IFERROR(INDEX($B$5:$C$173, MATCH($D161, $B$5:$B$175, 0), 2), 0)*investment!$C$4</f>
        <v>0</v>
      </c>
      <c r="F161" s="18" t="n">
        <f aca="false">demand!E159</f>
        <v>0</v>
      </c>
      <c r="G161" s="3" t="n">
        <f aca="false">solgen!E159</f>
        <v>0</v>
      </c>
      <c r="H161" s="3" t="n">
        <f aca="false">import!E159</f>
        <v>0</v>
      </c>
      <c r="I161" s="3" t="n">
        <f aca="false">-export!E159</f>
        <v>-0</v>
      </c>
      <c r="J161" s="3" t="n">
        <f aca="false">-charge!E159</f>
        <v>-0</v>
      </c>
      <c r="K161" s="3" t="n">
        <f aca="false">discharge!E159</f>
        <v>0</v>
      </c>
      <c r="L161" s="3" t="n">
        <f aca="false">soc!E159/investment!$E$4 *100</f>
        <v>52.1032005889034</v>
      </c>
    </row>
    <row r="162" customFormat="false" ht="13.8" hidden="false" customHeight="false" outlineLevel="0" collapsed="false">
      <c r="B162" s="11" t="n">
        <f aca="false">_xlfn.NUMBERVALUE(solar!B159)</f>
        <v>0</v>
      </c>
      <c r="C162" s="12" t="n">
        <f aca="false">solar!C159</f>
        <v>0</v>
      </c>
      <c r="D162" s="6" t="n">
        <v>158</v>
      </c>
      <c r="E162" s="17" t="n">
        <f aca="false">IFERROR(INDEX($B$5:$C$173, MATCH($D162, $B$5:$B$175, 0), 2), 0)*investment!$C$4</f>
        <v>0</v>
      </c>
      <c r="F162" s="18" t="n">
        <f aca="false">demand!E160</f>
        <v>0</v>
      </c>
      <c r="G162" s="3" t="n">
        <f aca="false">solgen!E160</f>
        <v>0</v>
      </c>
      <c r="H162" s="3" t="n">
        <f aca="false">import!E160</f>
        <v>0</v>
      </c>
      <c r="I162" s="3" t="n">
        <f aca="false">-export!E160</f>
        <v>-0</v>
      </c>
      <c r="J162" s="3" t="n">
        <f aca="false">-charge!E160</f>
        <v>-0</v>
      </c>
      <c r="K162" s="3" t="n">
        <f aca="false">discharge!E160</f>
        <v>0</v>
      </c>
      <c r="L162" s="3" t="n">
        <f aca="false">soc!E160/investment!$E$4 *100</f>
        <v>59.0926488900975</v>
      </c>
    </row>
    <row r="163" customFormat="false" ht="13.8" hidden="false" customHeight="false" outlineLevel="0" collapsed="false">
      <c r="B163" s="11" t="n">
        <f aca="false">_xlfn.NUMBERVALUE(solar!B160)</f>
        <v>0</v>
      </c>
      <c r="C163" s="12" t="n">
        <f aca="false">solar!C160</f>
        <v>0</v>
      </c>
      <c r="D163" s="6" t="n">
        <v>159</v>
      </c>
      <c r="E163" s="17" t="n">
        <f aca="false">IFERROR(INDEX($B$5:$C$173, MATCH($D163, $B$5:$B$175, 0), 2), 0)*investment!$C$4</f>
        <v>0</v>
      </c>
      <c r="F163" s="18" t="n">
        <f aca="false">demand!E161</f>
        <v>0</v>
      </c>
      <c r="G163" s="3" t="n">
        <f aca="false">solgen!E161</f>
        <v>0</v>
      </c>
      <c r="H163" s="3" t="n">
        <f aca="false">import!E161</f>
        <v>0</v>
      </c>
      <c r="I163" s="3" t="n">
        <f aca="false">-export!E161</f>
        <v>-0</v>
      </c>
      <c r="J163" s="3" t="n">
        <f aca="false">-charge!E161</f>
        <v>-0</v>
      </c>
      <c r="K163" s="3" t="n">
        <f aca="false">discharge!E161</f>
        <v>0</v>
      </c>
      <c r="L163" s="3" t="n">
        <f aca="false">soc!E161/investment!$E$4 *100</f>
        <v>64.5682583794534</v>
      </c>
    </row>
    <row r="164" customFormat="false" ht="13.8" hidden="false" customHeight="false" outlineLevel="0" collapsed="false">
      <c r="B164" s="11" t="n">
        <f aca="false">_xlfn.NUMBERVALUE(solar!B161)</f>
        <v>0</v>
      </c>
      <c r="C164" s="12" t="n">
        <f aca="false">solar!C161</f>
        <v>0</v>
      </c>
      <c r="D164" s="6" t="n">
        <v>160</v>
      </c>
      <c r="E164" s="17" t="n">
        <f aca="false">IFERROR(INDEX($B$5:$C$173, MATCH($D164, $B$5:$B$175, 0), 2), 0)*investment!$C$4</f>
        <v>0</v>
      </c>
      <c r="F164" s="18" t="n">
        <f aca="false">demand!E162</f>
        <v>0</v>
      </c>
      <c r="G164" s="3" t="n">
        <f aca="false">solgen!E162</f>
        <v>0</v>
      </c>
      <c r="H164" s="3" t="n">
        <f aca="false">import!E162</f>
        <v>0</v>
      </c>
      <c r="I164" s="3" t="n">
        <f aca="false">-export!E162</f>
        <v>-0</v>
      </c>
      <c r="J164" s="3" t="n">
        <f aca="false">-charge!E162</f>
        <v>-0</v>
      </c>
      <c r="K164" s="3" t="n">
        <f aca="false">discharge!E162</f>
        <v>0</v>
      </c>
      <c r="L164" s="3" t="n">
        <f aca="false">soc!E162/investment!$E$4 *100</f>
        <v>48.4388460161153</v>
      </c>
    </row>
    <row r="165" customFormat="false" ht="13.8" hidden="false" customHeight="false" outlineLevel="0" collapsed="false">
      <c r="B165" s="11" t="n">
        <f aca="false">_xlfn.NUMBERVALUE(solar!B162)</f>
        <v>0</v>
      </c>
      <c r="C165" s="12" t="n">
        <f aca="false">solar!C162</f>
        <v>0</v>
      </c>
      <c r="D165" s="6" t="n">
        <v>161</v>
      </c>
      <c r="E165" s="17" t="n">
        <f aca="false">IFERROR(INDEX($B$5:$C$173, MATCH($D165, $B$5:$B$175, 0), 2), 0)*investment!$C$4</f>
        <v>0</v>
      </c>
      <c r="F165" s="18" t="n">
        <f aca="false">demand!E163</f>
        <v>0</v>
      </c>
      <c r="G165" s="3" t="n">
        <f aca="false">solgen!E163</f>
        <v>0</v>
      </c>
      <c r="H165" s="3" t="n">
        <f aca="false">import!E163</f>
        <v>0</v>
      </c>
      <c r="I165" s="3" t="n">
        <f aca="false">-export!E163</f>
        <v>-0</v>
      </c>
      <c r="J165" s="3" t="n">
        <f aca="false">-charge!E163</f>
        <v>-0</v>
      </c>
      <c r="K165" s="3" t="n">
        <f aca="false">discharge!E163</f>
        <v>0</v>
      </c>
      <c r="L165" s="3" t="n">
        <f aca="false">soc!E163/investment!$E$4 *100</f>
        <v>30.235308135691</v>
      </c>
    </row>
    <row r="166" customFormat="false" ht="13.8" hidden="false" customHeight="false" outlineLevel="0" collapsed="false">
      <c r="B166" s="11" t="n">
        <f aca="false">_xlfn.NUMBERVALUE(solar!B163)</f>
        <v>0</v>
      </c>
      <c r="C166" s="12" t="n">
        <f aca="false">solar!C163</f>
        <v>0</v>
      </c>
      <c r="D166" s="6" t="n">
        <v>162</v>
      </c>
      <c r="E166" s="17" t="n">
        <f aca="false">IFERROR(INDEX($B$5:$C$173, MATCH($D166, $B$5:$B$175, 0), 2), 0)*investment!$C$4</f>
        <v>0</v>
      </c>
      <c r="F166" s="18" t="n">
        <f aca="false">demand!E164</f>
        <v>0</v>
      </c>
      <c r="G166" s="3" t="n">
        <f aca="false">solgen!E164</f>
        <v>0</v>
      </c>
      <c r="H166" s="3" t="n">
        <f aca="false">import!E164</f>
        <v>0</v>
      </c>
      <c r="I166" s="3" t="n">
        <f aca="false">-export!E164</f>
        <v>-0</v>
      </c>
      <c r="J166" s="3" t="n">
        <f aca="false">-charge!E164</f>
        <v>-0</v>
      </c>
      <c r="K166" s="3" t="n">
        <f aca="false">discharge!E164</f>
        <v>0</v>
      </c>
      <c r="L166" s="3" t="n">
        <f aca="false">soc!E164/investment!$E$4 *100</f>
        <v>22.0135976189776</v>
      </c>
    </row>
    <row r="167" customFormat="false" ht="13.8" hidden="false" customHeight="false" outlineLevel="0" collapsed="false">
      <c r="B167" s="11" t="n">
        <f aca="false">_xlfn.NUMBERVALUE(solar!B164)</f>
        <v>0</v>
      </c>
      <c r="C167" s="12" t="n">
        <f aca="false">solar!C164</f>
        <v>0</v>
      </c>
      <c r="D167" s="6" t="n">
        <v>163</v>
      </c>
      <c r="E167" s="17" t="n">
        <f aca="false">IFERROR(INDEX($B$5:$C$173, MATCH($D167, $B$5:$B$175, 0), 2), 0)*investment!$C$4</f>
        <v>0</v>
      </c>
      <c r="F167" s="18" t="n">
        <f aca="false">demand!E165</f>
        <v>0</v>
      </c>
      <c r="G167" s="3" t="n">
        <f aca="false">solgen!E165</f>
        <v>0</v>
      </c>
      <c r="H167" s="3" t="n">
        <f aca="false">import!E165</f>
        <v>0</v>
      </c>
      <c r="I167" s="3" t="n">
        <f aca="false">-export!E165</f>
        <v>-0</v>
      </c>
      <c r="J167" s="3" t="n">
        <f aca="false">-charge!E165</f>
        <v>-0</v>
      </c>
      <c r="K167" s="3" t="n">
        <f aca="false">discharge!E165</f>
        <v>0</v>
      </c>
      <c r="L167" s="3" t="n">
        <f aca="false">soc!E165/investment!$E$4 *100</f>
        <v>12.9621933246969</v>
      </c>
    </row>
    <row r="168" customFormat="false" ht="13.8" hidden="false" customHeight="false" outlineLevel="0" collapsed="false">
      <c r="B168" s="11" t="n">
        <f aca="false">_xlfn.NUMBERVALUE(solar!B165)</f>
        <v>0</v>
      </c>
      <c r="C168" s="12" t="n">
        <f aca="false">solar!C165</f>
        <v>0</v>
      </c>
      <c r="D168" s="6" t="n">
        <v>164</v>
      </c>
      <c r="E168" s="17" t="n">
        <f aca="false">IFERROR(INDEX($B$5:$C$173, MATCH($D168, $B$5:$B$175, 0), 2), 0)*investment!$C$4</f>
        <v>0</v>
      </c>
      <c r="F168" s="18" t="n">
        <f aca="false">demand!E166</f>
        <v>0</v>
      </c>
      <c r="G168" s="3" t="n">
        <f aca="false">solgen!E166</f>
        <v>0</v>
      </c>
      <c r="H168" s="3" t="n">
        <f aca="false">import!E166</f>
        <v>0</v>
      </c>
      <c r="I168" s="3" t="n">
        <f aca="false">-export!E166</f>
        <v>-0</v>
      </c>
      <c r="J168" s="3" t="n">
        <f aca="false">-charge!E166</f>
        <v>-0</v>
      </c>
      <c r="K168" s="3" t="n">
        <f aca="false">discharge!E166</f>
        <v>0</v>
      </c>
      <c r="L168" s="3" t="n">
        <f aca="false">soc!E166/investment!$E$4 *100</f>
        <v>8.65886034166228</v>
      </c>
    </row>
    <row r="169" customFormat="false" ht="13.8" hidden="false" customHeight="false" outlineLevel="0" collapsed="false">
      <c r="B169" s="11" t="n">
        <f aca="false">_xlfn.NUMBERVALUE(solar!B166)</f>
        <v>0</v>
      </c>
      <c r="C169" s="12" t="n">
        <f aca="false">solar!C166</f>
        <v>0</v>
      </c>
      <c r="D169" s="6" t="n">
        <v>165</v>
      </c>
      <c r="E169" s="17" t="n">
        <f aca="false">IFERROR(INDEX($B$5:$C$173, MATCH($D169, $B$5:$B$175, 0), 2), 0)*investment!$C$4</f>
        <v>0</v>
      </c>
      <c r="F169" s="18" t="n">
        <f aca="false">demand!E167</f>
        <v>0</v>
      </c>
      <c r="G169" s="3" t="n">
        <f aca="false">solgen!E167</f>
        <v>0</v>
      </c>
      <c r="H169" s="3" t="n">
        <f aca="false">import!E167</f>
        <v>0</v>
      </c>
      <c r="I169" s="3" t="n">
        <f aca="false">-export!E167</f>
        <v>-0</v>
      </c>
      <c r="J169" s="3" t="n">
        <f aca="false">-charge!E167</f>
        <v>-0</v>
      </c>
      <c r="K169" s="3" t="n">
        <f aca="false">discharge!E167</f>
        <v>0</v>
      </c>
      <c r="L169" s="3" t="n">
        <f aca="false">soc!E167/investment!$E$4 *100</f>
        <v>4.99649676749411</v>
      </c>
    </row>
    <row r="170" customFormat="false" ht="13.8" hidden="false" customHeight="false" outlineLevel="0" collapsed="false">
      <c r="B170" s="11" t="n">
        <f aca="false">_xlfn.NUMBERVALUE(solar!B167)</f>
        <v>0</v>
      </c>
      <c r="C170" s="12" t="n">
        <f aca="false">solar!C167</f>
        <v>0</v>
      </c>
      <c r="D170" s="6" t="n">
        <v>166</v>
      </c>
      <c r="E170" s="17" t="n">
        <f aca="false">IFERROR(INDEX($B$5:$C$173, MATCH($D170, $B$5:$B$175, 0), 2), 0)*investment!$C$4</f>
        <v>0</v>
      </c>
      <c r="F170" s="18" t="n">
        <f aca="false">demand!E168</f>
        <v>0</v>
      </c>
      <c r="G170" s="3" t="n">
        <f aca="false">solgen!E168</f>
        <v>0</v>
      </c>
      <c r="H170" s="3" t="n">
        <f aca="false">import!E168</f>
        <v>0</v>
      </c>
      <c r="I170" s="3" t="n">
        <f aca="false">-export!E168</f>
        <v>-0</v>
      </c>
      <c r="J170" s="3" t="n">
        <f aca="false">-charge!E168</f>
        <v>-0</v>
      </c>
      <c r="K170" s="3" t="n">
        <f aca="false">discharge!E168</f>
        <v>0</v>
      </c>
      <c r="L170" s="3" t="n">
        <f aca="false">soc!E168/investment!$E$4 *100</f>
        <v>3.1086153900368</v>
      </c>
    </row>
    <row r="171" customFormat="false" ht="13.8" hidden="false" customHeight="false" outlineLevel="0" collapsed="false">
      <c r="B171" s="11" t="n">
        <f aca="false">_xlfn.NUMBERVALUE(solar!B168)</f>
        <v>0</v>
      </c>
      <c r="C171" s="12" t="n">
        <f aca="false">solar!C168</f>
        <v>0</v>
      </c>
      <c r="D171" s="6" t="n">
        <v>167</v>
      </c>
      <c r="E171" s="17" t="n">
        <f aca="false">IFERROR(INDEX($B$5:$C$173, MATCH($D171, $B$5:$B$175, 0), 2), 0)*investment!$C$4</f>
        <v>0</v>
      </c>
      <c r="F171" s="18" t="n">
        <f aca="false">demand!E169</f>
        <v>0</v>
      </c>
      <c r="G171" s="3" t="n">
        <f aca="false">solgen!E169</f>
        <v>0</v>
      </c>
      <c r="H171" s="3" t="n">
        <f aca="false">import!E169</f>
        <v>0</v>
      </c>
      <c r="I171" s="3" t="n">
        <f aca="false">-export!E169</f>
        <v>-0</v>
      </c>
      <c r="J171" s="3" t="n">
        <f aca="false">-charge!E169</f>
        <v>-0</v>
      </c>
      <c r="K171" s="3" t="n">
        <f aca="false">discharge!E169</f>
        <v>0</v>
      </c>
      <c r="L171" s="3" t="n">
        <f aca="false">soc!E169/investment!$E$4 *100</f>
        <v>0</v>
      </c>
    </row>
    <row r="172" customFormat="false" ht="13.8" hidden="false" customHeight="false" outlineLevel="0" collapsed="false">
      <c r="B172" s="11" t="n">
        <f aca="false">_xlfn.NUMBERVALUE(solar!B169)</f>
        <v>0</v>
      </c>
      <c r="C172" s="12" t="n">
        <f aca="false">solar!C169</f>
        <v>0</v>
      </c>
      <c r="D172" s="6" t="n">
        <v>168</v>
      </c>
      <c r="E172" s="17" t="n">
        <f aca="false">IFERROR(INDEX($B$5:$C$173, MATCH($D172, $B$5:$B$175, 0), 2), 0)*investment!$C$4</f>
        <v>0</v>
      </c>
      <c r="F172" s="18" t="n">
        <f aca="false">demand!E170</f>
        <v>0</v>
      </c>
      <c r="G172" s="3" t="n">
        <f aca="false">solgen!E170</f>
        <v>0</v>
      </c>
      <c r="H172" s="3" t="n">
        <f aca="false">import!E170</f>
        <v>0</v>
      </c>
      <c r="I172" s="3" t="n">
        <f aca="false">-export!E170</f>
        <v>-0</v>
      </c>
      <c r="J172" s="3" t="n">
        <f aca="false">-charge!E170</f>
        <v>-0</v>
      </c>
      <c r="K172" s="3" t="n">
        <f aca="false">discharge!E170</f>
        <v>0</v>
      </c>
      <c r="L172" s="3" t="n">
        <f aca="false">soc!E170/investment!$E$4 *100</f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H2" activeCellId="1" sqref="B13:E16 AH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19" t="s">
        <v>21</v>
      </c>
    </row>
    <row r="3" customFormat="false" ht="13.8" hidden="false" customHeight="false" outlineLevel="0" collapsed="false">
      <c r="B3" s="19" t="s">
        <v>22</v>
      </c>
    </row>
    <row r="4" customFormat="false" ht="13.8" hidden="false" customHeight="false" outlineLevel="0" collapsed="false">
      <c r="B4" s="20" t="s">
        <v>23</v>
      </c>
    </row>
    <row r="5" customFormat="false" ht="13.8" hidden="false" customHeight="false" outlineLevel="0" collapsed="false">
      <c r="B5" s="21" t="s">
        <v>24</v>
      </c>
    </row>
    <row r="6" customFormat="false" ht="13.8" hidden="false" customHeight="false" outlineLevel="0" collapsed="false">
      <c r="B6" s="21" t="s">
        <v>25</v>
      </c>
    </row>
    <row r="7" customFormat="false" ht="13.8" hidden="false" customHeight="false" outlineLevel="0" collapsed="false">
      <c r="B7" s="21" t="s">
        <v>26</v>
      </c>
    </row>
    <row r="8" customFormat="false" ht="13.8" hidden="false" customHeight="false" outlineLevel="0" collapsed="false">
      <c r="B8" s="19" t="s">
        <v>27</v>
      </c>
    </row>
    <row r="9" customFormat="false" ht="13.8" hidden="false" customHeight="false" outlineLevel="0" collapsed="false">
      <c r="B9" s="19" t="s">
        <v>28</v>
      </c>
    </row>
    <row r="10" customFormat="false" ht="13.8" hidden="false" customHeight="false" outlineLevel="0" collapsed="false">
      <c r="B10" s="20" t="s">
        <v>29</v>
      </c>
    </row>
    <row r="11" customFormat="false" ht="13.8" hidden="false" customHeight="false" outlineLevel="0" collapsed="false">
      <c r="B11" s="21" t="s">
        <v>30</v>
      </c>
    </row>
    <row r="12" customFormat="false" ht="13.8" hidden="false" customHeight="false" outlineLevel="0" collapsed="false">
      <c r="B12" s="21" t="s">
        <v>31</v>
      </c>
    </row>
    <row r="13" customFormat="false" ht="13.8" hidden="false" customHeight="false" outlineLevel="0" collapsed="false">
      <c r="B13" s="21" t="s">
        <v>26</v>
      </c>
    </row>
    <row r="14" customFormat="false" ht="13.8" hidden="false" customHeight="false" outlineLevel="0" collapsed="false">
      <c r="B14" s="20" t="s">
        <v>32</v>
      </c>
    </row>
    <row r="15" customFormat="false" ht="13.8" hidden="false" customHeight="false" outlineLevel="0" collapsed="false">
      <c r="B15" s="20" t="s">
        <v>33</v>
      </c>
    </row>
    <row r="16" customFormat="false" ht="13.8" hidden="false" customHeight="false" outlineLevel="0" collapsed="false">
      <c r="B16" s="20" t="s">
        <v>34</v>
      </c>
    </row>
    <row r="17" customFormat="false" ht="13.8" hidden="false" customHeight="false" outlineLevel="0" collapsed="false">
      <c r="B17" s="20" t="s">
        <v>35</v>
      </c>
    </row>
    <row r="18" customFormat="false" ht="13.8" hidden="false" customHeight="false" outlineLevel="0" collapsed="false">
      <c r="B18" s="20" t="s">
        <v>36</v>
      </c>
    </row>
    <row r="19" customFormat="false" ht="13.8" hidden="false" customHeight="false" outlineLevel="0" collapsed="false">
      <c r="B19" s="20" t="s">
        <v>37</v>
      </c>
    </row>
    <row r="20" customFormat="false" ht="13.8" hidden="false" customHeight="false" outlineLevel="0" collapsed="false">
      <c r="B20" s="20" t="s">
        <v>38</v>
      </c>
    </row>
    <row r="21" customFormat="false" ht="13.8" hidden="false" customHeight="false" outlineLevel="0" collapsed="false">
      <c r="B21" s="19" t="s">
        <v>39</v>
      </c>
    </row>
    <row r="22" customFormat="false" ht="13.8" hidden="false" customHeight="false" outlineLevel="0" collapsed="false">
      <c r="B22" s="20" t="s">
        <v>40</v>
      </c>
    </row>
    <row r="23" customFormat="false" ht="13.8" hidden="false" customHeight="false" outlineLevel="0" collapsed="false">
      <c r="B23" s="20" t="s">
        <v>41</v>
      </c>
    </row>
    <row r="24" customFormat="false" ht="13.8" hidden="false" customHeight="false" outlineLevel="0" collapsed="false">
      <c r="B24" s="20" t="s">
        <v>42</v>
      </c>
    </row>
    <row r="25" customFormat="false" ht="13.8" hidden="false" customHeight="false" outlineLevel="0" collapsed="false">
      <c r="B25" s="20" t="s">
        <v>43</v>
      </c>
    </row>
    <row r="26" customFormat="false" ht="13.8" hidden="false" customHeight="false" outlineLevel="0" collapsed="false">
      <c r="B26" s="20" t="s">
        <v>44</v>
      </c>
    </row>
    <row r="27" customFormat="false" ht="13.8" hidden="false" customHeight="false" outlineLevel="0" collapsed="false">
      <c r="B27" s="22"/>
    </row>
    <row r="28" customFormat="false" ht="13.8" hidden="false" customHeight="false" outlineLevel="0" collapsed="false">
      <c r="B28" s="20" t="s">
        <v>45</v>
      </c>
    </row>
    <row r="29" customFormat="false" ht="13.8" hidden="false" customHeight="false" outlineLevel="0" collapsed="false">
      <c r="B29" s="21" t="s">
        <v>26</v>
      </c>
    </row>
    <row r="30" customFormat="false" ht="13.8" hidden="false" customHeight="false" outlineLevel="0" collapsed="false">
      <c r="B30" s="23" t="s">
        <v>46</v>
      </c>
    </row>
    <row r="31" customFormat="false" ht="13.8" hidden="false" customHeight="false" outlineLevel="0" collapsed="false">
      <c r="B31" s="23" t="s">
        <v>47</v>
      </c>
    </row>
    <row r="32" customFormat="false" ht="13.8" hidden="false" customHeight="false" outlineLevel="0" collapsed="false">
      <c r="B32" s="19" t="s">
        <v>48</v>
      </c>
    </row>
    <row r="33" customFormat="false" ht="13.8" hidden="false" customHeight="false" outlineLevel="0" collapsed="false">
      <c r="B33" s="19" t="s">
        <v>49</v>
      </c>
    </row>
    <row r="34" customFormat="false" ht="13.8" hidden="false" customHeight="false" outlineLevel="0" collapsed="false">
      <c r="B34" s="23" t="s">
        <v>50</v>
      </c>
    </row>
    <row r="35" customFormat="false" ht="13.8" hidden="false" customHeight="false" outlineLevel="0" collapsed="false">
      <c r="B35" s="21" t="s">
        <v>26</v>
      </c>
    </row>
    <row r="36" customFormat="false" ht="13.8" hidden="false" customHeight="false" outlineLevel="0" collapsed="false">
      <c r="B36" s="22"/>
    </row>
    <row r="37" customFormat="false" ht="13.8" hidden="false" customHeight="false" outlineLevel="0" collapsed="false">
      <c r="B37" s="22"/>
    </row>
    <row r="38" customFormat="false" ht="13.8" hidden="false" customHeight="false" outlineLevel="0" collapsed="false">
      <c r="B38" s="19" t="s">
        <v>51</v>
      </c>
    </row>
    <row r="39" customFormat="false" ht="13.8" hidden="false" customHeight="false" outlineLevel="0" collapsed="false">
      <c r="B39" s="20" t="s">
        <v>52</v>
      </c>
    </row>
    <row r="40" customFormat="false" ht="13.8" hidden="false" customHeight="false" outlineLevel="0" collapsed="false">
      <c r="B40" s="20" t="s">
        <v>53</v>
      </c>
    </row>
    <row r="41" customFormat="false" ht="13.8" hidden="false" customHeight="false" outlineLevel="0" collapsed="false">
      <c r="B41" s="20" t="s">
        <v>54</v>
      </c>
    </row>
    <row r="42" customFormat="false" ht="13.8" hidden="false" customHeight="false" outlineLevel="0" collapsed="false">
      <c r="B42" s="22"/>
    </row>
    <row r="43" customFormat="false" ht="13.8" hidden="false" customHeight="false" outlineLevel="0" collapsed="false">
      <c r="B43" s="24" t="s">
        <v>55</v>
      </c>
    </row>
    <row r="44" customFormat="false" ht="13.8" hidden="false" customHeight="false" outlineLevel="0" collapsed="false">
      <c r="B44" s="23" t="s">
        <v>46</v>
      </c>
    </row>
    <row r="45" customFormat="false" ht="13.8" hidden="false" customHeight="false" outlineLevel="0" collapsed="false">
      <c r="B45" s="23" t="s">
        <v>56</v>
      </c>
    </row>
    <row r="46" customFormat="false" ht="13.8" hidden="false" customHeight="false" outlineLevel="0" collapsed="false">
      <c r="B46" s="19" t="s">
        <v>57</v>
      </c>
    </row>
    <row r="47" customFormat="false" ht="13.8" hidden="false" customHeight="false" outlineLevel="0" collapsed="false">
      <c r="B47" s="19" t="s">
        <v>58</v>
      </c>
    </row>
    <row r="48" customFormat="false" ht="13.8" hidden="false" customHeight="false" outlineLevel="0" collapsed="false">
      <c r="B48" s="23" t="s">
        <v>50</v>
      </c>
    </row>
    <row r="49" customFormat="false" ht="13.8" hidden="false" customHeight="false" outlineLevel="0" collapsed="false">
      <c r="B49" s="20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1" sqref="B13:E16 C3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2" t="n">
        <v>1</v>
      </c>
      <c r="C2" s="2" t="n">
        <v>0.00111696155144263</v>
      </c>
      <c r="D2" s="2" t="n">
        <v>0.00111648099334173</v>
      </c>
      <c r="E2" s="2" t="n">
        <v>0.00111637001076473</v>
      </c>
    </row>
    <row r="3" customFormat="false" ht="13.8" hidden="false" customHeight="false" outlineLevel="0" collapsed="false">
      <c r="B3" s="2" t="n">
        <v>2</v>
      </c>
      <c r="C3" s="2" t="n">
        <v>0.00111696765910622</v>
      </c>
      <c r="D3" s="2" t="n">
        <v>0.00111651741343564</v>
      </c>
      <c r="E3" s="2" t="n">
        <v>0.00111641350403896</v>
      </c>
    </row>
    <row r="4" customFormat="false" ht="13.8" hidden="false" customHeight="false" outlineLevel="0" collapsed="false">
      <c r="B4" s="2" t="n">
        <v>3</v>
      </c>
      <c r="C4" s="2" t="n">
        <v>0.00111697379196384</v>
      </c>
      <c r="D4" s="2" t="n">
        <v>0.00111654165109226</v>
      </c>
      <c r="E4" s="2" t="n">
        <v>0.00111644196493567</v>
      </c>
    </row>
    <row r="5" customFormat="false" ht="13.8" hidden="false" customHeight="false" outlineLevel="0" collapsed="false">
      <c r="B5" s="2" t="n">
        <v>4</v>
      </c>
      <c r="C5" s="2" t="n">
        <v>0.00111697992488374</v>
      </c>
      <c r="D5" s="2" t="n">
        <v>0.0011165658888111</v>
      </c>
      <c r="E5" s="2" t="n">
        <v>0.00111647042589454</v>
      </c>
    </row>
    <row r="6" customFormat="false" ht="13.8" hidden="false" customHeight="false" outlineLevel="0" collapsed="false">
      <c r="B6" s="2" t="n">
        <v>5</v>
      </c>
      <c r="C6" s="2" t="n">
        <v>0.0011169860578659</v>
      </c>
      <c r="D6" s="2" t="n">
        <v>0.00111659012659214</v>
      </c>
      <c r="E6" s="2" t="n">
        <v>0.00111649888691556</v>
      </c>
    </row>
    <row r="7" customFormat="false" ht="13.8" hidden="false" customHeight="false" outlineLevel="0" collapsed="false">
      <c r="B7" s="2" t="n">
        <v>6</v>
      </c>
      <c r="C7" s="2" t="n">
        <v>0.00111699219091031</v>
      </c>
      <c r="D7" s="2" t="n">
        <v>0.00111661436443538</v>
      </c>
      <c r="E7" s="2" t="n">
        <v>0.00111652734799873</v>
      </c>
    </row>
    <row r="8" customFormat="false" ht="13.8" hidden="false" customHeight="false" outlineLevel="0" collapsed="false">
      <c r="B8" s="2" t="n">
        <v>7</v>
      </c>
      <c r="C8" s="2" t="n">
        <v>0.00111699832401696</v>
      </c>
      <c r="D8" s="2" t="n">
        <v>0.0011166386023408</v>
      </c>
      <c r="E8" s="2" t="n">
        <v>0.00111655580914404</v>
      </c>
    </row>
    <row r="9" customFormat="false" ht="13.8" hidden="false" customHeight="false" outlineLevel="0" collapsed="false">
      <c r="B9" s="2" t="n">
        <v>8</v>
      </c>
      <c r="C9" s="2" t="n">
        <v>0.00111700445718584</v>
      </c>
      <c r="D9" s="2" t="n">
        <v>0.0011166628403084</v>
      </c>
      <c r="E9" s="2" t="n">
        <v>0.00111658427035149</v>
      </c>
    </row>
    <row r="10" customFormat="false" ht="13.8" hidden="false" customHeight="false" outlineLevel="0" collapsed="false">
      <c r="B10" s="2" t="n">
        <v>9</v>
      </c>
      <c r="C10" s="2" t="n">
        <v>0.00111701059041693</v>
      </c>
      <c r="D10" s="2" t="n">
        <v>0.00111668707833816</v>
      </c>
      <c r="E10" s="2" t="n">
        <v>0.00111661273162107</v>
      </c>
    </row>
    <row r="11" customFormat="false" ht="13.8" hidden="false" customHeight="false" outlineLevel="0" collapsed="false">
      <c r="B11" s="2" t="n">
        <v>10</v>
      </c>
      <c r="C11" s="2" t="n">
        <v>0.00111701672371023</v>
      </c>
      <c r="D11" s="2" t="n">
        <v>0.00111671131642989</v>
      </c>
      <c r="E11" s="2" t="n">
        <v>0.00111664119295276</v>
      </c>
    </row>
    <row r="12" customFormat="false" ht="13.8" hidden="false" customHeight="false" outlineLevel="0" collapsed="false">
      <c r="B12" s="2" t="n">
        <v>11</v>
      </c>
      <c r="C12" s="2" t="n">
        <v>0.00111702285706574</v>
      </c>
      <c r="D12" s="2" t="n">
        <v>0.00111673555458396</v>
      </c>
      <c r="E12" s="2" t="n">
        <v>0.00111666965434656</v>
      </c>
    </row>
    <row r="13" customFormat="false" ht="13.8" hidden="false" customHeight="false" outlineLevel="0" collapsed="false">
      <c r="B13" s="2" t="n">
        <v>12</v>
      </c>
      <c r="C13" s="2" t="n">
        <v>0.00111702899048342</v>
      </c>
      <c r="D13" s="2" t="n">
        <v>0.00111675979280015</v>
      </c>
      <c r="E13" s="2" t="n">
        <v>0.00111669811580246</v>
      </c>
    </row>
    <row r="14" customFormat="false" ht="13.8" hidden="false" customHeight="false" outlineLevel="0" collapsed="false">
      <c r="B14" s="2" t="n">
        <v>13</v>
      </c>
      <c r="C14" s="2" t="n">
        <v>0.00111703512396328</v>
      </c>
      <c r="D14" s="2" t="n">
        <v>0.00111678403107848</v>
      </c>
      <c r="E14" s="2" t="n">
        <v>0.00111672657732046</v>
      </c>
    </row>
    <row r="15" customFormat="false" ht="13.8" hidden="false" customHeight="false" outlineLevel="0" collapsed="false">
      <c r="B15" s="2" t="n">
        <v>14</v>
      </c>
      <c r="C15" s="2" t="n">
        <v>0.00111704125750531</v>
      </c>
      <c r="D15" s="2" t="n">
        <v>0.00111680826941892</v>
      </c>
      <c r="E15" s="2" t="n">
        <v>0.00111675503890055</v>
      </c>
    </row>
    <row r="16" customFormat="false" ht="13.8" hidden="false" customHeight="false" outlineLevel="0" collapsed="false">
      <c r="B16" s="2" t="n">
        <v>15</v>
      </c>
      <c r="C16" s="2" t="n">
        <v>0.00111704739110949</v>
      </c>
      <c r="D16" s="2" t="n">
        <v>0.00111683250782147</v>
      </c>
      <c r="E16" s="2" t="n">
        <v>0.00111678350054272</v>
      </c>
    </row>
    <row r="17" customFormat="false" ht="13.8" hidden="false" customHeight="false" outlineLevel="0" collapsed="false">
      <c r="B17" s="2" t="n">
        <v>16</v>
      </c>
      <c r="C17" s="2" t="n">
        <v>0.00111705352477581</v>
      </c>
      <c r="D17" s="2" t="n">
        <v>0.00111685674628611</v>
      </c>
      <c r="E17" s="2" t="n">
        <v>0.00111681196224696</v>
      </c>
    </row>
    <row r="18" customFormat="false" ht="13.8" hidden="false" customHeight="false" outlineLevel="0" collapsed="false">
      <c r="B18" s="2" t="n">
        <v>17</v>
      </c>
      <c r="C18" s="2" t="n">
        <v>0.00111705965850427</v>
      </c>
      <c r="D18" s="2" t="n">
        <v>0.00111688098481284</v>
      </c>
      <c r="E18" s="2" t="n">
        <v>0.00111684042401326</v>
      </c>
    </row>
    <row r="19" customFormat="false" ht="13.8" hidden="false" customHeight="false" outlineLevel="0" collapsed="false">
      <c r="B19" s="2" t="n">
        <v>18</v>
      </c>
      <c r="C19" s="2" t="n">
        <v>0.00111706579229485</v>
      </c>
      <c r="D19" s="2" t="n">
        <v>0.00111690522340165</v>
      </c>
      <c r="E19" s="2" t="n">
        <v>0.00111686888584163</v>
      </c>
    </row>
    <row r="20" customFormat="false" ht="13.8" hidden="false" customHeight="false" outlineLevel="0" collapsed="false">
      <c r="B20" s="2" t="n">
        <v>19</v>
      </c>
      <c r="C20" s="2" t="n">
        <v>0.00111707192614753</v>
      </c>
      <c r="D20" s="2" t="n">
        <v>0.00111692946205252</v>
      </c>
      <c r="E20" s="2" t="n">
        <v>0.00111689734773204</v>
      </c>
    </row>
    <row r="21" customFormat="false" ht="13.8" hidden="false" customHeight="false" outlineLevel="0" collapsed="false">
      <c r="B21" s="2" t="n">
        <v>20</v>
      </c>
      <c r="C21" s="2" t="n">
        <v>0.00111707806006232</v>
      </c>
      <c r="D21" s="2" t="n">
        <v>0.00111695370076545</v>
      </c>
      <c r="E21" s="2" t="n">
        <v>0.0011169258096845</v>
      </c>
    </row>
    <row r="22" customFormat="false" ht="13.8" hidden="false" customHeight="false" outlineLevel="0" collapsed="false">
      <c r="B22" s="2" t="n">
        <v>21</v>
      </c>
      <c r="C22" s="2" t="n">
        <v>0.0011170841940392</v>
      </c>
      <c r="D22" s="2" t="n">
        <v>0.00111697793954043</v>
      </c>
      <c r="E22" s="2" t="n">
        <v>0.001116954271699</v>
      </c>
    </row>
    <row r="23" customFormat="false" ht="13.8" hidden="false" customHeight="false" outlineLevel="0" collapsed="false">
      <c r="B23" s="2" t="n">
        <v>22</v>
      </c>
      <c r="C23" s="2" t="n">
        <v>0.00111709032808064</v>
      </c>
      <c r="D23" s="2" t="n">
        <v>0.00111700217837984</v>
      </c>
      <c r="E23" s="2" t="n">
        <v>0.00111698273377703</v>
      </c>
    </row>
    <row r="24" customFormat="false" ht="13.8" hidden="false" customHeight="false" outlineLevel="0" collapsed="false">
      <c r="B24" s="2" t="n">
        <v>23</v>
      </c>
      <c r="C24" s="2" t="n">
        <v>0.00111709646217503</v>
      </c>
      <c r="D24" s="2" t="n">
        <v>0.00111702641727248</v>
      </c>
      <c r="E24" s="2" t="n">
        <v>0.00111701119591087</v>
      </c>
    </row>
    <row r="25" customFormat="false" ht="13.8" hidden="false" customHeight="false" outlineLevel="0" collapsed="false">
      <c r="B25" s="2" t="n">
        <v>24</v>
      </c>
      <c r="C25" s="2" t="n">
        <v>0.00111710259633663</v>
      </c>
      <c r="D25" s="2" t="n">
        <v>0.00111705065623209</v>
      </c>
      <c r="E25" s="2" t="n">
        <v>0.00111703965811124</v>
      </c>
    </row>
    <row r="26" customFormat="false" ht="13.8" hidden="false" customHeight="false" outlineLevel="0" collapsed="false">
      <c r="B26" s="2" t="n">
        <v>25</v>
      </c>
      <c r="C26" s="2" t="n">
        <v>0.00111710873056129</v>
      </c>
      <c r="D26" s="2" t="n">
        <v>0.00111707489525477</v>
      </c>
      <c r="E26" s="2" t="n">
        <v>0.00111706812037523</v>
      </c>
    </row>
    <row r="27" customFormat="false" ht="13.8" hidden="false" customHeight="false" outlineLevel="0" collapsed="false">
      <c r="B27" s="2" t="n">
        <v>26</v>
      </c>
      <c r="C27" s="2" t="n">
        <v>0.00111711486485497</v>
      </c>
      <c r="D27" s="2" t="n">
        <v>0.00111709913434475</v>
      </c>
      <c r="E27" s="2" t="n">
        <v>0.00111709658270272</v>
      </c>
    </row>
    <row r="28" customFormat="false" ht="13.8" hidden="false" customHeight="false" outlineLevel="0" collapsed="false">
      <c r="B28" s="2" t="n">
        <v>27</v>
      </c>
      <c r="C28" s="2" t="n">
        <v>0.00111712099920335</v>
      </c>
      <c r="D28" s="2" t="n">
        <v>0.00111712337349177</v>
      </c>
      <c r="E28" s="2" t="n">
        <v>0.00111712504509369</v>
      </c>
    </row>
    <row r="29" customFormat="false" ht="13.8" hidden="false" customHeight="false" outlineLevel="0" collapsed="false">
      <c r="B29" s="2" t="n">
        <v>28</v>
      </c>
      <c r="C29" s="2" t="n">
        <v>0.00111712713359839</v>
      </c>
      <c r="D29" s="2" t="n">
        <v>0.00111714761269005</v>
      </c>
      <c r="E29" s="2" t="n">
        <v>0.00111715350754808</v>
      </c>
    </row>
    <row r="30" customFormat="false" ht="13.8" hidden="false" customHeight="false" outlineLevel="0" collapsed="false">
      <c r="B30" s="2" t="n">
        <v>29</v>
      </c>
      <c r="C30" s="2" t="n">
        <v>0.00111713326803203</v>
      </c>
      <c r="D30" s="2" t="n">
        <v>0.00111717185193379</v>
      </c>
      <c r="E30" s="2" t="n">
        <v>0.00111718197006582</v>
      </c>
    </row>
    <row r="31" customFormat="false" ht="13.8" hidden="false" customHeight="false" outlineLevel="0" collapsed="false">
      <c r="B31" s="2" t="n">
        <v>30</v>
      </c>
      <c r="C31" s="2" t="n">
        <v>0.00111713940251786</v>
      </c>
      <c r="D31" s="2" t="n">
        <v>0.00111719609123271</v>
      </c>
      <c r="E31" s="2" t="n">
        <v>0</v>
      </c>
    </row>
    <row r="32" customFormat="false" ht="13.8" hidden="false" customHeight="false" outlineLevel="0" collapsed="false">
      <c r="B32" s="2" t="n">
        <v>31</v>
      </c>
      <c r="C32" s="2" t="n">
        <v>0</v>
      </c>
      <c r="D32" s="2" t="n">
        <v>0.00111722033054641</v>
      </c>
      <c r="E32" s="2" t="n">
        <v>0</v>
      </c>
    </row>
    <row r="33" customFormat="false" ht="13.8" hidden="false" customHeight="false" outlineLevel="0" collapsed="false">
      <c r="B33" s="2" t="n">
        <v>32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33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34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35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36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37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38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39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40</v>
      </c>
      <c r="C41" s="2" t="n">
        <v>0</v>
      </c>
      <c r="D41" s="2" t="n">
        <v>5.41896362919943E-010</v>
      </c>
      <c r="E41" s="2" t="n">
        <v>7.08247629663675E-010</v>
      </c>
    </row>
    <row r="42" customFormat="false" ht="13.8" hidden="false" customHeight="false" outlineLevel="0" collapsed="false">
      <c r="B42" s="2" t="n">
        <v>41</v>
      </c>
      <c r="C42" s="2" t="n">
        <v>0</v>
      </c>
      <c r="D42" s="2" t="n">
        <v>1.5662537078606E-009</v>
      </c>
      <c r="E42" s="2" t="n">
        <v>1.54796497132338E-009</v>
      </c>
    </row>
    <row r="43" customFormat="false" ht="13.8" hidden="false" customHeight="false" outlineLevel="0" collapsed="false">
      <c r="B43" s="2" t="n">
        <v>42</v>
      </c>
      <c r="C43" s="2" t="n">
        <v>0</v>
      </c>
      <c r="D43" s="2" t="n">
        <v>2.59064438731002E-009</v>
      </c>
      <c r="E43" s="2" t="n">
        <v>2.38771557851578E-009</v>
      </c>
    </row>
    <row r="44" customFormat="false" ht="13.8" hidden="false" customHeight="false" outlineLevel="0" collapsed="false">
      <c r="B44" s="2" t="n">
        <v>43</v>
      </c>
      <c r="C44" s="2" t="n">
        <v>0</v>
      </c>
      <c r="D44" s="2" t="n">
        <v>3.61506842986273E-009</v>
      </c>
      <c r="E44" s="2" t="n">
        <v>3.22749947525154E-009</v>
      </c>
    </row>
    <row r="45" customFormat="false" ht="13.8" hidden="false" customHeight="false" outlineLevel="0" collapsed="false">
      <c r="B45" s="2" t="n">
        <v>44</v>
      </c>
      <c r="C45" s="2" t="n">
        <v>0</v>
      </c>
      <c r="D45" s="2" t="n">
        <v>4.63952586396772E-009</v>
      </c>
      <c r="E45" s="2" t="n">
        <v>4.06731668605062E-009</v>
      </c>
    </row>
    <row r="46" customFormat="false" ht="13.8" hidden="false" customHeight="false" outlineLevel="0" collapsed="false">
      <c r="B46" s="2" t="n">
        <v>45</v>
      </c>
      <c r="C46" s="2" t="n">
        <v>0</v>
      </c>
      <c r="D46" s="2" t="n">
        <v>5.66401671792847E-009</v>
      </c>
      <c r="E46" s="2" t="n">
        <v>4.90716723499645E-009</v>
      </c>
    </row>
    <row r="47" customFormat="false" ht="13.8" hidden="false" customHeight="false" outlineLevel="0" collapsed="false">
      <c r="B47" s="2" t="n">
        <v>46</v>
      </c>
      <c r="C47" s="2" t="n">
        <v>0</v>
      </c>
      <c r="D47" s="2" t="n">
        <v>6.68854102346814E-009</v>
      </c>
      <c r="E47" s="2" t="n">
        <v>5.74705114631798E-009</v>
      </c>
    </row>
    <row r="48" customFormat="false" ht="13.8" hidden="false" customHeight="false" outlineLevel="0" collapsed="false">
      <c r="B48" s="2" t="n">
        <v>47</v>
      </c>
      <c r="C48" s="2" t="n">
        <v>0</v>
      </c>
      <c r="D48" s="2" t="n">
        <v>7.71927483117907E-009</v>
      </c>
      <c r="E48" s="2" t="n">
        <v>6.58696844402585E-009</v>
      </c>
    </row>
    <row r="49" customFormat="false" ht="13.8" hidden="false" customHeight="false" outlineLevel="0" collapsed="false">
      <c r="B49" s="2" t="n">
        <v>48</v>
      </c>
      <c r="C49" s="2" t="n">
        <v>0</v>
      </c>
      <c r="D49" s="2" t="n">
        <v>8.75612334093604E-009</v>
      </c>
      <c r="E49" s="2" t="n">
        <v>7.42691915256729E-009</v>
      </c>
    </row>
    <row r="50" customFormat="false" ht="13.8" hidden="false" customHeight="false" outlineLevel="0" collapsed="false">
      <c r="B50" s="2" t="n">
        <v>49</v>
      </c>
      <c r="C50" s="2" t="n">
        <v>0</v>
      </c>
      <c r="D50" s="2" t="n">
        <v>8.69210785669567E-009</v>
      </c>
      <c r="E50" s="2" t="n">
        <v>8.26690329609847E-009</v>
      </c>
    </row>
    <row r="51" customFormat="false" ht="13.8" hidden="false" customHeight="false" outlineLevel="0" collapsed="false">
      <c r="B51" s="2" t="n">
        <v>50</v>
      </c>
      <c r="C51" s="2" t="n">
        <v>0</v>
      </c>
      <c r="D51" s="2" t="n">
        <v>1.05042057280241E-009</v>
      </c>
      <c r="E51" s="2" t="n">
        <v>9.10692089870282E-009</v>
      </c>
    </row>
    <row r="52" customFormat="false" ht="13.8" hidden="false" customHeight="false" outlineLevel="0" collapsed="false">
      <c r="B52" s="2" t="n">
        <v>51</v>
      </c>
      <c r="C52" s="2" t="n">
        <v>0</v>
      </c>
      <c r="D52" s="2" t="n">
        <v>1.3462630606237E-009</v>
      </c>
      <c r="E52" s="2" t="n">
        <v>9.94731053950091E-009</v>
      </c>
    </row>
    <row r="53" customFormat="false" ht="13.8" hidden="false" customHeight="false" outlineLevel="0" collapsed="false">
      <c r="B53" s="2" t="n">
        <v>52</v>
      </c>
      <c r="C53" s="2" t="n">
        <v>0</v>
      </c>
      <c r="D53" s="2" t="n">
        <v>1.91417919106836E-009</v>
      </c>
      <c r="E53" s="2" t="n">
        <v>1.07945098801429E-008</v>
      </c>
    </row>
    <row r="54" customFormat="false" ht="13.8" hidden="false" customHeight="false" outlineLevel="0" collapsed="false">
      <c r="B54" s="2" t="n">
        <v>53</v>
      </c>
      <c r="C54" s="2" t="n">
        <v>0</v>
      </c>
      <c r="D54" s="2" t="n">
        <v>4.60767542172345E-009</v>
      </c>
      <c r="E54" s="2" t="n">
        <v>1.08890956776304E-008</v>
      </c>
    </row>
    <row r="55" customFormat="false" ht="13.8" hidden="false" customHeight="false" outlineLevel="0" collapsed="false">
      <c r="B55" s="2" t="n">
        <v>54</v>
      </c>
      <c r="C55" s="2" t="n">
        <v>8.18657863442168E-013</v>
      </c>
      <c r="D55" s="2" t="n">
        <v>9.62146845533691E-009</v>
      </c>
      <c r="E55" s="2" t="n">
        <v>1.24841969735931E-009</v>
      </c>
    </row>
    <row r="56" customFormat="false" ht="13.8" hidden="false" customHeight="false" outlineLevel="0" collapsed="false">
      <c r="B56" s="2" t="n">
        <v>55</v>
      </c>
      <c r="C56" s="2" t="n">
        <v>1.3795521671562E-009</v>
      </c>
      <c r="D56" s="2" t="n">
        <v>1.57765144798837E-008</v>
      </c>
      <c r="E56" s="2" t="n">
        <v>7.85803562842673E-010</v>
      </c>
    </row>
    <row r="57" customFormat="false" ht="13.8" hidden="false" customHeight="false" outlineLevel="0" collapsed="false">
      <c r="B57" s="2" t="n">
        <v>56</v>
      </c>
      <c r="C57" s="2" t="n">
        <v>5.82451236306294E-009</v>
      </c>
      <c r="D57" s="2" t="n">
        <v>2.09197726475852E-008</v>
      </c>
      <c r="E57" s="2" t="n">
        <v>2.19657750918581E-009</v>
      </c>
    </row>
    <row r="58" customFormat="false" ht="13.8" hidden="false" customHeight="false" outlineLevel="0" collapsed="false">
      <c r="B58" s="2" t="n">
        <v>57</v>
      </c>
      <c r="C58" s="2" t="n">
        <v>1.0762757143449E-008</v>
      </c>
      <c r="D58" s="2" t="n">
        <v>2.60630422436456E-008</v>
      </c>
      <c r="E58" s="2" t="n">
        <v>7.62922629194933E-009</v>
      </c>
    </row>
    <row r="59" customFormat="false" ht="13.8" hidden="false" customHeight="false" outlineLevel="0" collapsed="false">
      <c r="B59" s="2" t="n">
        <v>58</v>
      </c>
      <c r="C59" s="2" t="n">
        <v>1.61861339306535E-008</v>
      </c>
      <c r="D59" s="2" t="n">
        <v>3.12063247564472E-008</v>
      </c>
      <c r="E59" s="2" t="n">
        <v>1.12004422236903E-008</v>
      </c>
    </row>
    <row r="60" customFormat="false" ht="13.8" hidden="false" customHeight="false" outlineLevel="0" collapsed="false">
      <c r="B60" s="2" t="n">
        <v>59</v>
      </c>
      <c r="C60" s="2" t="n">
        <v>2.11973007966096E-008</v>
      </c>
      <c r="D60" s="2" t="n">
        <v>3.63496243228511E-008</v>
      </c>
      <c r="E60" s="2" t="n">
        <v>1.47717103426407E-008</v>
      </c>
    </row>
    <row r="61" customFormat="false" ht="13.8" hidden="false" customHeight="false" outlineLevel="0" collapsed="false">
      <c r="B61" s="2" t="n">
        <v>60</v>
      </c>
      <c r="C61" s="2" t="n">
        <v>2.61962017800956E-008</v>
      </c>
      <c r="D61" s="2" t="n">
        <v>4.1492945082055E-008</v>
      </c>
      <c r="E61" s="2" t="n">
        <v>1.83430306458935E-008</v>
      </c>
    </row>
    <row r="62" customFormat="false" ht="13.8" hidden="false" customHeight="false" outlineLevel="0" collapsed="false">
      <c r="B62" s="2" t="n">
        <v>61</v>
      </c>
      <c r="C62" s="2" t="n">
        <v>3.11949285271785E-008</v>
      </c>
      <c r="D62" s="2" t="n">
        <v>4.66362911741052E-008</v>
      </c>
      <c r="E62" s="2" t="n">
        <v>2.19144031316144E-008</v>
      </c>
    </row>
    <row r="63" customFormat="false" ht="13.8" hidden="false" customHeight="false" outlineLevel="0" collapsed="false">
      <c r="B63" s="2" t="n">
        <v>62</v>
      </c>
      <c r="C63" s="2" t="n">
        <v>3.61935365337592E-008</v>
      </c>
      <c r="D63" s="2" t="n">
        <v>5.17796667373197E-008</v>
      </c>
      <c r="E63" s="2" t="n">
        <v>2.47967234221799E-008</v>
      </c>
    </row>
    <row r="64" customFormat="false" ht="13.8" hidden="false" customHeight="false" outlineLevel="0" collapsed="false">
      <c r="B64" s="2" t="n">
        <v>63</v>
      </c>
      <c r="C64" s="2" t="n">
        <v>4.11920225381271E-008</v>
      </c>
      <c r="D64" s="2" t="n">
        <v>5.69230738860246E-008</v>
      </c>
      <c r="E64" s="2" t="n">
        <v>2.96444732656189E-008</v>
      </c>
    </row>
    <row r="65" customFormat="false" ht="13.8" hidden="false" customHeight="false" outlineLevel="0" collapsed="false">
      <c r="B65" s="2" t="n">
        <v>64</v>
      </c>
      <c r="C65" s="2" t="n">
        <v>4.61904041941253E-008</v>
      </c>
      <c r="D65" s="2" t="n">
        <v>6.20665147328396E-008</v>
      </c>
      <c r="E65" s="2" t="n">
        <v>3.38031709121344E-008</v>
      </c>
    </row>
    <row r="66" customFormat="false" ht="13.8" hidden="false" customHeight="false" outlineLevel="0" collapsed="false">
      <c r="B66" s="2" t="n">
        <v>65</v>
      </c>
      <c r="C66" s="2" t="n">
        <v>5.11886991536967E-008</v>
      </c>
      <c r="D66" s="2" t="n">
        <v>6.72099913867655E-008</v>
      </c>
      <c r="E66" s="2" t="n">
        <v>3.79619207369351E-008</v>
      </c>
    </row>
    <row r="67" customFormat="false" ht="13.8" hidden="false" customHeight="false" outlineLevel="0" collapsed="false">
      <c r="B67" s="2" t="n">
        <v>66</v>
      </c>
      <c r="C67" s="2" t="n">
        <v>5.61869246659422E-008</v>
      </c>
      <c r="D67" s="2" t="n">
        <v>7.23535059730575E-008</v>
      </c>
      <c r="E67" s="2" t="n">
        <v>4.18988854710815E-008</v>
      </c>
    </row>
    <row r="68" customFormat="false" ht="13.8" hidden="false" customHeight="false" outlineLevel="0" collapsed="false">
      <c r="B68" s="2" t="n">
        <v>67</v>
      </c>
      <c r="C68" s="2" t="n">
        <v>6.11850991148915E-008</v>
      </c>
      <c r="D68" s="2" t="n">
        <v>7.74970606358394E-008</v>
      </c>
      <c r="E68" s="2" t="n">
        <v>4.63265267944333E-008</v>
      </c>
    </row>
    <row r="69" customFormat="false" ht="13.8" hidden="false" customHeight="false" outlineLevel="0" collapsed="false">
      <c r="B69" s="2" t="n">
        <v>68</v>
      </c>
      <c r="C69" s="2" t="n">
        <v>0.00111736565851497</v>
      </c>
      <c r="D69" s="2" t="n">
        <v>0.00111738654514253</v>
      </c>
      <c r="E69" s="2" t="n">
        <v>0.00111734703678187</v>
      </c>
    </row>
    <row r="70" customFormat="false" ht="13.8" hidden="false" customHeight="false" outlineLevel="0" collapsed="false">
      <c r="B70" s="2" t="n">
        <v>69</v>
      </c>
      <c r="C70" s="2" t="n">
        <v>0.00111737182902305</v>
      </c>
      <c r="D70" s="2" t="n">
        <v>0.00111739288580283</v>
      </c>
      <c r="E70" s="2" t="n">
        <v>0.00111735266949966</v>
      </c>
    </row>
    <row r="71" customFormat="false" ht="13.8" hidden="false" customHeight="false" outlineLevel="0" collapsed="false">
      <c r="B71" s="2" t="n">
        <v>70</v>
      </c>
      <c r="C71" s="2" t="n">
        <v>0.0011173779995289</v>
      </c>
      <c r="D71" s="2" t="n">
        <v>0.0011173992264791</v>
      </c>
      <c r="E71" s="2" t="n">
        <v>0.00111735830227922</v>
      </c>
    </row>
    <row r="72" customFormat="false" ht="13.8" hidden="false" customHeight="false" outlineLevel="0" collapsed="false">
      <c r="B72" s="2" t="n">
        <v>71</v>
      </c>
      <c r="C72" s="2" t="n">
        <v>0.0011173841700428</v>
      </c>
      <c r="D72" s="2" t="n">
        <v>0.00111740556717869</v>
      </c>
      <c r="E72" s="2" t="n">
        <v>0.00111736393512053</v>
      </c>
    </row>
    <row r="73" customFormat="false" ht="13.8" hidden="false" customHeight="false" outlineLevel="0" collapsed="false">
      <c r="B73" s="2" t="n">
        <v>72</v>
      </c>
      <c r="C73" s="2" t="n">
        <v>0.00111739034058264</v>
      </c>
      <c r="D73" s="2" t="n">
        <v>0.00111741190791441</v>
      </c>
      <c r="E73" s="2" t="n">
        <v>0.00111736956802359</v>
      </c>
    </row>
    <row r="74" customFormat="false" ht="13.8" hidden="false" customHeight="false" outlineLevel="0" collapsed="false">
      <c r="B74" s="2" t="n">
        <v>73</v>
      </c>
      <c r="C74" s="2" t="n">
        <v>0.00111739651116633</v>
      </c>
      <c r="D74" s="2" t="n">
        <v>0.00111741824869906</v>
      </c>
      <c r="E74" s="2" t="n">
        <v>0.00111737520098841</v>
      </c>
    </row>
    <row r="75" customFormat="false" ht="13.8" hidden="false" customHeight="false" outlineLevel="0" collapsed="false">
      <c r="B75" s="2" t="n">
        <v>74</v>
      </c>
      <c r="C75" s="2" t="n">
        <v>0.00111740268182625</v>
      </c>
      <c r="D75" s="2" t="n">
        <v>0.00111742458955583</v>
      </c>
      <c r="E75" s="2" t="n">
        <v>0.00111738083401495</v>
      </c>
    </row>
    <row r="76" customFormat="false" ht="13.8" hidden="false" customHeight="false" outlineLevel="0" collapsed="false">
      <c r="B76" s="2" t="n">
        <v>75</v>
      </c>
      <c r="C76" s="2" t="n">
        <v>0.00111740885254791</v>
      </c>
      <c r="D76" s="2" t="n">
        <v>0.00111743093047435</v>
      </c>
      <c r="E76" s="2" t="n">
        <v>0.00111738646710323</v>
      </c>
    </row>
    <row r="77" customFormat="false" ht="13.8" hidden="false" customHeight="false" outlineLevel="0" collapsed="false">
      <c r="B77" s="2" t="n">
        <v>76</v>
      </c>
      <c r="C77" s="2" t="n">
        <v>0.00111741502333132</v>
      </c>
      <c r="D77" s="2" t="n">
        <v>0.0011174372714546</v>
      </c>
      <c r="E77" s="2" t="n">
        <v>0.00111739210025325</v>
      </c>
    </row>
    <row r="78" customFormat="false" ht="13.8" hidden="false" customHeight="false" outlineLevel="0" collapsed="false">
      <c r="B78" s="2" t="n">
        <v>77</v>
      </c>
      <c r="C78" s="2" t="n">
        <v>0.00111742119417647</v>
      </c>
      <c r="D78" s="2" t="n">
        <v>0.0011174436124966</v>
      </c>
      <c r="E78" s="2" t="n">
        <v>0.00111739773346501</v>
      </c>
    </row>
    <row r="79" customFormat="false" ht="13.8" hidden="false" customHeight="false" outlineLevel="0" collapsed="false">
      <c r="B79" s="2" t="n">
        <v>78</v>
      </c>
      <c r="C79" s="2" t="n">
        <v>0.00111742736508336</v>
      </c>
      <c r="D79" s="2" t="n">
        <v>0.00111744995360035</v>
      </c>
      <c r="E79" s="2" t="n">
        <v>0.00111740336673852</v>
      </c>
    </row>
    <row r="80" customFormat="false" ht="13.8" hidden="false" customHeight="false" outlineLevel="0" collapsed="false">
      <c r="B80" s="2" t="n">
        <v>79</v>
      </c>
      <c r="C80" s="2" t="n">
        <v>0.00111743353605199</v>
      </c>
      <c r="D80" s="2" t="n">
        <v>0.00111745629476584</v>
      </c>
      <c r="E80" s="2" t="n">
        <v>0.00111740900007376</v>
      </c>
    </row>
    <row r="81" customFormat="false" ht="13.8" hidden="false" customHeight="false" outlineLevel="0" collapsed="false">
      <c r="B81" s="2" t="n">
        <v>80</v>
      </c>
      <c r="C81" s="2" t="n">
        <v>0.00111743970708237</v>
      </c>
      <c r="D81" s="2" t="n">
        <v>0.00111746263599308</v>
      </c>
      <c r="E81" s="2" t="n">
        <v>0.00111741463347074</v>
      </c>
    </row>
    <row r="82" customFormat="false" ht="13.8" hidden="false" customHeight="false" outlineLevel="0" collapsed="false">
      <c r="B82" s="2" t="n">
        <v>81</v>
      </c>
      <c r="C82" s="2" t="n">
        <v>0.0011174458781745</v>
      </c>
      <c r="D82" s="2" t="n">
        <v>0.00111746897728206</v>
      </c>
      <c r="E82" s="2" t="n">
        <v>0.00111742026692947</v>
      </c>
    </row>
    <row r="83" customFormat="false" ht="13.8" hidden="false" customHeight="false" outlineLevel="0" collapsed="false">
      <c r="B83" s="2" t="n">
        <v>82</v>
      </c>
      <c r="C83" s="2" t="n">
        <v>0.00111745204932837</v>
      </c>
      <c r="D83" s="2" t="n">
        <v>0.00111747531863279</v>
      </c>
      <c r="E83" s="2" t="n">
        <v>0.00111742590044993</v>
      </c>
    </row>
    <row r="84" customFormat="false" ht="13.8" hidden="false" customHeight="false" outlineLevel="0" collapsed="false">
      <c r="B84" s="2" t="n">
        <v>83</v>
      </c>
      <c r="C84" s="2" t="n">
        <v>0.00111745822054398</v>
      </c>
      <c r="D84" s="2" t="n">
        <v>0.00111748166004527</v>
      </c>
      <c r="E84" s="2" t="n">
        <v>0.00111743153403214</v>
      </c>
    </row>
    <row r="85" customFormat="false" ht="13.8" hidden="false" customHeight="false" outlineLevel="0" collapsed="false">
      <c r="B85" s="2" t="n">
        <v>84</v>
      </c>
      <c r="C85" s="2" t="n">
        <v>0.00111746439182134</v>
      </c>
      <c r="D85" s="2" t="n">
        <v>0.0011174880015195</v>
      </c>
      <c r="E85" s="2" t="n">
        <v>0.0011174371676761</v>
      </c>
    </row>
    <row r="86" customFormat="false" ht="13.8" hidden="false" customHeight="false" outlineLevel="0" collapsed="false">
      <c r="B86" s="2" t="n">
        <v>85</v>
      </c>
      <c r="C86" s="2" t="n">
        <v>0.00111747056316045</v>
      </c>
      <c r="D86" s="2" t="n">
        <v>0.00111749434305548</v>
      </c>
      <c r="E86" s="2" t="n">
        <v>0.0011174428013818</v>
      </c>
    </row>
    <row r="87" customFormat="false" ht="13.8" hidden="false" customHeight="false" outlineLevel="0" collapsed="false">
      <c r="B87" s="2" t="n">
        <v>86</v>
      </c>
      <c r="C87" s="2" t="n">
        <v>0.00111747673456131</v>
      </c>
      <c r="D87" s="2" t="n">
        <v>0.00111750068465321</v>
      </c>
      <c r="E87" s="2" t="n">
        <v>0.00111744843514924</v>
      </c>
    </row>
    <row r="88" customFormat="false" ht="13.8" hidden="false" customHeight="false" outlineLevel="0" collapsed="false">
      <c r="B88" s="2" t="n">
        <v>87</v>
      </c>
      <c r="C88" s="2" t="n">
        <v>0.00111748290602391</v>
      </c>
      <c r="D88" s="2" t="n">
        <v>0.00111750702631269</v>
      </c>
      <c r="E88" s="2" t="n">
        <v>0.00111745406897843</v>
      </c>
    </row>
    <row r="89" customFormat="false" ht="13.8" hidden="false" customHeight="false" outlineLevel="0" collapsed="false">
      <c r="B89" s="2" t="n">
        <v>88</v>
      </c>
      <c r="C89" s="2" t="n">
        <v>0.00111748907754827</v>
      </c>
      <c r="D89" s="2" t="n">
        <v>0.00111751336803392</v>
      </c>
      <c r="E89" s="2" t="n">
        <v>0.00111745970286937</v>
      </c>
    </row>
    <row r="90" customFormat="false" ht="13.8" hidden="false" customHeight="false" outlineLevel="0" collapsed="false">
      <c r="B90" s="2" t="n">
        <v>89</v>
      </c>
      <c r="C90" s="2" t="n">
        <v>0.00111749524913437</v>
      </c>
      <c r="D90" s="2" t="n">
        <v>0.00111751970981691</v>
      </c>
      <c r="E90" s="2" t="n">
        <v>0.00111746533682205</v>
      </c>
    </row>
    <row r="91" customFormat="false" ht="13.8" hidden="false" customHeight="false" outlineLevel="0" collapsed="false">
      <c r="B91" s="2" t="n">
        <v>90</v>
      </c>
      <c r="C91" s="2" t="n">
        <v>0.00111750142078223</v>
      </c>
      <c r="D91" s="2" t="n">
        <v>0.00111752605166164</v>
      </c>
      <c r="E91" s="2" t="n">
        <v>0.00111747097083648</v>
      </c>
    </row>
    <row r="92" customFormat="false" ht="13.8" hidden="false" customHeight="false" outlineLevel="0" collapsed="false">
      <c r="B92" s="2" t="n">
        <v>91</v>
      </c>
      <c r="C92" s="2" t="n">
        <v>0.00111750759249184</v>
      </c>
      <c r="D92" s="2" t="n">
        <v>0.00111753239356813</v>
      </c>
      <c r="E92" s="2" t="n">
        <v>0.00111747660491266</v>
      </c>
    </row>
    <row r="93" customFormat="false" ht="13.8" hidden="false" customHeight="false" outlineLevel="0" collapsed="false">
      <c r="B93" s="2" t="n">
        <v>92</v>
      </c>
      <c r="C93" s="2" t="n">
        <v>0.00111751376426319</v>
      </c>
      <c r="D93" s="2" t="n">
        <v>0.00111753873553638</v>
      </c>
      <c r="E93" s="2" t="n">
        <v>0.00111748223905058</v>
      </c>
    </row>
    <row r="94" customFormat="false" ht="13.8" hidden="false" customHeight="false" outlineLevel="0" collapsed="false">
      <c r="B94" s="2" t="n">
        <v>93</v>
      </c>
      <c r="C94" s="2" t="n">
        <v>0.0011175199360963</v>
      </c>
      <c r="D94" s="2" t="n">
        <v>0.00111754507756638</v>
      </c>
      <c r="E94" s="2" t="n">
        <v>0.00111748787325026</v>
      </c>
    </row>
    <row r="95" customFormat="false" ht="13.8" hidden="false" customHeight="false" outlineLevel="0" collapsed="false">
      <c r="B95" s="2" t="n">
        <v>94</v>
      </c>
      <c r="C95" s="2" t="n">
        <v>0.00111752610799117</v>
      </c>
      <c r="D95" s="2" t="n">
        <v>0.00111755141965813</v>
      </c>
      <c r="E95" s="2" t="n">
        <v>0.00111749350751168</v>
      </c>
    </row>
    <row r="96" customFormat="false" ht="13.8" hidden="false" customHeight="false" outlineLevel="0" collapsed="false">
      <c r="B96" s="2" t="n">
        <v>95</v>
      </c>
      <c r="C96" s="2" t="n">
        <v>0.00111753227994778</v>
      </c>
      <c r="D96" s="2" t="n">
        <v>0.00111755776181164</v>
      </c>
      <c r="E96" s="2" t="n">
        <v>0.00111749914183486</v>
      </c>
    </row>
    <row r="97" customFormat="false" ht="13.8" hidden="false" customHeight="false" outlineLevel="0" collapsed="false">
      <c r="B97" s="2" t="n">
        <v>96</v>
      </c>
      <c r="C97" s="2" t="n">
        <v>0.00111753845196615</v>
      </c>
      <c r="D97" s="2" t="n">
        <v>0.0011175641040269</v>
      </c>
      <c r="E97" s="2" t="n">
        <v>0.00111750477621978</v>
      </c>
    </row>
    <row r="98" customFormat="false" ht="13.8" hidden="false" customHeight="false" outlineLevel="0" collapsed="false">
      <c r="B98" s="2" t="n">
        <v>97</v>
      </c>
      <c r="C98" s="2" t="n">
        <v>0.00111754462404628</v>
      </c>
      <c r="D98" s="2" t="n">
        <v>0.00111757044630392</v>
      </c>
      <c r="E98" s="2" t="n">
        <v>0.00111751041066646</v>
      </c>
    </row>
    <row r="99" customFormat="false" ht="13.8" hidden="false" customHeight="false" outlineLevel="0" collapsed="false">
      <c r="B99" s="2" t="n">
        <v>98</v>
      </c>
      <c r="C99" s="2" t="n">
        <v>0.00111755079618816</v>
      </c>
      <c r="D99" s="2" t="n">
        <v>0.00111757678864271</v>
      </c>
      <c r="E99" s="2" t="n">
        <v>0.00111751604517488</v>
      </c>
    </row>
    <row r="100" customFormat="false" ht="13.8" hidden="false" customHeight="false" outlineLevel="0" collapsed="false">
      <c r="B100" s="2" t="n">
        <v>99</v>
      </c>
      <c r="C100" s="2" t="n">
        <v>0.00111755696839179</v>
      </c>
      <c r="D100" s="2" t="n">
        <v>0.00111758313104324</v>
      </c>
      <c r="E100" s="2" t="n">
        <v>0.00111752167974506</v>
      </c>
    </row>
    <row r="101" customFormat="false" ht="13.8" hidden="false" customHeight="false" outlineLevel="0" collapsed="false">
      <c r="B101" s="2" t="n">
        <v>100</v>
      </c>
      <c r="C101" s="2" t="n">
        <v>0.00111756314065719</v>
      </c>
      <c r="D101" s="2" t="n">
        <v>0.00111758947350554</v>
      </c>
      <c r="E101" s="2" t="n">
        <v>0.00111752731437699</v>
      </c>
    </row>
    <row r="102" customFormat="false" ht="13.8" hidden="false" customHeight="false" outlineLevel="0" collapsed="false">
      <c r="B102" s="2" t="n">
        <v>101</v>
      </c>
      <c r="C102" s="2" t="n">
        <v>0.00111756931298434</v>
      </c>
      <c r="D102" s="2" t="n">
        <v>0.0011175958160296</v>
      </c>
      <c r="E102" s="2" t="n">
        <v>0.00111753294907068</v>
      </c>
    </row>
    <row r="103" customFormat="false" ht="13.8" hidden="false" customHeight="false" outlineLevel="0" collapsed="false">
      <c r="B103" s="2" t="n">
        <v>102</v>
      </c>
      <c r="C103" s="2" t="n">
        <v>0.00111757548537324</v>
      </c>
      <c r="D103" s="2" t="n">
        <v>0.00111760215861541</v>
      </c>
      <c r="E103" s="2" t="n">
        <v>0.00111753858382612</v>
      </c>
    </row>
    <row r="104" customFormat="false" ht="13.8" hidden="false" customHeight="false" outlineLevel="0" collapsed="false">
      <c r="B104" s="2" t="n">
        <v>103</v>
      </c>
      <c r="C104" s="2" t="n">
        <v>0.00111758165782391</v>
      </c>
      <c r="D104" s="2" t="n">
        <v>0.00111760850126299</v>
      </c>
      <c r="E104" s="2" t="n">
        <v>0.00111754421864331</v>
      </c>
    </row>
    <row r="105" customFormat="false" ht="13.8" hidden="false" customHeight="false" outlineLevel="0" collapsed="false">
      <c r="B105" s="2" t="n">
        <v>104</v>
      </c>
      <c r="C105" s="2" t="n">
        <v>0.00111758783033633</v>
      </c>
      <c r="D105" s="2" t="n">
        <v>0.00111761484397233</v>
      </c>
      <c r="E105" s="2" t="n">
        <v>0.00111754985352226</v>
      </c>
    </row>
    <row r="106" customFormat="false" ht="13.8" hidden="false" customHeight="false" outlineLevel="0" collapsed="false">
      <c r="B106" s="2" t="n">
        <v>105</v>
      </c>
      <c r="C106" s="2" t="n">
        <v>0.00111759400291052</v>
      </c>
      <c r="D106" s="2" t="n">
        <v>0.00111762118674343</v>
      </c>
      <c r="E106" s="2" t="n">
        <v>0.00111755548846297</v>
      </c>
    </row>
    <row r="107" customFormat="false" ht="13.8" hidden="false" customHeight="false" outlineLevel="0" collapsed="false">
      <c r="B107" s="2" t="n">
        <v>106</v>
      </c>
      <c r="C107" s="2" t="n">
        <v>0.00111760017554646</v>
      </c>
      <c r="D107" s="2" t="n">
        <v>0.0011176275295763</v>
      </c>
      <c r="E107" s="2" t="n">
        <v>0.00111756112346543</v>
      </c>
    </row>
    <row r="108" customFormat="false" ht="13.8" hidden="false" customHeight="false" outlineLevel="0" collapsed="false">
      <c r="B108" s="2" t="n">
        <v>107</v>
      </c>
      <c r="C108" s="2" t="n">
        <v>0.00111760634824417</v>
      </c>
      <c r="D108" s="2" t="n">
        <v>0.00111763387247093</v>
      </c>
      <c r="E108" s="2" t="n">
        <v>0.00111756675852965</v>
      </c>
    </row>
    <row r="109" customFormat="false" ht="13.8" hidden="false" customHeight="false" outlineLevel="0" collapsed="false">
      <c r="B109" s="2" t="n">
        <v>108</v>
      </c>
      <c r="C109" s="2" t="n">
        <v>0.00111761252100364</v>
      </c>
      <c r="D109" s="2" t="n">
        <v>0.00111764021542732</v>
      </c>
      <c r="E109" s="2" t="n">
        <v>0.00111757239365562</v>
      </c>
    </row>
    <row r="110" customFormat="false" ht="13.8" hidden="false" customHeight="false" outlineLevel="0" collapsed="false">
      <c r="B110" s="2" t="n">
        <v>109</v>
      </c>
      <c r="C110" s="2" t="n">
        <v>0.00111761869382487</v>
      </c>
      <c r="D110" s="2" t="n">
        <v>0.00111764655844548</v>
      </c>
      <c r="E110" s="2" t="n">
        <v>0.00111757802884335</v>
      </c>
    </row>
    <row r="111" customFormat="false" ht="13.8" hidden="false" customHeight="false" outlineLevel="0" collapsed="false">
      <c r="B111" s="2" t="n">
        <v>110</v>
      </c>
      <c r="C111" s="2" t="n">
        <v>0.00111762486670785</v>
      </c>
      <c r="D111" s="2" t="n">
        <v>0.0011176529015254</v>
      </c>
      <c r="E111" s="2" t="n">
        <v>0.00111758366409284</v>
      </c>
    </row>
    <row r="112" customFormat="false" ht="13.8" hidden="false" customHeight="false" outlineLevel="0" collapsed="false">
      <c r="B112" s="2" t="n">
        <v>111</v>
      </c>
      <c r="C112" s="2" t="n">
        <v>0.00111763103965261</v>
      </c>
      <c r="D112" s="2" t="n">
        <v>0.00111765924466709</v>
      </c>
      <c r="E112" s="2" t="n">
        <v>0.00111758929940409</v>
      </c>
    </row>
    <row r="113" customFormat="false" ht="13.8" hidden="false" customHeight="false" outlineLevel="0" collapsed="false">
      <c r="B113" s="2" t="n">
        <v>112</v>
      </c>
      <c r="C113" s="2" t="n">
        <v>0.00111763721265913</v>
      </c>
      <c r="D113" s="2" t="n">
        <v>0.00111766558787054</v>
      </c>
      <c r="E113" s="2" t="n">
        <v>0.0011175949347771</v>
      </c>
    </row>
    <row r="114" customFormat="false" ht="13.8" hidden="false" customHeight="false" outlineLevel="0" collapsed="false">
      <c r="B114" s="2" t="n">
        <v>113</v>
      </c>
      <c r="C114" s="2" t="n">
        <v>0.00111764338572741</v>
      </c>
      <c r="D114" s="2" t="n">
        <v>0.00111767193113576</v>
      </c>
      <c r="E114" s="2" t="n">
        <v>0.00111760057021187</v>
      </c>
    </row>
    <row r="115" customFormat="false" ht="13.8" hidden="false" customHeight="false" outlineLevel="0" collapsed="false">
      <c r="B115" s="2" t="n">
        <v>114</v>
      </c>
      <c r="C115" s="2" t="n">
        <v>0.00111764955885746</v>
      </c>
      <c r="D115" s="2" t="n">
        <v>0.00111767827446275</v>
      </c>
      <c r="E115" s="2" t="n">
        <v>0.0011176062057084</v>
      </c>
    </row>
    <row r="116" customFormat="false" ht="13.8" hidden="false" customHeight="false" outlineLevel="0" collapsed="false">
      <c r="B116" s="2" t="n">
        <v>115</v>
      </c>
      <c r="C116" s="2" t="n">
        <v>0.00111765573204928</v>
      </c>
      <c r="D116" s="2" t="n">
        <v>0.00111768461785151</v>
      </c>
      <c r="E116" s="2" t="n">
        <v>0.00111761184126669</v>
      </c>
    </row>
    <row r="117" customFormat="false" ht="13.8" hidden="false" customHeight="false" outlineLevel="0" collapsed="false">
      <c r="B117" s="2" t="n">
        <v>116</v>
      </c>
      <c r="C117" s="2" t="n">
        <v>0.00111766190530286</v>
      </c>
      <c r="D117" s="2" t="n">
        <v>0.00111769096130204</v>
      </c>
      <c r="E117" s="2" t="n">
        <v>0.00111761747688675</v>
      </c>
    </row>
    <row r="118" customFormat="false" ht="13.8" hidden="false" customHeight="false" outlineLevel="0" collapsed="false">
      <c r="B118" s="2" t="n">
        <v>117</v>
      </c>
      <c r="C118" s="2" t="n">
        <v>0.0011176680786182</v>
      </c>
      <c r="D118" s="2" t="n">
        <v>0.00111769730481433</v>
      </c>
      <c r="E118" s="2" t="n">
        <v>0.00111762311256856</v>
      </c>
    </row>
    <row r="119" customFormat="false" ht="13.8" hidden="false" customHeight="false" outlineLevel="0" collapsed="false">
      <c r="B119" s="2" t="n">
        <v>118</v>
      </c>
      <c r="C119" s="2" t="n">
        <v>0.00111767425200038</v>
      </c>
      <c r="D119" s="2" t="n">
        <v>0.00111770364839202</v>
      </c>
      <c r="E119" s="2" t="n">
        <v>0.00111762874831214</v>
      </c>
    </row>
    <row r="120" customFormat="false" ht="13.8" hidden="false" customHeight="false" outlineLevel="0" collapsed="false">
      <c r="B120" s="2" t="n">
        <v>119</v>
      </c>
      <c r="C120" s="2" t="n">
        <v>0.00111768042543808</v>
      </c>
      <c r="D120" s="2" t="n">
        <v>0.00111770999202701</v>
      </c>
      <c r="E120" s="2" t="n">
        <v>0.00111763438411748</v>
      </c>
    </row>
    <row r="121" customFormat="false" ht="13.8" hidden="false" customHeight="false" outlineLevel="0" collapsed="false">
      <c r="B121" s="2" t="n">
        <v>120</v>
      </c>
      <c r="C121" s="2" t="n">
        <v>0.00111768659892504</v>
      </c>
      <c r="D121" s="2" t="n">
        <v>0.00111771633571482</v>
      </c>
      <c r="E121" s="2" t="n">
        <v>0.00111764001998459</v>
      </c>
    </row>
    <row r="122" customFormat="false" ht="13.8" hidden="false" customHeight="false" outlineLevel="0" collapsed="false">
      <c r="B122" s="2" t="n">
        <v>121</v>
      </c>
      <c r="C122" s="2" t="n">
        <v>3.31145692413966E-007</v>
      </c>
      <c r="D122" s="2" t="n">
        <v>0.00111772267945099</v>
      </c>
      <c r="E122" s="2" t="n">
        <v>0.00111764565591348</v>
      </c>
    </row>
    <row r="123" customFormat="false" ht="13.8" hidden="false" customHeight="false" outlineLevel="0" collapsed="false">
      <c r="B123" s="2" t="n">
        <v>122</v>
      </c>
      <c r="C123" s="2" t="n">
        <v>0.00111769894604133</v>
      </c>
      <c r="D123" s="2" t="n">
        <v>0.00111772902324163</v>
      </c>
      <c r="E123" s="2" t="n">
        <v>0.00111765129190413</v>
      </c>
    </row>
    <row r="124" customFormat="false" ht="13.8" hidden="false" customHeight="false" outlineLevel="0" collapsed="false">
      <c r="B124" s="2" t="n">
        <v>123</v>
      </c>
      <c r="C124" s="2" t="n">
        <v>5.99149225565041E-013</v>
      </c>
      <c r="D124" s="2" t="n">
        <v>0.00111773536705859</v>
      </c>
      <c r="E124" s="2" t="n">
        <v>0.00111765692795657</v>
      </c>
    </row>
    <row r="125" customFormat="false" ht="13.8" hidden="false" customHeight="false" outlineLevel="0" collapsed="false">
      <c r="B125" s="2" t="n">
        <v>124</v>
      </c>
      <c r="C125" s="2" t="n">
        <v>0.00111729012810606</v>
      </c>
      <c r="D125" s="2" t="n">
        <v>0.00111774171088428</v>
      </c>
      <c r="E125" s="2" t="n">
        <v>0</v>
      </c>
    </row>
    <row r="126" customFormat="false" ht="13.8" hidden="false" customHeight="false" outlineLevel="0" collapsed="false">
      <c r="B126" s="2" t="n">
        <v>125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126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127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128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129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130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131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132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133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134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135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136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137</v>
      </c>
      <c r="C138" s="2" t="n">
        <v>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138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139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140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141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142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143</v>
      </c>
      <c r="C144" s="2" t="n">
        <v>0</v>
      </c>
      <c r="D144" s="2" t="n">
        <v>7.47927359008255E-011</v>
      </c>
      <c r="E144" s="2" t="n">
        <v>0</v>
      </c>
    </row>
    <row r="145" customFormat="false" ht="13.8" hidden="false" customHeight="false" outlineLevel="0" collapsed="false">
      <c r="B145" s="2" t="n">
        <v>144</v>
      </c>
      <c r="C145" s="2" t="n">
        <v>0</v>
      </c>
      <c r="D145" s="2" t="n">
        <v>8.63148428611141E-010</v>
      </c>
      <c r="E145" s="2" t="n">
        <v>0</v>
      </c>
    </row>
    <row r="146" customFormat="false" ht="13.8" hidden="false" customHeight="false" outlineLevel="0" collapsed="false">
      <c r="B146" s="2" t="n">
        <v>145</v>
      </c>
      <c r="C146" s="2" t="n">
        <v>0</v>
      </c>
      <c r="D146" s="2" t="n">
        <v>2.00110859389442E-009</v>
      </c>
      <c r="E146" s="2" t="n">
        <v>1.53189239454547E-012</v>
      </c>
    </row>
    <row r="147" customFormat="false" ht="13.8" hidden="false" customHeight="false" outlineLevel="0" collapsed="false">
      <c r="B147" s="2" t="n">
        <v>146</v>
      </c>
      <c r="C147" s="2" t="n">
        <v>5.17273575611499E-011</v>
      </c>
      <c r="D147" s="2" t="n">
        <v>6.40963884019906E-009</v>
      </c>
      <c r="E147" s="2" t="n">
        <v>2.36118534773852E-011</v>
      </c>
    </row>
    <row r="148" customFormat="false" ht="13.8" hidden="false" customHeight="false" outlineLevel="0" collapsed="false">
      <c r="B148" s="2" t="n">
        <v>147</v>
      </c>
      <c r="C148" s="2" t="n">
        <v>1.14284758899816E-009</v>
      </c>
      <c r="D148" s="2" t="n">
        <v>1.3001254345813E-008</v>
      </c>
      <c r="E148" s="2" t="n">
        <v>6.48259959895593E-011</v>
      </c>
    </row>
    <row r="149" customFormat="false" ht="13.8" hidden="false" customHeight="false" outlineLevel="0" collapsed="false">
      <c r="B149" s="2" t="n">
        <v>148</v>
      </c>
      <c r="C149" s="2" t="n">
        <v>3.28558831769178E-009</v>
      </c>
      <c r="D149" s="2" t="n">
        <v>1.81040865034467E-008</v>
      </c>
      <c r="E149" s="2" t="n">
        <v>1.5855810972398E-010</v>
      </c>
    </row>
    <row r="150" customFormat="false" ht="13.8" hidden="false" customHeight="false" outlineLevel="0" collapsed="false">
      <c r="B150" s="2" t="n">
        <v>149</v>
      </c>
      <c r="C150" s="2" t="n">
        <v>9.6338799214658E-009</v>
      </c>
      <c r="D150" s="2" t="n">
        <v>2.32069236505213E-008</v>
      </c>
      <c r="E150" s="2" t="n">
        <v>3.80731966336434E-010</v>
      </c>
    </row>
    <row r="151" customFormat="false" ht="13.8" hidden="false" customHeight="false" outlineLevel="0" collapsed="false">
      <c r="B151" s="2" t="n">
        <v>150</v>
      </c>
      <c r="C151" s="2" t="n">
        <v>1.40789776028576E-008</v>
      </c>
      <c r="D151" s="2" t="n">
        <v>2.83097666027873E-008</v>
      </c>
      <c r="E151" s="2" t="n">
        <v>5.04076608030383E-009</v>
      </c>
    </row>
    <row r="152" customFormat="false" ht="13.8" hidden="false" customHeight="false" outlineLevel="0" collapsed="false">
      <c r="B152" s="2" t="n">
        <v>151</v>
      </c>
      <c r="C152" s="2" t="n">
        <v>1.85240650244059E-008</v>
      </c>
      <c r="D152" s="2" t="n">
        <v>3.3412617058106E-008</v>
      </c>
      <c r="E152" s="2" t="n">
        <v>8.97498298319323E-009</v>
      </c>
    </row>
    <row r="153" customFormat="false" ht="13.8" hidden="false" customHeight="false" outlineLevel="0" collapsed="false">
      <c r="B153" s="2" t="n">
        <v>152</v>
      </c>
      <c r="C153" s="2" t="n">
        <v>2.29691445579741E-008</v>
      </c>
      <c r="D153" s="2" t="n">
        <v>3.85154767134514E-008</v>
      </c>
      <c r="E153" s="2" t="n">
        <v>1.25181946112339E-008</v>
      </c>
    </row>
    <row r="154" customFormat="false" ht="13.8" hidden="false" customHeight="false" outlineLevel="0" collapsed="false">
      <c r="B154" s="2" t="n">
        <v>153</v>
      </c>
      <c r="C154" s="2" t="n">
        <v>2.7414218575982E-008</v>
      </c>
      <c r="D154" s="2" t="n">
        <v>4.36183472662162E-008</v>
      </c>
      <c r="E154" s="2" t="n">
        <v>1.60614584294721E-008</v>
      </c>
    </row>
    <row r="155" customFormat="false" ht="13.8" hidden="false" customHeight="false" outlineLevel="0" collapsed="false">
      <c r="B155" s="2" t="n">
        <v>154</v>
      </c>
      <c r="C155" s="2" t="n">
        <v>3.18592894484139E-008</v>
      </c>
      <c r="D155" s="2" t="n">
        <v>4.87212304131169E-008</v>
      </c>
      <c r="E155" s="2" t="n">
        <v>1.96047744371891E-008</v>
      </c>
    </row>
    <row r="156" customFormat="false" ht="13.8" hidden="false" customHeight="false" outlineLevel="0" collapsed="false">
      <c r="B156" s="2" t="n">
        <v>155</v>
      </c>
      <c r="C156" s="2" t="n">
        <v>3.63043615523985E-008</v>
      </c>
      <c r="D156" s="2" t="n">
        <v>5.38241292852695E-008</v>
      </c>
      <c r="E156" s="2" t="n">
        <v>2.3148142633109E-008</v>
      </c>
    </row>
    <row r="157" customFormat="false" ht="13.8" hidden="false" customHeight="false" outlineLevel="0" collapsed="false">
      <c r="B157" s="2" t="n">
        <v>156</v>
      </c>
      <c r="C157" s="2" t="n">
        <v>4.07494392633689E-008</v>
      </c>
      <c r="D157" s="2" t="n">
        <v>5.89270470138131E-008</v>
      </c>
      <c r="E157" s="2" t="n">
        <v>2.66915630157489E-008</v>
      </c>
    </row>
    <row r="158" customFormat="false" ht="13.8" hidden="false" customHeight="false" outlineLevel="0" collapsed="false">
      <c r="B158" s="2" t="n">
        <v>157</v>
      </c>
      <c r="C158" s="2" t="n">
        <v>4.51945269565412E-008</v>
      </c>
      <c r="D158" s="2" t="n">
        <v>6.40299867293242E-008</v>
      </c>
      <c r="E158" s="2" t="n">
        <v>3.02350355837054E-008</v>
      </c>
    </row>
    <row r="159" customFormat="false" ht="13.8" hidden="false" customHeight="false" outlineLevel="0" collapsed="false">
      <c r="B159" s="2" t="n">
        <v>158</v>
      </c>
      <c r="C159" s="2" t="n">
        <v>4.96396290083289E-008</v>
      </c>
      <c r="D159" s="2" t="n">
        <v>6.91329515630486E-008</v>
      </c>
      <c r="E159" s="2" t="n">
        <v>3.37570299108353E-008</v>
      </c>
    </row>
    <row r="160" customFormat="false" ht="13.8" hidden="false" customHeight="false" outlineLevel="0" collapsed="false">
      <c r="B160" s="2" t="n">
        <v>159</v>
      </c>
      <c r="C160" s="2" t="n">
        <v>5.40847484770792E-008</v>
      </c>
      <c r="D160" s="2" t="n">
        <v>7.42359437035171E-008</v>
      </c>
      <c r="E160" s="2" t="n">
        <v>3.73395782296679E-008</v>
      </c>
    </row>
    <row r="161" customFormat="false" ht="13.8" hidden="false" customHeight="false" outlineLevel="0" collapsed="false">
      <c r="B161" s="2" t="n">
        <v>160</v>
      </c>
      <c r="C161" s="2" t="n">
        <v>5.85298884226987E-008</v>
      </c>
      <c r="D161" s="2" t="n">
        <v>7.93389653403648E-008</v>
      </c>
      <c r="E161" s="2" t="n">
        <v>4.09006483054798E-008</v>
      </c>
    </row>
    <row r="162" customFormat="false" ht="13.8" hidden="false" customHeight="false" outlineLevel="0" collapsed="false">
      <c r="B162" s="2" t="n">
        <v>161</v>
      </c>
      <c r="C162" s="2" t="n">
        <v>6.29750519085265E-008</v>
      </c>
      <c r="D162" s="2" t="n">
        <v>8.44420186625911E-008</v>
      </c>
      <c r="E162" s="2" t="n">
        <v>4.44617705621737E-008</v>
      </c>
    </row>
    <row r="163" customFormat="false" ht="13.8" hidden="false" customHeight="false" outlineLevel="0" collapsed="false">
      <c r="B163" s="2" t="n">
        <v>162</v>
      </c>
      <c r="C163" s="2" t="n">
        <v>6.74202419861515E-008</v>
      </c>
      <c r="D163" s="2" t="n">
        <v>8.95451058597292E-008</v>
      </c>
      <c r="E163" s="2" t="n">
        <v>4.80229449997651E-008</v>
      </c>
    </row>
    <row r="164" customFormat="false" ht="13.8" hidden="false" customHeight="false" outlineLevel="0" collapsed="false">
      <c r="B164" s="2" t="n">
        <v>163</v>
      </c>
      <c r="C164" s="2" t="n">
        <v>7.18654624540218E-008</v>
      </c>
      <c r="D164" s="2" t="n">
        <v>9.46482296461268E-008</v>
      </c>
      <c r="E164" s="2" t="n">
        <v>5.15419378673964E-008</v>
      </c>
    </row>
    <row r="165" customFormat="false" ht="13.8" hidden="false" customHeight="false" outlineLevel="0" collapsed="false">
      <c r="B165" s="2" t="n">
        <v>164</v>
      </c>
      <c r="C165" s="2" t="n">
        <v>7.62414367555665E-008</v>
      </c>
      <c r="D165" s="2" t="n">
        <v>0.00111740713291839</v>
      </c>
      <c r="E165" s="2" t="n">
        <v>5.51414030439402E-008</v>
      </c>
    </row>
    <row r="166" customFormat="false" ht="13.8" hidden="false" customHeight="false" outlineLevel="0" collapsed="false">
      <c r="B166" s="2" t="n">
        <v>165</v>
      </c>
      <c r="C166" s="2" t="n">
        <v>0.00111738373722266</v>
      </c>
      <c r="D166" s="2" t="n">
        <v>1.04854595466699E-007</v>
      </c>
      <c r="E166" s="2" t="n">
        <v>5.87447565407818E-008</v>
      </c>
    </row>
    <row r="167" customFormat="false" ht="13.8" hidden="false" customHeight="false" outlineLevel="0" collapsed="false">
      <c r="B167" s="2" t="n">
        <v>166</v>
      </c>
      <c r="C167" s="2" t="n">
        <v>0.00111738930986536</v>
      </c>
      <c r="D167" s="2" t="n">
        <v>0.00111741973359325</v>
      </c>
      <c r="E167" s="2" t="n">
        <v>0.00111736114283995</v>
      </c>
    </row>
    <row r="168" customFormat="false" ht="13.8" hidden="false" customHeight="false" outlineLevel="0" collapsed="false">
      <c r="B168" s="2" t="n">
        <v>167</v>
      </c>
      <c r="C168" s="2" t="n">
        <v>0.00111739488249896</v>
      </c>
      <c r="D168" s="2" t="n">
        <v>1.15061135681021E-007</v>
      </c>
      <c r="E168" s="2" t="n">
        <v>0.00111736571319735</v>
      </c>
    </row>
    <row r="169" customFormat="false" ht="13.8" hidden="false" customHeight="false" outlineLevel="0" collapsed="false">
      <c r="B169" s="2" t="n">
        <v>168</v>
      </c>
      <c r="C169" s="2" t="n">
        <v>0.00111740045514706</v>
      </c>
      <c r="D169" s="2" t="n">
        <v>0.00111743233433789</v>
      </c>
      <c r="E169" s="2" t="n">
        <v>0.0011173702836165</v>
      </c>
    </row>
    <row r="170" customFormat="false" ht="13.8" hidden="false" customHeight="false" outlineLevel="0" collapsed="false">
      <c r="B170" s="2" t="n">
        <v>169</v>
      </c>
      <c r="C170" s="2" t="n">
        <v>0.00111740602783353</v>
      </c>
      <c r="D170" s="2" t="n">
        <v>0.00111743863477279</v>
      </c>
      <c r="E170" s="2" t="n">
        <v>0.00111737485409799</v>
      </c>
    </row>
    <row r="171" customFormat="false" ht="13.8" hidden="false" customHeight="false" outlineLevel="0" collapsed="false">
      <c r="B171" s="2" t="n">
        <v>170</v>
      </c>
      <c r="C171" s="2" t="n">
        <v>0.00111741160060049</v>
      </c>
      <c r="D171" s="2" t="n">
        <v>0.00111744493522398</v>
      </c>
      <c r="E171" s="2" t="n">
        <v>0.00111737942458577</v>
      </c>
    </row>
    <row r="172" customFormat="false" ht="13.8" hidden="false" customHeight="false" outlineLevel="0" collapsed="false">
      <c r="B172" s="2" t="n">
        <v>171</v>
      </c>
      <c r="C172" s="2" t="n">
        <v>0.00111741717331991</v>
      </c>
      <c r="D172" s="2" t="n">
        <v>0.00111745123567319</v>
      </c>
      <c r="E172" s="2" t="n">
        <v>0.00111738399501736</v>
      </c>
    </row>
    <row r="173" customFormat="false" ht="13.8" hidden="false" customHeight="false" outlineLevel="0" collapsed="false">
      <c r="B173" s="2" t="n">
        <v>172</v>
      </c>
      <c r="C173" s="2" t="n">
        <v>0.00111742274729239</v>
      </c>
      <c r="D173" s="2" t="n">
        <v>0.00111745753759919</v>
      </c>
      <c r="E173" s="2" t="n">
        <v>0.00111738856652982</v>
      </c>
    </row>
    <row r="174" customFormat="false" ht="13.8" hidden="false" customHeight="false" outlineLevel="0" collapsed="false">
      <c r="B174" s="2" t="n">
        <v>173</v>
      </c>
      <c r="C174" s="2" t="n">
        <v>0.00111742831849612</v>
      </c>
      <c r="D174" s="2" t="n">
        <v>0.00111746383718647</v>
      </c>
      <c r="E174" s="2" t="n">
        <v>0.00111739313739456</v>
      </c>
    </row>
    <row r="175" customFormat="false" ht="13.8" hidden="false" customHeight="false" outlineLevel="0" collapsed="false">
      <c r="B175" s="2" t="n">
        <v>174</v>
      </c>
      <c r="C175" s="2" t="n">
        <v>0.0011174338906033</v>
      </c>
      <c r="D175" s="2" t="n">
        <v>0.00111747013750046</v>
      </c>
      <c r="E175" s="2" t="n">
        <v>0.0011173977084502</v>
      </c>
    </row>
    <row r="176" customFormat="false" ht="13.8" hidden="false" customHeight="false" outlineLevel="0" collapsed="false">
      <c r="B176" s="2" t="n">
        <v>175</v>
      </c>
      <c r="C176" s="2" t="n">
        <v>0.00111743946277222</v>
      </c>
      <c r="D176" s="2" t="n">
        <v>0.00111747643787619</v>
      </c>
      <c r="E176" s="2" t="n">
        <v>0.00111740227956757</v>
      </c>
    </row>
    <row r="177" customFormat="false" ht="13.8" hidden="false" customHeight="false" outlineLevel="0" collapsed="false">
      <c r="B177" s="2" t="n">
        <v>176</v>
      </c>
      <c r="C177" s="2" t="n">
        <v>0.00111744503500288</v>
      </c>
      <c r="D177" s="2" t="n">
        <v>0.00111748273831367</v>
      </c>
      <c r="E177" s="2" t="n">
        <v>0.00111740685074669</v>
      </c>
    </row>
    <row r="178" customFormat="false" ht="13.8" hidden="false" customHeight="false" outlineLevel="0" collapsed="false">
      <c r="B178" s="2" t="n">
        <v>177</v>
      </c>
      <c r="C178" s="2" t="n">
        <v>0.0011174506072953</v>
      </c>
      <c r="D178" s="2" t="n">
        <v>0.0011174890388129</v>
      </c>
      <c r="E178" s="2" t="n">
        <v>0.00111741142198755</v>
      </c>
    </row>
    <row r="179" customFormat="false" ht="13.8" hidden="false" customHeight="false" outlineLevel="0" collapsed="false">
      <c r="B179" s="2" t="n">
        <v>178</v>
      </c>
      <c r="C179" s="2" t="n">
        <v>0.00111745617964945</v>
      </c>
      <c r="D179" s="2" t="n">
        <v>0.00111749533937389</v>
      </c>
      <c r="E179" s="2" t="n">
        <v>0.00111741599329015</v>
      </c>
    </row>
    <row r="180" customFormat="false" ht="13.8" hidden="false" customHeight="false" outlineLevel="0" collapsed="false">
      <c r="B180" s="2" t="n">
        <v>179</v>
      </c>
      <c r="C180" s="2" t="n">
        <v>0.00111746175206536</v>
      </c>
      <c r="D180" s="2" t="n">
        <v>0.00111750163999662</v>
      </c>
      <c r="E180" s="2" t="n">
        <v>0.00111742056465449</v>
      </c>
    </row>
    <row r="181" customFormat="false" ht="13.8" hidden="false" customHeight="false" outlineLevel="0" collapsed="false">
      <c r="B181" s="2" t="n">
        <v>180</v>
      </c>
      <c r="C181" s="2" t="n">
        <v>0.00111746732454301</v>
      </c>
      <c r="D181" s="2" t="n">
        <v>0.0011175079406811</v>
      </c>
      <c r="E181" s="2" t="n">
        <v>0.00111742513608058</v>
      </c>
    </row>
    <row r="182" customFormat="false" ht="13.8" hidden="false" customHeight="false" outlineLevel="0" collapsed="false">
      <c r="B182" s="2" t="n">
        <v>181</v>
      </c>
      <c r="C182" s="2" t="n">
        <v>0.0011174728970824</v>
      </c>
      <c r="D182" s="2" t="n">
        <v>0.00111751424142733</v>
      </c>
      <c r="E182" s="2" t="n">
        <v>0.0011174297075684</v>
      </c>
    </row>
    <row r="183" customFormat="false" ht="13.8" hidden="false" customHeight="false" outlineLevel="0" collapsed="false">
      <c r="B183" s="2" t="n">
        <v>182</v>
      </c>
      <c r="C183" s="2" t="n">
        <v>0.00111747846968355</v>
      </c>
      <c r="D183" s="2" t="n">
        <v>0.00111752054223532</v>
      </c>
      <c r="E183" s="2" t="n">
        <v>0.00111743427911798</v>
      </c>
    </row>
    <row r="184" customFormat="false" ht="13.8" hidden="false" customHeight="false" outlineLevel="0" collapsed="false">
      <c r="B184" s="2" t="n">
        <v>183</v>
      </c>
      <c r="C184" s="2" t="n">
        <v>0.00111748404234644</v>
      </c>
      <c r="D184" s="2" t="n">
        <v>0.00111752684310505</v>
      </c>
      <c r="E184" s="2" t="n">
        <v>0.00111743885072929</v>
      </c>
    </row>
    <row r="185" customFormat="false" ht="13.8" hidden="false" customHeight="false" outlineLevel="0" collapsed="false">
      <c r="B185" s="2" t="n">
        <v>184</v>
      </c>
      <c r="C185" s="2" t="n">
        <v>0.00111748961507108</v>
      </c>
      <c r="D185" s="2" t="n">
        <v>0.00111753314403655</v>
      </c>
      <c r="E185" s="2" t="n">
        <v>0.00111744342240235</v>
      </c>
    </row>
    <row r="186" customFormat="false" ht="13.8" hidden="false" customHeight="false" outlineLevel="0" collapsed="false">
      <c r="B186" s="2" t="n">
        <v>185</v>
      </c>
      <c r="C186" s="2" t="n">
        <v>0.00111749518785748</v>
      </c>
      <c r="D186" s="2" t="n">
        <v>0.00111753944502979</v>
      </c>
      <c r="E186" s="2" t="n">
        <v>0.00111744799413716</v>
      </c>
    </row>
    <row r="187" customFormat="false" ht="13.8" hidden="false" customHeight="false" outlineLevel="0" collapsed="false">
      <c r="B187" s="2" t="n">
        <v>186</v>
      </c>
      <c r="C187" s="2" t="n">
        <v>0.00111750076070562</v>
      </c>
      <c r="D187" s="2" t="n">
        <v>0.00111754574608479</v>
      </c>
      <c r="E187" s="2" t="n">
        <v>0.00111745256593371</v>
      </c>
    </row>
    <row r="188" customFormat="false" ht="13.8" hidden="false" customHeight="false" outlineLevel="0" collapsed="false">
      <c r="B188" s="2" t="n">
        <v>187</v>
      </c>
      <c r="C188" s="2" t="n">
        <v>0.00111750633361551</v>
      </c>
      <c r="D188" s="2" t="n">
        <v>0.00111755204720154</v>
      </c>
      <c r="E188" s="2" t="n">
        <v>0.001117457137792</v>
      </c>
    </row>
    <row r="189" customFormat="false" ht="13.8" hidden="false" customHeight="false" outlineLevel="0" collapsed="false">
      <c r="B189" s="2" t="n">
        <v>188</v>
      </c>
      <c r="C189" s="2" t="n">
        <v>0.00111751190658716</v>
      </c>
      <c r="D189" s="2" t="n">
        <v>0.00111755834838006</v>
      </c>
      <c r="E189" s="2" t="n">
        <v>0.00111746170971205</v>
      </c>
    </row>
    <row r="190" customFormat="false" ht="13.8" hidden="false" customHeight="false" outlineLevel="0" collapsed="false">
      <c r="B190" s="2" t="n">
        <v>189</v>
      </c>
      <c r="C190" s="2" t="n">
        <v>0.00111751747962055</v>
      </c>
      <c r="D190" s="2" t="n">
        <v>0.00111756464962032</v>
      </c>
      <c r="E190" s="2" t="n">
        <v>0.00111746628169383</v>
      </c>
    </row>
    <row r="191" customFormat="false" ht="13.8" hidden="false" customHeight="false" outlineLevel="0" collapsed="false">
      <c r="B191" s="2" t="n">
        <v>190</v>
      </c>
      <c r="C191" s="2" t="n">
        <v>0.0011175230527157</v>
      </c>
      <c r="D191" s="2" t="n">
        <v>0.00111757095092235</v>
      </c>
      <c r="E191" s="2" t="n">
        <v>0.00111747085373737</v>
      </c>
    </row>
    <row r="192" customFormat="false" ht="13.8" hidden="false" customHeight="false" outlineLevel="0" collapsed="false">
      <c r="B192" s="2" t="n">
        <v>191</v>
      </c>
      <c r="C192" s="2" t="n">
        <v>0.0011175286258726</v>
      </c>
      <c r="D192" s="2" t="n">
        <v>0.00111757725228613</v>
      </c>
      <c r="E192" s="2" t="n">
        <v>0.00111747542584266</v>
      </c>
    </row>
    <row r="193" customFormat="false" ht="13.8" hidden="false" customHeight="false" outlineLevel="0" collapsed="false">
      <c r="B193" s="2" t="n">
        <v>192</v>
      </c>
      <c r="C193" s="2" t="n">
        <v>0.00111753419909126</v>
      </c>
      <c r="D193" s="2" t="n">
        <v>0.00111758355371167</v>
      </c>
      <c r="E193" s="2" t="n">
        <v>0.00111747999800969</v>
      </c>
    </row>
    <row r="194" customFormat="false" ht="13.8" hidden="false" customHeight="false" outlineLevel="0" collapsed="false">
      <c r="B194" s="2" t="n">
        <v>193</v>
      </c>
      <c r="C194" s="2" t="n">
        <v>0.00111753977237167</v>
      </c>
      <c r="D194" s="2" t="n">
        <v>0.00111758985519897</v>
      </c>
      <c r="E194" s="2" t="n">
        <v>0.00111748457023847</v>
      </c>
    </row>
    <row r="195" customFormat="false" ht="13.8" hidden="false" customHeight="false" outlineLevel="0" collapsed="false">
      <c r="B195" s="2" t="n">
        <v>194</v>
      </c>
      <c r="C195" s="2" t="n">
        <v>0.00111754534571383</v>
      </c>
      <c r="D195" s="2" t="n">
        <v>0.00111759615674803</v>
      </c>
      <c r="E195" s="2" t="n">
        <v>0.001117489142529</v>
      </c>
    </row>
    <row r="196" customFormat="false" ht="13.8" hidden="false" customHeight="false" outlineLevel="0" collapsed="false">
      <c r="B196" s="2" t="n">
        <v>195</v>
      </c>
      <c r="C196" s="2" t="n">
        <v>0.00111755091911775</v>
      </c>
      <c r="D196" s="2" t="n">
        <v>0.00111760245835884</v>
      </c>
      <c r="E196" s="2" t="n">
        <v>0.00111749371488128</v>
      </c>
    </row>
    <row r="197" customFormat="false" ht="13.8" hidden="false" customHeight="false" outlineLevel="0" collapsed="false">
      <c r="B197" s="2" t="n">
        <v>196</v>
      </c>
      <c r="C197" s="2" t="n">
        <v>0.00111755649258342</v>
      </c>
      <c r="D197" s="2" t="n">
        <v>0.00111760876003142</v>
      </c>
      <c r="E197" s="2" t="n">
        <v>0.00111749828729531</v>
      </c>
    </row>
    <row r="198" customFormat="false" ht="13.8" hidden="false" customHeight="false" outlineLevel="0" collapsed="false">
      <c r="B198" s="2" t="n">
        <v>197</v>
      </c>
      <c r="C198" s="2" t="n">
        <v>0.00111756206611085</v>
      </c>
      <c r="D198" s="2" t="n">
        <v>0.00111761506176576</v>
      </c>
      <c r="E198" s="2" t="n">
        <v>0.00111750285977109</v>
      </c>
    </row>
    <row r="199" customFormat="false" ht="13.8" hidden="false" customHeight="false" outlineLevel="0" collapsed="false">
      <c r="B199" s="2" t="n">
        <v>198</v>
      </c>
      <c r="C199" s="2" t="n">
        <v>0.00111756763970004</v>
      </c>
      <c r="D199" s="2" t="n">
        <v>0.00111762136356187</v>
      </c>
      <c r="E199" s="2" t="n">
        <v>0.00111750743230862</v>
      </c>
    </row>
    <row r="200" customFormat="false" ht="13.8" hidden="false" customHeight="false" outlineLevel="0" collapsed="false">
      <c r="B200" s="2" t="n">
        <v>199</v>
      </c>
      <c r="C200" s="2" t="n">
        <v>0.00111757321335099</v>
      </c>
      <c r="D200" s="2" t="n">
        <v>0.00111762766541973</v>
      </c>
      <c r="E200" s="2" t="n">
        <v>0.0011175120049079</v>
      </c>
    </row>
    <row r="201" customFormat="false" ht="13.8" hidden="false" customHeight="false" outlineLevel="0" collapsed="false">
      <c r="B201" s="2" t="n">
        <v>200</v>
      </c>
      <c r="C201" s="2" t="n">
        <v>0.00111757878706369</v>
      </c>
      <c r="D201" s="2" t="n">
        <v>0.00111763396733936</v>
      </c>
      <c r="E201" s="2" t="n">
        <v>0.00111751657756894</v>
      </c>
    </row>
    <row r="202" customFormat="false" ht="13.8" hidden="false" customHeight="false" outlineLevel="0" collapsed="false">
      <c r="B202" s="2" t="n">
        <v>201</v>
      </c>
      <c r="C202" s="2" t="n">
        <v>0.00111758436083815</v>
      </c>
      <c r="D202" s="2" t="n">
        <v>0.00111764026932076</v>
      </c>
      <c r="E202" s="2" t="n">
        <v>0.00111752115029172</v>
      </c>
    </row>
    <row r="203" customFormat="false" ht="13.8" hidden="false" customHeight="false" outlineLevel="0" collapsed="false">
      <c r="B203" s="2" t="n">
        <v>202</v>
      </c>
      <c r="C203" s="2" t="n">
        <v>0.00111758993467437</v>
      </c>
      <c r="D203" s="2" t="n">
        <v>0.00111764657136391</v>
      </c>
      <c r="E203" s="2" t="n">
        <v>0.00111752572307626</v>
      </c>
    </row>
    <row r="204" customFormat="false" ht="13.8" hidden="false" customHeight="false" outlineLevel="0" collapsed="false">
      <c r="B204" s="2" t="n">
        <v>203</v>
      </c>
      <c r="C204" s="2" t="n">
        <v>0.00111759550857235</v>
      </c>
      <c r="D204" s="2" t="n">
        <v>0.00111765287346884</v>
      </c>
      <c r="E204" s="2" t="n">
        <v>0.00111753029592256</v>
      </c>
    </row>
    <row r="205" customFormat="false" ht="13.8" hidden="false" customHeight="false" outlineLevel="0" collapsed="false">
      <c r="B205" s="2" t="n">
        <v>204</v>
      </c>
      <c r="C205" s="2" t="n">
        <v>0.00111760108253209</v>
      </c>
      <c r="D205" s="2" t="n">
        <v>0.00111765917563552</v>
      </c>
      <c r="E205" s="2" t="n">
        <v>0.0011175348688306</v>
      </c>
    </row>
    <row r="206" customFormat="false" ht="13.8" hidden="false" customHeight="false" outlineLevel="0" collapsed="false">
      <c r="B206" s="2" t="n">
        <v>205</v>
      </c>
      <c r="C206" s="2" t="n">
        <v>0.00111760665655359</v>
      </c>
      <c r="D206" s="2" t="n">
        <v>0.00111766547786398</v>
      </c>
      <c r="E206" s="2" t="n">
        <v>0.0011175394418004</v>
      </c>
    </row>
    <row r="207" customFormat="false" ht="13.8" hidden="false" customHeight="false" outlineLevel="0" collapsed="false">
      <c r="B207" s="2" t="n">
        <v>206</v>
      </c>
      <c r="C207" s="2" t="n">
        <v>0.00111761223063685</v>
      </c>
      <c r="D207" s="2" t="n">
        <v>0.0011176717801542</v>
      </c>
      <c r="E207" s="2" t="n">
        <v>0.00111754401483196</v>
      </c>
    </row>
    <row r="208" customFormat="false" ht="13.8" hidden="false" customHeight="false" outlineLevel="0" collapsed="false">
      <c r="B208" s="2" t="n">
        <v>207</v>
      </c>
      <c r="C208" s="2" t="n">
        <v>0.00111761780478188</v>
      </c>
      <c r="D208" s="2" t="n">
        <v>0.00111767808250619</v>
      </c>
      <c r="E208" s="2" t="n">
        <v>0.00111754858792527</v>
      </c>
    </row>
    <row r="209" customFormat="false" ht="13.8" hidden="false" customHeight="false" outlineLevel="0" collapsed="false">
      <c r="B209" s="2" t="n">
        <v>208</v>
      </c>
      <c r="C209" s="2" t="n">
        <v>0.00111762337898867</v>
      </c>
      <c r="D209" s="2" t="n">
        <v>0.00111768438491995</v>
      </c>
      <c r="E209" s="2" t="n">
        <v>0.00111755316108033</v>
      </c>
    </row>
    <row r="210" customFormat="false" ht="13.8" hidden="false" customHeight="false" outlineLevel="0" collapsed="false">
      <c r="B210" s="2" t="n">
        <v>209</v>
      </c>
      <c r="C210" s="2" t="n">
        <v>0.00111762895325722</v>
      </c>
      <c r="D210" s="2" t="n">
        <v>0.00111769068739548</v>
      </c>
      <c r="E210" s="2" t="n">
        <v>0.00111755773429715</v>
      </c>
    </row>
    <row r="211" customFormat="false" ht="13.8" hidden="false" customHeight="false" outlineLevel="0" collapsed="false">
      <c r="B211" s="2" t="n">
        <v>210</v>
      </c>
      <c r="C211" s="2" t="n">
        <v>0.00111763452758753</v>
      </c>
      <c r="D211" s="2" t="n">
        <v>0.00111769698993278</v>
      </c>
      <c r="E211" s="2" t="n">
        <v>0.00111756230757573</v>
      </c>
    </row>
    <row r="212" customFormat="false" ht="13.8" hidden="false" customHeight="false" outlineLevel="0" collapsed="false">
      <c r="B212" s="2" t="n">
        <v>211</v>
      </c>
      <c r="C212" s="2" t="n">
        <v>0.00111764010197961</v>
      </c>
      <c r="D212" s="2" t="n">
        <v>0.00111770329253185</v>
      </c>
      <c r="E212" s="2" t="n">
        <v>0.00111756688091607</v>
      </c>
    </row>
    <row r="213" customFormat="false" ht="13.8" hidden="false" customHeight="false" outlineLevel="0" collapsed="false">
      <c r="B213" s="2" t="n">
        <v>212</v>
      </c>
      <c r="C213" s="2" t="n">
        <v>0.00111764567643345</v>
      </c>
      <c r="D213" s="2" t="n">
        <v>0.00111770959519269</v>
      </c>
      <c r="E213" s="2" t="n">
        <v>0.00111757145431816</v>
      </c>
    </row>
    <row r="214" customFormat="false" ht="13.8" hidden="false" customHeight="false" outlineLevel="0" collapsed="false">
      <c r="B214" s="2" t="n">
        <v>213</v>
      </c>
      <c r="C214" s="2" t="n">
        <v>0.00111765125094905</v>
      </c>
      <c r="D214" s="2" t="n">
        <v>0.0011177158979153</v>
      </c>
      <c r="E214" s="2" t="n">
        <v>0.00111757602778201</v>
      </c>
    </row>
    <row r="215" customFormat="false" ht="13.8" hidden="false" customHeight="false" outlineLevel="0" collapsed="false">
      <c r="B215" s="2" t="n">
        <v>214</v>
      </c>
      <c r="C215" s="2" t="n">
        <v>0.00111765682553061</v>
      </c>
      <c r="D215" s="2" t="n">
        <v>0.00111772220070267</v>
      </c>
      <c r="E215" s="2" t="n">
        <v>0.00111758060130761</v>
      </c>
    </row>
    <row r="216" customFormat="false" ht="13.8" hidden="false" customHeight="false" outlineLevel="0" collapsed="false">
      <c r="B216" s="2" t="n">
        <v>215</v>
      </c>
      <c r="C216" s="2" t="n">
        <v>0.00111766240016877</v>
      </c>
      <c r="D216" s="2" t="n">
        <v>0.00111772850354812</v>
      </c>
      <c r="E216" s="2" t="n">
        <v>0.00111758517489498</v>
      </c>
    </row>
    <row r="217" customFormat="false" ht="13.8" hidden="false" customHeight="false" outlineLevel="0" collapsed="false">
      <c r="B217" s="2" t="n">
        <v>216</v>
      </c>
      <c r="C217" s="2" t="n">
        <v>0.00111766797485837</v>
      </c>
      <c r="D217" s="2" t="n">
        <v>0.00111773480644796</v>
      </c>
      <c r="E217" s="2" t="n">
        <v>0.00111758974854411</v>
      </c>
    </row>
    <row r="218" customFormat="false" ht="13.8" hidden="false" customHeight="false" outlineLevel="0" collapsed="false">
      <c r="B218" s="2" t="n">
        <v>217</v>
      </c>
      <c r="C218" s="2" t="n">
        <v>0.00111767354959426</v>
      </c>
      <c r="D218" s="2" t="n">
        <v>0.0011177411093985</v>
      </c>
      <c r="E218" s="2" t="n">
        <v>0.00111759432225501</v>
      </c>
    </row>
    <row r="219" customFormat="false" ht="13.8" hidden="false" customHeight="false" outlineLevel="0" collapsed="false">
      <c r="B219" s="2" t="n">
        <v>218</v>
      </c>
      <c r="C219" s="2" t="n">
        <v>0.00111767912438822</v>
      </c>
      <c r="D219" s="2" t="n">
        <v>0.00111774741240817</v>
      </c>
      <c r="E219" s="2" t="n">
        <v>0.00111759889602767</v>
      </c>
    </row>
    <row r="220" customFormat="false" ht="13.8" hidden="false" customHeight="false" outlineLevel="0" collapsed="false">
      <c r="B220" s="2" t="n">
        <v>219</v>
      </c>
      <c r="C220" s="2" t="n">
        <v>0.00111768469919724</v>
      </c>
      <c r="D220" s="2" t="n">
        <v>0.00111775371544619</v>
      </c>
      <c r="E220" s="2" t="n">
        <v>0</v>
      </c>
    </row>
    <row r="221" customFormat="false" ht="13.8" hidden="false" customHeight="false" outlineLevel="0" collapsed="false">
      <c r="B221" s="2" t="n">
        <v>220</v>
      </c>
      <c r="C221" s="2" t="n">
        <v>0</v>
      </c>
      <c r="D221" s="2" t="n">
        <v>0</v>
      </c>
      <c r="E221" s="2" t="n">
        <v>0</v>
      </c>
    </row>
    <row r="222" customFormat="false" ht="13.8" hidden="false" customHeight="false" outlineLevel="0" collapsed="false">
      <c r="B222" s="2" t="n">
        <v>221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222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223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224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225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226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227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228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229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230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231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232</v>
      </c>
      <c r="C233" s="2" t="n">
        <v>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233</v>
      </c>
      <c r="C234" s="2" t="n">
        <v>0</v>
      </c>
      <c r="D234" s="2" t="n">
        <v>0</v>
      </c>
      <c r="E234" s="2" t="n">
        <v>0</v>
      </c>
    </row>
    <row r="235" customFormat="false" ht="13.8" hidden="false" customHeight="false" outlineLevel="0" collapsed="false">
      <c r="B235" s="2" t="n">
        <v>234</v>
      </c>
      <c r="C235" s="2" t="n">
        <v>0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235</v>
      </c>
      <c r="C236" s="2" t="n">
        <v>0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236</v>
      </c>
      <c r="C237" s="2" t="n">
        <v>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237</v>
      </c>
      <c r="C238" s="2" t="n">
        <v>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238</v>
      </c>
      <c r="C239" s="2" t="n">
        <v>0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239</v>
      </c>
      <c r="C240" s="2" t="n">
        <v>0</v>
      </c>
      <c r="D240" s="2" t="n">
        <v>4.95140454072294E-010</v>
      </c>
      <c r="E240" s="2" t="n">
        <v>0</v>
      </c>
    </row>
    <row r="241" customFormat="false" ht="13.8" hidden="false" customHeight="false" outlineLevel="0" collapsed="false">
      <c r="B241" s="2" t="n">
        <v>240</v>
      </c>
      <c r="C241" s="2" t="n">
        <v>6.48540738981349E-011</v>
      </c>
      <c r="D241" s="2" t="n">
        <v>1.39660566825721E-009</v>
      </c>
      <c r="E241" s="2" t="n">
        <v>5.36380868751641E-011</v>
      </c>
    </row>
    <row r="242" customFormat="false" ht="13.8" hidden="false" customHeight="false" outlineLevel="0" collapsed="false">
      <c r="B242" s="2" t="n">
        <v>241</v>
      </c>
      <c r="C242" s="2" t="n">
        <v>3.1571217315496E-010</v>
      </c>
      <c r="D242" s="2" t="n">
        <v>2.86372769845899E-009</v>
      </c>
      <c r="E242" s="2" t="n">
        <v>8.59702343205458E-010</v>
      </c>
    </row>
    <row r="243" customFormat="false" ht="13.8" hidden="false" customHeight="false" outlineLevel="0" collapsed="false">
      <c r="B243" s="2" t="n">
        <v>242</v>
      </c>
      <c r="C243" s="2" t="n">
        <v>2.45066896562719E-009</v>
      </c>
      <c r="D243" s="2" t="n">
        <v>1.09802455929561E-008</v>
      </c>
      <c r="E243" s="2" t="n">
        <v>1.90776169218026E-009</v>
      </c>
    </row>
    <row r="244" customFormat="false" ht="13.8" hidden="false" customHeight="false" outlineLevel="0" collapsed="false">
      <c r="B244" s="2" t="n">
        <v>243</v>
      </c>
      <c r="C244" s="2" t="n">
        <v>9.90648884169753E-009</v>
      </c>
      <c r="D244" s="2" t="n">
        <v>1.6233654084046E-008</v>
      </c>
      <c r="E244" s="2" t="n">
        <v>7.45699244265979E-009</v>
      </c>
    </row>
    <row r="245" customFormat="false" ht="13.8" hidden="false" customHeight="false" outlineLevel="0" collapsed="false">
      <c r="B245" s="2" t="n">
        <v>244</v>
      </c>
      <c r="C245" s="2" t="n">
        <v>1.49107921855518E-008</v>
      </c>
      <c r="D245" s="2" t="n">
        <v>2.14870668437145E-008</v>
      </c>
      <c r="E245" s="2" t="n">
        <v>1.10985161392732E-008</v>
      </c>
    </row>
    <row r="246" customFormat="false" ht="13.8" hidden="false" customHeight="false" outlineLevel="0" collapsed="false">
      <c r="B246" s="2" t="n">
        <v>245</v>
      </c>
      <c r="C246" s="2" t="n">
        <v>1.99147517967813E-008</v>
      </c>
      <c r="D246" s="2" t="n">
        <v>2.6740484486598E-008</v>
      </c>
      <c r="E246" s="2" t="n">
        <v>1.47400920292271E-008</v>
      </c>
    </row>
    <row r="247" customFormat="false" ht="13.8" hidden="false" customHeight="false" outlineLevel="0" collapsed="false">
      <c r="B247" s="2" t="n">
        <v>246</v>
      </c>
      <c r="C247" s="2" t="n">
        <v>2.49183648505367E-008</v>
      </c>
      <c r="D247" s="2" t="n">
        <v>3.19939076272851E-008</v>
      </c>
      <c r="E247" s="2" t="n">
        <v>1.83817201126188E-008</v>
      </c>
    </row>
    <row r="248" customFormat="false" ht="13.8" hidden="false" customHeight="false" outlineLevel="0" collapsed="false">
      <c r="B248" s="2" t="n">
        <v>247</v>
      </c>
      <c r="C248" s="2" t="n">
        <v>2.99216508358031E-008</v>
      </c>
      <c r="D248" s="2" t="n">
        <v>3.72473376232579E-008</v>
      </c>
      <c r="E248" s="2" t="n">
        <v>2.20062573750236E-008</v>
      </c>
    </row>
    <row r="249" customFormat="false" ht="13.8" hidden="false" customHeight="false" outlineLevel="0" collapsed="false">
      <c r="B249" s="2" t="n">
        <v>248</v>
      </c>
      <c r="C249" s="2" t="n">
        <v>3.49246213017149E-008</v>
      </c>
      <c r="D249" s="2" t="n">
        <v>4.25007759220755E-008</v>
      </c>
      <c r="E249" s="2" t="n">
        <v>2.56790208790061E-008</v>
      </c>
    </row>
    <row r="250" customFormat="false" ht="13.8" hidden="false" customHeight="false" outlineLevel="0" collapsed="false">
      <c r="B250" s="2" t="n">
        <v>249</v>
      </c>
      <c r="C250" s="2" t="n">
        <v>3.9927287796222E-008</v>
      </c>
      <c r="D250" s="2" t="n">
        <v>4.77542238811633E-008</v>
      </c>
      <c r="E250" s="2" t="n">
        <v>2.93346935609786E-008</v>
      </c>
    </row>
    <row r="251" customFormat="false" ht="13.8" hidden="false" customHeight="false" outlineLevel="0" collapsed="false">
      <c r="B251" s="2" t="n">
        <v>250</v>
      </c>
      <c r="C251" s="2" t="n">
        <v>4.49296509214699E-008</v>
      </c>
      <c r="D251" s="2" t="n">
        <v>5.30076828870185E-008</v>
      </c>
      <c r="E251" s="2" t="n">
        <v>3.29904184349791E-008</v>
      </c>
    </row>
    <row r="252" customFormat="false" ht="13.8" hidden="false" customHeight="false" outlineLevel="0" collapsed="false">
      <c r="B252" s="2" t="n">
        <v>251</v>
      </c>
      <c r="C252" s="2" t="n">
        <v>4.99317420393988E-008</v>
      </c>
      <c r="D252" s="2" t="n">
        <v>5.82611553928111E-008</v>
      </c>
      <c r="E252" s="2" t="n">
        <v>3.66461954996607E-008</v>
      </c>
    </row>
    <row r="253" customFormat="false" ht="13.8" hidden="false" customHeight="false" outlineLevel="0" collapsed="false">
      <c r="B253" s="2" t="n">
        <v>252</v>
      </c>
      <c r="C253" s="2" t="n">
        <v>5.49335815642156E-008</v>
      </c>
      <c r="D253" s="2" t="n">
        <v>6.35146438500773E-008</v>
      </c>
      <c r="E253" s="2" t="n">
        <v>4.03020247540375E-008</v>
      </c>
    </row>
    <row r="254" customFormat="false" ht="13.8" hidden="false" customHeight="false" outlineLevel="0" collapsed="false">
      <c r="B254" s="2" t="n">
        <v>253</v>
      </c>
      <c r="C254" s="2" t="n">
        <v>5.99351899078021E-008</v>
      </c>
      <c r="D254" s="2" t="n">
        <v>6.87681507118348E-008</v>
      </c>
      <c r="E254" s="2" t="n">
        <v>4.39263466941057E-008</v>
      </c>
    </row>
    <row r="255" customFormat="false" ht="13.8" hidden="false" customHeight="false" outlineLevel="0" collapsed="false">
      <c r="B255" s="2" t="n">
        <v>254</v>
      </c>
      <c r="C255" s="2" t="n">
        <v>6.4936542625645E-008</v>
      </c>
      <c r="D255" s="2" t="n">
        <v>7.40216784270034E-008</v>
      </c>
      <c r="E255" s="2" t="n">
        <v>4.76394060964067E-008</v>
      </c>
    </row>
    <row r="256" customFormat="false" ht="13.8" hidden="false" customHeight="false" outlineLevel="0" collapsed="false">
      <c r="B256" s="2" t="n">
        <v>255</v>
      </c>
      <c r="C256" s="2" t="n">
        <v>6.99377413388739E-008</v>
      </c>
      <c r="D256" s="2" t="n">
        <v>7.92752338151107E-008</v>
      </c>
      <c r="E256" s="2" t="n">
        <v>5.1243783679961E-008</v>
      </c>
    </row>
    <row r="257" customFormat="false" ht="13.8" hidden="false" customHeight="false" outlineLevel="0" collapsed="false">
      <c r="B257" s="2" t="n">
        <v>256</v>
      </c>
      <c r="C257" s="2" t="n">
        <v>7.49388428057618E-008</v>
      </c>
      <c r="D257" s="2" t="n">
        <v>8.45288236925967E-008</v>
      </c>
      <c r="E257" s="2" t="n">
        <v>5.49857932483591E-008</v>
      </c>
    </row>
    <row r="258" customFormat="false" ht="13.8" hidden="false" customHeight="false" outlineLevel="0" collapsed="false">
      <c r="B258" s="2" t="n">
        <v>257</v>
      </c>
      <c r="C258" s="2" t="n">
        <v>0.00111738264184675</v>
      </c>
      <c r="D258" s="2" t="n">
        <v>0.00111739481754759</v>
      </c>
      <c r="E258" s="2" t="n">
        <v>0.00111735667555578</v>
      </c>
    </row>
    <row r="259" customFormat="false" ht="13.8" hidden="false" customHeight="false" outlineLevel="0" collapsed="false">
      <c r="B259" s="2" t="n">
        <v>258</v>
      </c>
      <c r="C259" s="2" t="n">
        <v>0.00111738881608683</v>
      </c>
      <c r="D259" s="2" t="n">
        <v>0.00111740130335549</v>
      </c>
      <c r="E259" s="2" t="n">
        <v>0.00111736140412373</v>
      </c>
    </row>
    <row r="260" customFormat="false" ht="13.8" hidden="false" customHeight="false" outlineLevel="0" collapsed="false">
      <c r="B260" s="2" t="n">
        <v>259</v>
      </c>
      <c r="C260" s="2" t="n">
        <v>0.00111739499034476</v>
      </c>
      <c r="D260" s="2" t="n">
        <v>0.00111740778919372</v>
      </c>
      <c r="E260" s="2" t="n">
        <v>0.00111736613275344</v>
      </c>
    </row>
    <row r="261" customFormat="false" ht="13.8" hidden="false" customHeight="false" outlineLevel="0" collapsed="false">
      <c r="B261" s="2" t="n">
        <v>260</v>
      </c>
      <c r="C261" s="2" t="n">
        <v>0.00111740116462806</v>
      </c>
      <c r="D261" s="2" t="n">
        <v>0.00111741427506768</v>
      </c>
      <c r="E261" s="2" t="n">
        <v>0.0011173708614449</v>
      </c>
    </row>
    <row r="262" customFormat="false" ht="13.8" hidden="false" customHeight="false" outlineLevel="0" collapsed="false">
      <c r="B262" s="2" t="n">
        <v>261</v>
      </c>
      <c r="C262" s="2" t="n">
        <v>0.00111740733894429</v>
      </c>
      <c r="D262" s="2" t="n">
        <v>0.00111742076098275</v>
      </c>
      <c r="E262" s="2" t="n">
        <v>0.00111737559019811</v>
      </c>
    </row>
    <row r="263" customFormat="false" ht="13.8" hidden="false" customHeight="false" outlineLevel="0" collapsed="false">
      <c r="B263" s="2" t="n">
        <v>262</v>
      </c>
      <c r="C263" s="2" t="n">
        <v>0.00111741351330275</v>
      </c>
      <c r="D263" s="2" t="n">
        <v>0.00111742724694561</v>
      </c>
      <c r="E263" s="2" t="n">
        <v>0.00111738031901306</v>
      </c>
    </row>
    <row r="264" customFormat="false" ht="13.8" hidden="false" customHeight="false" outlineLevel="0" collapsed="false">
      <c r="B264" s="2" t="n">
        <v>263</v>
      </c>
      <c r="C264" s="2" t="n">
        <v>0.00111741968770698</v>
      </c>
      <c r="D264" s="2" t="n">
        <v>0.00111743373295879</v>
      </c>
      <c r="E264" s="2" t="n">
        <v>0.00111738504788977</v>
      </c>
    </row>
    <row r="265" customFormat="false" ht="13.8" hidden="false" customHeight="false" outlineLevel="0" collapsed="false">
      <c r="B265" s="2" t="n">
        <v>264</v>
      </c>
      <c r="C265" s="2" t="n">
        <v>0.0011174258621623</v>
      </c>
      <c r="D265" s="2" t="n">
        <v>0.00111744021902609</v>
      </c>
      <c r="E265" s="2" t="n">
        <v>0.00111738977682821</v>
      </c>
    </row>
    <row r="266" customFormat="false" ht="13.8" hidden="false" customHeight="false" outlineLevel="0" collapsed="false">
      <c r="B266" s="2" t="n">
        <v>265</v>
      </c>
      <c r="C266" s="2" t="n">
        <v>0.00111743203667405</v>
      </c>
      <c r="D266" s="2" t="n">
        <v>0.00111744670515133</v>
      </c>
      <c r="E266" s="2" t="n">
        <v>0.0011173945058284</v>
      </c>
    </row>
    <row r="267" customFormat="false" ht="13.8" hidden="false" customHeight="false" outlineLevel="0" collapsed="false">
      <c r="B267" s="2" t="n">
        <v>266</v>
      </c>
      <c r="C267" s="2" t="n">
        <v>0.00111743821125186</v>
      </c>
      <c r="D267" s="2" t="n">
        <v>0.0011174531913414</v>
      </c>
      <c r="E267" s="2" t="n">
        <v>0.00111739923489033</v>
      </c>
    </row>
    <row r="268" customFormat="false" ht="13.8" hidden="false" customHeight="false" outlineLevel="0" collapsed="false">
      <c r="B268" s="2" t="n">
        <v>267</v>
      </c>
      <c r="C268" s="2" t="n">
        <v>0.00111744438589141</v>
      </c>
      <c r="D268" s="2" t="n">
        <v>0.00111745967759321</v>
      </c>
      <c r="E268" s="2" t="n">
        <v>0.00111740396401399</v>
      </c>
    </row>
    <row r="269" customFormat="false" ht="13.8" hidden="false" customHeight="false" outlineLevel="0" collapsed="false">
      <c r="B269" s="2" t="n">
        <v>268</v>
      </c>
      <c r="C269" s="2" t="n">
        <v>0.0011174505605927</v>
      </c>
      <c r="D269" s="2" t="n">
        <v>0.00111746616390677</v>
      </c>
      <c r="E269" s="2" t="n">
        <v>0.0011174086931994</v>
      </c>
    </row>
    <row r="270" customFormat="false" ht="13.8" hidden="false" customHeight="false" outlineLevel="0" collapsed="false">
      <c r="B270" s="2" t="n">
        <v>269</v>
      </c>
      <c r="C270" s="2" t="n">
        <v>0.00111745673535574</v>
      </c>
      <c r="D270" s="2" t="n">
        <v>0.00111747265028208</v>
      </c>
      <c r="E270" s="2" t="n">
        <v>0.00111741342244655</v>
      </c>
    </row>
    <row r="271" customFormat="false" ht="13.8" hidden="false" customHeight="false" outlineLevel="0" collapsed="false">
      <c r="B271" s="2" t="n">
        <v>270</v>
      </c>
      <c r="C271" s="2" t="n">
        <v>0.00111746291018052</v>
      </c>
      <c r="D271" s="2" t="n">
        <v>0.00111747913671914</v>
      </c>
      <c r="E271" s="2" t="n">
        <v>0.00111741815175544</v>
      </c>
    </row>
    <row r="272" customFormat="false" ht="13.8" hidden="false" customHeight="false" outlineLevel="0" collapsed="false">
      <c r="B272" s="2" t="n">
        <v>271</v>
      </c>
      <c r="C272" s="2" t="n">
        <v>0.00111746908506706</v>
      </c>
      <c r="D272" s="2" t="n">
        <v>0.00111748562321794</v>
      </c>
      <c r="E272" s="2" t="n">
        <v>0.00111742288112607</v>
      </c>
    </row>
    <row r="273" customFormat="false" ht="13.8" hidden="false" customHeight="false" outlineLevel="0" collapsed="false">
      <c r="B273" s="2" t="n">
        <v>272</v>
      </c>
      <c r="C273" s="2" t="n">
        <v>0.00111747526001534</v>
      </c>
      <c r="D273" s="2" t="n">
        <v>0.0011174921097785</v>
      </c>
      <c r="E273" s="2" t="n">
        <v>0.00111742761055845</v>
      </c>
    </row>
    <row r="274" customFormat="false" ht="13.8" hidden="false" customHeight="false" outlineLevel="0" collapsed="false">
      <c r="B274" s="2" t="n">
        <v>273</v>
      </c>
      <c r="C274" s="2" t="n">
        <v>0.00111748143502537</v>
      </c>
      <c r="D274" s="2" t="n">
        <v>0.0011174985964008</v>
      </c>
      <c r="E274" s="2" t="n">
        <v>0.00111743234005257</v>
      </c>
    </row>
    <row r="275" customFormat="false" ht="13.8" hidden="false" customHeight="false" outlineLevel="0" collapsed="false">
      <c r="B275" s="2" t="n">
        <v>274</v>
      </c>
      <c r="C275" s="2" t="n">
        <v>0.00111748761009714</v>
      </c>
      <c r="D275" s="2" t="n">
        <v>0.00111750508308485</v>
      </c>
      <c r="E275" s="2" t="n">
        <v>0.00111743706960843</v>
      </c>
    </row>
    <row r="276" customFormat="false" ht="13.8" hidden="false" customHeight="false" outlineLevel="0" collapsed="false">
      <c r="B276" s="2" t="n">
        <v>275</v>
      </c>
      <c r="C276" s="2" t="n">
        <v>0.00111749378523067</v>
      </c>
      <c r="D276" s="2" t="n">
        <v>0.00111751156983066</v>
      </c>
      <c r="E276" s="2" t="n">
        <v>0.00111744179922604</v>
      </c>
    </row>
    <row r="277" customFormat="false" ht="13.8" hidden="false" customHeight="false" outlineLevel="0" collapsed="false">
      <c r="B277" s="2" t="n">
        <v>276</v>
      </c>
      <c r="C277" s="2" t="n">
        <v>0.00111749996042595</v>
      </c>
      <c r="D277" s="2" t="n">
        <v>0.00111751805663822</v>
      </c>
      <c r="E277" s="2" t="n">
        <v>0.0011174465289054</v>
      </c>
    </row>
    <row r="278" customFormat="false" ht="13.8" hidden="false" customHeight="false" outlineLevel="0" collapsed="false">
      <c r="B278" s="2" t="n">
        <v>277</v>
      </c>
      <c r="C278" s="2" t="n">
        <v>0.00111750613568298</v>
      </c>
      <c r="D278" s="2" t="n">
        <v>0.00111752454350753</v>
      </c>
      <c r="E278" s="2" t="n">
        <v>0.00111745125864649</v>
      </c>
    </row>
    <row r="279" customFormat="false" ht="13.8" hidden="false" customHeight="false" outlineLevel="0" collapsed="false">
      <c r="B279" s="2" t="n">
        <v>278</v>
      </c>
      <c r="C279" s="2" t="n">
        <v>0.00111751231100176</v>
      </c>
      <c r="D279" s="2" t="n">
        <v>0.00111753103043859</v>
      </c>
      <c r="E279" s="2" t="n">
        <v>0.00111745598844934</v>
      </c>
    </row>
    <row r="280" customFormat="false" ht="13.8" hidden="false" customHeight="false" outlineLevel="0" collapsed="false">
      <c r="B280" s="2" t="n">
        <v>279</v>
      </c>
      <c r="C280" s="2" t="n">
        <v>0.00111751848638229</v>
      </c>
      <c r="D280" s="2" t="n">
        <v>0.00111753751743141</v>
      </c>
      <c r="E280" s="2" t="n">
        <v>0.00111746071831393</v>
      </c>
    </row>
    <row r="281" customFormat="false" ht="13.8" hidden="false" customHeight="false" outlineLevel="0" collapsed="false">
      <c r="B281" s="2" t="n">
        <v>280</v>
      </c>
      <c r="C281" s="2" t="n">
        <v>0.00111752466182457</v>
      </c>
      <c r="D281" s="2" t="n">
        <v>0.00111754400448598</v>
      </c>
      <c r="E281" s="2" t="n">
        <v>0.00111746544824027</v>
      </c>
    </row>
    <row r="282" customFormat="false" ht="13.8" hidden="false" customHeight="false" outlineLevel="0" collapsed="false">
      <c r="B282" s="2" t="n">
        <v>281</v>
      </c>
      <c r="C282" s="2" t="n">
        <v>0.00111753083732861</v>
      </c>
      <c r="D282" s="2" t="n">
        <v>0.0011175504916023</v>
      </c>
      <c r="E282" s="2" t="n">
        <v>0.00111747017822835</v>
      </c>
    </row>
    <row r="283" customFormat="false" ht="13.8" hidden="false" customHeight="false" outlineLevel="0" collapsed="false">
      <c r="B283" s="2" t="n">
        <v>282</v>
      </c>
      <c r="C283" s="2" t="n">
        <v>0.0011175370128944</v>
      </c>
      <c r="D283" s="2" t="n">
        <v>0.00111755697878038</v>
      </c>
      <c r="E283" s="2" t="n">
        <v>0.00111747490827818</v>
      </c>
    </row>
    <row r="284" customFormat="false" ht="13.8" hidden="false" customHeight="false" outlineLevel="0" collapsed="false">
      <c r="B284" s="2" t="n">
        <v>283</v>
      </c>
      <c r="C284" s="2" t="n">
        <v>0.00111754318852194</v>
      </c>
      <c r="D284" s="2" t="n">
        <v>0.00111756346602022</v>
      </c>
      <c r="E284" s="2" t="n">
        <v>0.00111747963838976</v>
      </c>
    </row>
    <row r="285" customFormat="false" ht="13.8" hidden="false" customHeight="false" outlineLevel="0" collapsed="false">
      <c r="B285" s="2" t="n">
        <v>284</v>
      </c>
      <c r="C285" s="2" t="n">
        <v>0.00111754936421124</v>
      </c>
      <c r="D285" s="2" t="n">
        <v>0.00111756995332182</v>
      </c>
      <c r="E285" s="2" t="n">
        <v>0.00111748436856309</v>
      </c>
    </row>
    <row r="286" customFormat="false" ht="13.8" hidden="false" customHeight="false" outlineLevel="0" collapsed="false">
      <c r="B286" s="2" t="n">
        <v>285</v>
      </c>
      <c r="C286" s="2" t="n">
        <v>0.0011175555399623</v>
      </c>
      <c r="D286" s="2" t="n">
        <v>0.00111757644068517</v>
      </c>
      <c r="E286" s="2" t="n">
        <v>0.00111748909879817</v>
      </c>
    </row>
    <row r="287" customFormat="false" ht="13.8" hidden="false" customHeight="false" outlineLevel="0" collapsed="false">
      <c r="B287" s="2" t="n">
        <v>286</v>
      </c>
      <c r="C287" s="2" t="n">
        <v>0.00111756171577511</v>
      </c>
      <c r="D287" s="2" t="n">
        <v>0.00111758292811028</v>
      </c>
      <c r="E287" s="2" t="n">
        <v>0.001117493829095</v>
      </c>
    </row>
    <row r="288" customFormat="false" ht="13.8" hidden="false" customHeight="false" outlineLevel="0" collapsed="false">
      <c r="B288" s="2" t="n">
        <v>287</v>
      </c>
      <c r="C288" s="2" t="n">
        <v>0.00111756789164968</v>
      </c>
      <c r="D288" s="2" t="n">
        <v>0.00111758941559715</v>
      </c>
      <c r="E288" s="2" t="n">
        <v>0.00111749855945357</v>
      </c>
    </row>
    <row r="289" customFormat="false" ht="13.8" hidden="false" customHeight="false" outlineLevel="0" collapsed="false">
      <c r="B289" s="2" t="n">
        <v>288</v>
      </c>
      <c r="C289" s="2" t="n">
        <v>0.00111757406758601</v>
      </c>
      <c r="D289" s="2" t="n">
        <v>0.00111759590314578</v>
      </c>
      <c r="E289" s="2" t="n">
        <v>0.0011175032898739</v>
      </c>
    </row>
    <row r="290" customFormat="false" ht="13.8" hidden="false" customHeight="false" outlineLevel="0" collapsed="false">
      <c r="B290" s="2" t="n">
        <v>289</v>
      </c>
      <c r="C290" s="2" t="n">
        <v>0.00111758024358409</v>
      </c>
      <c r="D290" s="2" t="n">
        <v>0.00111760239075617</v>
      </c>
      <c r="E290" s="2" t="n">
        <v>0.00111750802035598</v>
      </c>
    </row>
    <row r="291" customFormat="false" ht="13.8" hidden="false" customHeight="false" outlineLevel="0" collapsed="false">
      <c r="B291" s="2" t="n">
        <v>290</v>
      </c>
      <c r="C291" s="2" t="n">
        <v>0.00111758641964393</v>
      </c>
      <c r="D291" s="2" t="n">
        <v>0.00111760887842832</v>
      </c>
      <c r="E291" s="2" t="n">
        <v>0.0011175127508998</v>
      </c>
    </row>
    <row r="292" customFormat="false" ht="13.8" hidden="false" customHeight="false" outlineLevel="0" collapsed="false">
      <c r="B292" s="2" t="n">
        <v>291</v>
      </c>
      <c r="C292" s="2" t="n">
        <v>0.00111759259576554</v>
      </c>
      <c r="D292" s="2" t="n">
        <v>0.00111761536616223</v>
      </c>
      <c r="E292" s="2" t="n">
        <v>0.00111751748150539</v>
      </c>
    </row>
    <row r="293" customFormat="false" ht="13.8" hidden="false" customHeight="false" outlineLevel="0" collapsed="false">
      <c r="B293" s="2" t="n">
        <v>292</v>
      </c>
      <c r="C293" s="2" t="n">
        <v>0.0011175987719489</v>
      </c>
      <c r="D293" s="2" t="n">
        <v>0.00111762185395791</v>
      </c>
      <c r="E293" s="2" t="n">
        <v>0.00111752221217272</v>
      </c>
    </row>
    <row r="294" customFormat="false" ht="13.8" hidden="false" customHeight="false" outlineLevel="0" collapsed="false">
      <c r="B294" s="2" t="n">
        <v>293</v>
      </c>
      <c r="C294" s="2" t="n">
        <v>0.00111760494819402</v>
      </c>
      <c r="D294" s="2" t="n">
        <v>0.00111762834181535</v>
      </c>
      <c r="E294" s="2" t="n">
        <v>0.00111752694290181</v>
      </c>
    </row>
    <row r="295" customFormat="false" ht="13.8" hidden="false" customHeight="false" outlineLevel="0" collapsed="false">
      <c r="B295" s="2" t="n">
        <v>294</v>
      </c>
      <c r="C295" s="2" t="n">
        <v>0.00111761112450091</v>
      </c>
      <c r="D295" s="2" t="n">
        <v>0.00111763482973455</v>
      </c>
      <c r="E295" s="2" t="n">
        <v>0.00111753167369265</v>
      </c>
    </row>
    <row r="296" customFormat="false" ht="13.8" hidden="false" customHeight="false" outlineLevel="0" collapsed="false">
      <c r="B296" s="2" t="n">
        <v>295</v>
      </c>
      <c r="C296" s="2" t="n">
        <v>0.00111761730086955</v>
      </c>
      <c r="D296" s="2" t="n">
        <v>0.00111764131771551</v>
      </c>
      <c r="E296" s="2" t="n">
        <v>0.00111753640454524</v>
      </c>
    </row>
    <row r="297" customFormat="false" ht="13.8" hidden="false" customHeight="false" outlineLevel="0" collapsed="false">
      <c r="B297" s="2" t="n">
        <v>296</v>
      </c>
      <c r="C297" s="2" t="n">
        <v>0.00111762347729996</v>
      </c>
      <c r="D297" s="2" t="n">
        <v>0.00111764780575824</v>
      </c>
      <c r="E297" s="2" t="n">
        <v>0.00111754113545959</v>
      </c>
    </row>
    <row r="298" customFormat="false" ht="13.8" hidden="false" customHeight="false" outlineLevel="0" collapsed="false">
      <c r="B298" s="2" t="n">
        <v>297</v>
      </c>
      <c r="C298" s="2" t="n">
        <v>0.00111762965379213</v>
      </c>
      <c r="D298" s="2" t="n">
        <v>0.00111765429386274</v>
      </c>
      <c r="E298" s="2" t="n">
        <v>0.00111754586643569</v>
      </c>
    </row>
    <row r="299" customFormat="false" ht="13.8" hidden="false" customHeight="false" outlineLevel="0" collapsed="false">
      <c r="B299" s="2" t="n">
        <v>298</v>
      </c>
      <c r="C299" s="2" t="n">
        <v>0.00111763583034607</v>
      </c>
      <c r="D299" s="2" t="n">
        <v>0.001117660782029</v>
      </c>
      <c r="E299" s="2" t="n">
        <v>0.00111755059747355</v>
      </c>
    </row>
    <row r="300" customFormat="false" ht="13.8" hidden="false" customHeight="false" outlineLevel="0" collapsed="false">
      <c r="B300" s="2" t="n">
        <v>299</v>
      </c>
      <c r="C300" s="2" t="n">
        <v>0.00111764200696176</v>
      </c>
      <c r="D300" s="2" t="n">
        <v>0.00111766727025702</v>
      </c>
      <c r="E300" s="2" t="n">
        <v>0.00111755532857317</v>
      </c>
    </row>
    <row r="301" customFormat="false" ht="13.8" hidden="false" customHeight="false" outlineLevel="0" collapsed="false">
      <c r="B301" s="2" t="n">
        <v>300</v>
      </c>
      <c r="C301" s="2" t="n">
        <v>0.00111764818363923</v>
      </c>
      <c r="D301" s="2" t="n">
        <v>0.00111767375854682</v>
      </c>
      <c r="E301" s="2" t="n">
        <v>0.00111756005973454</v>
      </c>
    </row>
    <row r="302" customFormat="false" ht="13.8" hidden="false" customHeight="false" outlineLevel="0" collapsed="false">
      <c r="B302" s="2" t="n">
        <v>301</v>
      </c>
      <c r="C302" s="2" t="n">
        <v>0.00111765436037846</v>
      </c>
      <c r="D302" s="2" t="n">
        <v>0.00111768024689838</v>
      </c>
      <c r="E302" s="2" t="n">
        <v>0.00111756479095766</v>
      </c>
    </row>
    <row r="303" customFormat="false" ht="13.8" hidden="false" customHeight="false" outlineLevel="0" collapsed="false">
      <c r="B303" s="2" t="n">
        <v>302</v>
      </c>
      <c r="C303" s="2" t="n">
        <v>0.00111766053717945</v>
      </c>
      <c r="D303" s="2" t="n">
        <v>0.00111768673531171</v>
      </c>
      <c r="E303" s="2" t="n">
        <v>0.00111756952224255</v>
      </c>
    </row>
    <row r="304" customFormat="false" ht="13.8" hidden="false" customHeight="false" outlineLevel="0" collapsed="false">
      <c r="B304" s="2" t="n">
        <v>303</v>
      </c>
      <c r="C304" s="2" t="n">
        <v>0.00111766671404222</v>
      </c>
      <c r="D304" s="2" t="n">
        <v>0.00111769322378681</v>
      </c>
      <c r="E304" s="2" t="n">
        <v>0.00111757425358919</v>
      </c>
    </row>
    <row r="305" customFormat="false" ht="13.8" hidden="false" customHeight="false" outlineLevel="0" collapsed="false">
      <c r="B305" s="2" t="n">
        <v>304</v>
      </c>
      <c r="C305" s="2" t="n">
        <v>0.00111767289096675</v>
      </c>
      <c r="D305" s="2" t="n">
        <v>0.00111769971232369</v>
      </c>
      <c r="E305" s="2" t="n">
        <v>0.00111757898499759</v>
      </c>
    </row>
    <row r="306" customFormat="false" ht="13.8" hidden="false" customHeight="false" outlineLevel="0" collapsed="false">
      <c r="B306" s="2" t="n">
        <v>305</v>
      </c>
      <c r="C306" s="2" t="n">
        <v>0.00111767906795304</v>
      </c>
      <c r="D306" s="2" t="n">
        <v>0.00111770620092233</v>
      </c>
      <c r="E306" s="2" t="n">
        <v>0.00111758371646775</v>
      </c>
    </row>
    <row r="307" customFormat="false" ht="13.8" hidden="false" customHeight="false" outlineLevel="0" collapsed="false">
      <c r="B307" s="2" t="n">
        <v>306</v>
      </c>
      <c r="C307" s="2" t="n">
        <v>0.00111768524500111</v>
      </c>
      <c r="D307" s="2" t="n">
        <v>0.00111771268958274</v>
      </c>
      <c r="E307" s="2" t="n">
        <v>0.00111758844799966</v>
      </c>
    </row>
    <row r="308" customFormat="false" ht="13.8" hidden="false" customHeight="false" outlineLevel="0" collapsed="false">
      <c r="B308" s="2" t="n">
        <v>307</v>
      </c>
      <c r="C308" s="2" t="n">
        <v>0.00111769142211095</v>
      </c>
      <c r="D308" s="2" t="n">
        <v>0.00111771917830493</v>
      </c>
      <c r="E308" s="2" t="n">
        <v>0.00111759317959334</v>
      </c>
    </row>
    <row r="309" customFormat="false" ht="13.8" hidden="false" customHeight="false" outlineLevel="0" collapsed="false">
      <c r="B309" s="2" t="n">
        <v>308</v>
      </c>
      <c r="C309" s="2" t="n">
        <v>0.00111769759928255</v>
      </c>
      <c r="D309" s="2" t="n">
        <v>0.00111772566708888</v>
      </c>
      <c r="E309" s="2" t="n">
        <v>0.00111759791124878</v>
      </c>
    </row>
    <row r="310" customFormat="false" ht="13.8" hidden="false" customHeight="false" outlineLevel="0" collapsed="false">
      <c r="B310" s="2" t="n">
        <v>309</v>
      </c>
      <c r="C310" s="2" t="n">
        <v>0.00111770377651593</v>
      </c>
      <c r="D310" s="2" t="n">
        <v>0.00111773215593461</v>
      </c>
      <c r="E310" s="2" t="n">
        <v>0.00111760264296597</v>
      </c>
    </row>
    <row r="311" customFormat="false" ht="13.8" hidden="false" customHeight="false" outlineLevel="0" collapsed="false">
      <c r="B311" s="2" t="n">
        <v>310</v>
      </c>
      <c r="C311" s="2" t="n">
        <v>0.00111770995381652</v>
      </c>
      <c r="D311" s="2" t="n">
        <v>0.00111773864484601</v>
      </c>
      <c r="E311" s="2" t="n">
        <v>0.00111760737474493</v>
      </c>
    </row>
    <row r="312" customFormat="false" ht="13.8" hidden="false" customHeight="false" outlineLevel="0" collapsed="false">
      <c r="B312" s="2" t="n">
        <v>311</v>
      </c>
      <c r="C312" s="2" t="n">
        <v>0.00111771613117216</v>
      </c>
      <c r="D312" s="2" t="n">
        <v>0.00111774513381438</v>
      </c>
      <c r="E312" s="2" t="n">
        <v>0.00111761210658565</v>
      </c>
    </row>
    <row r="313" customFormat="false" ht="13.8" hidden="false" customHeight="false" outlineLevel="0" collapsed="false">
      <c r="B313" s="2" t="n">
        <v>312</v>
      </c>
      <c r="C313" s="2" t="n">
        <v>0.00111772230857612</v>
      </c>
      <c r="D313" s="2" t="n">
        <v>0.00111775162283489</v>
      </c>
      <c r="E313" s="2" t="n">
        <v>0.00111761683848813</v>
      </c>
    </row>
    <row r="314" customFormat="false" ht="13.8" hidden="false" customHeight="false" outlineLevel="0" collapsed="false">
      <c r="B314" s="2" t="n">
        <v>313</v>
      </c>
      <c r="C314" s="2" t="n">
        <v>0.00111772848602167</v>
      </c>
      <c r="D314" s="2" t="n">
        <v>0.00111775811190273</v>
      </c>
      <c r="E314" s="2" t="n">
        <v>0.00111762157045239</v>
      </c>
    </row>
    <row r="315" customFormat="false" ht="13.8" hidden="false" customHeight="false" outlineLevel="0" collapsed="false">
      <c r="B315" s="2" t="n">
        <v>314</v>
      </c>
      <c r="C315" s="2" t="n">
        <v>0.0011177346635145</v>
      </c>
      <c r="D315" s="2" t="n">
        <v>0.00111776460102199</v>
      </c>
      <c r="E315" s="2" t="n">
        <v>0.00111762630247842</v>
      </c>
    </row>
    <row r="316" customFormat="false" ht="13.8" hidden="false" customHeight="false" outlineLevel="0" collapsed="false">
      <c r="B316" s="2" t="n">
        <v>315</v>
      </c>
      <c r="C316" s="2" t="n">
        <v>0.00111774084102012</v>
      </c>
      <c r="D316" s="2" t="n">
        <v>0.00111777109016797</v>
      </c>
      <c r="E316" s="2" t="n">
        <v>1.88668517177866E-007</v>
      </c>
    </row>
    <row r="317" customFormat="false" ht="13.8" hidden="false" customHeight="false" outlineLevel="0" collapsed="false">
      <c r="B317" s="2" t="n">
        <v>316</v>
      </c>
      <c r="C317" s="2" t="n">
        <v>0</v>
      </c>
      <c r="D317" s="2" t="n">
        <v>2.68327551300681E-007</v>
      </c>
      <c r="E317" s="2" t="n">
        <v>0.00111763576671581</v>
      </c>
    </row>
    <row r="318" customFormat="false" ht="13.8" hidden="false" customHeight="false" outlineLevel="0" collapsed="false">
      <c r="B318" s="2" t="n">
        <v>317</v>
      </c>
      <c r="C318" s="2" t="n">
        <v>0</v>
      </c>
      <c r="D318" s="2" t="n">
        <v>0.00111778406854362</v>
      </c>
      <c r="E318" s="2" t="n">
        <v>0</v>
      </c>
    </row>
    <row r="319" customFormat="false" ht="13.8" hidden="false" customHeight="false" outlineLevel="0" collapsed="false">
      <c r="B319" s="2" t="n">
        <v>318</v>
      </c>
      <c r="C319" s="2" t="n">
        <v>0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319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320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321</v>
      </c>
      <c r="C322" s="2" t="n">
        <v>0</v>
      </c>
      <c r="D322" s="2" t="n">
        <v>7.50420639960794E-010</v>
      </c>
      <c r="E322" s="2" t="n">
        <v>0</v>
      </c>
    </row>
    <row r="323" customFormat="false" ht="13.8" hidden="false" customHeight="false" outlineLevel="0" collapsed="false">
      <c r="B323" s="2" t="n">
        <v>322</v>
      </c>
      <c r="C323" s="2" t="n">
        <v>0</v>
      </c>
      <c r="D323" s="2" t="n">
        <v>2.69825747411233E-009</v>
      </c>
      <c r="E323" s="2" t="n">
        <v>0</v>
      </c>
    </row>
    <row r="324" customFormat="false" ht="13.8" hidden="false" customHeight="false" outlineLevel="0" collapsed="false">
      <c r="B324" s="2" t="n">
        <v>323</v>
      </c>
      <c r="C324" s="2" t="n">
        <v>0</v>
      </c>
      <c r="D324" s="2" t="n">
        <v>4.64068704153761E-009</v>
      </c>
      <c r="E324" s="2" t="n">
        <v>0</v>
      </c>
    </row>
    <row r="325" customFormat="false" ht="13.8" hidden="false" customHeight="false" outlineLevel="0" collapsed="false">
      <c r="B325" s="2" t="n">
        <v>324</v>
      </c>
      <c r="C325" s="2" t="n">
        <v>0</v>
      </c>
      <c r="D325" s="2" t="n">
        <v>6.57374940528826E-009</v>
      </c>
      <c r="E325" s="2" t="n">
        <v>0</v>
      </c>
    </row>
    <row r="326" customFormat="false" ht="13.8" hidden="false" customHeight="false" outlineLevel="0" collapsed="false">
      <c r="B326" s="2" t="n">
        <v>325</v>
      </c>
      <c r="C326" s="2" t="n">
        <v>0</v>
      </c>
      <c r="D326" s="2" t="n">
        <v>8.48965471770499E-009</v>
      </c>
      <c r="E326" s="2" t="n">
        <v>0</v>
      </c>
    </row>
    <row r="327" customFormat="false" ht="13.8" hidden="false" customHeight="false" outlineLevel="0" collapsed="false">
      <c r="B327" s="2" t="n">
        <v>326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327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328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329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330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331</v>
      </c>
      <c r="C332" s="2" t="n">
        <v>3.24645248401794E-010</v>
      </c>
      <c r="D332" s="2" t="n">
        <v>1.35119172221954E-010</v>
      </c>
      <c r="E332" s="2" t="n">
        <v>0</v>
      </c>
    </row>
    <row r="333" customFormat="false" ht="13.8" hidden="false" customHeight="false" outlineLevel="0" collapsed="false">
      <c r="B333" s="2" t="n">
        <v>332</v>
      </c>
      <c r="C333" s="2" t="n">
        <v>2.46562364030937E-010</v>
      </c>
      <c r="D333" s="2" t="n">
        <v>6.75901230331577E-010</v>
      </c>
      <c r="E333" s="2" t="n">
        <v>0</v>
      </c>
    </row>
    <row r="334" customFormat="false" ht="13.8" hidden="false" customHeight="false" outlineLevel="0" collapsed="false">
      <c r="B334" s="2" t="n">
        <v>333</v>
      </c>
      <c r="C334" s="2" t="n">
        <v>1.82213486840317E-009</v>
      </c>
      <c r="D334" s="2" t="n">
        <v>1.4904518880517E-009</v>
      </c>
      <c r="E334" s="2" t="n">
        <v>0</v>
      </c>
    </row>
    <row r="335" customFormat="false" ht="13.8" hidden="false" customHeight="false" outlineLevel="0" collapsed="false">
      <c r="B335" s="2" t="n">
        <v>334</v>
      </c>
      <c r="C335" s="2" t="n">
        <v>5.70016097713968E-009</v>
      </c>
      <c r="D335" s="2" t="n">
        <v>2.90866746124024E-009</v>
      </c>
      <c r="E335" s="2" t="n">
        <v>9.79526976298778E-013</v>
      </c>
    </row>
    <row r="336" customFormat="false" ht="13.8" hidden="false" customHeight="false" outlineLevel="0" collapsed="false">
      <c r="B336" s="2" t="n">
        <v>335</v>
      </c>
      <c r="C336" s="2" t="n">
        <v>1.22380252435725E-008</v>
      </c>
      <c r="D336" s="2" t="n">
        <v>1.1008721608974E-008</v>
      </c>
      <c r="E336" s="2" t="n">
        <v>7.36321832212655E-010</v>
      </c>
    </row>
    <row r="337" customFormat="false" ht="13.8" hidden="false" customHeight="false" outlineLevel="0" collapsed="false">
      <c r="B337" s="2" t="n">
        <v>336</v>
      </c>
      <c r="C337" s="2" t="n">
        <v>1.71811635074329E-008</v>
      </c>
      <c r="D337" s="2" t="n">
        <v>1.62007257697995E-008</v>
      </c>
      <c r="E337" s="2" t="n">
        <v>1.76260509311552E-009</v>
      </c>
    </row>
    <row r="338" customFormat="false" ht="13.8" hidden="false" customHeight="false" outlineLevel="0" collapsed="false">
      <c r="B338" s="2" t="n">
        <v>337</v>
      </c>
      <c r="C338" s="2" t="n">
        <v>2.21242908793356E-008</v>
      </c>
      <c r="D338" s="2" t="n">
        <v>2.13927369795983E-008</v>
      </c>
      <c r="E338" s="2" t="n">
        <v>7.00625281309499E-009</v>
      </c>
    </row>
    <row r="339" customFormat="false" ht="13.8" hidden="false" customHeight="false" outlineLevel="0" collapsed="false">
      <c r="B339" s="2" t="n">
        <v>338</v>
      </c>
      <c r="C339" s="2" t="n">
        <v>2.70674070656366E-008</v>
      </c>
      <c r="D339" s="2" t="n">
        <v>2.65847550249509E-008</v>
      </c>
      <c r="E339" s="2" t="n">
        <v>1.04864089508047E-008</v>
      </c>
    </row>
    <row r="340" customFormat="false" ht="13.8" hidden="false" customHeight="false" outlineLevel="0" collapsed="false">
      <c r="B340" s="2" t="n">
        <v>339</v>
      </c>
      <c r="C340" s="2" t="n">
        <v>3.2010513099026E-008</v>
      </c>
      <c r="D340" s="2" t="n">
        <v>3.17767806526954E-008</v>
      </c>
      <c r="E340" s="2" t="n">
        <v>1.39666030125209E-008</v>
      </c>
    </row>
    <row r="341" customFormat="false" ht="13.8" hidden="false" customHeight="false" outlineLevel="0" collapsed="false">
      <c r="B341" s="2" t="n">
        <v>340</v>
      </c>
      <c r="C341" s="2" t="n">
        <v>3.69536100116619E-008</v>
      </c>
      <c r="D341" s="2" t="n">
        <v>3.69688145967643E-008</v>
      </c>
      <c r="E341" s="2" t="n">
        <v>1.74468349983741E-008</v>
      </c>
    </row>
    <row r="342" customFormat="false" ht="13.8" hidden="false" customHeight="false" outlineLevel="0" collapsed="false">
      <c r="B342" s="2" t="n">
        <v>341</v>
      </c>
      <c r="C342" s="2" t="n">
        <v>4.18966988348173E-008</v>
      </c>
      <c r="D342" s="2" t="n">
        <v>4.21608575961383E-008</v>
      </c>
      <c r="E342" s="2" t="n">
        <v>2.09095936628403E-008</v>
      </c>
    </row>
    <row r="343" customFormat="false" ht="13.8" hidden="false" customHeight="false" outlineLevel="0" collapsed="false">
      <c r="B343" s="2" t="n">
        <v>342</v>
      </c>
      <c r="C343" s="2" t="n">
        <v>4.68397805971827E-008</v>
      </c>
      <c r="D343" s="2" t="n">
        <v>4.73529103870377E-008</v>
      </c>
      <c r="E343" s="2" t="n">
        <v>2.44241571522415E-008</v>
      </c>
    </row>
    <row r="344" customFormat="false" ht="13.8" hidden="false" customHeight="false" outlineLevel="0" collapsed="false">
      <c r="B344" s="2" t="n">
        <v>343</v>
      </c>
      <c r="C344" s="2" t="n">
        <v>5.17828611694973E-008</v>
      </c>
      <c r="D344" s="2" t="n">
        <v>5.25449771697577E-008</v>
      </c>
      <c r="E344" s="2" t="n">
        <v>2.79204678084872E-008</v>
      </c>
    </row>
    <row r="345" customFormat="false" ht="13.8" hidden="false" customHeight="false" outlineLevel="0" collapsed="false">
      <c r="B345" s="2" t="n">
        <v>344</v>
      </c>
      <c r="C345" s="2" t="n">
        <v>5.67259464150024E-008</v>
      </c>
      <c r="D345" s="2" t="n">
        <v>5.7737062142035E-008</v>
      </c>
      <c r="E345" s="2" t="n">
        <v>3.14168306520161E-008</v>
      </c>
    </row>
    <row r="346" customFormat="false" ht="13.8" hidden="false" customHeight="false" outlineLevel="0" collapsed="false">
      <c r="B346" s="2" t="n">
        <v>345</v>
      </c>
      <c r="C346" s="2" t="n">
        <v>6.16690422085515E-008</v>
      </c>
      <c r="D346" s="2" t="n">
        <v>6.29291695021268E-008</v>
      </c>
      <c r="E346" s="2" t="n">
        <v>3.49132456813294E-008</v>
      </c>
    </row>
    <row r="347" customFormat="false" ht="13.8" hidden="false" customHeight="false" outlineLevel="0" collapsed="false">
      <c r="B347" s="2" t="n">
        <v>346</v>
      </c>
      <c r="C347" s="2" t="n">
        <v>6.66121544158235E-008</v>
      </c>
      <c r="D347" s="2" t="n">
        <v>6.81213034493044E-008</v>
      </c>
      <c r="E347" s="2" t="n">
        <v>3.84097128944227E-008</v>
      </c>
    </row>
    <row r="348" customFormat="false" ht="13.8" hidden="false" customHeight="false" outlineLevel="0" collapsed="false">
      <c r="B348" s="2" t="n">
        <v>347</v>
      </c>
      <c r="C348" s="2" t="n">
        <v>7.15552858088828E-008</v>
      </c>
      <c r="D348" s="2" t="n">
        <v>7.3313465967956E-008</v>
      </c>
      <c r="E348" s="2" t="n">
        <v>4.18823178755847E-008</v>
      </c>
    </row>
    <row r="349" customFormat="false" ht="13.8" hidden="false" customHeight="false" outlineLevel="0" collapsed="false">
      <c r="B349" s="2" t="n">
        <v>348</v>
      </c>
      <c r="C349" s="2" t="n">
        <v>7.64984391629756E-008</v>
      </c>
      <c r="D349" s="2" t="n">
        <v>7.85056590434493E-008</v>
      </c>
      <c r="E349" s="2" t="n">
        <v>4.54221773308086E-008</v>
      </c>
    </row>
    <row r="350" customFormat="false" ht="13.8" hidden="false" customHeight="false" outlineLevel="0" collapsed="false">
      <c r="B350" s="2" t="n">
        <v>349</v>
      </c>
      <c r="C350" s="2" t="n">
        <v>8.14416172526768E-008</v>
      </c>
      <c r="D350" s="2" t="n">
        <v>8.36978846609916E-008</v>
      </c>
      <c r="E350" s="2" t="n">
        <v>4.89381745566987E-008</v>
      </c>
    </row>
    <row r="351" customFormat="false" ht="13.8" hidden="false" customHeight="false" outlineLevel="0" collapsed="false">
      <c r="B351" s="2" t="n">
        <v>350</v>
      </c>
      <c r="C351" s="2" t="n">
        <v>8.63848228517046E-008</v>
      </c>
      <c r="D351" s="2" t="n">
        <v>8.8890144804776E-008</v>
      </c>
      <c r="E351" s="2" t="n">
        <v>5.24074896478305E-008</v>
      </c>
    </row>
    <row r="352" customFormat="false" ht="13.8" hidden="false" customHeight="false" outlineLevel="0" collapsed="false">
      <c r="B352" s="2" t="n">
        <v>351</v>
      </c>
      <c r="C352" s="2" t="n">
        <v>9.13280606995902E-008</v>
      </c>
      <c r="D352" s="2" t="n">
        <v>9.40824428636159E-008</v>
      </c>
      <c r="E352" s="2" t="n">
        <v>5.59638919033019E-008</v>
      </c>
    </row>
    <row r="353" customFormat="false" ht="13.8" hidden="false" customHeight="false" outlineLevel="0" collapsed="false">
      <c r="B353" s="2" t="n">
        <v>352</v>
      </c>
      <c r="C353" s="2" t="n">
        <v>0.0011174028390444</v>
      </c>
      <c r="D353" s="2" t="n">
        <v>0.00111740653797919</v>
      </c>
      <c r="E353" s="2" t="n">
        <v>0.00111735755517042</v>
      </c>
    </row>
    <row r="354" customFormat="false" ht="13.8" hidden="false" customHeight="false" outlineLevel="0" collapsed="false">
      <c r="B354" s="2" t="n">
        <v>353</v>
      </c>
      <c r="C354" s="2" t="n">
        <v>0.00111740894155023</v>
      </c>
      <c r="D354" s="2" t="n">
        <v>0.00111741294811237</v>
      </c>
      <c r="E354" s="2" t="n">
        <v>0.0011173620043499</v>
      </c>
    </row>
    <row r="355" customFormat="false" ht="13.8" hidden="false" customHeight="false" outlineLevel="0" collapsed="false">
      <c r="B355" s="2" t="n">
        <v>354</v>
      </c>
      <c r="C355" s="2" t="n">
        <v>0.0011174150440944</v>
      </c>
      <c r="D355" s="2" t="n">
        <v>0.00111741935829056</v>
      </c>
      <c r="E355" s="2" t="n">
        <v>0.00111736645359112</v>
      </c>
    </row>
    <row r="356" customFormat="false" ht="13.8" hidden="false" customHeight="false" outlineLevel="0" collapsed="false">
      <c r="B356" s="2" t="n">
        <v>355</v>
      </c>
      <c r="C356" s="2" t="n">
        <v>0.00111742114665638</v>
      </c>
      <c r="D356" s="2" t="n">
        <v>0.00111742576849904</v>
      </c>
      <c r="E356" s="2" t="n">
        <v>0.00111737090289409</v>
      </c>
    </row>
    <row r="357" customFormat="false" ht="13.8" hidden="false" customHeight="false" outlineLevel="0" collapsed="false">
      <c r="B357" s="2" t="n">
        <v>356</v>
      </c>
      <c r="C357" s="2" t="n">
        <v>0.00111742724924408</v>
      </c>
      <c r="D357" s="2" t="n">
        <v>0.00111743217874349</v>
      </c>
      <c r="E357" s="2" t="n">
        <v>0.00111737535225882</v>
      </c>
    </row>
    <row r="358" customFormat="false" ht="13.8" hidden="false" customHeight="false" outlineLevel="0" collapsed="false">
      <c r="B358" s="2" t="n">
        <v>357</v>
      </c>
      <c r="C358" s="2" t="n">
        <v>0.0011174333518654</v>
      </c>
      <c r="D358" s="2" t="n">
        <v>0.00111743858902957</v>
      </c>
      <c r="E358" s="2" t="n">
        <v>0.0011173798016853</v>
      </c>
    </row>
    <row r="359" customFormat="false" ht="13.8" hidden="false" customHeight="false" outlineLevel="0" collapsed="false">
      <c r="B359" s="2" t="n">
        <v>358</v>
      </c>
      <c r="C359" s="2" t="n">
        <v>0.00111743945453057</v>
      </c>
      <c r="D359" s="2" t="n">
        <v>0.00111744499936458</v>
      </c>
      <c r="E359" s="2" t="n">
        <v>0.00111738425117352</v>
      </c>
    </row>
    <row r="360" customFormat="false" ht="13.8" hidden="false" customHeight="false" outlineLevel="0" collapsed="false">
      <c r="B360" s="2" t="n">
        <v>359</v>
      </c>
      <c r="C360" s="2" t="n">
        <v>0.00111744555724232</v>
      </c>
      <c r="D360" s="2" t="n">
        <v>0.0011174514097505</v>
      </c>
      <c r="E360" s="2" t="n">
        <v>0.0011173887007235</v>
      </c>
    </row>
    <row r="361" customFormat="false" ht="13.8" hidden="false" customHeight="false" outlineLevel="0" collapsed="false">
      <c r="B361" s="2" t="n">
        <v>360</v>
      </c>
      <c r="C361" s="2" t="n">
        <v>0.00111745166000571</v>
      </c>
      <c r="D361" s="2" t="n">
        <v>0.00111745782019093</v>
      </c>
      <c r="E361" s="2" t="n">
        <v>0.00111739315033521</v>
      </c>
    </row>
    <row r="362" customFormat="false" ht="13.8" hidden="false" customHeight="false" outlineLevel="0" collapsed="false">
      <c r="B362" s="2" t="n">
        <v>361</v>
      </c>
      <c r="C362" s="2" t="n">
        <v>0.0011174577628258</v>
      </c>
      <c r="D362" s="2" t="n">
        <v>0.00111746423068949</v>
      </c>
      <c r="E362" s="2" t="n">
        <v>0.00111739760000867</v>
      </c>
    </row>
    <row r="363" customFormat="false" ht="13.8" hidden="false" customHeight="false" outlineLevel="0" collapsed="false">
      <c r="B363" s="2" t="n">
        <v>362</v>
      </c>
      <c r="C363" s="2" t="n">
        <v>0.00111746386571172</v>
      </c>
      <c r="D363" s="2" t="n">
        <v>0.00111747064125272</v>
      </c>
      <c r="E363" s="2" t="n">
        <v>0.00111740204974386</v>
      </c>
    </row>
    <row r="364" customFormat="false" ht="13.8" hidden="false" customHeight="false" outlineLevel="0" collapsed="false">
      <c r="B364" s="2" t="n">
        <v>363</v>
      </c>
      <c r="C364" s="2" t="n">
        <v>0.0011174699686594</v>
      </c>
      <c r="D364" s="2" t="n">
        <v>0.00111747705187771</v>
      </c>
      <c r="E364" s="2" t="n">
        <v>0.0011174064995408</v>
      </c>
    </row>
    <row r="365" customFormat="false" ht="13.8" hidden="false" customHeight="false" outlineLevel="0" collapsed="false">
      <c r="B365" s="2" t="n">
        <v>364</v>
      </c>
      <c r="C365" s="2" t="n">
        <v>0.00111747607166882</v>
      </c>
      <c r="D365" s="2" t="n">
        <v>0.00111748346256444</v>
      </c>
      <c r="E365" s="2" t="n">
        <v>0.00111741094939948</v>
      </c>
    </row>
    <row r="366" customFormat="false" ht="13.8" hidden="false" customHeight="false" outlineLevel="0" collapsed="false">
      <c r="B366" s="2" t="n">
        <v>365</v>
      </c>
      <c r="C366" s="2" t="n">
        <v>0.00111748217473998</v>
      </c>
      <c r="D366" s="2" t="n">
        <v>0.00111748987331292</v>
      </c>
      <c r="E366" s="2" t="n">
        <v>0.0011174153993199</v>
      </c>
    </row>
    <row r="367" customFormat="false" ht="13.8" hidden="false" customHeight="false" outlineLevel="0" collapsed="false">
      <c r="B367" s="2" t="n">
        <v>366</v>
      </c>
      <c r="C367" s="2" t="n">
        <v>0.0011174882778729</v>
      </c>
      <c r="D367" s="2" t="n">
        <v>0.00111749628412315</v>
      </c>
      <c r="E367" s="2" t="n">
        <v>0.00111741984930206</v>
      </c>
    </row>
    <row r="368" customFormat="false" ht="13.8" hidden="false" customHeight="false" outlineLevel="0" collapsed="false">
      <c r="B368" s="2" t="n">
        <v>367</v>
      </c>
      <c r="C368" s="2" t="n">
        <v>0.00111749438106757</v>
      </c>
      <c r="D368" s="2" t="n">
        <v>0.00111750269499513</v>
      </c>
      <c r="E368" s="2" t="n">
        <v>0.00111742429934596</v>
      </c>
    </row>
    <row r="369" customFormat="false" ht="13.8" hidden="false" customHeight="false" outlineLevel="0" collapsed="false">
      <c r="B369" s="2" t="n">
        <v>368</v>
      </c>
      <c r="C369" s="2" t="n">
        <v>0.00111750048432398</v>
      </c>
      <c r="D369" s="2" t="n">
        <v>0.00111750910592887</v>
      </c>
      <c r="E369" s="2" t="n">
        <v>0.00111742874945161</v>
      </c>
    </row>
    <row r="370" customFormat="false" ht="13.8" hidden="false" customHeight="false" outlineLevel="0" collapsed="false">
      <c r="B370" s="2" t="n">
        <v>369</v>
      </c>
      <c r="C370" s="2" t="n">
        <v>0.00111750658764215</v>
      </c>
      <c r="D370" s="2" t="n">
        <v>0.00111751551692435</v>
      </c>
      <c r="E370" s="2" t="n">
        <v>0.001117433199619</v>
      </c>
    </row>
    <row r="371" customFormat="false" ht="13.8" hidden="false" customHeight="false" outlineLevel="0" collapsed="false">
      <c r="B371" s="2" t="n">
        <v>370</v>
      </c>
      <c r="C371" s="2" t="n">
        <v>0.00111751269102207</v>
      </c>
      <c r="D371" s="2" t="n">
        <v>0.00111752192798159</v>
      </c>
      <c r="E371" s="2" t="n">
        <v>0.00111743764984814</v>
      </c>
    </row>
    <row r="372" customFormat="false" ht="13.8" hidden="false" customHeight="false" outlineLevel="0" collapsed="false">
      <c r="B372" s="2" t="n">
        <v>371</v>
      </c>
      <c r="C372" s="2" t="n">
        <v>0.00111751879446374</v>
      </c>
      <c r="D372" s="2" t="n">
        <v>0.00111752833910057</v>
      </c>
      <c r="E372" s="2" t="n">
        <v>0.00111744210013902</v>
      </c>
    </row>
    <row r="373" customFormat="false" ht="13.8" hidden="false" customHeight="false" outlineLevel="0" collapsed="false">
      <c r="B373" s="2" t="n">
        <v>372</v>
      </c>
      <c r="C373" s="2" t="n">
        <v>0.00111752489796716</v>
      </c>
      <c r="D373" s="2" t="n">
        <v>0.00111753475028131</v>
      </c>
      <c r="E373" s="2" t="n">
        <v>0.00111744655049164</v>
      </c>
    </row>
    <row r="374" customFormat="false" ht="13.8" hidden="false" customHeight="false" outlineLevel="0" collapsed="false">
      <c r="B374" s="2" t="n">
        <v>373</v>
      </c>
      <c r="C374" s="2" t="n">
        <v>0.00111753100153234</v>
      </c>
      <c r="D374" s="2" t="n">
        <v>0.00111754116152381</v>
      </c>
      <c r="E374" s="2" t="n">
        <v>0.00111745100090601</v>
      </c>
    </row>
    <row r="375" customFormat="false" ht="13.8" hidden="false" customHeight="false" outlineLevel="0" collapsed="false">
      <c r="B375" s="2" t="n">
        <v>374</v>
      </c>
      <c r="C375" s="2" t="n">
        <v>0.00111753710515927</v>
      </c>
      <c r="D375" s="2" t="n">
        <v>0.00111754757282806</v>
      </c>
      <c r="E375" s="2" t="n">
        <v>0.00111745545138212</v>
      </c>
    </row>
    <row r="376" customFormat="false" ht="13.8" hidden="false" customHeight="false" outlineLevel="0" collapsed="false">
      <c r="B376" s="2" t="n">
        <v>375</v>
      </c>
      <c r="C376" s="2" t="n">
        <v>0.00111754320884795</v>
      </c>
      <c r="D376" s="2" t="n">
        <v>0.00111755398419407</v>
      </c>
      <c r="E376" s="2" t="n">
        <v>0.00111745990191999</v>
      </c>
    </row>
    <row r="377" customFormat="false" ht="13.8" hidden="false" customHeight="false" outlineLevel="0" collapsed="false">
      <c r="B377" s="2" t="n">
        <v>376</v>
      </c>
      <c r="C377" s="2" t="n">
        <v>0.00111754931259839</v>
      </c>
      <c r="D377" s="2" t="n">
        <v>0.00111756039562183</v>
      </c>
      <c r="E377" s="2" t="n">
        <v>0.00111746435251959</v>
      </c>
    </row>
    <row r="378" customFormat="false" ht="13.8" hidden="false" customHeight="false" outlineLevel="0" collapsed="false">
      <c r="B378" s="2" t="n">
        <v>377</v>
      </c>
      <c r="C378" s="2" t="n">
        <v>0.00111755541641058</v>
      </c>
      <c r="D378" s="2" t="n">
        <v>0.00111756680711135</v>
      </c>
      <c r="E378" s="2" t="n">
        <v>0.00111746880318095</v>
      </c>
    </row>
    <row r="379" customFormat="false" ht="13.8" hidden="false" customHeight="false" outlineLevel="0" collapsed="false">
      <c r="B379" s="2" t="n">
        <v>378</v>
      </c>
      <c r="C379" s="2" t="n">
        <v>0.00111756152028453</v>
      </c>
      <c r="D379" s="2" t="n">
        <v>0.00111757321866263</v>
      </c>
      <c r="E379" s="2" t="n">
        <v>0.00111747325390405</v>
      </c>
    </row>
    <row r="380" customFormat="false" ht="13.8" hidden="false" customHeight="false" outlineLevel="0" collapsed="false">
      <c r="B380" s="2" t="n">
        <v>379</v>
      </c>
      <c r="C380" s="2" t="n">
        <v>0.00111756762422024</v>
      </c>
      <c r="D380" s="2" t="n">
        <v>0.00111757963027566</v>
      </c>
      <c r="E380" s="2" t="n">
        <v>0.0011174777046889</v>
      </c>
    </row>
    <row r="381" customFormat="false" ht="13.8" hidden="false" customHeight="false" outlineLevel="0" collapsed="false">
      <c r="B381" s="2" t="n">
        <v>380</v>
      </c>
      <c r="C381" s="2" t="n">
        <v>0.0011175737282177</v>
      </c>
      <c r="D381" s="2" t="n">
        <v>0.00111758604195046</v>
      </c>
      <c r="E381" s="2" t="n">
        <v>0.0011174821555355</v>
      </c>
    </row>
    <row r="382" customFormat="false" ht="13.8" hidden="false" customHeight="false" outlineLevel="0" collapsed="false">
      <c r="B382" s="2" t="n">
        <v>381</v>
      </c>
      <c r="C382" s="2" t="n">
        <v>0.00111757983227692</v>
      </c>
      <c r="D382" s="2" t="n">
        <v>0.00111759245368701</v>
      </c>
      <c r="E382" s="2" t="n">
        <v>0.00111748660644385</v>
      </c>
    </row>
    <row r="383" customFormat="false" ht="13.8" hidden="false" customHeight="false" outlineLevel="0" collapsed="false">
      <c r="B383" s="2" t="n">
        <v>382</v>
      </c>
      <c r="C383" s="2" t="n">
        <v>0.00111758593639791</v>
      </c>
      <c r="D383" s="2" t="n">
        <v>0.00111759886548532</v>
      </c>
      <c r="E383" s="2" t="n">
        <v>0.00111749105741394</v>
      </c>
    </row>
    <row r="384" customFormat="false" ht="13.8" hidden="false" customHeight="false" outlineLevel="0" collapsed="false">
      <c r="B384" s="2" t="n">
        <v>383</v>
      </c>
      <c r="C384" s="2" t="n">
        <v>0.00111759204058065</v>
      </c>
      <c r="D384" s="2" t="n">
        <v>0.0011176052773454</v>
      </c>
      <c r="E384" s="2" t="n">
        <v>0.00111749550844579</v>
      </c>
    </row>
    <row r="385" customFormat="false" ht="13.8" hidden="false" customHeight="false" outlineLevel="0" collapsed="false">
      <c r="B385" s="2" t="n">
        <v>384</v>
      </c>
      <c r="C385" s="2" t="n">
        <v>0.00111759814482515</v>
      </c>
      <c r="D385" s="2" t="n">
        <v>0.00111761168926723</v>
      </c>
      <c r="E385" s="2" t="n">
        <v>0.00111749995953939</v>
      </c>
    </row>
    <row r="386" customFormat="false" ht="13.8" hidden="false" customHeight="false" outlineLevel="0" collapsed="false">
      <c r="B386" s="2" t="n">
        <v>385</v>
      </c>
      <c r="C386" s="2" t="n">
        <v>0.00111760424913141</v>
      </c>
      <c r="D386" s="2" t="n">
        <v>0.00111761810125083</v>
      </c>
      <c r="E386" s="2" t="n">
        <v>0.00111750441069473</v>
      </c>
    </row>
    <row r="387" customFormat="false" ht="13.8" hidden="false" customHeight="false" outlineLevel="0" collapsed="false">
      <c r="B387" s="2" t="n">
        <v>386</v>
      </c>
      <c r="C387" s="2" t="n">
        <v>0.00111761035349943</v>
      </c>
      <c r="D387" s="2" t="n">
        <v>0.00111762451329618</v>
      </c>
      <c r="E387" s="2" t="n">
        <v>0.00111750886191183</v>
      </c>
    </row>
    <row r="388" customFormat="false" ht="13.8" hidden="false" customHeight="false" outlineLevel="0" collapsed="false">
      <c r="B388" s="2" t="n">
        <v>387</v>
      </c>
      <c r="C388" s="2" t="n">
        <v>0.00111761645792921</v>
      </c>
      <c r="D388" s="2" t="n">
        <v>0.00111763092540331</v>
      </c>
      <c r="E388" s="2" t="n">
        <v>0.00111751331319068</v>
      </c>
    </row>
    <row r="389" customFormat="false" ht="13.8" hidden="false" customHeight="false" outlineLevel="0" collapsed="false">
      <c r="B389" s="2" t="n">
        <v>388</v>
      </c>
      <c r="C389" s="2" t="n">
        <v>0.00111762256242076</v>
      </c>
      <c r="D389" s="2" t="n">
        <v>0.00111763733757219</v>
      </c>
      <c r="E389" s="2" t="n">
        <v>0.00111751776453128</v>
      </c>
    </row>
    <row r="390" customFormat="false" ht="13.8" hidden="false" customHeight="false" outlineLevel="0" collapsed="false">
      <c r="B390" s="2" t="n">
        <v>389</v>
      </c>
      <c r="C390" s="2" t="n">
        <v>0.00111762866697406</v>
      </c>
      <c r="D390" s="2" t="n">
        <v>0.00111764374980284</v>
      </c>
      <c r="E390" s="2" t="n">
        <v>0.00111752221593364</v>
      </c>
    </row>
    <row r="391" customFormat="false" ht="13.8" hidden="false" customHeight="false" outlineLevel="0" collapsed="false">
      <c r="B391" s="2" t="n">
        <v>390</v>
      </c>
      <c r="C391" s="2" t="n">
        <v>0.00111763477158913</v>
      </c>
      <c r="D391" s="2" t="n">
        <v>0.00111765016209525</v>
      </c>
      <c r="E391" s="2" t="n">
        <v>0.00111752666739774</v>
      </c>
    </row>
    <row r="392" customFormat="false" ht="13.8" hidden="false" customHeight="false" outlineLevel="0" collapsed="false">
      <c r="B392" s="2" t="n">
        <v>391</v>
      </c>
      <c r="C392" s="2" t="n">
        <v>0.00111764087626597</v>
      </c>
      <c r="D392" s="2" t="n">
        <v>0.00111765657444943</v>
      </c>
      <c r="E392" s="2" t="n">
        <v>0.0011175311189236</v>
      </c>
    </row>
    <row r="393" customFormat="false" ht="13.8" hidden="false" customHeight="false" outlineLevel="0" collapsed="false">
      <c r="B393" s="2" t="n">
        <v>392</v>
      </c>
      <c r="C393" s="2" t="n">
        <v>0.00111764698100457</v>
      </c>
      <c r="D393" s="2" t="n">
        <v>0.00111766298686538</v>
      </c>
      <c r="E393" s="2" t="n">
        <v>0.00111753557051122</v>
      </c>
    </row>
    <row r="394" customFormat="false" ht="13.8" hidden="false" customHeight="false" outlineLevel="0" collapsed="false">
      <c r="B394" s="2" t="n">
        <v>393</v>
      </c>
      <c r="C394" s="2" t="n">
        <v>0.00111765308580494</v>
      </c>
      <c r="D394" s="2" t="n">
        <v>0.00111766939934309</v>
      </c>
      <c r="E394" s="2" t="n">
        <v>0.00111754002216059</v>
      </c>
    </row>
    <row r="395" customFormat="false" ht="13.8" hidden="false" customHeight="false" outlineLevel="0" collapsed="false">
      <c r="B395" s="2" t="n">
        <v>394</v>
      </c>
      <c r="C395" s="2" t="n">
        <v>0.00111765919066707</v>
      </c>
      <c r="D395" s="2" t="n">
        <v>0.00111767581188257</v>
      </c>
      <c r="E395" s="2" t="n">
        <v>0.00111754447387171</v>
      </c>
    </row>
    <row r="396" customFormat="false" ht="13.8" hidden="false" customHeight="false" outlineLevel="0" collapsed="false">
      <c r="B396" s="2" t="n">
        <v>395</v>
      </c>
      <c r="C396" s="2" t="n">
        <v>0.00111766529559097</v>
      </c>
      <c r="D396" s="2" t="n">
        <v>0.00111768222448382</v>
      </c>
      <c r="E396" s="2" t="n">
        <v>0.00111754892564458</v>
      </c>
    </row>
    <row r="397" customFormat="false" ht="13.8" hidden="false" customHeight="false" outlineLevel="0" collapsed="false">
      <c r="B397" s="2" t="n">
        <v>396</v>
      </c>
      <c r="C397" s="2" t="n">
        <v>0.00111767140057663</v>
      </c>
      <c r="D397" s="2" t="n">
        <v>0.00111768863714684</v>
      </c>
      <c r="E397" s="2" t="n">
        <v>0.00111755337747922</v>
      </c>
    </row>
    <row r="398" customFormat="false" ht="13.8" hidden="false" customHeight="false" outlineLevel="0" collapsed="false">
      <c r="B398" s="2" t="n">
        <v>397</v>
      </c>
      <c r="C398" s="2" t="n">
        <v>0.00111767750562406</v>
      </c>
      <c r="D398" s="2" t="n">
        <v>0.00111769504987163</v>
      </c>
      <c r="E398" s="2" t="n">
        <v>0.00111755782937561</v>
      </c>
    </row>
    <row r="399" customFormat="false" ht="13.8" hidden="false" customHeight="false" outlineLevel="0" collapsed="false">
      <c r="B399" s="2" t="n">
        <v>398</v>
      </c>
      <c r="C399" s="2" t="n">
        <v>0.00111768361073326</v>
      </c>
      <c r="D399" s="2" t="n">
        <v>0.00111770146265819</v>
      </c>
      <c r="E399" s="2" t="n">
        <v>0.00111756228133375</v>
      </c>
    </row>
    <row r="400" customFormat="false" ht="13.8" hidden="false" customHeight="false" outlineLevel="0" collapsed="false">
      <c r="B400" s="2" t="n">
        <v>399</v>
      </c>
      <c r="C400" s="2" t="n">
        <v>0.00111768971590423</v>
      </c>
      <c r="D400" s="2" t="n">
        <v>0.00111770787550652</v>
      </c>
      <c r="E400" s="2" t="n">
        <v>0.00111756673335365</v>
      </c>
    </row>
    <row r="401" customFormat="false" ht="13.8" hidden="false" customHeight="false" outlineLevel="0" collapsed="false">
      <c r="B401" s="2" t="n">
        <v>400</v>
      </c>
      <c r="C401" s="2" t="n">
        <v>0.00111769582113697</v>
      </c>
      <c r="D401" s="2" t="n">
        <v>0.00111771428841662</v>
      </c>
      <c r="E401" s="2" t="n">
        <v>0.00111757118543531</v>
      </c>
    </row>
    <row r="402" customFormat="false" ht="13.8" hidden="false" customHeight="false" outlineLevel="0" collapsed="false">
      <c r="B402" s="2" t="n">
        <v>401</v>
      </c>
      <c r="C402" s="2" t="n">
        <v>0.00111770192643148</v>
      </c>
      <c r="D402" s="2" t="n">
        <v>0.00111772070138849</v>
      </c>
      <c r="E402" s="2" t="n">
        <v>0.00111757563757873</v>
      </c>
    </row>
    <row r="403" customFormat="false" ht="13.8" hidden="false" customHeight="false" outlineLevel="0" collapsed="false">
      <c r="B403" s="2" t="n">
        <v>402</v>
      </c>
      <c r="C403" s="2" t="n">
        <v>0.00111770803178776</v>
      </c>
      <c r="D403" s="2" t="n">
        <v>0.00111772711442213</v>
      </c>
      <c r="E403" s="2" t="n">
        <v>0.00111758008978391</v>
      </c>
    </row>
    <row r="404" customFormat="false" ht="13.8" hidden="false" customHeight="false" outlineLevel="0" collapsed="false">
      <c r="B404" s="2" t="n">
        <v>403</v>
      </c>
      <c r="C404" s="2" t="n">
        <v>0.00111771413720582</v>
      </c>
      <c r="D404" s="2" t="n">
        <v>0.00111773352751755</v>
      </c>
      <c r="E404" s="2" t="n">
        <v>0.00111758454205084</v>
      </c>
    </row>
    <row r="405" customFormat="false" ht="13.8" hidden="false" customHeight="false" outlineLevel="0" collapsed="false">
      <c r="B405" s="2" t="n">
        <v>404</v>
      </c>
      <c r="C405" s="2" t="n">
        <v>0.00111772024268564</v>
      </c>
      <c r="D405" s="2" t="n">
        <v>0.00111773994067474</v>
      </c>
      <c r="E405" s="2" t="n">
        <v>0.00111758899437954</v>
      </c>
    </row>
    <row r="406" customFormat="false" ht="13.8" hidden="false" customHeight="false" outlineLevel="0" collapsed="false">
      <c r="B406" s="2" t="n">
        <v>405</v>
      </c>
      <c r="C406" s="2" t="n">
        <v>0.00111772634822724</v>
      </c>
      <c r="D406" s="2" t="n">
        <v>0.00111774635389371</v>
      </c>
      <c r="E406" s="2" t="n">
        <v>0.00111759344676999</v>
      </c>
    </row>
    <row r="407" customFormat="false" ht="13.8" hidden="false" customHeight="false" outlineLevel="0" collapsed="false">
      <c r="B407" s="2" t="n">
        <v>406</v>
      </c>
      <c r="C407" s="2" t="n">
        <v>0.00111773245383531</v>
      </c>
      <c r="D407" s="2" t="n">
        <v>0.00111775276717782</v>
      </c>
      <c r="E407" s="2" t="n">
        <v>0.0011175978992222</v>
      </c>
    </row>
    <row r="408" customFormat="false" ht="13.8" hidden="false" customHeight="false" outlineLevel="0" collapsed="false">
      <c r="B408" s="2" t="n">
        <v>407</v>
      </c>
      <c r="C408" s="2" t="n">
        <v>0.00111773855949935</v>
      </c>
      <c r="D408" s="2" t="n">
        <v>0.00111775918051955</v>
      </c>
      <c r="E408" s="2" t="n">
        <v>0.00111760235173617</v>
      </c>
    </row>
    <row r="409" customFormat="false" ht="13.8" hidden="false" customHeight="false" outlineLevel="0" collapsed="false">
      <c r="B409" s="2" t="n">
        <v>408</v>
      </c>
      <c r="C409" s="2" t="n">
        <v>0.00111774466521356</v>
      </c>
      <c r="D409" s="2" t="n">
        <v>0.00111776559391474</v>
      </c>
      <c r="E409" s="2" t="n">
        <v>1.75497391950412E-007</v>
      </c>
    </row>
    <row r="410" customFormat="false" ht="13.8" hidden="false" customHeight="false" outlineLevel="0" collapsed="false">
      <c r="B410" s="2" t="n">
        <v>409</v>
      </c>
      <c r="C410" s="2" t="n">
        <v>0.00111775077097212</v>
      </c>
      <c r="D410" s="2" t="n">
        <v>0.00111777200735926</v>
      </c>
      <c r="E410" s="2" t="n">
        <v>0.00111761125694942</v>
      </c>
    </row>
    <row r="411" customFormat="false" ht="13.8" hidden="false" customHeight="false" outlineLevel="0" collapsed="false">
      <c r="B411" s="2" t="n">
        <v>410</v>
      </c>
      <c r="C411" s="2" t="n">
        <v>0.00111775687678402</v>
      </c>
      <c r="D411" s="2" t="n">
        <v>0.00111777842085951</v>
      </c>
      <c r="E411" s="2" t="n">
        <v>0</v>
      </c>
    </row>
    <row r="412" customFormat="false" ht="13.8" hidden="false" customHeight="false" outlineLevel="0" collapsed="false">
      <c r="B412" s="2" t="n">
        <v>411</v>
      </c>
      <c r="C412" s="2" t="n">
        <v>0.00111776298261042</v>
      </c>
      <c r="D412" s="2" t="n">
        <v>0</v>
      </c>
      <c r="E412" s="2" t="n">
        <v>0</v>
      </c>
    </row>
    <row r="413" customFormat="false" ht="13.8" hidden="false" customHeight="false" outlineLevel="0" collapsed="false">
      <c r="B413" s="2" t="n">
        <v>412</v>
      </c>
      <c r="C413" s="2" t="n">
        <v>0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413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414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415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416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417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418</v>
      </c>
      <c r="C419" s="2" t="n">
        <v>0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419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420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421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422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423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424</v>
      </c>
      <c r="C425" s="2" t="n">
        <v>0</v>
      </c>
      <c r="D425" s="2" t="n">
        <v>4.080260212947E-010</v>
      </c>
      <c r="E425" s="2" t="n">
        <v>0</v>
      </c>
    </row>
    <row r="426" customFormat="false" ht="13.8" hidden="false" customHeight="false" outlineLevel="0" collapsed="false">
      <c r="B426" s="2" t="n">
        <v>425</v>
      </c>
      <c r="C426" s="2" t="n">
        <v>0</v>
      </c>
      <c r="D426" s="2" t="n">
        <v>1.30732231364591E-009</v>
      </c>
      <c r="E426" s="2" t="n">
        <v>0</v>
      </c>
    </row>
    <row r="427" customFormat="false" ht="13.8" hidden="false" customHeight="false" outlineLevel="0" collapsed="false">
      <c r="B427" s="2" t="n">
        <v>426</v>
      </c>
      <c r="C427" s="2" t="n">
        <v>0</v>
      </c>
      <c r="D427" s="2" t="n">
        <v>2.73611443712606E-009</v>
      </c>
      <c r="E427" s="2" t="n">
        <v>0</v>
      </c>
    </row>
    <row r="428" customFormat="false" ht="13.8" hidden="false" customHeight="false" outlineLevel="0" collapsed="false">
      <c r="B428" s="2" t="n">
        <v>427</v>
      </c>
      <c r="C428" s="2" t="n">
        <v>0</v>
      </c>
      <c r="D428" s="2" t="n">
        <v>1.0546454641748E-008</v>
      </c>
      <c r="E428" s="2" t="n">
        <v>9.31821948408539E-012</v>
      </c>
    </row>
    <row r="429" customFormat="false" ht="13.8" hidden="false" customHeight="false" outlineLevel="0" collapsed="false">
      <c r="B429" s="2" t="n">
        <v>428</v>
      </c>
      <c r="C429" s="2" t="n">
        <v>1.55331319938E-010</v>
      </c>
      <c r="D429" s="2" t="n">
        <v>1.56201628823491E-008</v>
      </c>
      <c r="E429" s="2" t="n">
        <v>3.24150286879193E-011</v>
      </c>
    </row>
    <row r="430" customFormat="false" ht="13.8" hidden="false" customHeight="false" outlineLevel="0" collapsed="false">
      <c r="B430" s="2" t="n">
        <v>429</v>
      </c>
      <c r="C430" s="2" t="n">
        <v>1.75963650785535E-009</v>
      </c>
      <c r="D430" s="2" t="n">
        <v>2.06936600584096E-008</v>
      </c>
      <c r="E430" s="2" t="n">
        <v>8.17766630366513E-011</v>
      </c>
    </row>
    <row r="431" customFormat="false" ht="13.8" hidden="false" customHeight="false" outlineLevel="0" collapsed="false">
      <c r="B431" s="2" t="n">
        <v>430</v>
      </c>
      <c r="C431" s="2" t="n">
        <v>6.24300026126542E-009</v>
      </c>
      <c r="D431" s="2" t="n">
        <v>2.57669440928385E-008</v>
      </c>
      <c r="E431" s="2" t="n">
        <v>1.97386446036106E-010</v>
      </c>
    </row>
    <row r="432" customFormat="false" ht="13.8" hidden="false" customHeight="false" outlineLevel="0" collapsed="false">
      <c r="B432" s="2" t="n">
        <v>431</v>
      </c>
      <c r="C432" s="2" t="n">
        <v>1.2606412304428E-008</v>
      </c>
      <c r="D432" s="2" t="n">
        <v>3.0840005918728E-008</v>
      </c>
      <c r="E432" s="2" t="n">
        <v>1.40755720023016E-009</v>
      </c>
    </row>
    <row r="433" customFormat="false" ht="13.8" hidden="false" customHeight="false" outlineLevel="0" collapsed="false">
      <c r="B433" s="2" t="n">
        <v>432</v>
      </c>
      <c r="C433" s="2" t="n">
        <v>1.76739462783356E-008</v>
      </c>
      <c r="D433" s="2" t="n">
        <v>3.59128389577533E-008</v>
      </c>
      <c r="E433" s="2" t="n">
        <v>5.60452280007734E-009</v>
      </c>
    </row>
    <row r="434" customFormat="false" ht="13.8" hidden="false" customHeight="false" outlineLevel="0" collapsed="false">
      <c r="B434" s="2" t="n">
        <v>433</v>
      </c>
      <c r="C434" s="2" t="n">
        <v>2.27411314348744E-008</v>
      </c>
      <c r="D434" s="2" t="n">
        <v>4.09854366299641E-008</v>
      </c>
      <c r="E434" s="2" t="n">
        <v>8.39045654506171E-009</v>
      </c>
    </row>
    <row r="435" customFormat="false" ht="13.8" hidden="false" customHeight="false" outlineLevel="0" collapsed="false">
      <c r="B435" s="2" t="n">
        <v>434</v>
      </c>
      <c r="C435" s="2" t="n">
        <v>2.78079433665536E-008</v>
      </c>
      <c r="D435" s="2" t="n">
        <v>4.60577814708813E-008</v>
      </c>
      <c r="E435" s="2" t="n">
        <v>1.11764404774222E-008</v>
      </c>
    </row>
    <row r="436" customFormat="false" ht="13.8" hidden="false" customHeight="false" outlineLevel="0" collapsed="false">
      <c r="B436" s="2" t="n">
        <v>435</v>
      </c>
      <c r="C436" s="2" t="n">
        <v>3.28744004141011E-008</v>
      </c>
      <c r="D436" s="2" t="n">
        <v>5.1129886604344E-008</v>
      </c>
      <c r="E436" s="2" t="n">
        <v>1.39624745895933E-008</v>
      </c>
    </row>
    <row r="437" customFormat="false" ht="13.8" hidden="false" customHeight="false" outlineLevel="0" collapsed="false">
      <c r="B437" s="2" t="n">
        <v>436</v>
      </c>
      <c r="C437" s="2" t="n">
        <v>3.79405057046455E-008</v>
      </c>
      <c r="D437" s="2" t="n">
        <v>5.62017542683445E-008</v>
      </c>
      <c r="E437" s="2" t="n">
        <v>1.67485588802371E-008</v>
      </c>
    </row>
    <row r="438" customFormat="false" ht="13.8" hidden="false" customHeight="false" outlineLevel="0" collapsed="false">
      <c r="B438" s="2" t="n">
        <v>437</v>
      </c>
      <c r="C438" s="2" t="n">
        <v>4.30062623668154E-008</v>
      </c>
      <c r="D438" s="2" t="n">
        <v>6.12733866971163E-008</v>
      </c>
      <c r="E438" s="2" t="n">
        <v>1.95195901082104E-008</v>
      </c>
    </row>
    <row r="439" customFormat="false" ht="13.8" hidden="false" customHeight="false" outlineLevel="0" collapsed="false">
      <c r="B439" s="2" t="n">
        <v>438</v>
      </c>
      <c r="C439" s="2" t="n">
        <v>4.80715900755941E-008</v>
      </c>
      <c r="D439" s="2" t="n">
        <v>6.63447264237738E-008</v>
      </c>
      <c r="E439" s="2" t="n">
        <v>2.23331117838068E-008</v>
      </c>
    </row>
    <row r="440" customFormat="false" ht="13.8" hidden="false" customHeight="false" outlineLevel="0" collapsed="false">
      <c r="B440" s="2" t="n">
        <v>439</v>
      </c>
      <c r="C440" s="2" t="n">
        <v>5.31366430082908E-008</v>
      </c>
      <c r="D440" s="2" t="n">
        <v>7.14158837632812E-008</v>
      </c>
      <c r="E440" s="2" t="n">
        <v>2.51315803606704E-008</v>
      </c>
    </row>
    <row r="441" customFormat="false" ht="13.8" hidden="false" customHeight="false" outlineLevel="0" collapsed="false">
      <c r="B441" s="2" t="n">
        <v>440</v>
      </c>
      <c r="C441" s="2" t="n">
        <v>5.82014918894741E-008</v>
      </c>
      <c r="D441" s="2" t="n">
        <v>7.64869093227314E-008</v>
      </c>
      <c r="E441" s="2" t="n">
        <v>2.79300990620783E-008</v>
      </c>
    </row>
    <row r="442" customFormat="false" ht="13.8" hidden="false" customHeight="false" outlineLevel="0" collapsed="false">
      <c r="B442" s="2" t="n">
        <v>441</v>
      </c>
      <c r="C442" s="2" t="n">
        <v>6.32662074435136E-008</v>
      </c>
      <c r="D442" s="2" t="n">
        <v>8.15578537084162E-008</v>
      </c>
      <c r="E442" s="2" t="n">
        <v>3.07286678417516E-008</v>
      </c>
    </row>
    <row r="443" customFormat="false" ht="13.8" hidden="false" customHeight="false" outlineLevel="0" collapsed="false">
      <c r="B443" s="2" t="n">
        <v>442</v>
      </c>
      <c r="C443" s="2" t="n">
        <v>6.8330961844959E-008</v>
      </c>
      <c r="D443" s="2" t="n">
        <v>8.66288401173292E-008</v>
      </c>
      <c r="E443" s="2" t="n">
        <v>3.35092649747704E-008</v>
      </c>
    </row>
    <row r="444" customFormat="false" ht="13.8" hidden="false" customHeight="false" outlineLevel="0" collapsed="false">
      <c r="B444" s="2" t="n">
        <v>443</v>
      </c>
      <c r="C444" s="2" t="n">
        <v>7.33956421942386E-008</v>
      </c>
      <c r="D444" s="2" t="n">
        <v>9.16997877661767E-008</v>
      </c>
      <c r="E444" s="2" t="n">
        <v>3.63405535337884E-008</v>
      </c>
    </row>
    <row r="445" customFormat="false" ht="13.8" hidden="false" customHeight="false" outlineLevel="0" collapsed="false">
      <c r="B445" s="2" t="n">
        <v>444</v>
      </c>
      <c r="C445" s="2" t="n">
        <v>7.84602370415623E-008</v>
      </c>
      <c r="D445" s="2" t="n">
        <v>9.67706884581686E-008</v>
      </c>
      <c r="E445" s="2" t="n">
        <v>3.91538703042299E-008</v>
      </c>
    </row>
    <row r="446" customFormat="false" ht="13.8" hidden="false" customHeight="false" outlineLevel="0" collapsed="false">
      <c r="B446" s="2" t="n">
        <v>445</v>
      </c>
      <c r="C446" s="2" t="n">
        <v>8.35247349366172E-008</v>
      </c>
      <c r="D446" s="2" t="n">
        <v>1.01841534008009E-007</v>
      </c>
      <c r="E446" s="2" t="n">
        <v>4.19672371434151E-008</v>
      </c>
    </row>
    <row r="447" customFormat="false" ht="13.8" hidden="false" customHeight="false" outlineLevel="0" collapsed="false">
      <c r="B447" s="2" t="n">
        <v>446</v>
      </c>
      <c r="C447" s="2" t="n">
        <v>8.85890929015874E-008</v>
      </c>
      <c r="D447" s="2" t="n">
        <v>1.06912293662653E-007</v>
      </c>
      <c r="E447" s="2" t="n">
        <v>4.47806540715005E-008</v>
      </c>
    </row>
    <row r="448" customFormat="false" ht="13.8" hidden="false" customHeight="false" outlineLevel="0" collapsed="false">
      <c r="B448" s="2" t="n">
        <v>447</v>
      </c>
      <c r="C448" s="2" t="n">
        <v>9.36533565522072E-008</v>
      </c>
      <c r="D448" s="2" t="n">
        <v>1.11983000056669E-007</v>
      </c>
      <c r="E448" s="2" t="n">
        <v>4.75651323207796E-008</v>
      </c>
    </row>
    <row r="449" customFormat="false" ht="13.8" hidden="false" customHeight="false" outlineLevel="0" collapsed="false">
      <c r="B449" s="2" t="n">
        <v>448</v>
      </c>
      <c r="C449" s="2" t="n">
        <v>9.87175399699491E-008</v>
      </c>
      <c r="D449" s="2" t="n">
        <v>1.1705366326794E-007</v>
      </c>
      <c r="E449" s="2" t="n">
        <v>5.03908331138066E-008</v>
      </c>
    </row>
    <row r="450" customFormat="false" ht="13.8" hidden="false" customHeight="false" outlineLevel="0" collapsed="false">
      <c r="B450" s="2" t="n">
        <v>449</v>
      </c>
      <c r="C450" s="2" t="n">
        <v>1.03781657238058E-007</v>
      </c>
      <c r="D450" s="2" t="n">
        <v>1.22119534380165E-007</v>
      </c>
      <c r="E450" s="2" t="n">
        <v>5.32276516381966E-008</v>
      </c>
    </row>
    <row r="451" customFormat="false" ht="13.8" hidden="false" customHeight="false" outlineLevel="0" collapsed="false">
      <c r="B451" s="2" t="n">
        <v>450</v>
      </c>
      <c r="C451" s="2" t="n">
        <v>1.08845724331864E-007</v>
      </c>
      <c r="D451" s="2" t="n">
        <v>0.00111744098706013</v>
      </c>
      <c r="E451" s="2" t="n">
        <v>5.60824671226003E-008</v>
      </c>
    </row>
    <row r="452" customFormat="false" ht="13.8" hidden="false" customHeight="false" outlineLevel="0" collapsed="false">
      <c r="B452" s="2" t="n">
        <v>451</v>
      </c>
      <c r="C452" s="2" t="n">
        <v>0.00111742457991834</v>
      </c>
      <c r="D452" s="2" t="n">
        <v>1.32365482467843E-007</v>
      </c>
      <c r="E452" s="2" t="n">
        <v>3.60302990225927E-008</v>
      </c>
    </row>
    <row r="453" customFormat="false" ht="13.8" hidden="false" customHeight="false" outlineLevel="0" collapsed="false">
      <c r="B453" s="2" t="n">
        <v>452</v>
      </c>
      <c r="C453" s="2" t="n">
        <v>1.19037724324821E-007</v>
      </c>
      <c r="D453" s="2" t="n">
        <v>0.214444144652314</v>
      </c>
      <c r="E453" s="2" t="n">
        <v>3.6777573310577E-008</v>
      </c>
    </row>
    <row r="454" customFormat="false" ht="13.8" hidden="false" customHeight="false" outlineLevel="0" collapsed="false">
      <c r="B454" s="2" t="n">
        <v>453</v>
      </c>
      <c r="C454" s="2" t="n">
        <v>0.21692187853821</v>
      </c>
      <c r="D454" s="2" t="n">
        <v>0.214446284115502</v>
      </c>
      <c r="E454" s="2" t="n">
        <v>0.427356827355705</v>
      </c>
    </row>
    <row r="455" customFormat="false" ht="13.8" hidden="false" customHeight="false" outlineLevel="0" collapsed="false">
      <c r="B455" s="2" t="n">
        <v>454</v>
      </c>
      <c r="C455" s="2" t="n">
        <v>0.216924042779114</v>
      </c>
      <c r="D455" s="2" t="n">
        <v>0.214448423600027</v>
      </c>
      <c r="E455" s="2" t="n">
        <v>0.427361095962144</v>
      </c>
    </row>
    <row r="456" customFormat="false" ht="13.8" hidden="false" customHeight="false" outlineLevel="0" collapsed="false">
      <c r="B456" s="2" t="n">
        <v>455</v>
      </c>
      <c r="C456" s="2" t="n">
        <v>0.2169262070416</v>
      </c>
      <c r="D456" s="2" t="n">
        <v>0.214450563105905</v>
      </c>
      <c r="E456" s="2" t="n">
        <v>0.427365364611267</v>
      </c>
    </row>
    <row r="457" customFormat="false" ht="13.8" hidden="false" customHeight="false" outlineLevel="0" collapsed="false">
      <c r="B457" s="2" t="n">
        <v>456</v>
      </c>
      <c r="C457" s="2" t="n">
        <v>0.21692837132569</v>
      </c>
      <c r="D457" s="2" t="n">
        <v>0.214452702633149</v>
      </c>
      <c r="E457" s="2" t="n">
        <v>0.427369633303074</v>
      </c>
    </row>
    <row r="458" customFormat="false" ht="13.8" hidden="false" customHeight="false" outlineLevel="0" collapsed="false">
      <c r="B458" s="2" t="n">
        <v>457</v>
      </c>
      <c r="C458" s="2" t="n">
        <v>0.216930535631402</v>
      </c>
      <c r="D458" s="2" t="n">
        <v>0.214454842181775</v>
      </c>
      <c r="E458" s="2" t="n">
        <v>0.427373902037567</v>
      </c>
    </row>
    <row r="459" customFormat="false" ht="13.8" hidden="false" customHeight="false" outlineLevel="0" collapsed="false">
      <c r="B459" s="2" t="n">
        <v>458</v>
      </c>
      <c r="C459" s="2" t="n">
        <v>0.216932699958773</v>
      </c>
      <c r="D459" s="2" t="n">
        <v>0.214456981751807</v>
      </c>
      <c r="E459" s="2" t="n">
        <v>0.427378170814744</v>
      </c>
    </row>
    <row r="460" customFormat="false" ht="13.8" hidden="false" customHeight="false" outlineLevel="0" collapsed="false">
      <c r="B460" s="2" t="n">
        <v>459</v>
      </c>
      <c r="C460" s="2" t="n">
        <v>0.216934864307786</v>
      </c>
      <c r="D460" s="2" t="n">
        <v>0.214459121343234</v>
      </c>
      <c r="E460" s="2" t="n">
        <v>0.427382439634608</v>
      </c>
    </row>
    <row r="461" customFormat="false" ht="13.8" hidden="false" customHeight="false" outlineLevel="0" collapsed="false">
      <c r="B461" s="2" t="n">
        <v>460</v>
      </c>
      <c r="C461" s="2" t="n">
        <v>0.216937028678445</v>
      </c>
      <c r="D461" s="2" t="n">
        <v>0.214461260956057</v>
      </c>
      <c r="E461" s="2" t="n">
        <v>0.427386708497158</v>
      </c>
    </row>
    <row r="462" customFormat="false" ht="13.8" hidden="false" customHeight="false" outlineLevel="0" collapsed="false">
      <c r="B462" s="2" t="n">
        <v>461</v>
      </c>
      <c r="C462" s="2" t="n">
        <v>0.216939193070745</v>
      </c>
      <c r="D462" s="2" t="n">
        <v>0.214463400590276</v>
      </c>
      <c r="E462" s="2" t="n">
        <v>0.427390977402393</v>
      </c>
    </row>
    <row r="463" customFormat="false" ht="13.8" hidden="false" customHeight="false" outlineLevel="0" collapsed="false">
      <c r="B463" s="2" t="n">
        <v>462</v>
      </c>
      <c r="C463" s="2" t="n">
        <v>0.216941357484689</v>
      </c>
      <c r="D463" s="2" t="n">
        <v>0.214465540245892</v>
      </c>
      <c r="E463" s="2" t="n">
        <v>0.427395246350319</v>
      </c>
    </row>
    <row r="464" customFormat="false" ht="13.8" hidden="false" customHeight="false" outlineLevel="0" collapsed="false">
      <c r="B464" s="2" t="n">
        <v>463</v>
      </c>
      <c r="C464" s="2" t="n">
        <v>0.216943521920278</v>
      </c>
      <c r="D464" s="2" t="n">
        <v>0.214467679922905</v>
      </c>
      <c r="E464" s="2" t="n">
        <v>0.427399515340935</v>
      </c>
    </row>
    <row r="465" customFormat="false" ht="13.8" hidden="false" customHeight="false" outlineLevel="0" collapsed="false">
      <c r="B465" s="2" t="n">
        <v>464</v>
      </c>
      <c r="C465" s="2" t="n">
        <v>0.216945686377511</v>
      </c>
      <c r="D465" s="2" t="n">
        <v>0.214469819621314</v>
      </c>
      <c r="E465" s="2" t="n">
        <v>0.42740378437424</v>
      </c>
    </row>
    <row r="466" customFormat="false" ht="13.8" hidden="false" customHeight="false" outlineLevel="0" collapsed="false">
      <c r="B466" s="2" t="n">
        <v>465</v>
      </c>
      <c r="C466" s="2" t="n">
        <v>0.216947850856388</v>
      </c>
      <c r="D466" s="2" t="n">
        <v>0.214471959341121</v>
      </c>
      <c r="E466" s="2" t="n">
        <v>0.427408053450236</v>
      </c>
    </row>
    <row r="467" customFormat="false" ht="13.8" hidden="false" customHeight="false" outlineLevel="0" collapsed="false">
      <c r="B467" s="2" t="n">
        <v>466</v>
      </c>
      <c r="C467" s="2" t="n">
        <v>0.216950015356911</v>
      </c>
      <c r="D467" s="2" t="n">
        <v>0.214474099082325</v>
      </c>
      <c r="E467" s="2" t="n">
        <v>0.427412322568923</v>
      </c>
    </row>
    <row r="468" customFormat="false" ht="13.8" hidden="false" customHeight="false" outlineLevel="0" collapsed="false">
      <c r="B468" s="2" t="n">
        <v>467</v>
      </c>
      <c r="C468" s="2" t="n">
        <v>0.216952179879079</v>
      </c>
      <c r="D468" s="2" t="n">
        <v>0.214476238844927</v>
      </c>
      <c r="E468" s="2" t="n">
        <v>0.427416591730301</v>
      </c>
    </row>
    <row r="469" customFormat="false" ht="13.8" hidden="false" customHeight="false" outlineLevel="0" collapsed="false">
      <c r="B469" s="2" t="n">
        <v>468</v>
      </c>
      <c r="C469" s="2" t="n">
        <v>0.216954344422893</v>
      </c>
      <c r="D469" s="2" t="n">
        <v>0.214478378628926</v>
      </c>
      <c r="E469" s="2" t="n">
        <v>0.427420860934371</v>
      </c>
    </row>
    <row r="470" customFormat="false" ht="13.8" hidden="false" customHeight="false" outlineLevel="0" collapsed="false">
      <c r="B470" s="2" t="n">
        <v>469</v>
      </c>
      <c r="C470" s="2" t="n">
        <v>0.216956508988352</v>
      </c>
      <c r="D470" s="2" t="n">
        <v>0.214480518434324</v>
      </c>
      <c r="E470" s="2" t="n">
        <v>0.427425130181133</v>
      </c>
    </row>
    <row r="471" customFormat="false" ht="13.8" hidden="false" customHeight="false" outlineLevel="0" collapsed="false">
      <c r="B471" s="2" t="n">
        <v>470</v>
      </c>
      <c r="C471" s="2" t="n">
        <v>0.216958673575457</v>
      </c>
      <c r="D471" s="2" t="n">
        <v>0.21448265826112</v>
      </c>
      <c r="E471" s="2" t="n">
        <v>0.427429399470587</v>
      </c>
    </row>
    <row r="472" customFormat="false" ht="13.8" hidden="false" customHeight="false" outlineLevel="0" collapsed="false">
      <c r="B472" s="2" t="n">
        <v>471</v>
      </c>
      <c r="C472" s="2" t="n">
        <v>0.216960838184208</v>
      </c>
      <c r="D472" s="2" t="n">
        <v>0.214484798109314</v>
      </c>
      <c r="E472" s="2" t="n">
        <v>0.427433668802735</v>
      </c>
    </row>
    <row r="473" customFormat="false" ht="13.8" hidden="false" customHeight="false" outlineLevel="0" collapsed="false">
      <c r="B473" s="2" t="n">
        <v>472</v>
      </c>
      <c r="C473" s="2" t="n">
        <v>0.216963002814605</v>
      </c>
      <c r="D473" s="2" t="n">
        <v>0.214486937978907</v>
      </c>
      <c r="E473" s="2" t="n">
        <v>0.427437938177575</v>
      </c>
    </row>
    <row r="474" customFormat="false" ht="13.8" hidden="false" customHeight="false" outlineLevel="0" collapsed="false">
      <c r="B474" s="2" t="n">
        <v>473</v>
      </c>
      <c r="C474" s="2" t="n">
        <v>0.216965167466649</v>
      </c>
      <c r="D474" s="2" t="n">
        <v>0.214489077869899</v>
      </c>
      <c r="E474" s="2" t="n">
        <v>0.42744220759511</v>
      </c>
    </row>
    <row r="475" customFormat="false" ht="13.8" hidden="false" customHeight="false" outlineLevel="0" collapsed="false">
      <c r="B475" s="2" t="n">
        <v>474</v>
      </c>
      <c r="C475" s="2" t="n">
        <v>0.21696733214034</v>
      </c>
      <c r="D475" s="2" t="n">
        <v>0.21449121778229</v>
      </c>
      <c r="E475" s="2" t="n">
        <v>0.427446477055339</v>
      </c>
    </row>
    <row r="476" customFormat="false" ht="13.8" hidden="false" customHeight="false" outlineLevel="0" collapsed="false">
      <c r="B476" s="2" t="n">
        <v>475</v>
      </c>
      <c r="C476" s="2" t="n">
        <v>0.216969496835677</v>
      </c>
      <c r="D476" s="2" t="n">
        <v>0.214493357716081</v>
      </c>
      <c r="E476" s="2" t="n">
        <v>0.427450746558263</v>
      </c>
    </row>
    <row r="477" customFormat="false" ht="13.8" hidden="false" customHeight="false" outlineLevel="0" collapsed="false">
      <c r="B477" s="2" t="n">
        <v>476</v>
      </c>
      <c r="C477" s="2" t="n">
        <v>0.216971661552662</v>
      </c>
      <c r="D477" s="2" t="n">
        <v>0.21449549767127</v>
      </c>
      <c r="E477" s="2" t="n">
        <v>0.427455016103882</v>
      </c>
    </row>
    <row r="478" customFormat="false" ht="13.8" hidden="false" customHeight="false" outlineLevel="0" collapsed="false">
      <c r="B478" s="2" t="n">
        <v>477</v>
      </c>
      <c r="C478" s="2" t="n">
        <v>0.216973826291294</v>
      </c>
      <c r="D478" s="2" t="n">
        <v>0.21449763764786</v>
      </c>
      <c r="E478" s="2" t="n">
        <v>0.427459285692196</v>
      </c>
    </row>
    <row r="479" customFormat="false" ht="13.8" hidden="false" customHeight="false" outlineLevel="0" collapsed="false">
      <c r="B479" s="2" t="n">
        <v>478</v>
      </c>
      <c r="C479" s="2" t="n">
        <v>0.216975991051574</v>
      </c>
      <c r="D479" s="2" t="n">
        <v>0.21449977764585</v>
      </c>
      <c r="E479" s="2" t="n">
        <v>0.427463555323204</v>
      </c>
    </row>
    <row r="480" customFormat="false" ht="13.8" hidden="false" customHeight="false" outlineLevel="0" collapsed="false">
      <c r="B480" s="2" t="n">
        <v>479</v>
      </c>
      <c r="C480" s="2" t="n">
        <v>0.216978155833501</v>
      </c>
      <c r="D480" s="2" t="n">
        <v>0.214501917665239</v>
      </c>
      <c r="E480" s="2" t="n">
        <v>0.427467824996911</v>
      </c>
    </row>
    <row r="481" customFormat="false" ht="13.8" hidden="false" customHeight="false" outlineLevel="0" collapsed="false">
      <c r="B481" s="2" t="n">
        <v>480</v>
      </c>
      <c r="C481" s="2" t="n">
        <v>0.216980320637077</v>
      </c>
      <c r="D481" s="2" t="n">
        <v>0.214504057706028</v>
      </c>
      <c r="E481" s="2" t="n">
        <v>0.427472094713314</v>
      </c>
    </row>
    <row r="482" customFormat="false" ht="13.8" hidden="false" customHeight="false" outlineLevel="0" collapsed="false">
      <c r="B482" s="2" t="n">
        <v>481</v>
      </c>
      <c r="C482" s="2" t="n">
        <v>0.2169824854623</v>
      </c>
      <c r="D482" s="2" t="n">
        <v>0.214506197768219</v>
      </c>
      <c r="E482" s="2" t="n">
        <v>0.427476364472415</v>
      </c>
    </row>
    <row r="483" customFormat="false" ht="13.8" hidden="false" customHeight="false" outlineLevel="0" collapsed="false">
      <c r="B483" s="2" t="n">
        <v>482</v>
      </c>
      <c r="C483" s="2" t="n">
        <v>0.216984650309172</v>
      </c>
      <c r="D483" s="2" t="n">
        <v>0.214508337851811</v>
      </c>
      <c r="E483" s="2" t="n">
        <v>0.427480634274213</v>
      </c>
    </row>
    <row r="484" customFormat="false" ht="13.8" hidden="false" customHeight="false" outlineLevel="0" collapsed="false">
      <c r="B484" s="2" t="n">
        <v>483</v>
      </c>
      <c r="C484" s="2" t="n">
        <v>0.216986815177693</v>
      </c>
      <c r="D484" s="2" t="n">
        <v>0.214510477956803</v>
      </c>
      <c r="E484" s="2" t="n">
        <v>0.42748490411871</v>
      </c>
    </row>
    <row r="485" customFormat="false" ht="13.8" hidden="false" customHeight="false" outlineLevel="0" collapsed="false">
      <c r="B485" s="2" t="n">
        <v>484</v>
      </c>
      <c r="C485" s="2" t="n">
        <v>0.216988980067862</v>
      </c>
      <c r="D485" s="2" t="n">
        <v>0.214512618083197</v>
      </c>
      <c r="E485" s="2" t="n">
        <v>0.427489174005905</v>
      </c>
    </row>
    <row r="486" customFormat="false" ht="13.8" hidden="false" customHeight="false" outlineLevel="0" collapsed="false">
      <c r="B486" s="2" t="n">
        <v>485</v>
      </c>
      <c r="C486" s="2" t="n">
        <v>0.216991144979681</v>
      </c>
      <c r="D486" s="2" t="n">
        <v>0.214514758230993</v>
      </c>
      <c r="E486" s="2" t="n">
        <v>0.427493443935799</v>
      </c>
    </row>
    <row r="487" customFormat="false" ht="13.8" hidden="false" customHeight="false" outlineLevel="0" collapsed="false">
      <c r="B487" s="2" t="n">
        <v>486</v>
      </c>
      <c r="C487" s="2" t="n">
        <v>0.216993309913149</v>
      </c>
      <c r="D487" s="2" t="n">
        <v>0.21451689840019</v>
      </c>
      <c r="E487" s="2" t="n">
        <v>0.427497713908393</v>
      </c>
    </row>
    <row r="488" customFormat="false" ht="13.8" hidden="false" customHeight="false" outlineLevel="0" collapsed="false">
      <c r="B488" s="2" t="n">
        <v>487</v>
      </c>
      <c r="C488" s="2" t="n">
        <v>0.216995474868267</v>
      </c>
      <c r="D488" s="2" t="n">
        <v>0.214519038590789</v>
      </c>
      <c r="E488" s="2" t="n">
        <v>0.427501983923686</v>
      </c>
    </row>
    <row r="489" customFormat="false" ht="13.8" hidden="false" customHeight="false" outlineLevel="0" collapsed="false">
      <c r="B489" s="2" t="n">
        <v>488</v>
      </c>
      <c r="C489" s="2" t="n">
        <v>0.216997639845034</v>
      </c>
      <c r="D489" s="2" t="n">
        <v>0.21452117880279</v>
      </c>
      <c r="E489" s="2" t="n">
        <v>0.42750625398168</v>
      </c>
    </row>
    <row r="490" customFormat="false" ht="13.8" hidden="false" customHeight="false" outlineLevel="0" collapsed="false">
      <c r="B490" s="2" t="n">
        <v>489</v>
      </c>
      <c r="C490" s="2" t="n">
        <v>0.216999804843451</v>
      </c>
      <c r="D490" s="2" t="n">
        <v>0.214523319036193</v>
      </c>
      <c r="E490" s="2" t="n">
        <v>0.427510524082374</v>
      </c>
    </row>
    <row r="491" customFormat="false" ht="13.8" hidden="false" customHeight="false" outlineLevel="0" collapsed="false">
      <c r="B491" s="2" t="n">
        <v>490</v>
      </c>
      <c r="C491" s="2" t="n">
        <v>0.217001969863518</v>
      </c>
      <c r="D491" s="2" t="n">
        <v>0.214525459290999</v>
      </c>
      <c r="E491" s="2" t="n">
        <v>0.427514794225769</v>
      </c>
    </row>
    <row r="492" customFormat="false" ht="13.8" hidden="false" customHeight="false" outlineLevel="0" collapsed="false">
      <c r="B492" s="2" t="n">
        <v>491</v>
      </c>
      <c r="C492" s="2" t="n">
        <v>0.217004134905236</v>
      </c>
      <c r="D492" s="2" t="n">
        <v>0.214527599567207</v>
      </c>
      <c r="E492" s="2" t="n">
        <v>0.427519064411866</v>
      </c>
    </row>
    <row r="493" customFormat="false" ht="13.8" hidden="false" customHeight="false" outlineLevel="0" collapsed="false">
      <c r="B493" s="2" t="n">
        <v>492</v>
      </c>
      <c r="C493" s="2" t="n">
        <v>0.217006299968603</v>
      </c>
      <c r="D493" s="2" t="n">
        <v>0.214529739864818</v>
      </c>
      <c r="E493" s="2" t="n">
        <v>0.427523334640665</v>
      </c>
    </row>
    <row r="494" customFormat="false" ht="13.8" hidden="false" customHeight="false" outlineLevel="0" collapsed="false">
      <c r="B494" s="2" t="n">
        <v>493</v>
      </c>
      <c r="C494" s="2" t="n">
        <v>0.217008465053622</v>
      </c>
      <c r="D494" s="2" t="n">
        <v>0.214531880183832</v>
      </c>
      <c r="E494" s="2" t="n">
        <v>0.427527604912166</v>
      </c>
    </row>
    <row r="495" customFormat="false" ht="13.8" hidden="false" customHeight="false" outlineLevel="0" collapsed="false">
      <c r="B495" s="2" t="n">
        <v>494</v>
      </c>
      <c r="C495" s="2" t="n">
        <v>0.217010630160293</v>
      </c>
      <c r="D495" s="2" t="n">
        <v>0.21453402052425</v>
      </c>
      <c r="E495" s="2" t="n">
        <v>0.42753187522637</v>
      </c>
    </row>
    <row r="496" customFormat="false" ht="13.8" hidden="false" customHeight="false" outlineLevel="0" collapsed="false">
      <c r="B496" s="2" t="n">
        <v>495</v>
      </c>
      <c r="C496" s="2" t="n">
        <v>0.217012795288614</v>
      </c>
      <c r="D496" s="2" t="n">
        <v>0.214536160886072</v>
      </c>
      <c r="E496" s="2" t="n">
        <v>0.427536145583278</v>
      </c>
    </row>
    <row r="497" customFormat="false" ht="13.8" hidden="false" customHeight="false" outlineLevel="0" collapsed="false">
      <c r="B497" s="2" t="n">
        <v>496</v>
      </c>
      <c r="C497" s="2" t="n">
        <v>0.217014960438587</v>
      </c>
      <c r="D497" s="2" t="n">
        <v>0.214538301269298</v>
      </c>
      <c r="E497" s="2" t="n">
        <v>0.427540415982889</v>
      </c>
    </row>
    <row r="498" customFormat="false" ht="13.8" hidden="false" customHeight="false" outlineLevel="0" collapsed="false">
      <c r="B498" s="2" t="n">
        <v>497</v>
      </c>
      <c r="C498" s="2" t="n">
        <v>0.217017125610212</v>
      </c>
      <c r="D498" s="2" t="n">
        <v>0.214540441673927</v>
      </c>
      <c r="E498" s="2" t="n">
        <v>0.427544686425204</v>
      </c>
    </row>
    <row r="499" customFormat="false" ht="13.8" hidden="false" customHeight="false" outlineLevel="0" collapsed="false">
      <c r="B499" s="2" t="n">
        <v>498</v>
      </c>
      <c r="C499" s="2" t="n">
        <v>0.217019290803488</v>
      </c>
      <c r="D499" s="2" t="n">
        <v>0.214542582099961</v>
      </c>
      <c r="E499" s="2" t="n">
        <v>0.427548956910223</v>
      </c>
    </row>
    <row r="500" customFormat="false" ht="13.8" hidden="false" customHeight="false" outlineLevel="0" collapsed="false">
      <c r="B500" s="2" t="n">
        <v>499</v>
      </c>
      <c r="C500" s="2" t="n">
        <v>0.217021456018417</v>
      </c>
      <c r="D500" s="2" t="n">
        <v>0.214544722547399</v>
      </c>
      <c r="E500" s="2" t="n">
        <v>0.427553227437948</v>
      </c>
    </row>
    <row r="501" customFormat="false" ht="13.8" hidden="false" customHeight="false" outlineLevel="0" collapsed="false">
      <c r="B501" s="2" t="n">
        <v>500</v>
      </c>
      <c r="C501" s="2" t="n">
        <v>0.217023621254998</v>
      </c>
      <c r="D501" s="2" t="n">
        <v>0.214546863016242</v>
      </c>
      <c r="E501" s="2" t="n">
        <v>0.427557498008378</v>
      </c>
    </row>
    <row r="502" customFormat="false" ht="13.8" hidden="false" customHeight="false" outlineLevel="0" collapsed="false">
      <c r="B502" s="2" t="n">
        <v>501</v>
      </c>
      <c r="C502" s="2" t="n">
        <v>0.217025786513231</v>
      </c>
      <c r="D502" s="2" t="n">
        <v>0.21454900350649</v>
      </c>
      <c r="E502" s="2" t="n">
        <v>0.427561768621513</v>
      </c>
    </row>
    <row r="503" customFormat="false" ht="13.8" hidden="false" customHeight="false" outlineLevel="0" collapsed="false">
      <c r="B503" s="2" t="n">
        <v>502</v>
      </c>
      <c r="C503" s="2" t="n">
        <v>0.217027951787217</v>
      </c>
      <c r="D503" s="2" t="n">
        <v>0.214551144013869</v>
      </c>
      <c r="E503" s="2" t="n">
        <v>0.427566039273635</v>
      </c>
    </row>
    <row r="504" customFormat="false" ht="13.8" hidden="false" customHeight="false" outlineLevel="0" collapsed="false">
      <c r="B504" s="2" t="n">
        <v>503</v>
      </c>
      <c r="C504" s="2" t="n">
        <v>0.217030117101957</v>
      </c>
      <c r="D504" s="2" t="n">
        <v>0.21455328455649</v>
      </c>
      <c r="E504" s="2" t="n">
        <v>0.427570309980509</v>
      </c>
    </row>
    <row r="505" customFormat="false" ht="13.8" hidden="false" customHeight="false" outlineLevel="0" collapsed="false">
      <c r="B505" s="2" t="n">
        <v>504</v>
      </c>
      <c r="C505" s="2" t="n">
        <v>0.217032282432403</v>
      </c>
      <c r="D505" s="2" t="n">
        <v>0.21455542511621</v>
      </c>
      <c r="E505" s="2" t="n">
        <v>0.427574580726334</v>
      </c>
    </row>
    <row r="506" customFormat="false" ht="13.8" hidden="false" customHeight="false" outlineLevel="0" collapsed="false">
      <c r="B506" s="2" t="n">
        <v>505</v>
      </c>
      <c r="C506" s="2" t="n">
        <v>0.217034447784504</v>
      </c>
      <c r="D506" s="2" t="n">
        <v>0.214557565697326</v>
      </c>
      <c r="E506" s="2" t="n">
        <v>0.427578851514861</v>
      </c>
    </row>
    <row r="507" customFormat="false" ht="13.8" hidden="false" customHeight="false" outlineLevel="0" collapsed="false">
      <c r="B507" s="2" t="n">
        <v>506</v>
      </c>
      <c r="C507" s="2" t="n">
        <v>0.217036613158263</v>
      </c>
      <c r="D507" s="2" t="n">
        <v>0.214559706299853</v>
      </c>
      <c r="E507" s="2" t="n">
        <v>0.427583122346099</v>
      </c>
    </row>
    <row r="508" customFormat="false" ht="13.8" hidden="false" customHeight="false" outlineLevel="0" collapsed="false">
      <c r="B508" s="2" t="n">
        <v>507</v>
      </c>
      <c r="C508" s="2" t="n">
        <v>0.217038778553672</v>
      </c>
      <c r="D508" s="2" t="n">
        <v>0.214561846923784</v>
      </c>
      <c r="E508" s="2" t="n">
        <v>0.427587393220043</v>
      </c>
    </row>
    <row r="509" customFormat="false" ht="13.8" hidden="false" customHeight="false" outlineLevel="0" collapsed="false">
      <c r="B509" s="2" t="n">
        <v>508</v>
      </c>
      <c r="C509" s="2" t="n">
        <v>0.217040943970729</v>
      </c>
      <c r="D509" s="2" t="n">
        <v>0.214563987569118</v>
      </c>
      <c r="E509" s="2" t="n">
        <v>0.427591664136694</v>
      </c>
    </row>
    <row r="510" customFormat="false" ht="13.8" hidden="false" customHeight="false" outlineLevel="0" collapsed="false">
      <c r="B510" s="2" t="n">
        <v>509</v>
      </c>
      <c r="C510" s="2" t="n">
        <v>0.217043109409432</v>
      </c>
      <c r="D510" s="2" t="n">
        <v>0.214566128235851</v>
      </c>
      <c r="E510" s="2" t="n">
        <v>0.427595935096051</v>
      </c>
    </row>
    <row r="511" customFormat="false" ht="13.8" hidden="false" customHeight="false" outlineLevel="0" collapsed="false">
      <c r="B511" s="2" t="n">
        <v>510</v>
      </c>
      <c r="C511" s="2" t="n">
        <v>0.217045274869804</v>
      </c>
      <c r="D511" s="2" t="n">
        <v>0.214568268924002</v>
      </c>
      <c r="E511" s="2" t="n">
        <v>0.427600206098117</v>
      </c>
    </row>
    <row r="512" customFormat="false" ht="13.8" hidden="false" customHeight="false" outlineLevel="0" collapsed="false">
      <c r="B512" s="2" t="n">
        <v>511</v>
      </c>
      <c r="C512" s="2" t="n">
        <v>0.217047440351784</v>
      </c>
      <c r="D512" s="2" t="n">
        <v>0.172897031803166</v>
      </c>
      <c r="E512" s="2" t="n">
        <v>0.427604477142891</v>
      </c>
    </row>
    <row r="513" customFormat="false" ht="13.8" hidden="false" customHeight="false" outlineLevel="0" collapsed="false">
      <c r="B513" s="2" t="n">
        <v>512</v>
      </c>
      <c r="C513" s="2" t="n">
        <v>0.174905180742839</v>
      </c>
      <c r="D513" s="2" t="n">
        <v>0.172898765795185</v>
      </c>
      <c r="E513" s="2" t="n">
        <v>0.1762410274123</v>
      </c>
    </row>
    <row r="514" customFormat="false" ht="13.8" hidden="false" customHeight="false" outlineLevel="0" collapsed="false">
      <c r="B514" s="2" t="n">
        <v>513</v>
      </c>
      <c r="C514" s="2" t="n">
        <v>0.174906934818182</v>
      </c>
      <c r="D514" s="2" t="n">
        <v>0.172900499804488</v>
      </c>
      <c r="E514" s="2" t="n">
        <v>0.176242794840248</v>
      </c>
    </row>
    <row r="515" customFormat="false" ht="13.8" hidden="false" customHeight="false" outlineLevel="0" collapsed="false">
      <c r="B515" s="2" t="n">
        <v>514</v>
      </c>
      <c r="C515" s="2" t="n">
        <v>0.17490868891096</v>
      </c>
      <c r="D515" s="2" t="n">
        <v>0.172902233831054</v>
      </c>
      <c r="E515" s="2" t="n">
        <v>0.176244562285871</v>
      </c>
    </row>
    <row r="516" customFormat="false" ht="13.8" hidden="false" customHeight="false" outlineLevel="0" collapsed="false">
      <c r="B516" s="2" t="n">
        <v>515</v>
      </c>
      <c r="C516" s="2" t="n">
        <v>0.174910443021155</v>
      </c>
      <c r="D516" s="2" t="n">
        <v>0.172903967874873</v>
      </c>
      <c r="E516" s="2" t="n">
        <v>0.176246329749169</v>
      </c>
    </row>
    <row r="517" customFormat="false" ht="13.8" hidden="false" customHeight="false" outlineLevel="0" collapsed="false">
      <c r="B517" s="2" t="n">
        <v>516</v>
      </c>
      <c r="C517" s="2" t="n">
        <v>0.174912197148747</v>
      </c>
      <c r="D517" s="2" t="n">
        <v>0.172905701935929</v>
      </c>
      <c r="E517" s="2" t="n">
        <v>0.176248097230141</v>
      </c>
    </row>
    <row r="518" customFormat="false" ht="13.8" hidden="false" customHeight="false" outlineLevel="0" collapsed="false">
      <c r="B518" s="2" t="n">
        <v>517</v>
      </c>
      <c r="C518" s="2" t="n">
        <v>0.174913951293717</v>
      </c>
      <c r="D518" s="2" t="n">
        <v>0.172907436014209</v>
      </c>
      <c r="E518" s="2" t="n">
        <v>0.176249864728788</v>
      </c>
    </row>
    <row r="519" customFormat="false" ht="13.8" hidden="false" customHeight="false" outlineLevel="0" collapsed="false">
      <c r="B519" s="2" t="n">
        <v>518</v>
      </c>
      <c r="C519" s="2" t="n">
        <v>0.174915705456029</v>
      </c>
      <c r="D519" s="2" t="n">
        <v>0.172909170109686</v>
      </c>
      <c r="E519" s="2" t="n">
        <v>0.176251632245111</v>
      </c>
    </row>
    <row r="520" customFormat="false" ht="13.8" hidden="false" customHeight="false" outlineLevel="0" collapsed="false">
      <c r="B520" s="2" t="n">
        <v>519</v>
      </c>
      <c r="C520" s="2" t="n">
        <v>0.174917459635689</v>
      </c>
      <c r="D520" s="2" t="n">
        <v>0.172910904222367</v>
      </c>
      <c r="E520" s="2" t="n">
        <v>0.176253399779109</v>
      </c>
    </row>
    <row r="521" customFormat="false" ht="13.8" hidden="false" customHeight="false" outlineLevel="0" collapsed="false">
      <c r="B521" s="2" t="n">
        <v>520</v>
      </c>
      <c r="C521" s="2" t="n">
        <v>0.174919213832691</v>
      </c>
      <c r="D521" s="2" t="n">
        <v>0.172912638352246</v>
      </c>
      <c r="E521" s="2" t="n">
        <v>0.176255167330783</v>
      </c>
    </row>
    <row r="522" customFormat="false" ht="13.8" hidden="false" customHeight="false" outlineLevel="0" collapsed="false">
      <c r="B522" s="2" t="n">
        <v>521</v>
      </c>
      <c r="C522" s="2" t="n">
        <v>0.174920968047026</v>
      </c>
      <c r="D522" s="2" t="n">
        <v>0.172914372499315</v>
      </c>
      <c r="E522" s="2" t="n">
        <v>0.176256934900132</v>
      </c>
    </row>
    <row r="523" customFormat="false" ht="13.8" hidden="false" customHeight="false" outlineLevel="0" collapsed="false">
      <c r="B523" s="2" t="n">
        <v>522</v>
      </c>
      <c r="C523" s="2" t="n">
        <v>0.17492272227871</v>
      </c>
      <c r="D523" s="2" t="n">
        <v>0.172916106663589</v>
      </c>
      <c r="E523" s="2" t="n">
        <v>0.176258702487157</v>
      </c>
    </row>
    <row r="524" customFormat="false" ht="13.8" hidden="false" customHeight="false" outlineLevel="0" collapsed="false">
      <c r="B524" s="2" t="n">
        <v>523</v>
      </c>
      <c r="C524" s="2" t="n">
        <v>0.174924476527692</v>
      </c>
      <c r="D524" s="2" t="n">
        <v>0.172917840845029</v>
      </c>
      <c r="E524" s="2" t="n">
        <v>0.176260470091859</v>
      </c>
    </row>
    <row r="525" customFormat="false" ht="13.8" hidden="false" customHeight="false" outlineLevel="0" collapsed="false">
      <c r="B525" s="2" t="n">
        <v>524</v>
      </c>
      <c r="C525" s="2" t="n">
        <v>0.174926230793943</v>
      </c>
      <c r="D525" s="2" t="n">
        <v>0.172919575043616</v>
      </c>
      <c r="E525" s="2" t="n">
        <v>0.176262237714236</v>
      </c>
    </row>
    <row r="526" customFormat="false" ht="13.8" hidden="false" customHeight="false" outlineLevel="0" collapsed="false">
      <c r="B526" s="2" t="n">
        <v>525</v>
      </c>
      <c r="C526" s="2" t="n">
        <v>0.174927985077436</v>
      </c>
      <c r="D526" s="2" t="n">
        <v>0.17292130925933</v>
      </c>
      <c r="E526" s="2" t="n">
        <v>0.176264005354291</v>
      </c>
    </row>
    <row r="527" customFormat="false" ht="13.8" hidden="false" customHeight="false" outlineLevel="0" collapsed="false">
      <c r="B527" s="2" t="n">
        <v>526</v>
      </c>
      <c r="C527" s="2" t="n">
        <v>0.174929739378091</v>
      </c>
      <c r="D527" s="2" t="n">
        <v>0.172923043492113</v>
      </c>
      <c r="E527" s="2" t="n">
        <v>0.176265773012021</v>
      </c>
    </row>
    <row r="528" customFormat="false" ht="13.8" hidden="false" customHeight="false" outlineLevel="0" collapsed="false">
      <c r="B528" s="2" t="n">
        <v>527</v>
      </c>
      <c r="C528" s="2" t="n">
        <v>0.174931493695975</v>
      </c>
      <c r="D528" s="2" t="n">
        <v>0.172924777742014</v>
      </c>
      <c r="E528" s="2" t="n">
        <v>0.176267540687429</v>
      </c>
    </row>
    <row r="529" customFormat="false" ht="13.8" hidden="false" customHeight="false" outlineLevel="0" collapsed="false">
      <c r="B529" s="2" t="n">
        <v>528</v>
      </c>
      <c r="C529" s="2" t="n">
        <v>0.174933248031103</v>
      </c>
      <c r="D529" s="2" t="n">
        <v>0.172926512009044</v>
      </c>
      <c r="E529" s="2" t="n">
        <v>0.176269308380514</v>
      </c>
    </row>
    <row r="530" customFormat="false" ht="13.8" hidden="false" customHeight="false" outlineLevel="0" collapsed="false">
      <c r="B530" s="2" t="n">
        <v>529</v>
      </c>
      <c r="C530" s="2" t="n">
        <v>0.17493500238349</v>
      </c>
      <c r="D530" s="2" t="n">
        <v>0.172928246293214</v>
      </c>
      <c r="E530" s="2" t="n">
        <v>0.176271076091276</v>
      </c>
    </row>
    <row r="531" customFormat="false" ht="13.8" hidden="false" customHeight="false" outlineLevel="0" collapsed="false">
      <c r="B531" s="2" t="n">
        <v>530</v>
      </c>
      <c r="C531" s="2" t="n">
        <v>0.174936756753162</v>
      </c>
      <c r="D531" s="2" t="n">
        <v>0.172929980594541</v>
      </c>
      <c r="E531" s="2" t="n">
        <v>0.176272843819715</v>
      </c>
    </row>
    <row r="532" customFormat="false" ht="13.8" hidden="false" customHeight="false" outlineLevel="0" collapsed="false">
      <c r="B532" s="2" t="n">
        <v>531</v>
      </c>
      <c r="C532" s="2" t="n">
        <v>0.174938511140116</v>
      </c>
      <c r="D532" s="2" t="n">
        <v>0.172931714913024</v>
      </c>
      <c r="E532" s="2" t="n">
        <v>0.176274611565832</v>
      </c>
    </row>
    <row r="533" customFormat="false" ht="13.8" hidden="false" customHeight="false" outlineLevel="0" collapsed="false">
      <c r="B533" s="2" t="n">
        <v>532</v>
      </c>
      <c r="C533" s="2" t="n">
        <v>0.174940265544358</v>
      </c>
      <c r="D533" s="2" t="n">
        <v>0.172933449248667</v>
      </c>
      <c r="E533" s="2" t="n">
        <v>0.176276379329627</v>
      </c>
    </row>
    <row r="534" customFormat="false" ht="13.8" hidden="false" customHeight="false" outlineLevel="0" collapsed="false">
      <c r="B534" s="2" t="n">
        <v>533</v>
      </c>
      <c r="C534" s="2" t="n">
        <v>0.174942019965895</v>
      </c>
      <c r="D534" s="2" t="n">
        <v>0.172935183601474</v>
      </c>
      <c r="E534" s="2" t="n">
        <v>0.176278147111099</v>
      </c>
    </row>
    <row r="535" customFormat="false" ht="13.8" hidden="false" customHeight="false" outlineLevel="0" collapsed="false">
      <c r="B535" s="2" t="n">
        <v>534</v>
      </c>
      <c r="C535" s="2" t="n">
        <v>0.174943774404691</v>
      </c>
      <c r="D535" s="2" t="n">
        <v>0.172936917971422</v>
      </c>
      <c r="E535" s="2" t="n">
        <v>0.17627991491025</v>
      </c>
    </row>
    <row r="536" customFormat="false" ht="13.8" hidden="false" customHeight="false" outlineLevel="0" collapsed="false">
      <c r="B536" s="2" t="n">
        <v>535</v>
      </c>
      <c r="C536" s="2" t="n">
        <v>0.174945528860828</v>
      </c>
      <c r="D536" s="2" t="n">
        <v>0.172938652358569</v>
      </c>
      <c r="E536" s="2" t="n">
        <v>0.176281682727079</v>
      </c>
    </row>
    <row r="537" customFormat="false" ht="13.8" hidden="false" customHeight="false" outlineLevel="0" collapsed="false">
      <c r="B537" s="2" t="n">
        <v>536</v>
      </c>
      <c r="C537" s="2" t="n">
        <v>0.174947283334348</v>
      </c>
      <c r="D537" s="2" t="n">
        <v>0.172940386762943</v>
      </c>
      <c r="E537" s="2" t="n">
        <v>0.176283450561586</v>
      </c>
    </row>
    <row r="538" customFormat="false" ht="13.8" hidden="false" customHeight="false" outlineLevel="0" collapsed="false">
      <c r="B538" s="2" t="n">
        <v>537</v>
      </c>
      <c r="C538" s="2" t="n">
        <v>0.174949037825289</v>
      </c>
      <c r="D538" s="2" t="n">
        <v>0.172942121184572</v>
      </c>
      <c r="E538" s="2" t="n">
        <v>0.176285218413772</v>
      </c>
    </row>
    <row r="539" customFormat="false" ht="13.8" hidden="false" customHeight="false" outlineLevel="0" collapsed="false">
      <c r="B539" s="2" t="n">
        <v>538</v>
      </c>
      <c r="C539" s="2" t="n">
        <v>0.174950792333722</v>
      </c>
      <c r="D539" s="2" t="n">
        <v>0.172943855623508</v>
      </c>
      <c r="E539" s="2" t="n">
        <v>0.176286986283636</v>
      </c>
    </row>
    <row r="540" customFormat="false" ht="13.8" hidden="false" customHeight="false" outlineLevel="0" collapsed="false">
      <c r="B540" s="2" t="n">
        <v>539</v>
      </c>
      <c r="C540" s="2" t="n">
        <v>0.427542697000591</v>
      </c>
      <c r="D540" s="2" t="n">
        <v>0.427543050736364</v>
      </c>
      <c r="E540" s="2" t="n">
        <v>0.218757721198987</v>
      </c>
    </row>
    <row r="541" customFormat="false" ht="13.8" hidden="false" customHeight="false" outlineLevel="0" collapsed="false">
      <c r="B541" s="2" t="n">
        <v>540</v>
      </c>
      <c r="C541" s="2" t="n">
        <v>0.427546967470734</v>
      </c>
      <c r="D541" s="2" t="n">
        <v>0.427547321209929</v>
      </c>
      <c r="E541" s="2" t="n">
        <v>0.218759903798027</v>
      </c>
    </row>
    <row r="542" customFormat="false" ht="13.8" hidden="false" customHeight="false" outlineLevel="0" collapsed="false">
      <c r="B542" s="2" t="n">
        <v>541</v>
      </c>
      <c r="C542" s="2" t="n">
        <v>0.427551237983525</v>
      </c>
      <c r="D542" s="2" t="n">
        <v>0.427551591726157</v>
      </c>
      <c r="E542" s="2" t="n">
        <v>0.176292289999303</v>
      </c>
    </row>
    <row r="543" customFormat="false" ht="13.8" hidden="false" customHeight="false" outlineLevel="0" collapsed="false">
      <c r="B543" s="2" t="n">
        <v>542</v>
      </c>
      <c r="C543" s="2" t="n">
        <v>0.427555508539004</v>
      </c>
      <c r="D543" s="2" t="n">
        <v>0.427555862285079</v>
      </c>
      <c r="E543" s="2" t="n">
        <v>0.218764269061586</v>
      </c>
    </row>
    <row r="544" customFormat="false" ht="13.8" hidden="false" customHeight="false" outlineLevel="0" collapsed="false">
      <c r="B544" s="2" t="n">
        <v>543</v>
      </c>
      <c r="C544" s="2" t="n">
        <v>0.427559779137159</v>
      </c>
      <c r="D544" s="2" t="n">
        <v>0.427560132886684</v>
      </c>
      <c r="E544" s="2" t="n">
        <v>0.218766451726105</v>
      </c>
    </row>
    <row r="545" customFormat="false" ht="13.8" hidden="false" customHeight="false" outlineLevel="0" collapsed="false">
      <c r="B545" s="2" t="n">
        <v>544</v>
      </c>
      <c r="C545" s="2" t="n">
        <v>0.427564049777994</v>
      </c>
      <c r="D545" s="2" t="n">
        <v>0.427564403530976</v>
      </c>
      <c r="E545" s="2" t="n">
        <v>0.21876863441245</v>
      </c>
    </row>
    <row r="546" customFormat="false" ht="13.8" hidden="false" customHeight="false" outlineLevel="0" collapsed="false">
      <c r="B546" s="2" t="n">
        <v>545</v>
      </c>
      <c r="C546" s="2" t="n">
        <v>0.427568320461511</v>
      </c>
      <c r="D546" s="2" t="n">
        <v>0.427568674217956</v>
      </c>
      <c r="E546" s="2" t="n">
        <v>0.218770817120623</v>
      </c>
    </row>
    <row r="547" customFormat="false" ht="13.8" hidden="false" customHeight="false" outlineLevel="0" collapsed="false">
      <c r="B547" s="2" t="n">
        <v>546</v>
      </c>
      <c r="C547" s="2" t="n">
        <v>0.427572591187715</v>
      </c>
      <c r="D547" s="2" t="n">
        <v>0.427572944947629</v>
      </c>
      <c r="E547" s="2" t="n">
        <v>0.218772999850623</v>
      </c>
    </row>
    <row r="548" customFormat="false" ht="13.8" hidden="false" customHeight="false" outlineLevel="0" collapsed="false">
      <c r="B548" s="2" t="n">
        <v>547</v>
      </c>
      <c r="C548" s="2" t="n">
        <v>0.427576861956608</v>
      </c>
      <c r="D548" s="2" t="n">
        <v>0.427577215719994</v>
      </c>
      <c r="E548" s="2" t="n">
        <v>0.218775182602451</v>
      </c>
    </row>
    <row r="549" customFormat="false" ht="13.8" hidden="false" customHeight="false" outlineLevel="0" collapsed="false">
      <c r="B549" s="2" t="n">
        <v>548</v>
      </c>
      <c r="C549" s="2" t="n">
        <v>0.427581132768191</v>
      </c>
      <c r="D549" s="2" t="n">
        <v>0.427581486535055</v>
      </c>
      <c r="E549" s="2" t="n">
        <v>0.218777365376106</v>
      </c>
    </row>
    <row r="550" customFormat="false" ht="13.8" hidden="false" customHeight="false" outlineLevel="0" collapsed="false">
      <c r="B550" s="2" t="n">
        <v>549</v>
      </c>
      <c r="C550" s="2" t="n">
        <v>0.427585403622466</v>
      </c>
      <c r="D550" s="2" t="n">
        <v>0.427585757392812</v>
      </c>
      <c r="E550" s="2" t="n">
        <v>0.218779548171589</v>
      </c>
    </row>
    <row r="551" customFormat="false" ht="13.8" hidden="false" customHeight="false" outlineLevel="0" collapsed="false">
      <c r="B551" s="2" t="n">
        <v>550</v>
      </c>
      <c r="C551" s="2" t="n">
        <v>0.427589674519435</v>
      </c>
      <c r="D551" s="2" t="n">
        <v>0.427590028293265</v>
      </c>
      <c r="E551" s="2" t="n">
        <v>0.2187817309889</v>
      </c>
    </row>
    <row r="552" customFormat="false" ht="13.8" hidden="false" customHeight="false" outlineLevel="0" collapsed="false">
      <c r="B552" s="2" t="n">
        <v>551</v>
      </c>
      <c r="C552" s="2" t="n">
        <v>0.427593945459101</v>
      </c>
      <c r="D552" s="2" t="n">
        <v>0.42759429923642</v>
      </c>
      <c r="E552" s="2" t="n">
        <v>0.21878391382804</v>
      </c>
    </row>
    <row r="553" customFormat="false" ht="13.8" hidden="false" customHeight="false" outlineLevel="0" collapsed="false">
      <c r="B553" s="2" t="n">
        <v>552</v>
      </c>
      <c r="C553" s="2" t="n">
        <v>0.427598216441469</v>
      </c>
      <c r="D553" s="2" t="n">
        <v>0.427598570222277</v>
      </c>
      <c r="E553" s="2" t="n">
        <v>0.218786096689008</v>
      </c>
    </row>
    <row r="554" customFormat="false" ht="13.8" hidden="false" customHeight="false" outlineLevel="0" collapsed="false">
      <c r="B554" s="2" t="n">
        <v>553</v>
      </c>
      <c r="C554" s="2" t="n">
        <v>0.427602487466539</v>
      </c>
      <c r="D554" s="2" t="n">
        <v>0.427602841250838</v>
      </c>
      <c r="E554" s="2" t="n">
        <v>0.218788279571805</v>
      </c>
    </row>
    <row r="555" customFormat="false" ht="13.8" hidden="false" customHeight="false" outlineLevel="0" collapsed="false">
      <c r="B555" s="2" t="n">
        <v>554</v>
      </c>
      <c r="C555" s="2" t="n">
        <v>0.427606758534324</v>
      </c>
      <c r="D555" s="2" t="n">
        <v>0.427607112322113</v>
      </c>
      <c r="E555" s="2" t="n">
        <v>0.21879046247643</v>
      </c>
    </row>
    <row r="556" customFormat="false" ht="13.8" hidden="false" customHeight="false" outlineLevel="0" collapsed="false">
      <c r="B556" s="2" t="n">
        <v>555</v>
      </c>
      <c r="C556" s="2" t="n">
        <v>0.427611029644819</v>
      </c>
      <c r="D556" s="2" t="n">
        <v>0.427611383436099</v>
      </c>
      <c r="E556" s="2" t="n">
        <v>0.218792645402885</v>
      </c>
    </row>
    <row r="557" customFormat="false" ht="13.8" hidden="false" customHeight="false" outlineLevel="0" collapsed="false">
      <c r="B557" s="2" t="n">
        <v>556</v>
      </c>
      <c r="C557" s="2" t="n">
        <v>0.427615300798026</v>
      </c>
      <c r="D557" s="2" t="n">
        <v>0.427615654592795</v>
      </c>
      <c r="E557" s="2" t="n">
        <v>0.21879482835117</v>
      </c>
    </row>
    <row r="558" customFormat="false" ht="13.8" hidden="false" customHeight="false" outlineLevel="0" collapsed="false">
      <c r="B558" s="2" t="n">
        <v>557</v>
      </c>
      <c r="C558" s="2" t="n">
        <v>0.427619571993944</v>
      </c>
      <c r="D558" s="2" t="n">
        <v>0.427619925792204</v>
      </c>
      <c r="E558" s="2" t="n">
        <v>0.218797011321284</v>
      </c>
    </row>
    <row r="559" customFormat="false" ht="13.8" hidden="false" customHeight="false" outlineLevel="0" collapsed="false">
      <c r="B559" s="2" t="n">
        <v>558</v>
      </c>
      <c r="C559" s="2" t="n">
        <v>0.427623843232574</v>
      </c>
      <c r="D559" s="2" t="n">
        <v>0.427624197034324</v>
      </c>
      <c r="E559" s="2" t="n">
        <v>0.218799194313228</v>
      </c>
    </row>
    <row r="560" customFormat="false" ht="13.8" hidden="false" customHeight="false" outlineLevel="0" collapsed="false">
      <c r="B560" s="2" t="n">
        <v>559</v>
      </c>
      <c r="C560" s="2" t="n">
        <v>0.427628114513917</v>
      </c>
      <c r="D560" s="2" t="n">
        <v>0.427628468319157</v>
      </c>
      <c r="E560" s="2" t="n">
        <v>0.218801377327002</v>
      </c>
    </row>
    <row r="561" customFormat="false" ht="13.8" hidden="false" customHeight="false" outlineLevel="0" collapsed="false">
      <c r="B561" s="2" t="n">
        <v>560</v>
      </c>
      <c r="C561" s="2" t="n">
        <v>0.427632385837972</v>
      </c>
      <c r="D561" s="2" t="n">
        <v>0.427632739646703</v>
      </c>
      <c r="E561" s="2" t="n">
        <v>0.218803560362607</v>
      </c>
    </row>
    <row r="562" customFormat="false" ht="13.8" hidden="false" customHeight="false" outlineLevel="0" collapsed="false">
      <c r="B562" s="2" t="n">
        <v>561</v>
      </c>
      <c r="C562" s="2" t="n">
        <v>0.427636657204741</v>
      </c>
      <c r="D562" s="2" t="n">
        <v>0.427637011016962</v>
      </c>
      <c r="E562" s="2" t="n">
        <v>0.218805743420042</v>
      </c>
    </row>
    <row r="563" customFormat="false" ht="13.8" hidden="false" customHeight="false" outlineLevel="0" collapsed="false">
      <c r="B563" s="2" t="n">
        <v>562</v>
      </c>
      <c r="C563" s="2" t="n">
        <v>0.427640928614224</v>
      </c>
      <c r="D563" s="2" t="n">
        <v>0.427641282429935</v>
      </c>
      <c r="E563" s="2" t="n">
        <v>0.218807926499308</v>
      </c>
    </row>
    <row r="564" customFormat="false" ht="13.8" hidden="false" customHeight="false" outlineLevel="0" collapsed="false">
      <c r="B564" s="2" t="n">
        <v>563</v>
      </c>
      <c r="C564" s="2" t="n">
        <v>0.42764520006642</v>
      </c>
      <c r="D564" s="2" t="n">
        <v>0.427645553885622</v>
      </c>
      <c r="E564" s="2" t="n">
        <v>0.218810109600405</v>
      </c>
    </row>
    <row r="565" customFormat="false" ht="13.8" hidden="false" customHeight="false" outlineLevel="0" collapsed="false">
      <c r="B565" s="2" t="n">
        <v>564</v>
      </c>
      <c r="C565" s="2" t="n">
        <v>0.427649471561331</v>
      </c>
      <c r="D565" s="2" t="n">
        <v>0.427649825384023</v>
      </c>
      <c r="E565" s="2" t="n">
        <v>0.218812292723333</v>
      </c>
    </row>
    <row r="566" customFormat="false" ht="13.8" hidden="false" customHeight="false" outlineLevel="0" collapsed="false">
      <c r="B566" s="2" t="n">
        <v>565</v>
      </c>
      <c r="C566" s="2" t="n">
        <v>0.427653743098957</v>
      </c>
      <c r="D566" s="2" t="n">
        <v>0.427654096925139</v>
      </c>
      <c r="E566" s="2" t="n">
        <v>0.218814475868092</v>
      </c>
    </row>
    <row r="567" customFormat="false" ht="13.8" hidden="false" customHeight="false" outlineLevel="0" collapsed="false">
      <c r="B567" s="2" t="n">
        <v>566</v>
      </c>
      <c r="C567" s="2" t="n">
        <v>0.427658014679298</v>
      </c>
      <c r="D567" s="2" t="n">
        <v>0.427658368508971</v>
      </c>
      <c r="E567" s="2" t="n">
        <v>0.218816659034684</v>
      </c>
    </row>
    <row r="568" customFormat="false" ht="13.8" hidden="false" customHeight="false" outlineLevel="0" collapsed="false">
      <c r="B568" s="2" t="n">
        <v>567</v>
      </c>
      <c r="C568" s="2" t="n">
        <v>0.427662286302355</v>
      </c>
      <c r="D568" s="2" t="n">
        <v>0.427662640135519</v>
      </c>
      <c r="E568" s="2" t="n">
        <v>0.218818842223107</v>
      </c>
    </row>
    <row r="569" customFormat="false" ht="13.8" hidden="false" customHeight="false" outlineLevel="0" collapsed="false">
      <c r="B569" s="2" t="n">
        <v>568</v>
      </c>
      <c r="C569" s="2" t="n">
        <v>0.427666557968128</v>
      </c>
      <c r="D569" s="2" t="n">
        <v>0.427666911804783</v>
      </c>
      <c r="E569" s="2" t="n">
        <v>0.218821025433362</v>
      </c>
    </row>
    <row r="570" customFormat="false" ht="13.8" hidden="false" customHeight="false" outlineLevel="0" collapsed="false">
      <c r="B570" s="2" t="n">
        <v>569</v>
      </c>
      <c r="C570" s="2" t="n">
        <v>0.427670829676618</v>
      </c>
      <c r="D570" s="2" t="n">
        <v>0.427671183516764</v>
      </c>
      <c r="E570" s="2" t="n">
        <v>0.218823208665449</v>
      </c>
    </row>
    <row r="571" customFormat="false" ht="13.8" hidden="false" customHeight="false" outlineLevel="0" collapsed="false">
      <c r="B571" s="2" t="n">
        <v>570</v>
      </c>
      <c r="C571" s="2" t="n">
        <v>0.427675101427825</v>
      </c>
      <c r="D571" s="2" t="n">
        <v>0.427675455271462</v>
      </c>
      <c r="E571" s="2" t="n">
        <v>0.218825391919369</v>
      </c>
    </row>
    <row r="572" customFormat="false" ht="13.8" hidden="false" customHeight="false" outlineLevel="0" collapsed="false">
      <c r="B572" s="2" t="n">
        <v>571</v>
      </c>
      <c r="C572" s="2" t="n">
        <v>0.42767937322175</v>
      </c>
      <c r="D572" s="2" t="n">
        <v>0.427679727068877</v>
      </c>
      <c r="E572" s="2" t="n">
        <v>0.218827575195122</v>
      </c>
    </row>
    <row r="573" customFormat="false" ht="13.8" hidden="false" customHeight="false" outlineLevel="0" collapsed="false">
      <c r="B573" s="2" t="n">
        <v>572</v>
      </c>
      <c r="C573" s="2" t="n">
        <v>0.427683645058393</v>
      </c>
      <c r="D573" s="2" t="n">
        <v>0.427683998909008</v>
      </c>
      <c r="E573" s="2" t="n">
        <v>0.218829758492708</v>
      </c>
    </row>
    <row r="574" customFormat="false" ht="13.8" hidden="false" customHeight="false" outlineLevel="0" collapsed="false">
      <c r="B574" s="2" t="n">
        <v>573</v>
      </c>
      <c r="C574" s="2" t="n">
        <v>0.427687916937754</v>
      </c>
      <c r="D574" s="2" t="n">
        <v>0.42768827079186</v>
      </c>
      <c r="E574" s="2" t="n">
        <v>0.218831941812126</v>
      </c>
    </row>
    <row r="575" customFormat="false" ht="13.8" hidden="false" customHeight="false" outlineLevel="0" collapsed="false">
      <c r="B575" s="2" t="n">
        <v>574</v>
      </c>
      <c r="C575" s="2" t="n">
        <v>0.427692188859833</v>
      </c>
      <c r="D575" s="2" t="n">
        <v>0.427692542717431</v>
      </c>
      <c r="E575" s="2" t="n">
        <v>0.218834125153379</v>
      </c>
    </row>
    <row r="576" customFormat="false" ht="13.8" hidden="false" customHeight="false" outlineLevel="0" collapsed="false">
      <c r="B576" s="2" t="n">
        <v>575</v>
      </c>
      <c r="C576" s="2" t="n">
        <v>0.427696460824632</v>
      </c>
      <c r="D576" s="2" t="n">
        <v>0.427696814685721</v>
      </c>
      <c r="E576" s="2" t="n">
        <v>0.218836308516465</v>
      </c>
    </row>
    <row r="577" customFormat="false" ht="13.8" hidden="false" customHeight="false" outlineLevel="0" collapsed="false">
      <c r="B577" s="2" t="n">
        <v>576</v>
      </c>
      <c r="C577" s="2" t="n">
        <v>0.427700732832151</v>
      </c>
      <c r="D577" s="2" t="n">
        <v>0.42770108669673</v>
      </c>
      <c r="E577" s="2" t="n">
        <v>0.218838491901384</v>
      </c>
    </row>
    <row r="578" customFormat="false" ht="13.8" hidden="false" customHeight="false" outlineLevel="0" collapsed="false">
      <c r="B578" s="2" t="n">
        <v>577</v>
      </c>
      <c r="C578" s="2" t="n">
        <v>0.42770500488239</v>
      </c>
      <c r="D578" s="2" t="n">
        <v>0.42770535875046</v>
      </c>
      <c r="E578" s="2" t="n">
        <v>0.218840675308138</v>
      </c>
    </row>
    <row r="579" customFormat="false" ht="13.8" hidden="false" customHeight="false" outlineLevel="0" collapsed="false">
      <c r="B579" s="2" t="n">
        <v>578</v>
      </c>
      <c r="C579" s="2" t="n">
        <v>0.427709276975349</v>
      </c>
      <c r="D579" s="2" t="n">
        <v>0.42770963084691</v>
      </c>
      <c r="E579" s="2" t="n">
        <v>0.218842858736726</v>
      </c>
    </row>
    <row r="580" customFormat="false" ht="13.8" hidden="false" customHeight="false" outlineLevel="0" collapsed="false">
      <c r="B580" s="2" t="n">
        <v>579</v>
      </c>
      <c r="C580" s="2" t="n">
        <v>0.427713549111029</v>
      </c>
      <c r="D580" s="2" t="n">
        <v>0.427713902986082</v>
      </c>
      <c r="E580" s="2" t="n">
        <v>0.218845042187149</v>
      </c>
    </row>
    <row r="581" customFormat="false" ht="13.8" hidden="false" customHeight="false" outlineLevel="0" collapsed="false">
      <c r="B581" s="2" t="n">
        <v>580</v>
      </c>
      <c r="C581" s="2" t="n">
        <v>0.427717821289431</v>
      </c>
      <c r="D581" s="2" t="n">
        <v>0.427718175167975</v>
      </c>
      <c r="E581" s="2" t="n">
        <v>0.218847225659406</v>
      </c>
    </row>
    <row r="582" customFormat="false" ht="13.8" hidden="false" customHeight="false" outlineLevel="0" collapsed="false">
      <c r="B582" s="2" t="n">
        <v>581</v>
      </c>
      <c r="C582" s="2" t="n">
        <v>0.427722093510554</v>
      </c>
      <c r="D582" s="2" t="n">
        <v>0.427722447392589</v>
      </c>
      <c r="E582" s="2" t="n">
        <v>0.218849409153498</v>
      </c>
    </row>
    <row r="583" customFormat="false" ht="13.8" hidden="false" customHeight="false" outlineLevel="0" collapsed="false">
      <c r="B583" s="2" t="n">
        <v>582</v>
      </c>
      <c r="C583" s="2" t="n">
        <v>0.4277263657744</v>
      </c>
      <c r="D583" s="2" t="n">
        <v>0.427726719659926</v>
      </c>
      <c r="E583" s="2" t="n">
        <v>0.218851592669425</v>
      </c>
    </row>
    <row r="584" customFormat="false" ht="13.8" hidden="false" customHeight="false" outlineLevel="0" collapsed="false">
      <c r="B584" s="2" t="n">
        <v>583</v>
      </c>
      <c r="C584" s="2" t="n">
        <v>0.427730638080967</v>
      </c>
      <c r="D584" s="2" t="n">
        <v>0.427730991969985</v>
      </c>
      <c r="E584" s="2" t="n">
        <v>0.218853776207188</v>
      </c>
    </row>
    <row r="585" customFormat="false" ht="13.8" hidden="false" customHeight="false" outlineLevel="0" collapsed="false">
      <c r="B585" s="2" t="n">
        <v>584</v>
      </c>
      <c r="C585" s="2" t="n">
        <v>0.427734910430258</v>
      </c>
      <c r="D585" s="2" t="n">
        <v>0.427735264322768</v>
      </c>
      <c r="E585" s="2" t="n">
        <v>0.218855959766786</v>
      </c>
    </row>
    <row r="586" customFormat="false" ht="13.8" hidden="false" customHeight="false" outlineLevel="0" collapsed="false">
      <c r="B586" s="2" t="n">
        <v>585</v>
      </c>
      <c r="C586" s="2" t="n">
        <v>0.427739182822273</v>
      </c>
      <c r="D586" s="2" t="n">
        <v>0.427739536718274</v>
      </c>
      <c r="E586" s="2" t="n">
        <v>0.21885814334822</v>
      </c>
    </row>
    <row r="587" customFormat="false" ht="13.8" hidden="false" customHeight="false" outlineLevel="0" collapsed="false">
      <c r="B587" s="2" t="n">
        <v>586</v>
      </c>
      <c r="C587" s="2" t="n">
        <v>0.427743455257011</v>
      </c>
      <c r="D587" s="2" t="n">
        <v>0.427743809156504</v>
      </c>
      <c r="E587" s="2" t="n">
        <v>0.218860326951491</v>
      </c>
    </row>
    <row r="588" customFormat="false" ht="13.8" hidden="false" customHeight="false" outlineLevel="0" collapsed="false">
      <c r="B588" s="2" t="n">
        <v>587</v>
      </c>
      <c r="C588" s="2" t="n">
        <v>0.427747727734474</v>
      </c>
      <c r="D588" s="2" t="n">
        <v>0.427748081637459</v>
      </c>
      <c r="E588" s="2" t="n">
        <v>0.218862510576597</v>
      </c>
    </row>
    <row r="589" customFormat="false" ht="13.8" hidden="false" customHeight="false" outlineLevel="0" collapsed="false">
      <c r="B589" s="2" t="n">
        <v>588</v>
      </c>
      <c r="C589" s="2" t="n">
        <v>0.427752000254662</v>
      </c>
      <c r="D589" s="2" t="n">
        <v>0.427752354161138</v>
      </c>
      <c r="E589" s="2" t="n">
        <v>0.21886469422354</v>
      </c>
    </row>
    <row r="590" customFormat="false" ht="13.8" hidden="false" customHeight="false" outlineLevel="0" collapsed="false">
      <c r="B590" s="2" t="n">
        <v>589</v>
      </c>
      <c r="C590" s="2" t="n">
        <v>0.427756272817575</v>
      </c>
      <c r="D590" s="2" t="n">
        <v>0.427756626727543</v>
      </c>
      <c r="E590" s="2" t="n">
        <v>0.218866877892319</v>
      </c>
    </row>
    <row r="591" customFormat="false" ht="13.8" hidden="false" customHeight="false" outlineLevel="0" collapsed="false">
      <c r="B591" s="2" t="n">
        <v>590</v>
      </c>
      <c r="C591" s="2" t="n">
        <v>0.427760545423214</v>
      </c>
      <c r="D591" s="2" t="n">
        <v>0.427760899336673</v>
      </c>
      <c r="E591" s="2" t="n">
        <v>0.218869061582935</v>
      </c>
    </row>
    <row r="592" customFormat="false" ht="13.8" hidden="false" customHeight="false" outlineLevel="0" collapsed="false">
      <c r="B592" s="2" t="n">
        <v>591</v>
      </c>
      <c r="C592" s="2" t="n">
        <v>0.427764818071576</v>
      </c>
      <c r="D592" s="2" t="n">
        <v>0.42776517198853</v>
      </c>
      <c r="E592" s="2" t="n">
        <v>0.218871245295389</v>
      </c>
    </row>
    <row r="593" customFormat="false" ht="13.8" hidden="false" customHeight="false" outlineLevel="0" collapsed="false">
      <c r="B593" s="2" t="n">
        <v>592</v>
      </c>
      <c r="C593" s="2" t="n">
        <v>0.427769090762667</v>
      </c>
      <c r="D593" s="2" t="n">
        <v>0.427769444683113</v>
      </c>
      <c r="E593" s="2" t="n">
        <v>0.21887342902968</v>
      </c>
    </row>
    <row r="594" customFormat="false" ht="13.8" hidden="false" customHeight="false" outlineLevel="0" collapsed="false">
      <c r="B594" s="2" t="n">
        <v>593</v>
      </c>
      <c r="C594" s="2" t="n">
        <v>0.427773363496485</v>
      </c>
      <c r="D594" s="2" t="n">
        <v>0.427773717420423</v>
      </c>
      <c r="E594" s="2" t="n">
        <v>0.218875612785808</v>
      </c>
    </row>
    <row r="595" customFormat="false" ht="13.8" hidden="false" customHeight="false" outlineLevel="0" collapsed="false">
      <c r="B595" s="2" t="n">
        <v>594</v>
      </c>
      <c r="C595" s="2" t="n">
        <v>0.427777636273031</v>
      </c>
      <c r="D595" s="2" t="n">
        <v>0.42777799020046</v>
      </c>
      <c r="E595" s="2" t="n">
        <v>0.218877796563774</v>
      </c>
    </row>
    <row r="596" customFormat="false" ht="13.8" hidden="false" customHeight="false" outlineLevel="0" collapsed="false">
      <c r="B596" s="2" t="n">
        <v>595</v>
      </c>
      <c r="C596" s="2" t="n">
        <v>0.427781909092304</v>
      </c>
      <c r="D596" s="2" t="n">
        <v>0.427782263023225</v>
      </c>
      <c r="E596" s="2" t="n">
        <v>0.218879980363578</v>
      </c>
    </row>
    <row r="597" customFormat="false" ht="13.8" hidden="false" customHeight="false" outlineLevel="0" collapsed="false">
      <c r="B597" s="2" t="n">
        <v>596</v>
      </c>
      <c r="C597" s="2" t="n">
        <v>0.427786181954306</v>
      </c>
      <c r="D597" s="2" t="n">
        <v>0.427786535888719</v>
      </c>
      <c r="E597" s="2" t="n">
        <v>0.218882164185221</v>
      </c>
    </row>
    <row r="598" customFormat="false" ht="13.8" hidden="false" customHeight="false" outlineLevel="0" collapsed="false">
      <c r="B598" s="2" t="n">
        <v>597</v>
      </c>
      <c r="C598" s="2" t="n">
        <v>0.427790454859036</v>
      </c>
      <c r="D598" s="2" t="n">
        <v>0.427790808796941</v>
      </c>
      <c r="E598" s="2" t="n">
        <v>0.218884348028701</v>
      </c>
    </row>
    <row r="599" customFormat="false" ht="13.8" hidden="false" customHeight="false" outlineLevel="0" collapsed="false">
      <c r="B599" s="2" t="n">
        <v>598</v>
      </c>
      <c r="C599" s="2" t="n">
        <v>0.427794727806501</v>
      </c>
      <c r="D599" s="2" t="n">
        <v>0.427795081747896</v>
      </c>
      <c r="E599" s="2" t="n">
        <v>0.218886531894021</v>
      </c>
    </row>
    <row r="600" customFormat="false" ht="13.8" hidden="false" customHeight="false" outlineLevel="0" collapsed="false">
      <c r="B600" s="2" t="n">
        <v>599</v>
      </c>
      <c r="C600" s="2" t="n">
        <v>0.427799000796684</v>
      </c>
      <c r="D600" s="2" t="n">
        <v>0.427799354741572</v>
      </c>
      <c r="E600" s="2" t="n">
        <v>0.218888715781179</v>
      </c>
    </row>
    <row r="601" customFormat="false" ht="13.8" hidden="false" customHeight="false" outlineLevel="0" collapsed="false">
      <c r="B601" s="2" t="n">
        <v>600</v>
      </c>
      <c r="C601" s="2" t="n">
        <v>0.427803273829587</v>
      </c>
      <c r="D601" s="2" t="n">
        <v>0.42780362777797</v>
      </c>
      <c r="E601" s="2" t="n">
        <v>0.218890899690176</v>
      </c>
    </row>
    <row r="602" customFormat="false" ht="13.8" hidden="false" customHeight="false" outlineLevel="0" collapsed="false">
      <c r="B602" s="2" t="n">
        <v>601</v>
      </c>
      <c r="C602" s="2" t="n">
        <v>0.427807546905203</v>
      </c>
      <c r="D602" s="2" t="n">
        <v>0.427807900857086</v>
      </c>
      <c r="E602" s="2" t="n">
        <v>0.218893083621012</v>
      </c>
    </row>
    <row r="603" customFormat="false" ht="13.8" hidden="false" customHeight="false" outlineLevel="0" collapsed="false">
      <c r="B603" s="2" t="n">
        <v>602</v>
      </c>
      <c r="C603" s="2" t="n">
        <v>0.427811820023544</v>
      </c>
      <c r="D603" s="2" t="n">
        <v>0.427812173978928</v>
      </c>
      <c r="E603" s="2" t="n">
        <v>0.218895267573688</v>
      </c>
    </row>
    <row r="604" customFormat="false" ht="13.8" hidden="false" customHeight="false" outlineLevel="0" collapsed="false">
      <c r="B604" s="2" t="n">
        <v>603</v>
      </c>
      <c r="C604" s="2" t="n">
        <v>0.427816093184569</v>
      </c>
      <c r="D604" s="2" t="n">
        <v>0.427816447143466</v>
      </c>
      <c r="E604" s="2" t="n">
        <v>0.176401935754045</v>
      </c>
    </row>
    <row r="605" customFormat="false" ht="13.8" hidden="false" customHeight="false" outlineLevel="0" collapsed="false">
      <c r="B605" s="2" t="n">
        <v>604</v>
      </c>
      <c r="C605" s="2" t="n">
        <v>0</v>
      </c>
      <c r="D605" s="2" t="n">
        <v>4.57384081280199E-011</v>
      </c>
      <c r="E605" s="2" t="n">
        <v>0.218899635544559</v>
      </c>
    </row>
    <row r="606" customFormat="false" ht="13.8" hidden="false" customHeight="false" outlineLevel="0" collapsed="false">
      <c r="B606" s="2" t="n">
        <v>605</v>
      </c>
      <c r="C606" s="2" t="n">
        <v>0</v>
      </c>
      <c r="D606" s="2" t="n">
        <v>0.00111729059647333</v>
      </c>
      <c r="E606" s="2" t="n">
        <v>0</v>
      </c>
    </row>
    <row r="607" customFormat="false" ht="13.8" hidden="false" customHeight="false" outlineLevel="0" collapsed="false">
      <c r="B607" s="2" t="n">
        <v>606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607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608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609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610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611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612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613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614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615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616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617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618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619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620</v>
      </c>
      <c r="C621" s="2" t="n">
        <v>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621</v>
      </c>
      <c r="C622" s="2" t="n">
        <v>8.20542688673404E-011</v>
      </c>
      <c r="D622" s="2" t="n">
        <v>4.31137417634096E-010</v>
      </c>
      <c r="E622" s="2" t="n">
        <v>0</v>
      </c>
    </row>
    <row r="623" customFormat="false" ht="13.8" hidden="false" customHeight="false" outlineLevel="0" collapsed="false">
      <c r="B623" s="2" t="n">
        <v>622</v>
      </c>
      <c r="C623" s="2" t="n">
        <v>4.64481188987124E-010</v>
      </c>
      <c r="D623" s="2" t="n">
        <v>1.30599484317903E-009</v>
      </c>
      <c r="E623" s="2" t="n">
        <v>0</v>
      </c>
    </row>
    <row r="624" customFormat="false" ht="13.8" hidden="false" customHeight="false" outlineLevel="0" collapsed="false">
      <c r="B624" s="2" t="n">
        <v>623</v>
      </c>
      <c r="C624" s="2" t="n">
        <v>2.49407289240754E-009</v>
      </c>
      <c r="D624" s="2" t="n">
        <v>2.70981046827263E-009</v>
      </c>
      <c r="E624" s="2" t="n">
        <v>5.55169281692377E-010</v>
      </c>
    </row>
    <row r="625" customFormat="false" ht="13.8" hidden="false" customHeight="false" outlineLevel="0" collapsed="false">
      <c r="B625" s="2" t="n">
        <v>624</v>
      </c>
      <c r="C625" s="2" t="n">
        <v>9.99226918826061E-009</v>
      </c>
      <c r="D625" s="2" t="n">
        <v>1.04226041187906E-008</v>
      </c>
      <c r="E625" s="2" t="n">
        <v>1.37433751082387E-009</v>
      </c>
    </row>
    <row r="626" customFormat="false" ht="13.8" hidden="false" customHeight="false" outlineLevel="0" collapsed="false">
      <c r="B626" s="2" t="n">
        <v>625</v>
      </c>
      <c r="C626" s="2" t="n">
        <v>1.49955899836399E-008</v>
      </c>
      <c r="D626" s="2" t="n">
        <v>1.54250272286734E-008</v>
      </c>
      <c r="E626" s="2" t="n">
        <v>2.75014299664913E-009</v>
      </c>
    </row>
    <row r="627" customFormat="false" ht="13.8" hidden="false" customHeight="false" outlineLevel="0" collapsed="false">
      <c r="B627" s="2" t="n">
        <v>626</v>
      </c>
      <c r="C627" s="2" t="n">
        <v>1.99985487009183E-008</v>
      </c>
      <c r="D627" s="2" t="n">
        <v>2.04272054813784E-008</v>
      </c>
      <c r="E627" s="2" t="n">
        <v>1.04795848955017E-008</v>
      </c>
    </row>
    <row r="628" customFormat="false" ht="13.8" hidden="false" customHeight="false" outlineLevel="0" collapsed="false">
      <c r="B628" s="2" t="n">
        <v>627</v>
      </c>
      <c r="C628" s="2" t="n">
        <v>2.50012283205752E-008</v>
      </c>
      <c r="D628" s="2" t="n">
        <v>2.54291982531098E-008</v>
      </c>
      <c r="E628" s="2" t="n">
        <v>1.54589341379281E-008</v>
      </c>
    </row>
    <row r="629" customFormat="false" ht="13.8" hidden="false" customHeight="false" outlineLevel="0" collapsed="false">
      <c r="B629" s="2" t="n">
        <v>628</v>
      </c>
      <c r="C629" s="2" t="n">
        <v>3.00036700001544E-008</v>
      </c>
      <c r="D629" s="2" t="n">
        <v>3.04310349932744E-008</v>
      </c>
      <c r="E629" s="2" t="n">
        <v>2.04383335062667E-008</v>
      </c>
    </row>
    <row r="630" customFormat="false" ht="13.8" hidden="false" customHeight="false" outlineLevel="0" collapsed="false">
      <c r="B630" s="2" t="n">
        <v>629</v>
      </c>
      <c r="C630" s="2" t="n">
        <v>3.50059148963863E-008</v>
      </c>
      <c r="D630" s="2" t="n">
        <v>3.54327451517491E-008</v>
      </c>
      <c r="E630" s="2" t="n">
        <v>2.54177829828883E-008</v>
      </c>
    </row>
    <row r="631" customFormat="false" ht="13.8" hidden="false" customHeight="false" outlineLevel="0" collapsed="false">
      <c r="B631" s="2" t="n">
        <v>630</v>
      </c>
      <c r="C631" s="2" t="n">
        <v>4.00080492446351E-008</v>
      </c>
      <c r="D631" s="2" t="n">
        <v>4.04343904328178E-008</v>
      </c>
      <c r="E631" s="2" t="n">
        <v>3.03972825277793E-008</v>
      </c>
    </row>
    <row r="632" customFormat="false" ht="13.8" hidden="false" customHeight="false" outlineLevel="0" collapsed="false">
      <c r="B632" s="2" t="n">
        <v>631</v>
      </c>
      <c r="C632" s="2" t="n">
        <v>4.50100326103567E-008</v>
      </c>
      <c r="D632" s="2" t="n">
        <v>4.54359419044664E-008</v>
      </c>
      <c r="E632" s="2" t="n">
        <v>3.53768321662984E-008</v>
      </c>
    </row>
    <row r="633" customFormat="false" ht="13.8" hidden="false" customHeight="false" outlineLevel="0" collapsed="false">
      <c r="B633" s="2" t="n">
        <v>632</v>
      </c>
      <c r="C633" s="2" t="n">
        <v>5.00118696364667E-008</v>
      </c>
      <c r="D633" s="2" t="n">
        <v>5.04374028890518E-008</v>
      </c>
      <c r="E633" s="2" t="n">
        <v>4.03564318934217E-008</v>
      </c>
    </row>
    <row r="634" customFormat="false" ht="13.8" hidden="false" customHeight="false" outlineLevel="0" collapsed="false">
      <c r="B634" s="2" t="n">
        <v>633</v>
      </c>
      <c r="C634" s="2" t="n">
        <v>5.50135649666203E-008</v>
      </c>
      <c r="D634" s="2" t="n">
        <v>5.54387767091838E-008</v>
      </c>
      <c r="E634" s="2" t="n">
        <v>4.53360817073063E-008</v>
      </c>
    </row>
    <row r="635" customFormat="false" ht="13.8" hidden="false" customHeight="false" outlineLevel="0" collapsed="false">
      <c r="B635" s="2" t="n">
        <v>634</v>
      </c>
      <c r="C635" s="2" t="n">
        <v>6.00151110484389E-008</v>
      </c>
      <c r="D635" s="2" t="n">
        <v>6.04400579613666E-008</v>
      </c>
      <c r="E635" s="2" t="n">
        <v>5.03149811465267E-008</v>
      </c>
    </row>
    <row r="636" customFormat="false" ht="13.8" hidden="false" customHeight="false" outlineLevel="0" collapsed="false">
      <c r="B636" s="2" t="n">
        <v>635</v>
      </c>
      <c r="C636" s="2" t="n">
        <v>6.50165345998516E-008</v>
      </c>
      <c r="D636" s="2" t="n">
        <v>6.54412657630975E-008</v>
      </c>
      <c r="E636" s="2" t="n">
        <v>5.52961791821428E-008</v>
      </c>
    </row>
    <row r="637" customFormat="false" ht="13.8" hidden="false" customHeight="false" outlineLevel="0" collapsed="false">
      <c r="B637" s="2" t="n">
        <v>636</v>
      </c>
      <c r="C637" s="2" t="n">
        <v>7.00178501419042E-008</v>
      </c>
      <c r="D637" s="2" t="n">
        <v>7.04424105052973E-008</v>
      </c>
      <c r="E637" s="2" t="n">
        <v>6.02766272304269E-008</v>
      </c>
    </row>
    <row r="638" customFormat="false" ht="13.8" hidden="false" customHeight="false" outlineLevel="0" collapsed="false">
      <c r="B638" s="2" t="n">
        <v>637</v>
      </c>
      <c r="C638" s="2" t="n">
        <v>7.50190721934728E-008</v>
      </c>
      <c r="D638" s="2" t="n">
        <v>7.54435025793396E-008</v>
      </c>
      <c r="E638" s="2" t="n">
        <v>6.52571253469513E-008</v>
      </c>
    </row>
    <row r="639" customFormat="false" ht="13.8" hidden="false" customHeight="false" outlineLevel="0" collapsed="false">
      <c r="B639" s="2" t="n">
        <v>638</v>
      </c>
      <c r="C639" s="2" t="n">
        <v>8.00201996507129E-008</v>
      </c>
      <c r="D639" s="2" t="n">
        <v>8.044454119006E-008</v>
      </c>
      <c r="E639" s="2" t="n">
        <v>7.02265593333018E-008</v>
      </c>
    </row>
    <row r="640" customFormat="false" ht="13.8" hidden="false" customHeight="false" outlineLevel="0" collapsed="false">
      <c r="B640" s="2" t="n">
        <v>639</v>
      </c>
      <c r="C640" s="2" t="n">
        <v>8.50212753273946E-008</v>
      </c>
      <c r="D640" s="2" t="n">
        <v>8.5445556975262E-008</v>
      </c>
      <c r="E640" s="2" t="n">
        <v>7.52135074052875E-008</v>
      </c>
    </row>
    <row r="641" customFormat="false" ht="13.8" hidden="false" customHeight="false" outlineLevel="0" collapsed="false">
      <c r="B641" s="2" t="n">
        <v>640</v>
      </c>
      <c r="C641" s="2" t="n">
        <v>0.00111739508927813</v>
      </c>
      <c r="D641" s="2" t="n">
        <v>0.0011173956130388</v>
      </c>
      <c r="E641" s="2" t="n">
        <v>0.00111738299762538</v>
      </c>
    </row>
    <row r="642" customFormat="false" ht="13.8" hidden="false" customHeight="false" outlineLevel="0" collapsed="false">
      <c r="B642" s="2" t="n">
        <v>641</v>
      </c>
      <c r="C642" s="2" t="n">
        <v>0.0011174012634126</v>
      </c>
      <c r="D642" s="2" t="n">
        <v>0.00111740178714385</v>
      </c>
      <c r="E642" s="2" t="n">
        <v>0.00111738917151704</v>
      </c>
    </row>
    <row r="643" customFormat="false" ht="13.8" hidden="false" customHeight="false" outlineLevel="0" collapsed="false">
      <c r="B643" s="2" t="n">
        <v>642</v>
      </c>
      <c r="C643" s="2" t="n">
        <v>0.00111740743760925</v>
      </c>
      <c r="D643" s="2" t="n">
        <v>0.00111740796131096</v>
      </c>
      <c r="E643" s="2" t="n">
        <v>0.00111739534547044</v>
      </c>
    </row>
    <row r="644" customFormat="false" ht="13.8" hidden="false" customHeight="false" outlineLevel="0" collapsed="false">
      <c r="B644" s="2" t="n">
        <v>643</v>
      </c>
      <c r="C644" s="2" t="n">
        <v>0.00111741361183961</v>
      </c>
      <c r="D644" s="2" t="n">
        <v>0.00111741413551975</v>
      </c>
      <c r="E644" s="2" t="n">
        <v>0.0011174015194856</v>
      </c>
    </row>
    <row r="645" customFormat="false" ht="13.8" hidden="false" customHeight="false" outlineLevel="0" collapsed="false">
      <c r="B645" s="2" t="n">
        <v>644</v>
      </c>
      <c r="C645" s="2" t="n">
        <v>0.00111741978610651</v>
      </c>
      <c r="D645" s="2" t="n">
        <v>0.00111742030977225</v>
      </c>
      <c r="E645" s="2" t="n">
        <v>0.00111740769356251</v>
      </c>
    </row>
    <row r="646" customFormat="false" ht="13.8" hidden="false" customHeight="false" outlineLevel="0" collapsed="false">
      <c r="B646" s="2" t="n">
        <v>645</v>
      </c>
      <c r="C646" s="2" t="n">
        <v>0.00111742596041276</v>
      </c>
      <c r="D646" s="2" t="n">
        <v>0.00111742648407047</v>
      </c>
      <c r="E646" s="2" t="n">
        <v>0.00111741386770116</v>
      </c>
    </row>
    <row r="647" customFormat="false" ht="13.8" hidden="false" customHeight="false" outlineLevel="0" collapsed="false">
      <c r="B647" s="2" t="n">
        <v>646</v>
      </c>
      <c r="C647" s="2" t="n">
        <v>0.0011174321347595</v>
      </c>
      <c r="D647" s="2" t="n">
        <v>0.00111743265841522</v>
      </c>
      <c r="E647" s="2" t="n">
        <v>0.00111742004190157</v>
      </c>
    </row>
    <row r="648" customFormat="false" ht="13.8" hidden="false" customHeight="false" outlineLevel="0" collapsed="false">
      <c r="B648" s="2" t="n">
        <v>647</v>
      </c>
      <c r="C648" s="2" t="n">
        <v>0.00111743830915331</v>
      </c>
      <c r="D648" s="2" t="n">
        <v>0.00111743883281122</v>
      </c>
      <c r="E648" s="2" t="n">
        <v>0.00111742621616373</v>
      </c>
    </row>
    <row r="649" customFormat="false" ht="13.8" hidden="false" customHeight="false" outlineLevel="0" collapsed="false">
      <c r="B649" s="2" t="n">
        <v>648</v>
      </c>
      <c r="C649" s="2" t="n">
        <v>0.00111744448359907</v>
      </c>
      <c r="D649" s="2" t="n">
        <v>0.00111744500726195</v>
      </c>
      <c r="E649" s="2" t="n">
        <v>0.00111743239048763</v>
      </c>
    </row>
    <row r="650" customFormat="false" ht="13.8" hidden="false" customHeight="false" outlineLevel="0" collapsed="false">
      <c r="B650" s="2" t="n">
        <v>649</v>
      </c>
      <c r="C650" s="2" t="n">
        <v>0.00111745065810168</v>
      </c>
      <c r="D650" s="2" t="n">
        <v>0.00111745118177093</v>
      </c>
      <c r="E650" s="2" t="n">
        <v>0.00111743856487329</v>
      </c>
    </row>
    <row r="651" customFormat="false" ht="13.8" hidden="false" customHeight="false" outlineLevel="0" collapsed="false">
      <c r="B651" s="2" t="n">
        <v>650</v>
      </c>
      <c r="C651" s="2" t="n">
        <v>0.00111745683267001</v>
      </c>
      <c r="D651" s="2" t="n">
        <v>0.00111745735634449</v>
      </c>
      <c r="E651" s="2" t="n">
        <v>0.00111744473932068</v>
      </c>
    </row>
    <row r="652" customFormat="false" ht="13.8" hidden="false" customHeight="false" outlineLevel="0" collapsed="false">
      <c r="B652" s="2" t="n">
        <v>651</v>
      </c>
      <c r="C652" s="2" t="n">
        <v>0.00111746300730008</v>
      </c>
      <c r="D652" s="2" t="n">
        <v>0.0011174635309798</v>
      </c>
      <c r="E652" s="2" t="n">
        <v>0.00111745091382982</v>
      </c>
    </row>
    <row r="653" customFormat="false" ht="13.8" hidden="false" customHeight="false" outlineLevel="0" collapsed="false">
      <c r="B653" s="2" t="n">
        <v>652</v>
      </c>
      <c r="C653" s="2" t="n">
        <v>0.0011174691819919</v>
      </c>
      <c r="D653" s="2" t="n">
        <v>0.00111746970567686</v>
      </c>
      <c r="E653" s="2" t="n">
        <v>0.0011174570884007</v>
      </c>
    </row>
    <row r="654" customFormat="false" ht="13.8" hidden="false" customHeight="false" outlineLevel="0" collapsed="false">
      <c r="B654" s="2" t="n">
        <v>653</v>
      </c>
      <c r="C654" s="2" t="n">
        <v>0.00111747535674546</v>
      </c>
      <c r="D654" s="2" t="n">
        <v>0.00111747588043566</v>
      </c>
      <c r="E654" s="2" t="n">
        <v>0.00111746326303333</v>
      </c>
    </row>
    <row r="655" customFormat="false" ht="13.8" hidden="false" customHeight="false" outlineLevel="0" collapsed="false">
      <c r="B655" s="2" t="n">
        <v>654</v>
      </c>
      <c r="C655" s="2" t="n">
        <v>0.00111748153156078</v>
      </c>
      <c r="D655" s="2" t="n">
        <v>0.00111748205525621</v>
      </c>
      <c r="E655" s="2" t="n">
        <v>0.00111746943772771</v>
      </c>
    </row>
    <row r="656" customFormat="false" ht="13.8" hidden="false" customHeight="false" outlineLevel="0" collapsed="false">
      <c r="B656" s="2" t="n">
        <v>655</v>
      </c>
      <c r="C656" s="2" t="n">
        <v>0.00111748770643784</v>
      </c>
      <c r="D656" s="2" t="n">
        <v>0.00111748823013851</v>
      </c>
      <c r="E656" s="2" t="n">
        <v>0.00111747561248383</v>
      </c>
    </row>
    <row r="657" customFormat="false" ht="13.8" hidden="false" customHeight="false" outlineLevel="0" collapsed="false">
      <c r="B657" s="2" t="n">
        <v>656</v>
      </c>
      <c r="C657" s="2" t="n">
        <v>0.00111749388137665</v>
      </c>
      <c r="D657" s="2" t="n">
        <v>0.00111749440508256</v>
      </c>
      <c r="E657" s="2" t="n">
        <v>0.00111748178730171</v>
      </c>
    </row>
    <row r="658" customFormat="false" ht="13.8" hidden="false" customHeight="false" outlineLevel="0" collapsed="false">
      <c r="B658" s="2" t="n">
        <v>657</v>
      </c>
      <c r="C658" s="2" t="n">
        <v>0.00111750005637721</v>
      </c>
      <c r="D658" s="2" t="n">
        <v>0.00111750058008836</v>
      </c>
      <c r="E658" s="2" t="n">
        <v>0.00111748796218133</v>
      </c>
    </row>
    <row r="659" customFormat="false" ht="13.8" hidden="false" customHeight="false" outlineLevel="0" collapsed="false">
      <c r="B659" s="2" t="n">
        <v>658</v>
      </c>
      <c r="C659" s="2" t="n">
        <v>0.00111750623143953</v>
      </c>
      <c r="D659" s="2" t="n">
        <v>0.00111750675515592</v>
      </c>
      <c r="E659" s="2" t="n">
        <v>0.0011174941371227</v>
      </c>
    </row>
    <row r="660" customFormat="false" ht="13.8" hidden="false" customHeight="false" outlineLevel="0" collapsed="false">
      <c r="B660" s="2" t="n">
        <v>659</v>
      </c>
      <c r="C660" s="2" t="n">
        <v>0.00111751240656359</v>
      </c>
      <c r="D660" s="2" t="n">
        <v>0.00111751293028522</v>
      </c>
      <c r="E660" s="2" t="n">
        <v>0.00111750031212582</v>
      </c>
    </row>
    <row r="661" customFormat="false" ht="13.8" hidden="false" customHeight="false" outlineLevel="0" collapsed="false">
      <c r="B661" s="2" t="n">
        <v>660</v>
      </c>
      <c r="C661" s="2" t="n">
        <v>0.00111751858174941</v>
      </c>
      <c r="D661" s="2" t="n">
        <v>0.00111751910547627</v>
      </c>
      <c r="E661" s="2" t="n">
        <v>0.00111750648719069</v>
      </c>
    </row>
    <row r="662" customFormat="false" ht="13.8" hidden="false" customHeight="false" outlineLevel="0" collapsed="false">
      <c r="B662" s="2" t="n">
        <v>661</v>
      </c>
      <c r="C662" s="2" t="n">
        <v>0.00111752475699698</v>
      </c>
      <c r="D662" s="2" t="n">
        <v>0.00111752528072908</v>
      </c>
      <c r="E662" s="2" t="n">
        <v>0.00111751266231732</v>
      </c>
    </row>
    <row r="663" customFormat="false" ht="13.8" hidden="false" customHeight="false" outlineLevel="0" collapsed="false">
      <c r="B663" s="2" t="n">
        <v>662</v>
      </c>
      <c r="C663" s="2" t="n">
        <v>0.0011175309323063</v>
      </c>
      <c r="D663" s="2" t="n">
        <v>0.00111753145604364</v>
      </c>
      <c r="E663" s="2" t="n">
        <v>0.00111751883750569</v>
      </c>
    </row>
    <row r="664" customFormat="false" ht="13.8" hidden="false" customHeight="false" outlineLevel="0" collapsed="false">
      <c r="B664" s="2" t="n">
        <v>663</v>
      </c>
      <c r="C664" s="2" t="n">
        <v>0.00111753710767737</v>
      </c>
      <c r="D664" s="2" t="n">
        <v>0.00111753763141995</v>
      </c>
      <c r="E664" s="2" t="n">
        <v>0.00111752501275582</v>
      </c>
    </row>
    <row r="665" customFormat="false" ht="13.8" hidden="false" customHeight="false" outlineLevel="0" collapsed="false">
      <c r="B665" s="2" t="n">
        <v>664</v>
      </c>
      <c r="C665" s="2" t="n">
        <v>0.0011175432831102</v>
      </c>
      <c r="D665" s="2" t="n">
        <v>0.00111754380685802</v>
      </c>
      <c r="E665" s="2" t="n">
        <v>0.0011175311880677</v>
      </c>
    </row>
    <row r="666" customFormat="false" ht="13.8" hidden="false" customHeight="false" outlineLevel="0" collapsed="false">
      <c r="B666" s="2" t="n">
        <v>665</v>
      </c>
      <c r="C666" s="2" t="n">
        <v>0.00111754945860479</v>
      </c>
      <c r="D666" s="2" t="n">
        <v>0.00111754998235784</v>
      </c>
      <c r="E666" s="2" t="n">
        <v>0.00111753736344134</v>
      </c>
    </row>
    <row r="667" customFormat="false" ht="13.8" hidden="false" customHeight="false" outlineLevel="0" collapsed="false">
      <c r="B667" s="2" t="n">
        <v>666</v>
      </c>
      <c r="C667" s="2" t="n">
        <v>0.00111755563416113</v>
      </c>
      <c r="D667" s="2" t="n">
        <v>0.00111755615791942</v>
      </c>
      <c r="E667" s="2" t="n">
        <v>0.00111754353887672</v>
      </c>
    </row>
    <row r="668" customFormat="false" ht="13.8" hidden="false" customHeight="false" outlineLevel="0" collapsed="false">
      <c r="B668" s="2" t="n">
        <v>667</v>
      </c>
      <c r="C668" s="2" t="n">
        <v>0.00111756180977923</v>
      </c>
      <c r="D668" s="2" t="n">
        <v>0.00111756233354276</v>
      </c>
      <c r="E668" s="2" t="n">
        <v>0.00111754971437387</v>
      </c>
    </row>
    <row r="669" customFormat="false" ht="13.8" hidden="false" customHeight="false" outlineLevel="0" collapsed="false">
      <c r="B669" s="2" t="n">
        <v>668</v>
      </c>
      <c r="C669" s="2" t="n">
        <v>0.00111756798545908</v>
      </c>
      <c r="D669" s="2" t="n">
        <v>0.00111756850922785</v>
      </c>
      <c r="E669" s="2" t="n">
        <v>0.00111755588993277</v>
      </c>
    </row>
    <row r="670" customFormat="false" ht="13.8" hidden="false" customHeight="false" outlineLevel="0" collapsed="false">
      <c r="B670" s="2" t="n">
        <v>669</v>
      </c>
      <c r="C670" s="2" t="n">
        <v>0.00111757416120069</v>
      </c>
      <c r="D670" s="2" t="n">
        <v>0.0011175746849747</v>
      </c>
      <c r="E670" s="2" t="n">
        <v>0.00111756206555342</v>
      </c>
    </row>
    <row r="671" customFormat="false" ht="13.8" hidden="false" customHeight="false" outlineLevel="0" collapsed="false">
      <c r="B671" s="2" t="n">
        <v>670</v>
      </c>
      <c r="C671" s="2" t="n">
        <v>0.00111758033700406</v>
      </c>
      <c r="D671" s="2" t="n">
        <v>0.00111758086078331</v>
      </c>
      <c r="E671" s="2" t="n">
        <v>0.00111756824123584</v>
      </c>
    </row>
    <row r="672" customFormat="false" ht="13.8" hidden="false" customHeight="false" outlineLevel="0" collapsed="false">
      <c r="B672" s="2" t="n">
        <v>671</v>
      </c>
      <c r="C672" s="2" t="n">
        <v>0.00111758651286919</v>
      </c>
      <c r="D672" s="2" t="n">
        <v>0.00111758703665367</v>
      </c>
      <c r="E672" s="2" t="n">
        <v>0.00111757441698</v>
      </c>
    </row>
    <row r="673" customFormat="false" ht="13.8" hidden="false" customHeight="false" outlineLevel="0" collapsed="false">
      <c r="B673" s="2" t="n">
        <v>672</v>
      </c>
      <c r="C673" s="2" t="n">
        <v>0.000499999999600203</v>
      </c>
      <c r="D673" s="2" t="n">
        <v>0.000499999999700519</v>
      </c>
      <c r="E673" s="2" t="n">
        <v>0.000500000003162001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2024-03-21T10:19:05Z</dcterms:created>
  <dc:creator>Ida Fuchs</dc:creator>
  <dc:description/>
  <dc:language>en-US</dc:language>
  <cp:lastModifiedBy/>
  <dcterms:modified xsi:type="dcterms:W3CDTF">2026-01-04T18:08:34Z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0x010100E60DA9F6DF9B4248A5FF8CC251C47EBC</vt:lpwstr>
  </property>
</Properties>
</file>