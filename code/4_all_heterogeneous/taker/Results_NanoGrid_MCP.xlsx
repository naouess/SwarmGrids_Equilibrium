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solar" sheetId="1" state="visible" r:id="rId3"/>
    <sheet name="demand" sheetId="2" state="visible" r:id="rId4"/>
    <sheet name="investment" sheetId="3" state="visible" r:id="rId5"/>
    <sheet name="profit" sheetId="4" state="visible" r:id="rId6"/>
    <sheet name="solgen" sheetId="5" state="visible" r:id="rId7"/>
    <sheet name="import" sheetId="6" state="visible" r:id="rId8"/>
    <sheet name="export" sheetId="7" state="visible" r:id="rId9"/>
    <sheet name="charge" sheetId="8" state="visible" r:id="rId10"/>
    <sheet name="discharge" sheetId="9" state="visible" r:id="rId11"/>
    <sheet name="soc" sheetId="10" state="visible" r:id="rId12"/>
    <sheet name="p_micro" sheetId="11" state="visible" r:id="rId13"/>
    <sheet name="NG1" sheetId="12" state="visible" r:id="rId14"/>
    <sheet name="NG2" sheetId="13" state="visible" r:id="rId15"/>
    <sheet name="NG3" sheetId="14" state="visible" r:id="rId16"/>
    <sheet name="Input par" sheetId="15" state="visible" r:id="rId17"/>
    <sheet name="p_nano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<sst xmlns="http://schemas.openxmlformats.org/spreadsheetml/2006/main" count="91" uniqueCount="57">
  <si>
    <t xml:space="preserve">1</t>
  </si>
  <si>
    <t xml:space="preserve">2</t>
  </si>
  <si>
    <t xml:space="preserve">3</t>
  </si>
  <si>
    <t xml:space="preserve">NG=</t>
  </si>
  <si>
    <t xml:space="preserve">Nanogrid 1</t>
  </si>
  <si>
    <t xml:space="preserve">PV hours</t>
  </si>
  <si>
    <t xml:space="preserve">For plot</t>
  </si>
  <si>
    <t xml:space="preserve">timestep</t>
  </si>
  <si>
    <t xml:space="preserve">solar 1</t>
  </si>
  <si>
    <t xml:space="preserve">demand 1</t>
  </si>
  <si>
    <t xml:space="preserve">solgen 1</t>
  </si>
  <si>
    <t xml:space="preserve">import 1</t>
  </si>
  <si>
    <t xml:space="preserve">export 1</t>
  </si>
  <si>
    <t xml:space="preserve">charge 1</t>
  </si>
  <si>
    <t xml:space="preserve">discha 1</t>
  </si>
  <si>
    <t xml:space="preserve">SoC 1</t>
  </si>
  <si>
    <t xml:space="preserve">p_micro</t>
  </si>
  <si>
    <t xml:space="preserve">Nanogrid 2</t>
  </si>
  <si>
    <t xml:space="preserve">Nanogrid 3</t>
  </si>
  <si>
    <t xml:space="preserve">* spec. solar investment 730 euro/kWp for 20 years lifetime (from my paper) -&gt; 0.1 euro/kW per day</t>
  </si>
  <si>
    <t xml:space="preserve">* spec. solar investment 540 euro/kWh for 20 years lifetime (from Leas master) -&gt; 0.074 euro/kW per day</t>
  </si>
  <si>
    <r>
      <rPr>
        <sz val="8"/>
        <color rgb="FF000000"/>
        <rFont val="Consolas"/>
        <family val="3"/>
        <charset val="1"/>
      </rPr>
      <t xml:space="preserve">c_S(i)</t>
    </r>
    <r>
      <rPr>
        <sz val="8"/>
        <color rgb="FF007400"/>
        <rFont val="Consolas"/>
        <family val="3"/>
        <charset val="1"/>
      </rPr>
      <t xml:space="preserve"> /1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</si>
  <si>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</si>
  <si>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0.7</t>
    </r>
  </si>
  <si>
    <t xml:space="preserve">/</t>
  </si>
  <si>
    <t xml:space="preserve">* spec. battery investment 192 euro/kWh for 5 years lifetime (from my paper) -&gt; 0.1 euro/kWh per day</t>
  </si>
  <si>
    <t xml:space="preserve">* spec. battery investment 1900 euro/kWh for 5 years lifetime (from my paper) -&gt; 1.04 euro/kWh per day</t>
  </si>
  <si>
    <r>
      <rPr>
        <sz val="8"/>
        <color rgb="FF000000"/>
        <rFont val="Consolas"/>
        <family val="3"/>
        <charset val="1"/>
      </rPr>
      <t xml:space="preserve">c_B(i)</t>
    </r>
    <r>
      <rPr>
        <sz val="8"/>
        <color rgb="FF007400"/>
        <rFont val="Consolas"/>
        <family val="3"/>
        <charset val="1"/>
      </rPr>
      <t xml:space="preserve"> / 1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</si>
  <si>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</si>
  <si>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</si>
  <si>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0000"/>
        <rFont val="Consolas"/>
        <family val="3"/>
        <charset val="1"/>
      </rPr>
      <t xml:space="preserve">c_bat</t>
    </r>
    <r>
      <rPr>
        <sz val="8"/>
        <color rgb="FF007400"/>
        <rFont val="Consolas"/>
        <family val="3"/>
        <charset val="1"/>
      </rPr>
      <t xml:space="preserve"> / 0.005 /</t>
    </r>
  </si>
  <si>
    <r>
      <rPr>
        <sz val="8"/>
        <color rgb="FF000000"/>
        <rFont val="Consolas"/>
        <family val="3"/>
        <charset val="1"/>
      </rPr>
      <t xml:space="preserve">c_pv</t>
    </r>
    <r>
      <rPr>
        <sz val="8"/>
        <color rgb="FF007400"/>
        <rFont val="Consolas"/>
        <family val="3"/>
        <charset val="1"/>
      </rPr>
      <t xml:space="preserve"> / 0.0001 /</t>
    </r>
  </si>
  <si>
    <r>
      <rPr>
        <sz val="8"/>
        <color rgb="FF000000"/>
        <rFont val="Consolas"/>
        <family val="3"/>
        <charset val="1"/>
      </rPr>
      <t xml:space="preserve">sigma</t>
    </r>
    <r>
      <rPr>
        <sz val="8"/>
        <color rgb="FF007400"/>
        <rFont val="Consolas"/>
        <family val="3"/>
        <charset val="1"/>
      </rPr>
      <t xml:space="preserve"> / 0.001 /</t>
    </r>
  </si>
  <si>
    <r>
      <rPr>
        <sz val="8"/>
        <color rgb="FF000000"/>
        <rFont val="Consolas"/>
        <family val="3"/>
        <charset val="1"/>
      </rPr>
      <t xml:space="preserve">u_bat</t>
    </r>
    <r>
      <rPr>
        <sz val="8"/>
        <color rgb="FF007400"/>
        <rFont val="Consolas"/>
        <family val="3"/>
        <charset val="1"/>
      </rPr>
      <t xml:space="preserve"> / 0.9 /</t>
    </r>
  </si>
  <si>
    <r>
      <rPr>
        <sz val="8"/>
        <color rgb="FF000000"/>
        <rFont val="Consolas"/>
        <family val="3"/>
        <charset val="1"/>
      </rPr>
      <t xml:space="preserve">u_ie</t>
    </r>
    <r>
      <rPr>
        <sz val="8"/>
        <color rgb="FF007400"/>
        <rFont val="Consolas"/>
        <family val="3"/>
        <charset val="1"/>
      </rPr>
      <t xml:space="preserve"> / 0.75 /</t>
    </r>
  </si>
  <si>
    <r>
      <rPr>
        <sz val="8"/>
        <color rgb="FF000000"/>
        <rFont val="Consolas"/>
        <family val="3"/>
        <charset val="1"/>
      </rPr>
      <t xml:space="preserve">v_B</t>
    </r>
    <r>
      <rPr>
        <sz val="8"/>
        <color rgb="FF007400"/>
        <rFont val="Consolas"/>
        <family val="3"/>
        <charset val="1"/>
      </rPr>
      <t xml:space="preserve"> / 0.5 /</t>
    </r>
  </si>
  <si>
    <r>
      <rPr>
        <sz val="8"/>
        <color rgb="FF000000"/>
        <rFont val="Consolas"/>
        <family val="3"/>
        <charset val="1"/>
      </rPr>
      <t xml:space="preserve">z_B</t>
    </r>
    <r>
      <rPr>
        <sz val="8"/>
        <color rgb="FF007400"/>
        <rFont val="Consolas"/>
        <family val="3"/>
        <charset val="1"/>
      </rPr>
      <t xml:space="preserve"> / 0.7 /</t>
    </r>
  </si>
  <si>
    <t xml:space="preserve">*a_bat / 0.6 /</t>
  </si>
  <si>
    <r>
      <rPr>
        <sz val="8"/>
        <color rgb="FF000000"/>
        <rFont val="Consolas"/>
        <family val="3"/>
        <charset val="1"/>
      </rPr>
      <t xml:space="preserve">w</t>
    </r>
    <r>
      <rPr>
        <sz val="8"/>
        <color rgb="FF007400"/>
        <rFont val="Consolas"/>
        <family val="3"/>
        <charset val="1"/>
      </rPr>
      <t xml:space="preserve"> / 10 /</t>
    </r>
  </si>
  <si>
    <r>
      <rPr>
        <sz val="8"/>
        <color rgb="FF000000"/>
        <rFont val="Consolas"/>
        <family val="3"/>
        <charset val="1"/>
      </rPr>
      <t xml:space="preserve">p_nano</t>
    </r>
    <r>
      <rPr>
        <sz val="8"/>
        <color rgb="FF007400"/>
        <rFont val="Consolas"/>
        <family val="3"/>
        <charset val="1"/>
      </rPr>
      <t xml:space="preserve"> / 2 /</t>
    </r>
  </si>
  <si>
    <r>
      <rPr>
        <sz val="8"/>
        <color rgb="FF000000"/>
        <rFont val="Consolas"/>
        <family val="3"/>
        <charset val="1"/>
      </rPr>
      <t xml:space="preserve">p_micro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</si>
  <si>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ts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</si>
  <si>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Num_of_ts</t>
    </r>
    <r>
      <rPr>
        <sz val="8"/>
        <color rgb="FF007400"/>
        <rFont val="Consolas"/>
        <family val="3"/>
        <charset val="1"/>
      </rPr>
      <t xml:space="preserve"> / 168 /</t>
    </r>
  </si>
  <si>
    <t xml:space="preserve">e_solar(t)</t>
  </si>
  <si>
    <t xml:space="preserve">$ondelim</t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</si>
  <si>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Raqaypampa_PV_hourly_week10.csv</t>
    </r>
  </si>
  <si>
    <t xml:space="preserve">*$include NanoE_PVlow_1kW_1w10min.csv</t>
  </si>
  <si>
    <t xml:space="preserve">*$include PV3days_adj.csv</t>
  </si>
  <si>
    <t xml:space="preserve">$offdelim</t>
  </si>
  <si>
    <t xml:space="preserve">* Several parameters that are calculated after the model run</t>
  </si>
  <si>
    <t xml:space="preserve">indiprofit(i)</t>
  </si>
  <si>
    <t xml:space="preserve">negprofit</t>
  </si>
  <si>
    <t xml:space="preserve">;</t>
  </si>
  <si>
    <r>
      <rPr>
        <b val="true"/>
        <sz val="8"/>
        <color rgb="FF0000B3"/>
        <rFont val="Consolas"/>
        <family val="3"/>
        <charset val="1"/>
      </rPr>
      <t xml:space="preserve">Table </t>
    </r>
    <r>
      <rPr>
        <sz val="8"/>
        <color rgb="FF000000"/>
        <rFont val="Consolas"/>
        <family val="3"/>
        <charset val="1"/>
      </rPr>
      <t xml:space="preserve">e_dem(t,i)</t>
    </r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</si>
  <si>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Raqaypampa_demand_hourly_week10_3NG.csv</t>
    </r>
  </si>
  <si>
    <t xml:space="preserve">*$include NanoE_demand_5NGs_1w10min.csv</t>
  </si>
  <si>
    <t xml:space="preserve">*$include Dem3days_adj.csv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</si>
</sst>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General"/>
    <numFmt numFmtId="167" formatCode="0"/>
    <numFmt numFmtId="168" formatCode="@"/>
    <numFmt numFmtId="169" formatCode="0.0000000"/>
    <numFmt numFmtId="170" formatCode="0.0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BFBFBF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i val="true"/>
      <sz val="8"/>
      <color rgb="FF787878"/>
      <name val="Consolas"/>
      <family val="3"/>
      <charset val="1"/>
    </font>
    <font>
      <sz val="8"/>
      <color rgb="FF000000"/>
      <name val="Consolas"/>
      <family val="3"/>
      <charset val="1"/>
    </font>
    <font>
      <sz val="8"/>
      <color rgb="FF007400"/>
      <name val="Consolas"/>
      <family val="3"/>
      <charset val="1"/>
    </font>
    <font>
      <sz val="8"/>
      <color rgb="FF005078"/>
      <name val="Consolas"/>
      <family val="3"/>
      <charset val="1"/>
    </font>
    <font>
      <sz val="8"/>
      <color rgb="FF6B006B"/>
      <name val="Consolas"/>
      <family val="3"/>
      <charset val="1"/>
    </font>
    <font>
      <i val="true"/>
      <sz val="8"/>
      <color rgb="FF0000DA"/>
      <name val="Consolas"/>
      <family val="3"/>
      <charset val="1"/>
    </font>
    <font>
      <b val="true"/>
      <sz val="8"/>
      <color rgb="FF0000B3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DA"/>
      <rgbColor rgb="FFFFFF00"/>
      <rgbColor rgb="FFFF00FF"/>
      <rgbColor rgb="FF00FFFF"/>
      <rgbColor rgb="FF800000"/>
      <rgbColor rgb="FF007400"/>
      <rgbColor rgb="FF0000B3"/>
      <rgbColor rgb="FF808000"/>
      <rgbColor rgb="FF800080"/>
      <rgbColor rgb="FF008080"/>
      <rgbColor rgb="FFBFBFBF"/>
      <rgbColor rgb="FF787878"/>
      <rgbColor rgb="FF5B9BD5"/>
      <rgbColor rgb="FF993366"/>
      <rgbColor rgb="FFFFFFCC"/>
      <rgbColor rgb="FFCCFFFF"/>
      <rgbColor rgb="FF6B006B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507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72977775"/>
        <c:axId val="35235717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977775"/>
        <c:axId val="35235717"/>
      </c:lineChart>
      <c:catAx>
        <c:axId val="729777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5235717"/>
        <c:crosses val="autoZero"/>
        <c:auto val="1"/>
        <c:lblAlgn val="ctr"/>
        <c:lblOffset val="100"/>
        <c:noMultiLvlLbl val="0"/>
      </c:catAx>
      <c:valAx>
        <c:axId val="352357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29777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NG1!$M$4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NG1!$M$5:$M$172</c:f>
              <c:numCache>
                <c:formatCode>General</c:formatCode>
                <c:ptCount val="168"/>
                <c:pt idx="0">
                  <c:v>62.7760015210488</c:v>
                </c:pt>
                <c:pt idx="1">
                  <c:v>33.6533051304202</c:v>
                </c:pt>
                <c:pt idx="2">
                  <c:v>0.438272524296529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6.4809441285668E-006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6.39851231728459E-006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6.48160566020474E-006</c:v>
                </c:pt>
                <c:pt idx="22">
                  <c:v>0</c:v>
                </c:pt>
                <c:pt idx="23">
                  <c:v>6.48173797444268E-006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6.48200261090964E-006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8.65236029049406</c:v>
                </c:pt>
                <c:pt idx="52">
                  <c:v>22.4830462749699</c:v>
                </c:pt>
                <c:pt idx="53">
                  <c:v>41.1402776688091</c:v>
                </c:pt>
                <c:pt idx="54">
                  <c:v>54.914580411759</c:v>
                </c:pt>
                <c:pt idx="55">
                  <c:v>70.1437917387623</c:v>
                </c:pt>
                <c:pt idx="56">
                  <c:v>90.3216419202991</c:v>
                </c:pt>
                <c:pt idx="57">
                  <c:v>94.3556994075502</c:v>
                </c:pt>
                <c:pt idx="58">
                  <c:v>100</c:v>
                </c:pt>
                <c:pt idx="59">
                  <c:v>99.999</c:v>
                </c:pt>
                <c:pt idx="60">
                  <c:v>99.99800001</c:v>
                </c:pt>
                <c:pt idx="61">
                  <c:v>99.9970000299999</c:v>
                </c:pt>
                <c:pt idx="62">
                  <c:v>99.9960000599996</c:v>
                </c:pt>
                <c:pt idx="63">
                  <c:v>99.995000099999</c:v>
                </c:pt>
                <c:pt idx="64">
                  <c:v>99.994000149998</c:v>
                </c:pt>
                <c:pt idx="65">
                  <c:v>99.9930002099965</c:v>
                </c:pt>
                <c:pt idx="66">
                  <c:v>99.9920002799944</c:v>
                </c:pt>
                <c:pt idx="67">
                  <c:v>99.9910003599917</c:v>
                </c:pt>
                <c:pt idx="68">
                  <c:v>99.9900004499881</c:v>
                </c:pt>
                <c:pt idx="69">
                  <c:v>99.9890005499836</c:v>
                </c:pt>
                <c:pt idx="70">
                  <c:v>99.9880006599781</c:v>
                </c:pt>
                <c:pt idx="71">
                  <c:v>69.8412820127749</c:v>
                </c:pt>
                <c:pt idx="72">
                  <c:v>27.3578072841072</c:v>
                </c:pt>
                <c:pt idx="73">
                  <c:v>27.3575337060344</c:v>
                </c:pt>
                <c:pt idx="74">
                  <c:v>27.3572601306973</c:v>
                </c:pt>
                <c:pt idx="75">
                  <c:v>2.58297223488236E-016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22.0421682750382</c:v>
                </c:pt>
                <c:pt idx="149">
                  <c:v>26.1304008859463</c:v>
                </c:pt>
                <c:pt idx="150">
                  <c:v>52.2338308993428</c:v>
                </c:pt>
                <c:pt idx="151">
                  <c:v>52.2333085610337</c:v>
                </c:pt>
                <c:pt idx="152">
                  <c:v>81.9194771867414</c:v>
                </c:pt>
                <c:pt idx="153">
                  <c:v>92.0229808431274</c:v>
                </c:pt>
                <c:pt idx="154">
                  <c:v>93.7569843613365</c:v>
                </c:pt>
                <c:pt idx="155">
                  <c:v>96.5468138814834</c:v>
                </c:pt>
                <c:pt idx="156">
                  <c:v>96.5458484133446</c:v>
                </c:pt>
                <c:pt idx="157">
                  <c:v>96.5448829548605</c:v>
                </c:pt>
                <c:pt idx="158">
                  <c:v>97.6652075812433</c:v>
                </c:pt>
                <c:pt idx="159">
                  <c:v>97.6642309291675</c:v>
                </c:pt>
                <c:pt idx="160">
                  <c:v>100</c:v>
                </c:pt>
                <c:pt idx="161">
                  <c:v>99.999</c:v>
                </c:pt>
                <c:pt idx="162">
                  <c:v>99.99800001</c:v>
                </c:pt>
                <c:pt idx="163">
                  <c:v>99.9970000299999</c:v>
                </c:pt>
                <c:pt idx="164">
                  <c:v>99.9960000599996</c:v>
                </c:pt>
                <c:pt idx="165">
                  <c:v>99.995000099999</c:v>
                </c:pt>
                <c:pt idx="166">
                  <c:v>99.994000149998</c:v>
                </c:pt>
                <c:pt idx="167">
                  <c:v>99.9930002099965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889356"/>
        <c:axId val="48716395"/>
      </c:lineChart>
      <c:catAx>
        <c:axId val="878893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8716395"/>
        <c:crosses val="autoZero"/>
        <c:auto val="1"/>
        <c:lblAlgn val="ctr"/>
        <c:lblOffset val="100"/>
        <c:noMultiLvlLbl val="0"/>
      </c:catAx>
      <c:valAx>
        <c:axId val="48716395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SoC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78893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 in the MCP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443686"/>
        <c:axId val="35093255"/>
      </c:lineChart>
      <c:catAx>
        <c:axId val="434436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 of the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5093255"/>
        <c:crosses val="autoZero"/>
        <c:auto val="1"/>
        <c:lblAlgn val="ctr"/>
        <c:lblOffset val="100"/>
        <c:noMultiLvlLbl val="0"/>
      </c:catAx>
      <c:valAx>
        <c:axId val="350932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p_micro in Euro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34436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gapWidth val="150"/>
        <c:overlap val="100"/>
        <c:axId val="35128047"/>
        <c:axId val="23840713"/>
      </c:barChart>
      <c:catAx>
        <c:axId val="351280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3840713"/>
        <c:crosses val="autoZero"/>
        <c:auto val="1"/>
        <c:lblAlgn val="ctr"/>
        <c:lblOffset val="100"/>
        <c:noMultiLvlLbl val="0"/>
      </c:catAx>
      <c:valAx>
        <c:axId val="238407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51280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41238548"/>
        <c:axId val="57409105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238548"/>
        <c:axId val="57409105"/>
      </c:lineChart>
      <c:catAx>
        <c:axId val="412385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7409105"/>
        <c:crosses val="autoZero"/>
        <c:auto val="1"/>
        <c:lblAlgn val="ctr"/>
        <c:lblOffset val="100"/>
        <c:noMultiLvlLbl val="0"/>
      </c:catAx>
      <c:valAx>
        <c:axId val="5740910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12385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NG2!$L$4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NG2!$L$5:$L$172</c:f>
              <c:numCache>
                <c:formatCode>General</c:formatCode>
                <c:ptCount val="168"/>
                <c:pt idx="0">
                  <c:v>70</c:v>
                </c:pt>
                <c:pt idx="1">
                  <c:v>69.9993</c:v>
                </c:pt>
                <c:pt idx="2">
                  <c:v>69.998600007</c:v>
                </c:pt>
                <c:pt idx="3">
                  <c:v>68.3845276640815</c:v>
                </c:pt>
                <c:pt idx="4">
                  <c:v>63.5437267480497</c:v>
                </c:pt>
                <c:pt idx="5">
                  <c:v>58.702974240027</c:v>
                </c:pt>
                <c:pt idx="6">
                  <c:v>53.8622701395294</c:v>
                </c:pt>
                <c:pt idx="7">
                  <c:v>49.0216144460728</c:v>
                </c:pt>
                <c:pt idx="8">
                  <c:v>44.1810071591732</c:v>
                </c:pt>
                <c:pt idx="9">
                  <c:v>39.3404482783464</c:v>
                </c:pt>
                <c:pt idx="10">
                  <c:v>34.4999378031084</c:v>
                </c:pt>
                <c:pt idx="11">
                  <c:v>29.6594757329752</c:v>
                </c:pt>
                <c:pt idx="12">
                  <c:v>24.8190620674627</c:v>
                </c:pt>
                <c:pt idx="13">
                  <c:v>19.9786968060868</c:v>
                </c:pt>
                <c:pt idx="14">
                  <c:v>15.1383799483635</c:v>
                </c:pt>
                <c:pt idx="15">
                  <c:v>10.2981114938089</c:v>
                </c:pt>
                <c:pt idx="16">
                  <c:v>5.45789144193873</c:v>
                </c:pt>
                <c:pt idx="17">
                  <c:v>0.617719792269118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0.43806452010565</c:v>
                </c:pt>
                <c:pt idx="30">
                  <c:v>1.15473610362366</c:v>
                </c:pt>
                <c:pt idx="31">
                  <c:v>2.1144906439804</c:v>
                </c:pt>
                <c:pt idx="32">
                  <c:v>3.31732571034629</c:v>
                </c:pt>
                <c:pt idx="33">
                  <c:v>4.5948112825916</c:v>
                </c:pt>
                <c:pt idx="34">
                  <c:v>5.94694661421124</c:v>
                </c:pt>
                <c:pt idx="35">
                  <c:v>7.37373095870765</c:v>
                </c:pt>
                <c:pt idx="36">
                  <c:v>8.87516356959067</c:v>
                </c:pt>
                <c:pt idx="37">
                  <c:v>10.8901346627918</c:v>
                </c:pt>
                <c:pt idx="38">
                  <c:v>13.4186391029263</c:v>
                </c:pt>
                <c:pt idx="39">
                  <c:v>16.4606717546606</c:v>
                </c:pt>
                <c:pt idx="40">
                  <c:v>20.0162274827126</c:v>
                </c:pt>
                <c:pt idx="41">
                  <c:v>23.6455665449829</c:v>
                </c:pt>
                <c:pt idx="42">
                  <c:v>27.348688203638</c:v>
                </c:pt>
                <c:pt idx="43">
                  <c:v>31.125591720852</c:v>
                </c:pt>
                <c:pt idx="44">
                  <c:v>34.9762763588063</c:v>
                </c:pt>
                <c:pt idx="45">
                  <c:v>38.8410987297671</c:v>
                </c:pt>
                <c:pt idx="46">
                  <c:v>42.7200586923569</c:v>
                </c:pt>
                <c:pt idx="47">
                  <c:v>46.6131561051999</c:v>
                </c:pt>
                <c:pt idx="48">
                  <c:v>50.5203908269217</c:v>
                </c:pt>
                <c:pt idx="49">
                  <c:v>54.4563909083881</c:v>
                </c:pt>
                <c:pt idx="50">
                  <c:v>58.4211560619458</c:v>
                </c:pt>
                <c:pt idx="51">
                  <c:v>62.4146859999439</c:v>
                </c:pt>
                <c:pt idx="52">
                  <c:v>66.4369804347346</c:v>
                </c:pt>
                <c:pt idx="53">
                  <c:v>70.3258484322805</c:v>
                </c:pt>
                <c:pt idx="54">
                  <c:v>74.081291326846</c:v>
                </c:pt>
                <c:pt idx="55">
                  <c:v>77.7033104526821</c:v>
                </c:pt>
                <c:pt idx="56">
                  <c:v>81.1919071440265</c:v>
                </c:pt>
                <c:pt idx="57">
                  <c:v>84.3125646418106</c:v>
                </c:pt>
                <c:pt idx="58">
                  <c:v>87.0652866254264</c:v>
                </c:pt>
                <c:pt idx="59">
                  <c:v>89.4500767742291</c:v>
                </c:pt>
                <c:pt idx="60">
                  <c:v>91.466938767537</c:v>
                </c:pt>
                <c:pt idx="61">
                  <c:v>93.2959793106042</c:v>
                </c:pt>
                <c:pt idx="62">
                  <c:v>94.9372002816454</c:v>
                </c:pt>
                <c:pt idx="63">
                  <c:v>96.3906035588561</c:v>
                </c:pt>
                <c:pt idx="64">
                  <c:v>97.6561910204134</c:v>
                </c:pt>
                <c:pt idx="65">
                  <c:v>98.7304845111004</c:v>
                </c:pt>
                <c:pt idx="66">
                  <c:v>99.6134859438566</c:v>
                </c:pt>
                <c:pt idx="67">
                  <c:v>100</c:v>
                </c:pt>
                <c:pt idx="68">
                  <c:v>99.999</c:v>
                </c:pt>
                <c:pt idx="69">
                  <c:v>99.99800001</c:v>
                </c:pt>
                <c:pt idx="70">
                  <c:v>99.9970000299999</c:v>
                </c:pt>
                <c:pt idx="71">
                  <c:v>99.9960000599996</c:v>
                </c:pt>
                <c:pt idx="72">
                  <c:v>99.995000099999</c:v>
                </c:pt>
                <c:pt idx="73">
                  <c:v>99.994000149998</c:v>
                </c:pt>
                <c:pt idx="74">
                  <c:v>99.9930002099966</c:v>
                </c:pt>
                <c:pt idx="75">
                  <c:v>99.9920002799944</c:v>
                </c:pt>
                <c:pt idx="76">
                  <c:v>99.9910003599917</c:v>
                </c:pt>
                <c:pt idx="77">
                  <c:v>98.3766280930697</c:v>
                </c:pt>
                <c:pt idx="78">
                  <c:v>93.5355272560335</c:v>
                </c:pt>
                <c:pt idx="79">
                  <c:v>88.6944748300058</c:v>
                </c:pt>
                <c:pt idx="80">
                  <c:v>83.8534708145023</c:v>
                </c:pt>
                <c:pt idx="81">
                  <c:v>79.012515209039</c:v>
                </c:pt>
                <c:pt idx="82">
                  <c:v>74.1716080131317</c:v>
                </c:pt>
                <c:pt idx="83">
                  <c:v>69.3307492262963</c:v>
                </c:pt>
                <c:pt idx="84">
                  <c:v>64.4899388480489</c:v>
                </c:pt>
                <c:pt idx="85">
                  <c:v>59.6491768779052</c:v>
                </c:pt>
                <c:pt idx="86">
                  <c:v>54.8084633153812</c:v>
                </c:pt>
                <c:pt idx="87">
                  <c:v>49.9677981599929</c:v>
                </c:pt>
                <c:pt idx="88">
                  <c:v>45.1271814112561</c:v>
                </c:pt>
                <c:pt idx="89">
                  <c:v>40.2866130686868</c:v>
                </c:pt>
                <c:pt idx="90">
                  <c:v>35.4460931318009</c:v>
                </c:pt>
                <c:pt idx="91">
                  <c:v>30.6056216001144</c:v>
                </c:pt>
                <c:pt idx="92">
                  <c:v>25.7651984731432</c:v>
                </c:pt>
                <c:pt idx="93">
                  <c:v>20.9248237504033</c:v>
                </c:pt>
                <c:pt idx="94">
                  <c:v>16.0844974314106</c:v>
                </c:pt>
                <c:pt idx="95">
                  <c:v>11.5668939870647</c:v>
                </c:pt>
                <c:pt idx="96">
                  <c:v>6.72666124736968</c:v>
                </c:pt>
                <c:pt idx="97">
                  <c:v>1.88647691000202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1.33036807723133E-007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3.35797610064853</c:v>
                </c:pt>
                <c:pt idx="134">
                  <c:v>6.89094471570169</c:v>
                </c:pt>
                <c:pt idx="135">
                  <c:v>10.5989040952344</c:v>
                </c:pt>
                <c:pt idx="136">
                  <c:v>14.4818524893389</c:v>
                </c:pt>
                <c:pt idx="137">
                  <c:v>16.7416188050334</c:v>
                </c:pt>
                <c:pt idx="138">
                  <c:v>20.7796158309966</c:v>
                </c:pt>
                <c:pt idx="139">
                  <c:v>24.8951275064925</c:v>
                </c:pt>
                <c:pt idx="140">
                  <c:v>29.0881530563745</c:v>
                </c:pt>
                <c:pt idx="141">
                  <c:v>33.3355969385599</c:v>
                </c:pt>
                <c:pt idx="142">
                  <c:v>37.6374586088654</c:v>
                </c:pt>
                <c:pt idx="143">
                  <c:v>41.9937375231129</c:v>
                </c:pt>
                <c:pt idx="144">
                  <c:v>46.4044331371302</c:v>
                </c:pt>
                <c:pt idx="145">
                  <c:v>50.742621611575</c:v>
                </c:pt>
                <c:pt idx="146">
                  <c:v>55.0083036715187</c:v>
                </c:pt>
                <c:pt idx="147">
                  <c:v>59.2014800420255</c:v>
                </c:pt>
                <c:pt idx="148">
                  <c:v>63.3221514481522</c:v>
                </c:pt>
                <c:pt idx="149">
                  <c:v>67.2919500711501</c:v>
                </c:pt>
                <c:pt idx="150">
                  <c:v>71.110877419747</c:v>
                </c:pt>
                <c:pt idx="151">
                  <c:v>74.6280728371676</c:v>
                </c:pt>
                <c:pt idx="152">
                  <c:v>78.1452636717074</c:v>
                </c:pt>
                <c:pt idx="153">
                  <c:v>81.3841673151239</c:v>
                </c:pt>
                <c:pt idx="154">
                  <c:v>84.3447865502889</c:v>
                </c:pt>
                <c:pt idx="155">
                  <c:v>87.0271241600467</c:v>
                </c:pt>
                <c:pt idx="156">
                  <c:v>89.1426468315043</c:v>
                </c:pt>
                <c:pt idx="157">
                  <c:v>91.3521189411074</c:v>
                </c:pt>
                <c:pt idx="158">
                  <c:v>93.3670034536526</c:v>
                </c:pt>
                <c:pt idx="159">
                  <c:v>95.1873023150158</c:v>
                </c:pt>
                <c:pt idx="160">
                  <c:v>96.8130174710536</c:v>
                </c:pt>
                <c:pt idx="161">
                  <c:v>98.1974189908512</c:v>
                </c:pt>
                <c:pt idx="162">
                  <c:v>99.3405092875451</c:v>
                </c:pt>
                <c:pt idx="163">
                  <c:v>99.3395158824522</c:v>
                </c:pt>
                <c:pt idx="164">
                  <c:v>100</c:v>
                </c:pt>
                <c:pt idx="165">
                  <c:v>99.999</c:v>
                </c:pt>
                <c:pt idx="166">
                  <c:v>99.99800001</c:v>
                </c:pt>
                <c:pt idx="167">
                  <c:v>99.9970000299999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892002"/>
        <c:axId val="81462092"/>
      </c:lineChart>
      <c:catAx>
        <c:axId val="988920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1462092"/>
        <c:crosses val="autoZero"/>
        <c:auto val="1"/>
        <c:lblAlgn val="ctr"/>
        <c:lblOffset val="100"/>
        <c:noMultiLvlLbl val="0"/>
      </c:catAx>
      <c:valAx>
        <c:axId val="8146209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88920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625059"/>
        <c:axId val="35570118"/>
      </c:lineChart>
      <c:catAx>
        <c:axId val="526250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5570118"/>
        <c:crosses val="autoZero"/>
        <c:auto val="1"/>
        <c:lblAlgn val="ctr"/>
        <c:lblOffset val="100"/>
        <c:noMultiLvlLbl val="0"/>
      </c:catAx>
      <c:valAx>
        <c:axId val="355701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26250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17758486"/>
        <c:axId val="50450848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758486"/>
        <c:axId val="50450848"/>
      </c:lineChart>
      <c:catAx>
        <c:axId val="177584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0450848"/>
        <c:crosses val="autoZero"/>
        <c:auto val="1"/>
        <c:lblAlgn val="ctr"/>
        <c:lblOffset val="100"/>
        <c:noMultiLvlLbl val="0"/>
      </c:catAx>
      <c:valAx>
        <c:axId val="504508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77584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NG3!$L$4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NG3!$L$5:$L$172</c:f>
              <c:numCache>
                <c:formatCode>General</c:formatCode>
                <c:ptCount val="168"/>
                <c:pt idx="0">
                  <c:v>69.6728279629987</c:v>
                </c:pt>
                <c:pt idx="1">
                  <c:v>69.5178938700606</c:v>
                </c:pt>
                <c:pt idx="2">
                  <c:v>69.3208958895684</c:v>
                </c:pt>
                <c:pt idx="3">
                  <c:v>68.4447005000656</c:v>
                </c:pt>
                <c:pt idx="4">
                  <c:v>67.3468214511769</c:v>
                </c:pt>
                <c:pt idx="5">
                  <c:v>66.6347835237105</c:v>
                </c:pt>
                <c:pt idx="6">
                  <c:v>65.5399647891629</c:v>
                </c:pt>
                <c:pt idx="7">
                  <c:v>64.8085491142713</c:v>
                </c:pt>
                <c:pt idx="8">
                  <c:v>63.6966892884577</c:v>
                </c:pt>
                <c:pt idx="9">
                  <c:v>62.9802469946755</c:v>
                </c:pt>
                <c:pt idx="10">
                  <c:v>62.4958685238485</c:v>
                </c:pt>
                <c:pt idx="11">
                  <c:v>61.5380347954436</c:v>
                </c:pt>
                <c:pt idx="12">
                  <c:v>60.267763836533</c:v>
                </c:pt>
                <c:pt idx="13">
                  <c:v>58.8911764443733</c:v>
                </c:pt>
                <c:pt idx="14">
                  <c:v>57.936185181847</c:v>
                </c:pt>
                <c:pt idx="15">
                  <c:v>56.7510137838926</c:v>
                </c:pt>
                <c:pt idx="16">
                  <c:v>56.1447075346016</c:v>
                </c:pt>
                <c:pt idx="17">
                  <c:v>54.6492088435207</c:v>
                </c:pt>
                <c:pt idx="18">
                  <c:v>52.8332724814947</c:v>
                </c:pt>
                <c:pt idx="19">
                  <c:v>50.303946371283</c:v>
                </c:pt>
                <c:pt idx="20">
                  <c:v>47.8454545262892</c:v>
                </c:pt>
                <c:pt idx="21">
                  <c:v>46.5287976045535</c:v>
                </c:pt>
                <c:pt idx="22">
                  <c:v>45.851983728095</c:v>
                </c:pt>
                <c:pt idx="23">
                  <c:v>44.3310577319377</c:v>
                </c:pt>
                <c:pt idx="24">
                  <c:v>43.4443714640078</c:v>
                </c:pt>
                <c:pt idx="25">
                  <c:v>42.1173862237354</c:v>
                </c:pt>
                <c:pt idx="26">
                  <c:v>41.5699825843081</c:v>
                </c:pt>
                <c:pt idx="27">
                  <c:v>40.6998185383883</c:v>
                </c:pt>
                <c:pt idx="28">
                  <c:v>40.6248915251672</c:v>
                </c:pt>
                <c:pt idx="29">
                  <c:v>40.6244852762519</c:v>
                </c:pt>
                <c:pt idx="30">
                  <c:v>40.6240790313992</c:v>
                </c:pt>
                <c:pt idx="31">
                  <c:v>40.6236727906088</c:v>
                </c:pt>
                <c:pt idx="32">
                  <c:v>40.6232665538809</c:v>
                </c:pt>
                <c:pt idx="33">
                  <c:v>40.6228603212154</c:v>
                </c:pt>
                <c:pt idx="34">
                  <c:v>40.6224540926122</c:v>
                </c:pt>
                <c:pt idx="35">
                  <c:v>40.6220478680713</c:v>
                </c:pt>
                <c:pt idx="36">
                  <c:v>40.6216416475926</c:v>
                </c:pt>
                <c:pt idx="37">
                  <c:v>40.6212354311761</c:v>
                </c:pt>
                <c:pt idx="38">
                  <c:v>40.6208292188218</c:v>
                </c:pt>
                <c:pt idx="39">
                  <c:v>40.6204230105296</c:v>
                </c:pt>
                <c:pt idx="40">
                  <c:v>40.6200168062995</c:v>
                </c:pt>
                <c:pt idx="41">
                  <c:v>40.6196106061314</c:v>
                </c:pt>
                <c:pt idx="42">
                  <c:v>40.6192044100254</c:v>
                </c:pt>
                <c:pt idx="43">
                  <c:v>40.6187982179813</c:v>
                </c:pt>
                <c:pt idx="44">
                  <c:v>40.6183920299991</c:v>
                </c:pt>
                <c:pt idx="45">
                  <c:v>48.2680010438641</c:v>
                </c:pt>
                <c:pt idx="46">
                  <c:v>56.3168964094632</c:v>
                </c:pt>
                <c:pt idx="47">
                  <c:v>56.3163332404991</c:v>
                </c:pt>
                <c:pt idx="48">
                  <c:v>56.3157700771667</c:v>
                </c:pt>
                <c:pt idx="49">
                  <c:v>56.3152069194659</c:v>
                </c:pt>
                <c:pt idx="50">
                  <c:v>56.3146437673967</c:v>
                </c:pt>
                <c:pt idx="51">
                  <c:v>56.3140806209591</c:v>
                </c:pt>
                <c:pt idx="52">
                  <c:v>56.3135174801529</c:v>
                </c:pt>
                <c:pt idx="53">
                  <c:v>63.2483138115203</c:v>
                </c:pt>
                <c:pt idx="54">
                  <c:v>63.2476813283822</c:v>
                </c:pt>
                <c:pt idx="55">
                  <c:v>70.6647653278831</c:v>
                </c:pt>
                <c:pt idx="56">
                  <c:v>70.6640586802298</c:v>
                </c:pt>
                <c:pt idx="57">
                  <c:v>77.3093271358428</c:v>
                </c:pt>
                <c:pt idx="58">
                  <c:v>82.7630135641997</c:v>
                </c:pt>
                <c:pt idx="59">
                  <c:v>87.3611121067598</c:v>
                </c:pt>
                <c:pt idx="60">
                  <c:v>91.133386356503</c:v>
                </c:pt>
                <c:pt idx="61">
                  <c:v>93.969392191452</c:v>
                </c:pt>
                <c:pt idx="62">
                  <c:v>93.9684524975301</c:v>
                </c:pt>
                <c:pt idx="63">
                  <c:v>93.9675128130052</c:v>
                </c:pt>
                <c:pt idx="64">
                  <c:v>93.966573137877</c:v>
                </c:pt>
                <c:pt idx="65">
                  <c:v>93.9656334721457</c:v>
                </c:pt>
                <c:pt idx="66">
                  <c:v>93.964693815811</c:v>
                </c:pt>
                <c:pt idx="67">
                  <c:v>93.9637541688728</c:v>
                </c:pt>
                <c:pt idx="68">
                  <c:v>93.5776630970448</c:v>
                </c:pt>
                <c:pt idx="69">
                  <c:v>92.1642647576043</c:v>
                </c:pt>
                <c:pt idx="70">
                  <c:v>90.2753187754361</c:v>
                </c:pt>
                <c:pt idx="71">
                  <c:v>88.4976724469632</c:v>
                </c:pt>
                <c:pt idx="72">
                  <c:v>86.8959840360613</c:v>
                </c:pt>
                <c:pt idx="73">
                  <c:v>84.1059711705937</c:v>
                </c:pt>
                <c:pt idx="74">
                  <c:v>81.5344814266528</c:v>
                </c:pt>
                <c:pt idx="75">
                  <c:v>80.2436799153772</c:v>
                </c:pt>
                <c:pt idx="76">
                  <c:v>78.0264888853648</c:v>
                </c:pt>
                <c:pt idx="77">
                  <c:v>76.5996715441931</c:v>
                </c:pt>
                <c:pt idx="78">
                  <c:v>74.3273630748204</c:v>
                </c:pt>
                <c:pt idx="79">
                  <c:v>73.095228643255</c:v>
                </c:pt>
                <c:pt idx="80">
                  <c:v>71.1660038887674</c:v>
                </c:pt>
                <c:pt idx="81">
                  <c:v>69.7530292501886</c:v>
                </c:pt>
                <c:pt idx="82">
                  <c:v>67.9287747108982</c:v>
                </c:pt>
                <c:pt idx="83">
                  <c:v>65.9252963683678</c:v>
                </c:pt>
                <c:pt idx="84">
                  <c:v>64.2319418636789</c:v>
                </c:pt>
                <c:pt idx="85">
                  <c:v>62.6182949997664</c:v>
                </c:pt>
                <c:pt idx="86">
                  <c:v>61.1780714718643</c:v>
                </c:pt>
                <c:pt idx="87">
                  <c:v>59.331008482298</c:v>
                </c:pt>
                <c:pt idx="88">
                  <c:v>57.9864003579908</c:v>
                </c:pt>
                <c:pt idx="89">
                  <c:v>57.1512474887584</c:v>
                </c:pt>
                <c:pt idx="90">
                  <c:v>56.3724281196982</c:v>
                </c:pt>
                <c:pt idx="91">
                  <c:v>54.7359689227711</c:v>
                </c:pt>
                <c:pt idx="92">
                  <c:v>53.9740201658049</c:v>
                </c:pt>
                <c:pt idx="93">
                  <c:v>51.9529438401913</c:v>
                </c:pt>
                <c:pt idx="94">
                  <c:v>51.3732989951785</c:v>
                </c:pt>
                <c:pt idx="95">
                  <c:v>50.8714738655494</c:v>
                </c:pt>
                <c:pt idx="96">
                  <c:v>50.2490625695343</c:v>
                </c:pt>
                <c:pt idx="97">
                  <c:v>48.4070360527788</c:v>
                </c:pt>
                <c:pt idx="98">
                  <c:v>46.7937072345835</c:v>
                </c:pt>
                <c:pt idx="99">
                  <c:v>44.2455014053371</c:v>
                </c:pt>
                <c:pt idx="100">
                  <c:v>42.0824620401923</c:v>
                </c:pt>
                <c:pt idx="101">
                  <c:v>40.0066092151482</c:v>
                </c:pt>
                <c:pt idx="102">
                  <c:v>37.4594221536044</c:v>
                </c:pt>
                <c:pt idx="103">
                  <c:v>35.4602689585717</c:v>
                </c:pt>
                <c:pt idx="104">
                  <c:v>33.29708024738</c:v>
                </c:pt>
                <c:pt idx="105">
                  <c:v>31.2717973992995</c:v>
                </c:pt>
                <c:pt idx="106">
                  <c:v>28.7609191624991</c:v>
                </c:pt>
                <c:pt idx="107">
                  <c:v>26.7041291513869</c:v>
                </c:pt>
                <c:pt idx="108">
                  <c:v>24.3412226097042</c:v>
                </c:pt>
                <c:pt idx="109">
                  <c:v>22.0711160425518</c:v>
                </c:pt>
                <c:pt idx="110">
                  <c:v>19.9763026101105</c:v>
                </c:pt>
                <c:pt idx="111">
                  <c:v>17.5751376985054</c:v>
                </c:pt>
                <c:pt idx="112">
                  <c:v>15.5628654172649</c:v>
                </c:pt>
                <c:pt idx="113">
                  <c:v>13.1993706114472</c:v>
                </c:pt>
                <c:pt idx="114">
                  <c:v>10.9651325914951</c:v>
                </c:pt>
                <c:pt idx="115">
                  <c:v>9.199468528002</c:v>
                </c:pt>
                <c:pt idx="116">
                  <c:v>6.5920637579644</c:v>
                </c:pt>
                <c:pt idx="117">
                  <c:v>4.97574556364844</c:v>
                </c:pt>
                <c:pt idx="118">
                  <c:v>3.01916122163057</c:v>
                </c:pt>
                <c:pt idx="119">
                  <c:v>0.582096478975254</c:v>
                </c:pt>
                <c:pt idx="120">
                  <c:v>0.6283796380919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1.60925763339666E-007</c:v>
                </c:pt>
                <c:pt idx="135">
                  <c:v>1.24857444270195E-008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8.90607932242101</c:v>
                </c:pt>
                <c:pt idx="143">
                  <c:v>8.90599026162779</c:v>
                </c:pt>
                <c:pt idx="144">
                  <c:v>8.90590120172517</c:v>
                </c:pt>
                <c:pt idx="145">
                  <c:v>8.90581214271315</c:v>
                </c:pt>
                <c:pt idx="146">
                  <c:v>8.90572308459173</c:v>
                </c:pt>
                <c:pt idx="147">
                  <c:v>8.90563402736088</c:v>
                </c:pt>
                <c:pt idx="148">
                  <c:v>17.3886976733308</c:v>
                </c:pt>
                <c:pt idx="149">
                  <c:v>25.4022320245786</c:v>
                </c:pt>
                <c:pt idx="150">
                  <c:v>33.2415354646599</c:v>
                </c:pt>
                <c:pt idx="151">
                  <c:v>40.6113183191169</c:v>
                </c:pt>
                <c:pt idx="152">
                  <c:v>47.8038495532743</c:v>
                </c:pt>
                <c:pt idx="153">
                  <c:v>54.6167527981121</c:v>
                </c:pt>
                <c:pt idx="154">
                  <c:v>60.3551417429769</c:v>
                </c:pt>
                <c:pt idx="155">
                  <c:v>65.8697003925047</c:v>
                </c:pt>
                <c:pt idx="156">
                  <c:v>70.4320357481134</c:v>
                </c:pt>
                <c:pt idx="157">
                  <c:v>74.5935528014364</c:v>
                </c:pt>
                <c:pt idx="158">
                  <c:v>78.8722695532444</c:v>
                </c:pt>
                <c:pt idx="159">
                  <c:v>81.746854864353</c:v>
                </c:pt>
                <c:pt idx="160">
                  <c:v>81.8677669166102</c:v>
                </c:pt>
                <c:pt idx="161">
                  <c:v>81.8669482389411</c:v>
                </c:pt>
                <c:pt idx="162">
                  <c:v>81.8661295694587</c:v>
                </c:pt>
                <c:pt idx="163">
                  <c:v>81.4903322654098</c:v>
                </c:pt>
                <c:pt idx="164">
                  <c:v>81.4895173620871</c:v>
                </c:pt>
                <c:pt idx="165">
                  <c:v>81.4368291173035</c:v>
                </c:pt>
                <c:pt idx="166">
                  <c:v>81.1516483087985</c:v>
                </c:pt>
                <c:pt idx="167">
                  <c:v>79.7884879899385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389593"/>
        <c:axId val="11307312"/>
      </c:lineChart>
      <c:catAx>
        <c:axId val="163895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1307312"/>
        <c:crosses val="autoZero"/>
        <c:auto val="1"/>
        <c:lblAlgn val="ctr"/>
        <c:lblOffset val="100"/>
        <c:noMultiLvlLbl val="0"/>
      </c:catAx>
      <c:valAx>
        <c:axId val="1130731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63895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76143270"/>
        <c:axId val="20577881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143270"/>
        <c:axId val="20577881"/>
      </c:lineChart>
      <c:catAx>
        <c:axId val="761432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0577881"/>
        <c:crosses val="autoZero"/>
        <c:auto val="1"/>
        <c:lblAlgn val="ctr"/>
        <c:lblOffset val="100"/>
        <c:noMultiLvlLbl val="0"/>
      </c:catAx>
      <c:valAx>
        <c:axId val="205778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61432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84890788"/>
        <c:axId val="2887388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890788"/>
        <c:axId val="2887388"/>
      </c:lineChart>
      <c:catAx>
        <c:axId val="848907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887388"/>
        <c:crosses val="autoZero"/>
        <c:auto val="1"/>
        <c:lblAlgn val="ctr"/>
        <c:lblOffset val="100"/>
        <c:noMultiLvlLbl val="0"/>
      </c:catAx>
      <c:valAx>
        <c:axId val="28873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48907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63212957"/>
        <c:axId val="24398727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212957"/>
        <c:axId val="24398727"/>
      </c:lineChart>
      <c:catAx>
        <c:axId val="632129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4398727"/>
        <c:crosses val="autoZero"/>
        <c:auto val="1"/>
        <c:lblAlgn val="ctr"/>
        <c:lblOffset val="100"/>
        <c:noMultiLvlLbl val="0"/>
      </c:catAx>
      <c:valAx>
        <c:axId val="243987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32129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NG1!$N$5:$N$166</c:f>
              <c:numCache>
                <c:formatCode>0.000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128233"/>
        <c:axId val="5819420"/>
      </c:lineChart>
      <c:catAx>
        <c:axId val="401282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819420"/>
        <c:crosses val="autoZero"/>
        <c:auto val="1"/>
        <c:lblAlgn val="ctr"/>
        <c:lblOffset val="100"/>
        <c:noMultiLvlLbl val="0"/>
      </c:catAx>
      <c:valAx>
        <c:axId val="58194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01282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21960</xdr:colOff>
      <xdr:row>4</xdr:row>
      <xdr:rowOff>18000</xdr:rowOff>
    </xdr:from>
    <xdr:to>
      <xdr:col>32</xdr:col>
      <xdr:colOff>588960</xdr:colOff>
      <xdr:row>29</xdr:row>
      <xdr:rowOff>100800</xdr:rowOff>
    </xdr:to>
    <xdr:graphicFrame>
      <xdr:nvGraphicFramePr>
        <xdr:cNvPr id="0" name="Chart 1"/>
        <xdr:cNvGraphicFramePr/>
      </xdr:nvGraphicFramePr>
      <xdr:xfrm>
        <a:off x="10496160" y="718920"/>
        <a:ext cx="12182400" cy="446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609480</xdr:colOff>
      <xdr:row>44</xdr:row>
      <xdr:rowOff>136080</xdr:rowOff>
    </xdr:from>
    <xdr:to>
      <xdr:col>32</xdr:col>
      <xdr:colOff>590400</xdr:colOff>
      <xdr:row>54</xdr:row>
      <xdr:rowOff>13320</xdr:rowOff>
    </xdr:to>
    <xdr:graphicFrame>
      <xdr:nvGraphicFramePr>
        <xdr:cNvPr id="1" name="Chart 2"/>
        <xdr:cNvGraphicFramePr/>
      </xdr:nvGraphicFramePr>
      <xdr:xfrm>
        <a:off x="10400400" y="7847640"/>
        <a:ext cx="12279600" cy="1629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609480</xdr:colOff>
      <xdr:row>54</xdr:row>
      <xdr:rowOff>21960</xdr:rowOff>
    </xdr:from>
    <xdr:to>
      <xdr:col>32</xdr:col>
      <xdr:colOff>601920</xdr:colOff>
      <xdr:row>71</xdr:row>
      <xdr:rowOff>82080</xdr:rowOff>
    </xdr:to>
    <xdr:graphicFrame>
      <xdr:nvGraphicFramePr>
        <xdr:cNvPr id="2" name="Chart 3"/>
        <xdr:cNvGraphicFramePr/>
      </xdr:nvGraphicFramePr>
      <xdr:xfrm>
        <a:off x="10400400" y="9486000"/>
        <a:ext cx="12291120" cy="303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19080</xdr:colOff>
      <xdr:row>29</xdr:row>
      <xdr:rowOff>100800</xdr:rowOff>
    </xdr:from>
    <xdr:to>
      <xdr:col>32</xdr:col>
      <xdr:colOff>586080</xdr:colOff>
      <xdr:row>44</xdr:row>
      <xdr:rowOff>127440</xdr:rowOff>
    </xdr:to>
    <xdr:graphicFrame>
      <xdr:nvGraphicFramePr>
        <xdr:cNvPr id="3" name="Chart 4"/>
        <xdr:cNvGraphicFramePr/>
      </xdr:nvGraphicFramePr>
      <xdr:xfrm>
        <a:off x="10493280" y="5183280"/>
        <a:ext cx="12182400" cy="265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567000</xdr:colOff>
      <xdr:row>29</xdr:row>
      <xdr:rowOff>82800</xdr:rowOff>
    </xdr:to>
    <xdr:graphicFrame>
      <xdr:nvGraphicFramePr>
        <xdr:cNvPr id="4" name="Chart 6"/>
        <xdr:cNvGraphicFramePr/>
      </xdr:nvGraphicFramePr>
      <xdr:xfrm>
        <a:off x="9711000" y="700920"/>
        <a:ext cx="12182400" cy="446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600120</xdr:colOff>
      <xdr:row>29</xdr:row>
      <xdr:rowOff>85680</xdr:rowOff>
    </xdr:from>
    <xdr:to>
      <xdr:col>31</xdr:col>
      <xdr:colOff>581040</xdr:colOff>
      <xdr:row>41</xdr:row>
      <xdr:rowOff>70560</xdr:rowOff>
    </xdr:to>
    <xdr:graphicFrame>
      <xdr:nvGraphicFramePr>
        <xdr:cNvPr id="5" name="Chart 8"/>
        <xdr:cNvGraphicFramePr/>
      </xdr:nvGraphicFramePr>
      <xdr:xfrm>
        <a:off x="9627840" y="5168160"/>
        <a:ext cx="12279600" cy="208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601920</xdr:colOff>
      <xdr:row>41</xdr:row>
      <xdr:rowOff>76320</xdr:rowOff>
    </xdr:from>
    <xdr:to>
      <xdr:col>31</xdr:col>
      <xdr:colOff>590760</xdr:colOff>
      <xdr:row>56</xdr:row>
      <xdr:rowOff>114480</xdr:rowOff>
    </xdr:to>
    <xdr:graphicFrame>
      <xdr:nvGraphicFramePr>
        <xdr:cNvPr id="6" name="Chart 1"/>
        <xdr:cNvGraphicFramePr/>
      </xdr:nvGraphicFramePr>
      <xdr:xfrm>
        <a:off x="9629640" y="7261920"/>
        <a:ext cx="12287520" cy="266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567000</xdr:colOff>
      <xdr:row>29</xdr:row>
      <xdr:rowOff>82800</xdr:rowOff>
    </xdr:to>
    <xdr:graphicFrame>
      <xdr:nvGraphicFramePr>
        <xdr:cNvPr id="7" name="Chart 1"/>
        <xdr:cNvGraphicFramePr/>
      </xdr:nvGraphicFramePr>
      <xdr:xfrm>
        <a:off x="9711000" y="700920"/>
        <a:ext cx="12182400" cy="446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29</xdr:row>
      <xdr:rowOff>95400</xdr:rowOff>
    </xdr:from>
    <xdr:to>
      <xdr:col>31</xdr:col>
      <xdr:colOff>590760</xdr:colOff>
      <xdr:row>42</xdr:row>
      <xdr:rowOff>108720</xdr:rowOff>
    </xdr:to>
    <xdr:graphicFrame>
      <xdr:nvGraphicFramePr>
        <xdr:cNvPr id="8" name="Chart 2"/>
        <xdr:cNvGraphicFramePr/>
      </xdr:nvGraphicFramePr>
      <xdr:xfrm>
        <a:off x="9711000" y="5177880"/>
        <a:ext cx="12206160" cy="229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31</xdr:col>
      <xdr:colOff>567000</xdr:colOff>
      <xdr:row>26</xdr:row>
      <xdr:rowOff>82800</xdr:rowOff>
    </xdr:to>
    <xdr:graphicFrame>
      <xdr:nvGraphicFramePr>
        <xdr:cNvPr id="9" name="Chart 5"/>
        <xdr:cNvGraphicFramePr/>
      </xdr:nvGraphicFramePr>
      <xdr:xfrm>
        <a:off x="9565560" y="175320"/>
        <a:ext cx="12182400" cy="446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27</xdr:row>
      <xdr:rowOff>0</xdr:rowOff>
    </xdr:from>
    <xdr:to>
      <xdr:col>31</xdr:col>
      <xdr:colOff>567000</xdr:colOff>
      <xdr:row>52</xdr:row>
      <xdr:rowOff>84960</xdr:rowOff>
    </xdr:to>
    <xdr:graphicFrame>
      <xdr:nvGraphicFramePr>
        <xdr:cNvPr id="10" name="Chart 6"/>
        <xdr:cNvGraphicFramePr/>
      </xdr:nvGraphicFramePr>
      <xdr:xfrm>
        <a:off x="9565560" y="4732200"/>
        <a:ext cx="12182400" cy="446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53</xdr:row>
      <xdr:rowOff>0</xdr:rowOff>
    </xdr:from>
    <xdr:to>
      <xdr:col>31</xdr:col>
      <xdr:colOff>567000</xdr:colOff>
      <xdr:row>78</xdr:row>
      <xdr:rowOff>84960</xdr:rowOff>
    </xdr:to>
    <xdr:graphicFrame>
      <xdr:nvGraphicFramePr>
        <xdr:cNvPr id="11" name="Chart 7"/>
        <xdr:cNvGraphicFramePr/>
      </xdr:nvGraphicFramePr>
      <xdr:xfrm>
        <a:off x="9565560" y="9288720"/>
        <a:ext cx="12182400" cy="44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79</xdr:row>
      <xdr:rowOff>0</xdr:rowOff>
    </xdr:from>
    <xdr:to>
      <xdr:col>31</xdr:col>
      <xdr:colOff>598320</xdr:colOff>
      <xdr:row>96</xdr:row>
      <xdr:rowOff>69480</xdr:rowOff>
    </xdr:to>
    <xdr:graphicFrame>
      <xdr:nvGraphicFramePr>
        <xdr:cNvPr id="12" name="Chart 8"/>
        <xdr:cNvGraphicFramePr/>
      </xdr:nvGraphicFramePr>
      <xdr:xfrm>
        <a:off x="9565560" y="13845600"/>
        <a:ext cx="12213720" cy="304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0</xdr:colOff>
      <xdr:row>1</xdr:row>
      <xdr:rowOff>0</xdr:rowOff>
    </xdr:from>
    <xdr:to>
      <xdr:col>51</xdr:col>
      <xdr:colOff>75240</xdr:colOff>
      <xdr:row>104</xdr:row>
      <xdr:rowOff>122760</xdr:rowOff>
    </xdr:to>
    <xdr:pic>
      <xdr:nvPicPr>
        <xdr:cNvPr id="13" name="Picture 9" descr=""/>
        <xdr:cNvPicPr/>
      </xdr:nvPicPr>
      <xdr:blipFill>
        <a:blip r:embed="rId5"/>
        <a:stretch/>
      </xdr:blipFill>
      <xdr:spPr>
        <a:xfrm>
          <a:off x="22547520" y="175320"/>
          <a:ext cx="12373920" cy="18174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2" min="2" style="1" width="8.85"/>
  </cols>
  <sheetData>
    <row r="2" customFormat="false" ht="13.8" hidden="false" customHeight="false" outlineLevel="0" collapsed="false">
      <c r="B2" s="1" t="n">
        <v>1</v>
      </c>
      <c r="C2" s="2" t="n">
        <v>0</v>
      </c>
    </row>
    <row r="3" customFormat="false" ht="13.8" hidden="false" customHeight="false" outlineLevel="0" collapsed="false">
      <c r="B3" s="1" t="n">
        <v>2</v>
      </c>
      <c r="C3" s="2" t="n">
        <v>0</v>
      </c>
    </row>
    <row r="4" customFormat="false" ht="13.8" hidden="false" customHeight="false" outlineLevel="0" collapsed="false">
      <c r="B4" s="1" t="n">
        <v>3</v>
      </c>
      <c r="C4" s="2" t="n">
        <v>0</v>
      </c>
    </row>
    <row r="5" customFormat="false" ht="13.8" hidden="false" customHeight="false" outlineLevel="0" collapsed="false">
      <c r="B5" s="1" t="n">
        <v>4</v>
      </c>
      <c r="C5" s="2" t="n">
        <v>0</v>
      </c>
    </row>
    <row r="6" customFormat="false" ht="13.8" hidden="false" customHeight="false" outlineLevel="0" collapsed="false">
      <c r="B6" s="1" t="n">
        <v>5</v>
      </c>
      <c r="C6" s="2" t="n">
        <v>0</v>
      </c>
    </row>
    <row r="7" customFormat="false" ht="13.8" hidden="false" customHeight="false" outlineLevel="0" collapsed="false">
      <c r="B7" s="1" t="n">
        <v>6</v>
      </c>
      <c r="C7" s="2" t="n">
        <v>0</v>
      </c>
    </row>
    <row r="8" customFormat="false" ht="13.8" hidden="false" customHeight="false" outlineLevel="0" collapsed="false">
      <c r="B8" s="1" t="n">
        <v>7</v>
      </c>
      <c r="C8" s="2" t="n">
        <v>0</v>
      </c>
    </row>
    <row r="9" customFormat="false" ht="13.8" hidden="false" customHeight="false" outlineLevel="0" collapsed="false">
      <c r="B9" s="1" t="n">
        <v>8</v>
      </c>
      <c r="C9" s="2" t="n">
        <v>0</v>
      </c>
    </row>
    <row r="10" customFormat="false" ht="13.8" hidden="false" customHeight="false" outlineLevel="0" collapsed="false">
      <c r="B10" s="1" t="n">
        <v>9</v>
      </c>
      <c r="C10" s="2" t="n">
        <v>0</v>
      </c>
    </row>
    <row r="11" customFormat="false" ht="13.8" hidden="false" customHeight="false" outlineLevel="0" collapsed="false">
      <c r="B11" s="1" t="n">
        <v>10</v>
      </c>
      <c r="C11" s="2" t="n">
        <v>0</v>
      </c>
    </row>
    <row r="12" customFormat="false" ht="13.8" hidden="false" customHeight="false" outlineLevel="0" collapsed="false">
      <c r="B12" s="1" t="n">
        <v>11</v>
      </c>
      <c r="C12" s="2" t="n">
        <v>0</v>
      </c>
    </row>
    <row r="13" customFormat="false" ht="13.8" hidden="false" customHeight="false" outlineLevel="0" collapsed="false">
      <c r="B13" s="1" t="n">
        <v>12</v>
      </c>
      <c r="C13" s="2" t="n">
        <v>0</v>
      </c>
    </row>
    <row r="14" customFormat="false" ht="13.8" hidden="false" customHeight="false" outlineLevel="0" collapsed="false">
      <c r="B14" s="1" t="n">
        <v>13</v>
      </c>
      <c r="C14" s="2" t="n">
        <v>0</v>
      </c>
    </row>
    <row r="15" customFormat="false" ht="13.8" hidden="false" customHeight="false" outlineLevel="0" collapsed="false">
      <c r="B15" s="1" t="n">
        <v>14</v>
      </c>
      <c r="C15" s="2" t="n">
        <v>0</v>
      </c>
    </row>
    <row r="16" customFormat="false" ht="13.8" hidden="false" customHeight="false" outlineLevel="0" collapsed="false">
      <c r="B16" s="1" t="n">
        <v>15</v>
      </c>
      <c r="C16" s="2" t="n">
        <v>0</v>
      </c>
    </row>
    <row r="17" customFormat="false" ht="13.8" hidden="false" customHeight="false" outlineLevel="0" collapsed="false">
      <c r="B17" s="1" t="n">
        <v>16</v>
      </c>
      <c r="C17" s="2" t="n">
        <v>0</v>
      </c>
    </row>
    <row r="18" customFormat="false" ht="13.8" hidden="false" customHeight="false" outlineLevel="0" collapsed="false">
      <c r="B18" s="1" t="n">
        <v>17</v>
      </c>
      <c r="C18" s="2" t="n">
        <v>0</v>
      </c>
    </row>
    <row r="19" customFormat="false" ht="13.8" hidden="false" customHeight="false" outlineLevel="0" collapsed="false">
      <c r="B19" s="1" t="n">
        <v>18</v>
      </c>
      <c r="C19" s="2" t="n">
        <v>0</v>
      </c>
    </row>
    <row r="20" customFormat="false" ht="13.8" hidden="false" customHeight="false" outlineLevel="0" collapsed="false">
      <c r="B20" s="1" t="n">
        <v>19</v>
      </c>
      <c r="C20" s="2" t="n">
        <v>0</v>
      </c>
    </row>
    <row r="21" customFormat="false" ht="13.8" hidden="false" customHeight="false" outlineLevel="0" collapsed="false">
      <c r="B21" s="1" t="n">
        <v>20</v>
      </c>
      <c r="C21" s="2" t="n">
        <v>0</v>
      </c>
    </row>
    <row r="22" customFormat="false" ht="13.8" hidden="false" customHeight="false" outlineLevel="0" collapsed="false">
      <c r="B22" s="1" t="n">
        <v>21</v>
      </c>
      <c r="C22" s="2" t="n">
        <v>0</v>
      </c>
    </row>
    <row r="23" customFormat="false" ht="13.8" hidden="false" customHeight="false" outlineLevel="0" collapsed="false">
      <c r="B23" s="1" t="n">
        <v>22</v>
      </c>
      <c r="C23" s="2" t="n">
        <v>7.1875E-005</v>
      </c>
    </row>
    <row r="24" customFormat="false" ht="13.8" hidden="false" customHeight="false" outlineLevel="0" collapsed="false">
      <c r="B24" s="1" t="n">
        <v>23</v>
      </c>
      <c r="C24" s="2" t="n">
        <v>0.00014375</v>
      </c>
    </row>
    <row r="25" customFormat="false" ht="13.8" hidden="false" customHeight="false" outlineLevel="0" collapsed="false">
      <c r="B25" s="1" t="n">
        <v>24</v>
      </c>
      <c r="C25" s="2" t="n">
        <v>0.000215625</v>
      </c>
    </row>
    <row r="26" customFormat="false" ht="13.8" hidden="false" customHeight="false" outlineLevel="0" collapsed="false">
      <c r="B26" s="1" t="n">
        <v>25</v>
      </c>
      <c r="C26" s="2" t="n">
        <v>0.0002875</v>
      </c>
    </row>
    <row r="27" customFormat="false" ht="13.8" hidden="false" customHeight="false" outlineLevel="0" collapsed="false">
      <c r="B27" s="1" t="n">
        <v>26</v>
      </c>
      <c r="C27" s="2" t="n">
        <v>0.00260625</v>
      </c>
    </row>
    <row r="28" customFormat="false" ht="13.8" hidden="false" customHeight="false" outlineLevel="0" collapsed="false">
      <c r="B28" s="1" t="n">
        <v>27</v>
      </c>
      <c r="C28" s="2" t="n">
        <v>0.004925</v>
      </c>
    </row>
    <row r="29" customFormat="false" ht="13.8" hidden="false" customHeight="false" outlineLevel="0" collapsed="false">
      <c r="B29" s="1" t="n">
        <v>28</v>
      </c>
      <c r="C29" s="2" t="n">
        <v>0.00724375</v>
      </c>
    </row>
    <row r="30" customFormat="false" ht="13.8" hidden="false" customHeight="false" outlineLevel="0" collapsed="false">
      <c r="B30" s="1" t="n">
        <v>29</v>
      </c>
      <c r="C30" s="2" t="n">
        <v>0.0095625</v>
      </c>
    </row>
    <row r="31" customFormat="false" ht="13.8" hidden="false" customHeight="false" outlineLevel="0" collapsed="false">
      <c r="B31" s="1" t="n">
        <v>30</v>
      </c>
      <c r="C31" s="2" t="n">
        <v>0.0196475</v>
      </c>
    </row>
    <row r="32" customFormat="false" ht="13.8" hidden="false" customHeight="false" outlineLevel="0" collapsed="false">
      <c r="B32" s="1" t="n">
        <v>31</v>
      </c>
      <c r="C32" s="2" t="n">
        <v>0.0297325</v>
      </c>
    </row>
    <row r="33" customFormat="false" ht="13.8" hidden="false" customHeight="false" outlineLevel="0" collapsed="false">
      <c r="B33" s="1" t="n">
        <v>32</v>
      </c>
      <c r="C33" s="2" t="n">
        <v>0.0398175</v>
      </c>
    </row>
    <row r="34" customFormat="false" ht="13.8" hidden="false" customHeight="false" outlineLevel="0" collapsed="false">
      <c r="B34" s="1" t="n">
        <v>33</v>
      </c>
      <c r="C34" s="2" t="n">
        <v>0.0499025</v>
      </c>
    </row>
    <row r="35" customFormat="false" ht="13.8" hidden="false" customHeight="false" outlineLevel="0" collapsed="false">
      <c r="B35" s="1" t="n">
        <v>34</v>
      </c>
      <c r="C35" s="2" t="n">
        <v>0.053</v>
      </c>
    </row>
    <row r="36" customFormat="false" ht="13.8" hidden="false" customHeight="false" outlineLevel="0" collapsed="false">
      <c r="B36" s="1" t="n">
        <v>35</v>
      </c>
      <c r="C36" s="2" t="n">
        <v>0.0560975</v>
      </c>
    </row>
    <row r="37" customFormat="false" ht="13.8" hidden="false" customHeight="false" outlineLevel="0" collapsed="false">
      <c r="B37" s="1" t="n">
        <v>36</v>
      </c>
      <c r="C37" s="2" t="n">
        <v>0.059195</v>
      </c>
    </row>
    <row r="38" customFormat="false" ht="13.8" hidden="false" customHeight="false" outlineLevel="0" collapsed="false">
      <c r="B38" s="1" t="n">
        <v>37</v>
      </c>
      <c r="C38" s="2" t="n">
        <v>0.0622925</v>
      </c>
    </row>
    <row r="39" customFormat="false" ht="13.8" hidden="false" customHeight="false" outlineLevel="0" collapsed="false">
      <c r="B39" s="1" t="n">
        <v>38</v>
      </c>
      <c r="C39" s="2" t="n">
        <v>0.083598125</v>
      </c>
    </row>
    <row r="40" customFormat="false" ht="13.8" hidden="false" customHeight="false" outlineLevel="0" collapsed="false">
      <c r="B40" s="1" t="n">
        <v>39</v>
      </c>
      <c r="C40" s="2" t="n">
        <v>0.10490375</v>
      </c>
    </row>
    <row r="41" customFormat="false" ht="13.8" hidden="false" customHeight="false" outlineLevel="0" collapsed="false">
      <c r="B41" s="1" t="n">
        <v>40</v>
      </c>
      <c r="C41" s="2" t="n">
        <v>0.126209375</v>
      </c>
    </row>
    <row r="42" customFormat="false" ht="13.8" hidden="false" customHeight="false" outlineLevel="0" collapsed="false">
      <c r="B42" s="1" t="n">
        <v>41</v>
      </c>
      <c r="C42" s="2" t="n">
        <v>0.147515</v>
      </c>
    </row>
    <row r="43" customFormat="false" ht="13.8" hidden="false" customHeight="false" outlineLevel="0" collapsed="false">
      <c r="B43" s="1" t="n">
        <v>42</v>
      </c>
      <c r="C43" s="2" t="n">
        <v>0.1505775</v>
      </c>
    </row>
    <row r="44" customFormat="false" ht="13.8" hidden="false" customHeight="false" outlineLevel="0" collapsed="false">
      <c r="B44" s="1" t="n">
        <v>43</v>
      </c>
      <c r="C44" s="2" t="n">
        <v>0.15364</v>
      </c>
    </row>
    <row r="45" customFormat="false" ht="13.8" hidden="false" customHeight="false" outlineLevel="0" collapsed="false">
      <c r="B45" s="1" t="n">
        <v>44</v>
      </c>
      <c r="C45" s="2" t="n">
        <v>0.1567025</v>
      </c>
    </row>
    <row r="46" customFormat="false" ht="13.8" hidden="false" customHeight="false" outlineLevel="0" collapsed="false">
      <c r="B46" s="1" t="n">
        <v>45</v>
      </c>
      <c r="C46" s="2" t="n">
        <v>0.159765</v>
      </c>
    </row>
    <row r="47" customFormat="false" ht="13.8" hidden="false" customHeight="false" outlineLevel="0" collapsed="false">
      <c r="B47" s="1" t="n">
        <v>46</v>
      </c>
      <c r="C47" s="2" t="n">
        <v>0.160353125</v>
      </c>
    </row>
    <row r="48" customFormat="false" ht="13.8" hidden="false" customHeight="false" outlineLevel="0" collapsed="false">
      <c r="B48" s="1" t="n">
        <v>47</v>
      </c>
      <c r="C48" s="2" t="n">
        <v>0.16094125</v>
      </c>
    </row>
    <row r="49" customFormat="false" ht="13.8" hidden="false" customHeight="false" outlineLevel="0" collapsed="false">
      <c r="B49" s="1" t="n">
        <v>48</v>
      </c>
      <c r="C49" s="2" t="n">
        <v>0.161529375</v>
      </c>
    </row>
    <row r="50" customFormat="false" ht="13.8" hidden="false" customHeight="false" outlineLevel="0" collapsed="false">
      <c r="B50" s="1" t="n">
        <v>49</v>
      </c>
      <c r="C50" s="2" t="n">
        <v>0.1621175</v>
      </c>
    </row>
    <row r="51" customFormat="false" ht="13.8" hidden="false" customHeight="false" outlineLevel="0" collapsed="false">
      <c r="B51" s="1" t="n">
        <v>50</v>
      </c>
      <c r="C51" s="2" t="n">
        <v>0.1633125</v>
      </c>
    </row>
    <row r="52" customFormat="false" ht="13.8" hidden="false" customHeight="false" outlineLevel="0" collapsed="false">
      <c r="B52" s="1" t="n">
        <v>51</v>
      </c>
      <c r="C52" s="2" t="n">
        <v>0.1645075</v>
      </c>
    </row>
    <row r="53" customFormat="false" ht="13.8" hidden="false" customHeight="false" outlineLevel="0" collapsed="false">
      <c r="B53" s="1" t="n">
        <v>52</v>
      </c>
      <c r="C53" s="2" t="n">
        <v>0.1657025</v>
      </c>
    </row>
    <row r="54" customFormat="false" ht="13.8" hidden="false" customHeight="false" outlineLevel="0" collapsed="false">
      <c r="B54" s="1" t="n">
        <v>53</v>
      </c>
      <c r="C54" s="2" t="n">
        <v>0.1668975</v>
      </c>
    </row>
    <row r="55" customFormat="false" ht="13.8" hidden="false" customHeight="false" outlineLevel="0" collapsed="false">
      <c r="B55" s="1" t="n">
        <v>54</v>
      </c>
      <c r="C55" s="2" t="n">
        <v>0.16136375</v>
      </c>
    </row>
    <row r="56" customFormat="false" ht="13.8" hidden="false" customHeight="false" outlineLevel="0" collapsed="false">
      <c r="B56" s="1" t="n">
        <v>55</v>
      </c>
      <c r="C56" s="2" t="n">
        <v>0.15583</v>
      </c>
    </row>
    <row r="57" customFormat="false" ht="13.8" hidden="false" customHeight="false" outlineLevel="0" collapsed="false">
      <c r="B57" s="1" t="n">
        <v>56</v>
      </c>
      <c r="C57" s="2" t="n">
        <v>0.15029625</v>
      </c>
    </row>
    <row r="58" customFormat="false" ht="13.8" hidden="false" customHeight="false" outlineLevel="0" collapsed="false">
      <c r="B58" s="1" t="n">
        <v>57</v>
      </c>
      <c r="C58" s="2" t="n">
        <v>0.1447625</v>
      </c>
    </row>
    <row r="59" customFormat="false" ht="13.8" hidden="false" customHeight="false" outlineLevel="0" collapsed="false">
      <c r="B59" s="1" t="n">
        <v>58</v>
      </c>
      <c r="C59" s="2" t="n">
        <v>0.129499375</v>
      </c>
    </row>
    <row r="60" customFormat="false" ht="13.8" hidden="false" customHeight="false" outlineLevel="0" collapsed="false">
      <c r="B60" s="1" t="n">
        <v>59</v>
      </c>
      <c r="C60" s="2" t="n">
        <v>0.11423625</v>
      </c>
    </row>
    <row r="61" customFormat="false" ht="13.8" hidden="false" customHeight="false" outlineLevel="0" collapsed="false">
      <c r="B61" s="1" t="n">
        <v>60</v>
      </c>
      <c r="C61" s="2" t="n">
        <v>0.098973125</v>
      </c>
    </row>
    <row r="62" customFormat="false" ht="13.8" hidden="false" customHeight="false" outlineLevel="0" collapsed="false">
      <c r="B62" s="1" t="n">
        <v>61</v>
      </c>
      <c r="C62" s="2" t="n">
        <v>0.08371</v>
      </c>
    </row>
    <row r="63" customFormat="false" ht="13.8" hidden="false" customHeight="false" outlineLevel="0" collapsed="false">
      <c r="B63" s="1" t="n">
        <v>62</v>
      </c>
      <c r="C63" s="2" t="n">
        <v>0.07591875</v>
      </c>
    </row>
    <row r="64" customFormat="false" ht="13.8" hidden="false" customHeight="false" outlineLevel="0" collapsed="false">
      <c r="B64" s="1" t="n">
        <v>63</v>
      </c>
      <c r="C64" s="2" t="n">
        <v>0.0681275</v>
      </c>
    </row>
    <row r="65" customFormat="false" ht="13.8" hidden="false" customHeight="false" outlineLevel="0" collapsed="false">
      <c r="B65" s="1" t="n">
        <v>64</v>
      </c>
      <c r="C65" s="2" t="n">
        <v>0.06033625</v>
      </c>
    </row>
    <row r="66" customFormat="false" ht="13.8" hidden="false" customHeight="false" outlineLevel="0" collapsed="false">
      <c r="B66" s="1" t="n">
        <v>65</v>
      </c>
      <c r="C66" s="2" t="n">
        <v>0.052545</v>
      </c>
    </row>
    <row r="67" customFormat="false" ht="13.8" hidden="false" customHeight="false" outlineLevel="0" collapsed="false">
      <c r="B67" s="1" t="n">
        <v>66</v>
      </c>
      <c r="C67" s="2" t="n">
        <v>0.044609375</v>
      </c>
    </row>
    <row r="68" customFormat="false" ht="13.8" hidden="false" customHeight="false" outlineLevel="0" collapsed="false">
      <c r="B68" s="1" t="n">
        <v>67</v>
      </c>
      <c r="C68" s="2" t="n">
        <v>0.03667375</v>
      </c>
    </row>
    <row r="69" customFormat="false" ht="13.8" hidden="false" customHeight="false" outlineLevel="0" collapsed="false">
      <c r="B69" s="1" t="n">
        <v>68</v>
      </c>
      <c r="C69" s="2" t="n">
        <v>0.028738125</v>
      </c>
    </row>
    <row r="70" customFormat="false" ht="13.8" hidden="false" customHeight="false" outlineLevel="0" collapsed="false">
      <c r="B70" s="1" t="n">
        <v>69</v>
      </c>
      <c r="C70" s="2" t="n">
        <v>0.0208025</v>
      </c>
    </row>
    <row r="71" customFormat="false" ht="13.8" hidden="false" customHeight="false" outlineLevel="0" collapsed="false">
      <c r="B71" s="1" t="n">
        <v>70</v>
      </c>
      <c r="C71" s="2" t="n">
        <v>0.015601875</v>
      </c>
    </row>
    <row r="72" customFormat="false" ht="13.8" hidden="false" customHeight="false" outlineLevel="0" collapsed="false">
      <c r="B72" s="1" t="n">
        <v>71</v>
      </c>
      <c r="C72" s="2" t="n">
        <v>0.01040125</v>
      </c>
    </row>
    <row r="73" customFormat="false" ht="13.8" hidden="false" customHeight="false" outlineLevel="0" collapsed="false">
      <c r="B73" s="1" t="n">
        <v>72</v>
      </c>
      <c r="C73" s="2" t="n">
        <v>0.005200625</v>
      </c>
    </row>
    <row r="74" customFormat="false" ht="13.8" hidden="false" customHeight="false" outlineLevel="0" collapsed="false">
      <c r="B74" s="1" t="n">
        <v>73</v>
      </c>
      <c r="C74" s="2" t="n">
        <v>0</v>
      </c>
    </row>
    <row r="75" customFormat="false" ht="13.8" hidden="false" customHeight="false" outlineLevel="0" collapsed="false">
      <c r="B75" s="1" t="n">
        <v>74</v>
      </c>
      <c r="C75" s="2" t="n">
        <v>0</v>
      </c>
    </row>
    <row r="76" customFormat="false" ht="13.8" hidden="false" customHeight="false" outlineLevel="0" collapsed="false">
      <c r="B76" s="1" t="n">
        <v>75</v>
      </c>
      <c r="C76" s="2" t="n">
        <v>0</v>
      </c>
    </row>
    <row r="77" customFormat="false" ht="13.8" hidden="false" customHeight="false" outlineLevel="0" collapsed="false">
      <c r="B77" s="1" t="n">
        <v>76</v>
      </c>
      <c r="C77" s="2" t="n">
        <v>0</v>
      </c>
    </row>
    <row r="78" customFormat="false" ht="13.8" hidden="false" customHeight="false" outlineLevel="0" collapsed="false">
      <c r="B78" s="1" t="n">
        <v>77</v>
      </c>
      <c r="C78" s="2" t="n">
        <v>0</v>
      </c>
    </row>
    <row r="79" customFormat="false" ht="13.8" hidden="false" customHeight="false" outlineLevel="0" collapsed="false">
      <c r="B79" s="1" t="n">
        <v>78</v>
      </c>
      <c r="C79" s="2" t="n">
        <v>0</v>
      </c>
    </row>
    <row r="80" customFormat="false" ht="13.8" hidden="false" customHeight="false" outlineLevel="0" collapsed="false">
      <c r="B80" s="1" t="n">
        <v>79</v>
      </c>
      <c r="C80" s="2" t="n">
        <v>0</v>
      </c>
    </row>
    <row r="81" customFormat="false" ht="13.8" hidden="false" customHeight="false" outlineLevel="0" collapsed="false">
      <c r="B81" s="1" t="n">
        <v>80</v>
      </c>
      <c r="C81" s="2" t="n">
        <v>0</v>
      </c>
    </row>
    <row r="82" customFormat="false" ht="13.8" hidden="false" customHeight="false" outlineLevel="0" collapsed="false">
      <c r="B82" s="1" t="n">
        <v>81</v>
      </c>
      <c r="C82" s="2" t="n">
        <v>0</v>
      </c>
    </row>
    <row r="83" customFormat="false" ht="13.8" hidden="false" customHeight="false" outlineLevel="0" collapsed="false">
      <c r="B83" s="1" t="n">
        <v>82</v>
      </c>
      <c r="C83" s="2" t="n">
        <v>0</v>
      </c>
    </row>
    <row r="84" customFormat="false" ht="13.8" hidden="false" customHeight="false" outlineLevel="0" collapsed="false">
      <c r="B84" s="1" t="n">
        <v>83</v>
      </c>
      <c r="C84" s="2" t="n">
        <v>0</v>
      </c>
    </row>
    <row r="85" customFormat="false" ht="13.8" hidden="false" customHeight="false" outlineLevel="0" collapsed="false">
      <c r="B85" s="1" t="n">
        <v>84</v>
      </c>
      <c r="C85" s="2" t="n">
        <v>0</v>
      </c>
    </row>
    <row r="86" customFormat="false" ht="13.8" hidden="false" customHeight="false" outlineLevel="0" collapsed="false">
      <c r="B86" s="1" t="n">
        <v>85</v>
      </c>
      <c r="C86" s="2" t="n">
        <v>0</v>
      </c>
    </row>
    <row r="87" customFormat="false" ht="13.8" hidden="false" customHeight="false" outlineLevel="0" collapsed="false">
      <c r="B87" s="1" t="n">
        <v>86</v>
      </c>
      <c r="C87" s="2" t="n">
        <v>0</v>
      </c>
    </row>
    <row r="88" customFormat="false" ht="13.8" hidden="false" customHeight="false" outlineLevel="0" collapsed="false">
      <c r="B88" s="1" t="n">
        <v>87</v>
      </c>
      <c r="C88" s="2" t="n">
        <v>0</v>
      </c>
    </row>
    <row r="89" customFormat="false" ht="13.8" hidden="false" customHeight="false" outlineLevel="0" collapsed="false">
      <c r="B89" s="1" t="n">
        <v>88</v>
      </c>
      <c r="C89" s="2" t="n">
        <v>0</v>
      </c>
    </row>
    <row r="90" customFormat="false" ht="13.8" hidden="false" customHeight="false" outlineLevel="0" collapsed="false">
      <c r="B90" s="1" t="n">
        <v>89</v>
      </c>
      <c r="C90" s="2" t="n">
        <v>0</v>
      </c>
    </row>
    <row r="91" customFormat="false" ht="13.8" hidden="false" customHeight="false" outlineLevel="0" collapsed="false">
      <c r="B91" s="1" t="n">
        <v>90</v>
      </c>
      <c r="C91" s="2" t="n">
        <v>0</v>
      </c>
    </row>
    <row r="92" customFormat="false" ht="13.8" hidden="false" customHeight="false" outlineLevel="0" collapsed="false">
      <c r="B92" s="1" t="n">
        <v>91</v>
      </c>
      <c r="C92" s="2" t="n">
        <v>0</v>
      </c>
    </row>
    <row r="93" customFormat="false" ht="13.8" hidden="false" customHeight="false" outlineLevel="0" collapsed="false">
      <c r="B93" s="1" t="n">
        <v>92</v>
      </c>
      <c r="C93" s="2" t="n">
        <v>0</v>
      </c>
    </row>
    <row r="94" customFormat="false" ht="13.8" hidden="false" customHeight="false" outlineLevel="0" collapsed="false">
      <c r="B94" s="1" t="n">
        <v>93</v>
      </c>
      <c r="C94" s="2" t="n">
        <v>0</v>
      </c>
    </row>
    <row r="95" customFormat="false" ht="13.8" hidden="false" customHeight="false" outlineLevel="0" collapsed="false">
      <c r="B95" s="1" t="n">
        <v>94</v>
      </c>
      <c r="C95" s="2" t="n">
        <v>0</v>
      </c>
    </row>
    <row r="96" customFormat="false" ht="13.8" hidden="false" customHeight="false" outlineLevel="0" collapsed="false">
      <c r="B96" s="1" t="n">
        <v>95</v>
      </c>
      <c r="C96" s="2" t="n">
        <v>0</v>
      </c>
    </row>
    <row r="97" customFormat="false" ht="13.8" hidden="false" customHeight="false" outlineLevel="0" collapsed="false">
      <c r="B97" s="1" t="n">
        <v>96</v>
      </c>
      <c r="C97" s="2" t="n">
        <v>0</v>
      </c>
    </row>
    <row r="98" customFormat="false" ht="13.8" hidden="false" customHeight="false" outlineLevel="0" collapsed="false">
      <c r="B98" s="1" t="n">
        <v>97</v>
      </c>
      <c r="C98" s="2" t="n">
        <v>0</v>
      </c>
    </row>
    <row r="99" customFormat="false" ht="13.8" hidden="false" customHeight="false" outlineLevel="0" collapsed="false">
      <c r="B99" s="1" t="n">
        <v>98</v>
      </c>
      <c r="C99" s="2" t="n">
        <v>0</v>
      </c>
    </row>
    <row r="100" customFormat="false" ht="13.8" hidden="false" customHeight="false" outlineLevel="0" collapsed="false">
      <c r="B100" s="1" t="n">
        <v>99</v>
      </c>
      <c r="C100" s="2" t="n">
        <v>0</v>
      </c>
    </row>
    <row r="101" customFormat="false" ht="13.8" hidden="false" customHeight="false" outlineLevel="0" collapsed="false">
      <c r="B101" s="1" t="n">
        <v>100</v>
      </c>
      <c r="C101" s="2" t="n">
        <v>0</v>
      </c>
    </row>
    <row r="102" customFormat="false" ht="13.8" hidden="false" customHeight="false" outlineLevel="0" collapsed="false">
      <c r="B102" s="1" t="n">
        <v>101</v>
      </c>
      <c r="C102" s="2" t="n">
        <v>0</v>
      </c>
    </row>
    <row r="103" customFormat="false" ht="13.8" hidden="false" customHeight="false" outlineLevel="0" collapsed="false">
      <c r="B103" s="1" t="n">
        <v>102</v>
      </c>
      <c r="C103" s="2" t="n">
        <v>0</v>
      </c>
    </row>
    <row r="104" customFormat="false" ht="13.8" hidden="false" customHeight="false" outlineLevel="0" collapsed="false">
      <c r="B104" s="1" t="n">
        <v>103</v>
      </c>
      <c r="C104" s="2" t="n">
        <v>0</v>
      </c>
    </row>
    <row r="105" customFormat="false" ht="13.8" hidden="false" customHeight="false" outlineLevel="0" collapsed="false">
      <c r="B105" s="1" t="n">
        <v>104</v>
      </c>
      <c r="C105" s="2" t="n">
        <v>0</v>
      </c>
    </row>
    <row r="106" customFormat="false" ht="13.8" hidden="false" customHeight="false" outlineLevel="0" collapsed="false">
      <c r="B106" s="1" t="n">
        <v>105</v>
      </c>
      <c r="C106" s="2" t="n">
        <v>0</v>
      </c>
    </row>
    <row r="107" customFormat="false" ht="13.8" hidden="false" customHeight="false" outlineLevel="0" collapsed="false">
      <c r="B107" s="1" t="n">
        <v>106</v>
      </c>
      <c r="C107" s="2" t="n">
        <v>0</v>
      </c>
    </row>
    <row r="108" customFormat="false" ht="13.8" hidden="false" customHeight="false" outlineLevel="0" collapsed="false">
      <c r="B108" s="1" t="n">
        <v>107</v>
      </c>
      <c r="C108" s="2" t="n">
        <v>0</v>
      </c>
    </row>
    <row r="109" customFormat="false" ht="13.8" hidden="false" customHeight="false" outlineLevel="0" collapsed="false">
      <c r="B109" s="1" t="n">
        <v>108</v>
      </c>
      <c r="C109" s="2" t="n">
        <v>0</v>
      </c>
    </row>
    <row r="110" customFormat="false" ht="13.8" hidden="false" customHeight="false" outlineLevel="0" collapsed="false">
      <c r="B110" s="1" t="n">
        <v>109</v>
      </c>
      <c r="C110" s="2" t="n">
        <v>0</v>
      </c>
    </row>
    <row r="111" customFormat="false" ht="13.8" hidden="false" customHeight="false" outlineLevel="0" collapsed="false">
      <c r="B111" s="1" t="n">
        <v>110</v>
      </c>
      <c r="C111" s="2" t="n">
        <v>0</v>
      </c>
    </row>
    <row r="112" customFormat="false" ht="13.8" hidden="false" customHeight="false" outlineLevel="0" collapsed="false">
      <c r="B112" s="1" t="n">
        <v>111</v>
      </c>
      <c r="C112" s="2" t="n">
        <v>0</v>
      </c>
    </row>
    <row r="113" customFormat="false" ht="13.8" hidden="false" customHeight="false" outlineLevel="0" collapsed="false">
      <c r="B113" s="1" t="n">
        <v>112</v>
      </c>
      <c r="C113" s="2" t="n">
        <v>0</v>
      </c>
    </row>
    <row r="114" customFormat="false" ht="13.8" hidden="false" customHeight="false" outlineLevel="0" collapsed="false">
      <c r="B114" s="1" t="n">
        <v>113</v>
      </c>
      <c r="C114" s="2" t="n">
        <v>0</v>
      </c>
    </row>
    <row r="115" customFormat="false" ht="13.8" hidden="false" customHeight="false" outlineLevel="0" collapsed="false">
      <c r="B115" s="1" t="n">
        <v>114</v>
      </c>
      <c r="C115" s="2" t="n">
        <v>0</v>
      </c>
    </row>
    <row r="116" customFormat="false" ht="13.8" hidden="false" customHeight="false" outlineLevel="0" collapsed="false">
      <c r="B116" s="1" t="n">
        <v>115</v>
      </c>
      <c r="C116" s="2" t="n">
        <v>0</v>
      </c>
    </row>
    <row r="117" customFormat="false" ht="13.8" hidden="false" customHeight="false" outlineLevel="0" collapsed="false">
      <c r="B117" s="1" t="n">
        <v>116</v>
      </c>
      <c r="C117" s="2" t="n">
        <v>0</v>
      </c>
    </row>
    <row r="118" customFormat="false" ht="13.8" hidden="false" customHeight="false" outlineLevel="0" collapsed="false">
      <c r="B118" s="1" t="n">
        <v>117</v>
      </c>
      <c r="C118" s="2" t="n">
        <v>0</v>
      </c>
    </row>
    <row r="119" customFormat="false" ht="13.8" hidden="false" customHeight="false" outlineLevel="0" collapsed="false">
      <c r="B119" s="1" t="n">
        <v>118</v>
      </c>
      <c r="C119" s="2" t="n">
        <v>0.001816875</v>
      </c>
    </row>
    <row r="120" customFormat="false" ht="13.8" hidden="false" customHeight="false" outlineLevel="0" collapsed="false">
      <c r="B120" s="1" t="n">
        <v>119</v>
      </c>
      <c r="C120" s="2" t="n">
        <v>0.00363375</v>
      </c>
    </row>
    <row r="121" customFormat="false" ht="13.8" hidden="false" customHeight="false" outlineLevel="0" collapsed="false">
      <c r="B121" s="1" t="n">
        <v>120</v>
      </c>
      <c r="C121" s="2" t="n">
        <v>0.005450625</v>
      </c>
    </row>
    <row r="122" customFormat="false" ht="13.8" hidden="false" customHeight="false" outlineLevel="0" collapsed="false">
      <c r="B122" s="1" t="n">
        <v>121</v>
      </c>
      <c r="C122" s="2" t="n">
        <v>0.0072675</v>
      </c>
    </row>
    <row r="123" customFormat="false" ht="13.8" hidden="false" customHeight="false" outlineLevel="0" collapsed="false">
      <c r="B123" s="1" t="n">
        <v>122</v>
      </c>
      <c r="C123" s="2" t="n">
        <v>0.0144025</v>
      </c>
    </row>
    <row r="124" customFormat="false" ht="13.8" hidden="false" customHeight="false" outlineLevel="0" collapsed="false">
      <c r="B124" s="1" t="n">
        <v>123</v>
      </c>
      <c r="C124" s="2" t="n">
        <v>0.0215375</v>
      </c>
    </row>
    <row r="125" customFormat="false" ht="13.8" hidden="false" customHeight="false" outlineLevel="0" collapsed="false">
      <c r="B125" s="1" t="n">
        <v>124</v>
      </c>
      <c r="C125" s="2" t="n">
        <v>0.0286725</v>
      </c>
    </row>
    <row r="126" customFormat="false" ht="13.8" hidden="false" customHeight="false" outlineLevel="0" collapsed="false">
      <c r="B126" s="1" t="n">
        <v>125</v>
      </c>
      <c r="C126" s="2" t="n">
        <v>0.0358075</v>
      </c>
    </row>
    <row r="127" customFormat="false" ht="13.8" hidden="false" customHeight="false" outlineLevel="0" collapsed="false">
      <c r="B127" s="1" t="n">
        <v>126</v>
      </c>
      <c r="C127" s="2" t="n">
        <v>0.04943</v>
      </c>
    </row>
    <row r="128" customFormat="false" ht="13.8" hidden="false" customHeight="false" outlineLevel="0" collapsed="false">
      <c r="B128" s="1" t="n">
        <v>127</v>
      </c>
      <c r="C128" s="2" t="n">
        <v>0.0630525</v>
      </c>
    </row>
    <row r="129" customFormat="false" ht="13.8" hidden="false" customHeight="false" outlineLevel="0" collapsed="false">
      <c r="B129" s="1" t="n">
        <v>128</v>
      </c>
      <c r="C129" s="2" t="n">
        <v>0.076675</v>
      </c>
    </row>
    <row r="130" customFormat="false" ht="13.8" hidden="false" customHeight="false" outlineLevel="0" collapsed="false">
      <c r="B130" s="1" t="n">
        <v>129</v>
      </c>
      <c r="C130" s="2" t="n">
        <v>0.0902975</v>
      </c>
    </row>
    <row r="131" customFormat="false" ht="13.8" hidden="false" customHeight="false" outlineLevel="0" collapsed="false">
      <c r="B131" s="1" t="n">
        <v>130</v>
      </c>
      <c r="C131" s="2" t="n">
        <v>0.100735625</v>
      </c>
    </row>
    <row r="132" customFormat="false" ht="13.8" hidden="false" customHeight="false" outlineLevel="0" collapsed="false">
      <c r="B132" s="1" t="n">
        <v>131</v>
      </c>
      <c r="C132" s="2" t="n">
        <v>0.11117375</v>
      </c>
    </row>
    <row r="133" customFormat="false" ht="13.8" hidden="false" customHeight="false" outlineLevel="0" collapsed="false">
      <c r="B133" s="1" t="n">
        <v>132</v>
      </c>
      <c r="C133" s="2" t="n">
        <v>0.121611875</v>
      </c>
    </row>
    <row r="134" customFormat="false" ht="13.8" hidden="false" customHeight="false" outlineLevel="0" collapsed="false">
      <c r="B134" s="1" t="n">
        <v>133</v>
      </c>
      <c r="C134" s="2" t="n">
        <v>0.13205</v>
      </c>
    </row>
    <row r="135" customFormat="false" ht="13.8" hidden="false" customHeight="false" outlineLevel="0" collapsed="false">
      <c r="B135" s="1" t="n">
        <v>134</v>
      </c>
      <c r="C135" s="2" t="n">
        <v>0.13931125</v>
      </c>
    </row>
    <row r="136" customFormat="false" ht="13.8" hidden="false" customHeight="false" outlineLevel="0" collapsed="false">
      <c r="B136" s="1" t="n">
        <v>135</v>
      </c>
      <c r="C136" s="2" t="n">
        <v>0.1465725</v>
      </c>
    </row>
    <row r="137" customFormat="false" ht="13.8" hidden="false" customHeight="false" outlineLevel="0" collapsed="false">
      <c r="B137" s="1" t="n">
        <v>136</v>
      </c>
      <c r="C137" s="2" t="n">
        <v>0.15383375</v>
      </c>
    </row>
    <row r="138" customFormat="false" ht="13.8" hidden="false" customHeight="false" outlineLevel="0" collapsed="false">
      <c r="B138" s="1" t="n">
        <v>137</v>
      </c>
      <c r="C138" s="2" t="n">
        <v>0.161095</v>
      </c>
    </row>
    <row r="139" customFormat="false" ht="13.8" hidden="false" customHeight="false" outlineLevel="0" collapsed="false">
      <c r="B139" s="1" t="n">
        <v>138</v>
      </c>
      <c r="C139" s="2" t="n">
        <v>0.1643125</v>
      </c>
    </row>
    <row r="140" customFormat="false" ht="13.8" hidden="false" customHeight="false" outlineLevel="0" collapsed="false">
      <c r="B140" s="1" t="n">
        <v>139</v>
      </c>
      <c r="C140" s="2" t="n">
        <v>0.16753</v>
      </c>
    </row>
    <row r="141" customFormat="false" ht="13.8" hidden="false" customHeight="false" outlineLevel="0" collapsed="false">
      <c r="B141" s="1" t="n">
        <v>140</v>
      </c>
      <c r="C141" s="2" t="n">
        <v>0.1707475</v>
      </c>
    </row>
    <row r="142" customFormat="false" ht="13.8" hidden="false" customHeight="false" outlineLevel="0" collapsed="false">
      <c r="B142" s="1" t="n">
        <v>141</v>
      </c>
      <c r="C142" s="2" t="n">
        <v>0.173965</v>
      </c>
    </row>
    <row r="143" customFormat="false" ht="13.8" hidden="false" customHeight="false" outlineLevel="0" collapsed="false">
      <c r="B143" s="1" t="n">
        <v>142</v>
      </c>
      <c r="C143" s="2" t="n">
        <v>0.176224375</v>
      </c>
    </row>
    <row r="144" customFormat="false" ht="13.8" hidden="false" customHeight="false" outlineLevel="0" collapsed="false">
      <c r="B144" s="1" t="n">
        <v>143</v>
      </c>
      <c r="C144" s="2" t="n">
        <v>0.17848375</v>
      </c>
    </row>
    <row r="145" customFormat="false" ht="13.8" hidden="false" customHeight="false" outlineLevel="0" collapsed="false">
      <c r="B145" s="1" t="n">
        <v>144</v>
      </c>
      <c r="C145" s="2" t="n">
        <v>0.180743125</v>
      </c>
    </row>
    <row r="146" customFormat="false" ht="13.8" hidden="false" customHeight="false" outlineLevel="0" collapsed="false">
      <c r="B146" s="1" t="n">
        <v>145</v>
      </c>
      <c r="C146" s="2" t="n">
        <v>0.1830025</v>
      </c>
    </row>
    <row r="147" customFormat="false" ht="13.8" hidden="false" customHeight="false" outlineLevel="0" collapsed="false">
      <c r="B147" s="1" t="n">
        <v>146</v>
      </c>
      <c r="C147" s="2" t="n">
        <v>0.17999625</v>
      </c>
    </row>
    <row r="148" customFormat="false" ht="13.8" hidden="false" customHeight="false" outlineLevel="0" collapsed="false">
      <c r="B148" s="1" t="n">
        <v>147</v>
      </c>
      <c r="C148" s="2" t="n">
        <v>0.17699</v>
      </c>
    </row>
    <row r="149" customFormat="false" ht="13.8" hidden="false" customHeight="false" outlineLevel="0" collapsed="false">
      <c r="B149" s="1" t="n">
        <v>148</v>
      </c>
      <c r="C149" s="2" t="n">
        <v>0.17398375</v>
      </c>
    </row>
    <row r="150" customFormat="false" ht="13.8" hidden="false" customHeight="false" outlineLevel="0" collapsed="false">
      <c r="B150" s="1" t="n">
        <v>149</v>
      </c>
      <c r="C150" s="2" t="n">
        <v>0.1709775</v>
      </c>
    </row>
    <row r="151" customFormat="false" ht="13.8" hidden="false" customHeight="false" outlineLevel="0" collapsed="false">
      <c r="B151" s="1" t="n">
        <v>150</v>
      </c>
      <c r="C151" s="2" t="n">
        <v>0.16472</v>
      </c>
    </row>
    <row r="152" customFormat="false" ht="13.8" hidden="false" customHeight="false" outlineLevel="0" collapsed="false">
      <c r="B152" s="1" t="n">
        <v>151</v>
      </c>
      <c r="C152" s="2" t="n">
        <v>0.1584625</v>
      </c>
    </row>
    <row r="153" customFormat="false" ht="13.8" hidden="false" customHeight="false" outlineLevel="0" collapsed="false">
      <c r="B153" s="1" t="n">
        <v>152</v>
      </c>
      <c r="C153" s="2" t="n">
        <v>0.152205</v>
      </c>
    </row>
    <row r="154" customFormat="false" ht="13.8" hidden="false" customHeight="false" outlineLevel="0" collapsed="false">
      <c r="B154" s="1" t="n">
        <v>153</v>
      </c>
      <c r="C154" s="2" t="n">
        <v>0.1459475</v>
      </c>
    </row>
    <row r="155" customFormat="false" ht="13.8" hidden="false" customHeight="false" outlineLevel="0" collapsed="false">
      <c r="B155" s="1" t="n">
        <v>154</v>
      </c>
      <c r="C155" s="2" t="n">
        <v>0.13440375</v>
      </c>
    </row>
    <row r="156" customFormat="false" ht="13.8" hidden="false" customHeight="false" outlineLevel="0" collapsed="false">
      <c r="B156" s="1" t="n">
        <v>155</v>
      </c>
      <c r="C156" s="2" t="n">
        <v>0.12286</v>
      </c>
    </row>
    <row r="157" customFormat="false" ht="13.8" hidden="false" customHeight="false" outlineLevel="0" collapsed="false">
      <c r="B157" s="1" t="n">
        <v>156</v>
      </c>
      <c r="C157" s="2" t="n">
        <v>0.11131625</v>
      </c>
    </row>
    <row r="158" customFormat="false" ht="13.8" hidden="false" customHeight="false" outlineLevel="0" collapsed="false">
      <c r="B158" s="1" t="n">
        <v>157</v>
      </c>
      <c r="C158" s="2" t="n">
        <v>0.0997725</v>
      </c>
    </row>
    <row r="159" customFormat="false" ht="13.8" hidden="false" customHeight="false" outlineLevel="0" collapsed="false">
      <c r="B159" s="1" t="n">
        <v>158</v>
      </c>
      <c r="C159" s="2" t="n">
        <v>0.091700625</v>
      </c>
    </row>
    <row r="160" customFormat="false" ht="13.8" hidden="false" customHeight="false" outlineLevel="0" collapsed="false">
      <c r="B160" s="1" t="n">
        <v>159</v>
      </c>
      <c r="C160" s="2" t="n">
        <v>0.08362875</v>
      </c>
    </row>
    <row r="161" customFormat="false" ht="13.8" hidden="false" customHeight="false" outlineLevel="0" collapsed="false">
      <c r="B161" s="1" t="n">
        <v>160</v>
      </c>
      <c r="C161" s="2" t="n">
        <v>0.075556875</v>
      </c>
    </row>
    <row r="162" customFormat="false" ht="13.8" hidden="false" customHeight="false" outlineLevel="0" collapsed="false">
      <c r="B162" s="1" t="n">
        <v>161</v>
      </c>
      <c r="C162" s="2" t="n">
        <v>0.067485</v>
      </c>
    </row>
    <row r="163" customFormat="false" ht="13.8" hidden="false" customHeight="false" outlineLevel="0" collapsed="false">
      <c r="B163" s="1" t="n">
        <v>162</v>
      </c>
      <c r="C163" s="2" t="n">
        <v>0.057474375</v>
      </c>
    </row>
    <row r="164" customFormat="false" ht="13.8" hidden="false" customHeight="false" outlineLevel="0" collapsed="false">
      <c r="B164" s="1" t="n">
        <v>163</v>
      </c>
      <c r="C164" s="2" t="n">
        <v>0.04746375</v>
      </c>
    </row>
    <row r="165" customFormat="false" ht="13.8" hidden="false" customHeight="false" outlineLevel="0" collapsed="false">
      <c r="B165" s="1" t="n">
        <v>164</v>
      </c>
      <c r="C165" s="2" t="n">
        <v>0.037453125</v>
      </c>
    </row>
    <row r="166" customFormat="false" ht="13.8" hidden="false" customHeight="false" outlineLevel="0" collapsed="false">
      <c r="B166" s="1" t="n">
        <v>165</v>
      </c>
      <c r="C166" s="2" t="n">
        <v>0.0274425</v>
      </c>
    </row>
    <row r="167" customFormat="false" ht="13.8" hidden="false" customHeight="false" outlineLevel="0" collapsed="false">
      <c r="B167" s="1" t="n">
        <v>166</v>
      </c>
      <c r="C167" s="2" t="n">
        <v>0.02058375</v>
      </c>
    </row>
    <row r="168" customFormat="false" ht="13.8" hidden="false" customHeight="false" outlineLevel="0" collapsed="false">
      <c r="B168" s="1" t="n">
        <v>167</v>
      </c>
      <c r="C168" s="2" t="n">
        <v>0.013725</v>
      </c>
    </row>
    <row r="169" customFormat="false" ht="13.8" hidden="false" customHeight="false" outlineLevel="0" collapsed="false">
      <c r="B169" s="1" t="n">
        <v>168</v>
      </c>
      <c r="C169" s="2" t="n">
        <v>0.00686625</v>
      </c>
    </row>
    <row r="170" customFormat="false" ht="13.8" hidden="false" customHeight="false" outlineLevel="0" collapsed="false">
      <c r="B170" s="1" t="n">
        <v>169</v>
      </c>
      <c r="C170" s="2" t="n">
        <v>7.5E-006</v>
      </c>
    </row>
    <row r="171" customFormat="false" ht="13.8" hidden="false" customHeight="false" outlineLevel="0" collapsed="false">
      <c r="B171" s="1" t="n">
        <v>170</v>
      </c>
      <c r="C171" s="2" t="n">
        <v>5.625E-006</v>
      </c>
    </row>
    <row r="172" customFormat="false" ht="13.8" hidden="false" customHeight="false" outlineLevel="0" collapsed="false">
      <c r="B172" s="1" t="n">
        <v>171</v>
      </c>
      <c r="C172" s="2" t="n">
        <v>3.75E-006</v>
      </c>
    </row>
    <row r="173" customFormat="false" ht="13.8" hidden="false" customHeight="false" outlineLevel="0" collapsed="false">
      <c r="B173" s="1" t="n">
        <v>172</v>
      </c>
      <c r="C173" s="2" t="n">
        <v>1.875E-006</v>
      </c>
    </row>
    <row r="174" customFormat="false" ht="13.8" hidden="false" customHeight="false" outlineLevel="0" collapsed="false">
      <c r="B174" s="1" t="n">
        <v>173</v>
      </c>
      <c r="C174" s="2" t="n">
        <v>0</v>
      </c>
    </row>
    <row r="175" customFormat="false" ht="13.8" hidden="false" customHeight="false" outlineLevel="0" collapsed="false">
      <c r="B175" s="1" t="n">
        <v>174</v>
      </c>
      <c r="C175" s="2" t="n">
        <v>0</v>
      </c>
    </row>
    <row r="176" customFormat="false" ht="13.8" hidden="false" customHeight="false" outlineLevel="0" collapsed="false">
      <c r="B176" s="1" t="n">
        <v>175</v>
      </c>
      <c r="C176" s="2" t="n">
        <v>0</v>
      </c>
    </row>
    <row r="177" customFormat="false" ht="13.8" hidden="false" customHeight="false" outlineLevel="0" collapsed="false">
      <c r="B177" s="1" t="n">
        <v>176</v>
      </c>
      <c r="C177" s="2" t="n">
        <v>0</v>
      </c>
    </row>
    <row r="178" customFormat="false" ht="13.8" hidden="false" customHeight="false" outlineLevel="0" collapsed="false">
      <c r="B178" s="1" t="n">
        <v>177</v>
      </c>
      <c r="C178" s="2" t="n">
        <v>0</v>
      </c>
    </row>
    <row r="179" customFormat="false" ht="13.8" hidden="false" customHeight="false" outlineLevel="0" collapsed="false">
      <c r="B179" s="1" t="n">
        <v>178</v>
      </c>
      <c r="C179" s="2" t="n">
        <v>0</v>
      </c>
    </row>
    <row r="180" customFormat="false" ht="13.8" hidden="false" customHeight="false" outlineLevel="0" collapsed="false">
      <c r="B180" s="1" t="n">
        <v>179</v>
      </c>
      <c r="C180" s="2" t="n">
        <v>0</v>
      </c>
    </row>
    <row r="181" customFormat="false" ht="13.8" hidden="false" customHeight="false" outlineLevel="0" collapsed="false">
      <c r="B181" s="1" t="n">
        <v>180</v>
      </c>
      <c r="C181" s="2" t="n">
        <v>0</v>
      </c>
    </row>
    <row r="182" customFormat="false" ht="13.8" hidden="false" customHeight="false" outlineLevel="0" collapsed="false">
      <c r="B182" s="1" t="n">
        <v>181</v>
      </c>
      <c r="C182" s="2" t="n">
        <v>0</v>
      </c>
    </row>
    <row r="183" customFormat="false" ht="13.8" hidden="false" customHeight="false" outlineLevel="0" collapsed="false">
      <c r="B183" s="1" t="n">
        <v>182</v>
      </c>
      <c r="C183" s="2" t="n">
        <v>0</v>
      </c>
    </row>
    <row r="184" customFormat="false" ht="13.8" hidden="false" customHeight="false" outlineLevel="0" collapsed="false">
      <c r="B184" s="1" t="n">
        <v>183</v>
      </c>
      <c r="C184" s="2" t="n">
        <v>0</v>
      </c>
    </row>
    <row r="185" customFormat="false" ht="13.8" hidden="false" customHeight="false" outlineLevel="0" collapsed="false">
      <c r="B185" s="1" t="n">
        <v>184</v>
      </c>
      <c r="C185" s="2" t="n">
        <v>0</v>
      </c>
    </row>
    <row r="186" customFormat="false" ht="13.8" hidden="false" customHeight="false" outlineLevel="0" collapsed="false">
      <c r="B186" s="1" t="n">
        <v>185</v>
      </c>
      <c r="C186" s="2" t="n">
        <v>0</v>
      </c>
    </row>
    <row r="187" customFormat="false" ht="13.8" hidden="false" customHeight="false" outlineLevel="0" collapsed="false">
      <c r="B187" s="1" t="n">
        <v>186</v>
      </c>
      <c r="C187" s="2" t="n">
        <v>0</v>
      </c>
    </row>
    <row r="188" customFormat="false" ht="13.8" hidden="false" customHeight="false" outlineLevel="0" collapsed="false">
      <c r="B188" s="1" t="n">
        <v>187</v>
      </c>
      <c r="C188" s="2" t="n">
        <v>0</v>
      </c>
    </row>
    <row r="189" customFormat="false" ht="13.8" hidden="false" customHeight="false" outlineLevel="0" collapsed="false">
      <c r="B189" s="1" t="n">
        <v>188</v>
      </c>
      <c r="C189" s="2" t="n">
        <v>0</v>
      </c>
    </row>
    <row r="190" customFormat="false" ht="13.8" hidden="false" customHeight="false" outlineLevel="0" collapsed="false">
      <c r="B190" s="1" t="n">
        <v>189</v>
      </c>
      <c r="C190" s="2" t="n">
        <v>0</v>
      </c>
    </row>
    <row r="191" customFormat="false" ht="13.8" hidden="false" customHeight="false" outlineLevel="0" collapsed="false">
      <c r="B191" s="1" t="n">
        <v>190</v>
      </c>
      <c r="C191" s="2" t="n">
        <v>0</v>
      </c>
    </row>
    <row r="192" customFormat="false" ht="13.8" hidden="false" customHeight="false" outlineLevel="0" collapsed="false">
      <c r="B192" s="1" t="n">
        <v>191</v>
      </c>
      <c r="C192" s="2" t="n">
        <v>0</v>
      </c>
    </row>
    <row r="193" customFormat="false" ht="13.8" hidden="false" customHeight="false" outlineLevel="0" collapsed="false">
      <c r="B193" s="1" t="n">
        <v>192</v>
      </c>
      <c r="C193" s="2" t="n">
        <v>0</v>
      </c>
    </row>
    <row r="194" customFormat="false" ht="13.8" hidden="false" customHeight="false" outlineLevel="0" collapsed="false">
      <c r="B194" s="1" t="n">
        <v>193</v>
      </c>
      <c r="C194" s="2" t="n">
        <v>0</v>
      </c>
    </row>
    <row r="195" customFormat="false" ht="13.8" hidden="false" customHeight="false" outlineLevel="0" collapsed="false">
      <c r="B195" s="1" t="n">
        <v>194</v>
      </c>
      <c r="C195" s="2" t="n">
        <v>0</v>
      </c>
    </row>
    <row r="196" customFormat="false" ht="13.8" hidden="false" customHeight="false" outlineLevel="0" collapsed="false">
      <c r="B196" s="1" t="n">
        <v>195</v>
      </c>
      <c r="C196" s="2" t="n">
        <v>0</v>
      </c>
    </row>
    <row r="197" customFormat="false" ht="13.8" hidden="false" customHeight="false" outlineLevel="0" collapsed="false">
      <c r="B197" s="1" t="n">
        <v>196</v>
      </c>
      <c r="C197" s="2" t="n">
        <v>0</v>
      </c>
    </row>
    <row r="198" customFormat="false" ht="13.8" hidden="false" customHeight="false" outlineLevel="0" collapsed="false">
      <c r="B198" s="1" t="n">
        <v>197</v>
      </c>
      <c r="C198" s="2" t="n">
        <v>0</v>
      </c>
    </row>
    <row r="199" customFormat="false" ht="13.8" hidden="false" customHeight="false" outlineLevel="0" collapsed="false">
      <c r="B199" s="1" t="n">
        <v>198</v>
      </c>
      <c r="C199" s="2" t="n">
        <v>0</v>
      </c>
    </row>
    <row r="200" customFormat="false" ht="13.8" hidden="false" customHeight="false" outlineLevel="0" collapsed="false">
      <c r="B200" s="1" t="n">
        <v>199</v>
      </c>
      <c r="C200" s="2" t="n">
        <v>0</v>
      </c>
    </row>
    <row r="201" customFormat="false" ht="13.8" hidden="false" customHeight="false" outlineLevel="0" collapsed="false">
      <c r="B201" s="1" t="n">
        <v>200</v>
      </c>
      <c r="C201" s="2" t="n">
        <v>0</v>
      </c>
    </row>
    <row r="202" customFormat="false" ht="13.8" hidden="false" customHeight="false" outlineLevel="0" collapsed="false">
      <c r="B202" s="1" t="n">
        <v>201</v>
      </c>
      <c r="C202" s="2" t="n">
        <v>0</v>
      </c>
    </row>
    <row r="203" customFormat="false" ht="13.8" hidden="false" customHeight="false" outlineLevel="0" collapsed="false">
      <c r="B203" s="1" t="n">
        <v>202</v>
      </c>
      <c r="C203" s="2" t="n">
        <v>0</v>
      </c>
    </row>
    <row r="204" customFormat="false" ht="13.8" hidden="false" customHeight="false" outlineLevel="0" collapsed="false">
      <c r="B204" s="1" t="n">
        <v>203</v>
      </c>
      <c r="C204" s="2" t="n">
        <v>0</v>
      </c>
    </row>
    <row r="205" customFormat="false" ht="13.8" hidden="false" customHeight="false" outlineLevel="0" collapsed="false">
      <c r="B205" s="1" t="n">
        <v>204</v>
      </c>
      <c r="C205" s="2" t="n">
        <v>0</v>
      </c>
    </row>
    <row r="206" customFormat="false" ht="13.8" hidden="false" customHeight="false" outlineLevel="0" collapsed="false">
      <c r="B206" s="1" t="n">
        <v>205</v>
      </c>
      <c r="C206" s="2" t="n">
        <v>0</v>
      </c>
    </row>
    <row r="207" customFormat="false" ht="13.8" hidden="false" customHeight="false" outlineLevel="0" collapsed="false">
      <c r="B207" s="1" t="n">
        <v>206</v>
      </c>
      <c r="C207" s="2" t="n">
        <v>0</v>
      </c>
    </row>
    <row r="208" customFormat="false" ht="13.8" hidden="false" customHeight="false" outlineLevel="0" collapsed="false">
      <c r="B208" s="1" t="n">
        <v>207</v>
      </c>
      <c r="C208" s="2" t="n">
        <v>0</v>
      </c>
    </row>
    <row r="209" customFormat="false" ht="13.8" hidden="false" customHeight="false" outlineLevel="0" collapsed="false">
      <c r="B209" s="1" t="n">
        <v>208</v>
      </c>
      <c r="C209" s="2" t="n">
        <v>0</v>
      </c>
    </row>
    <row r="210" customFormat="false" ht="13.8" hidden="false" customHeight="false" outlineLevel="0" collapsed="false">
      <c r="B210" s="1" t="n">
        <v>209</v>
      </c>
      <c r="C210" s="2" t="n">
        <v>0</v>
      </c>
    </row>
    <row r="211" customFormat="false" ht="13.8" hidden="false" customHeight="false" outlineLevel="0" collapsed="false">
      <c r="B211" s="1" t="n">
        <v>210</v>
      </c>
      <c r="C211" s="2" t="n">
        <v>0</v>
      </c>
    </row>
    <row r="212" customFormat="false" ht="13.8" hidden="false" customHeight="false" outlineLevel="0" collapsed="false">
      <c r="B212" s="1" t="n">
        <v>211</v>
      </c>
      <c r="C212" s="2" t="n">
        <v>0</v>
      </c>
    </row>
    <row r="213" customFormat="false" ht="13.8" hidden="false" customHeight="false" outlineLevel="0" collapsed="false">
      <c r="B213" s="1" t="n">
        <v>212</v>
      </c>
      <c r="C213" s="2" t="n">
        <v>0</v>
      </c>
    </row>
    <row r="214" customFormat="false" ht="13.8" hidden="false" customHeight="false" outlineLevel="0" collapsed="false">
      <c r="B214" s="1" t="n">
        <v>213</v>
      </c>
      <c r="C214" s="2" t="n">
        <v>0</v>
      </c>
    </row>
    <row r="215" customFormat="false" ht="13.8" hidden="false" customHeight="false" outlineLevel="0" collapsed="false">
      <c r="B215" s="1" t="n">
        <v>214</v>
      </c>
      <c r="C215" s="2" t="n">
        <v>0.001499375</v>
      </c>
    </row>
    <row r="216" customFormat="false" ht="13.8" hidden="false" customHeight="false" outlineLevel="0" collapsed="false">
      <c r="B216" s="1" t="n">
        <v>215</v>
      </c>
      <c r="C216" s="2" t="n">
        <v>0.00299875</v>
      </c>
    </row>
    <row r="217" customFormat="false" ht="13.8" hidden="false" customHeight="false" outlineLevel="0" collapsed="false">
      <c r="B217" s="1" t="n">
        <v>216</v>
      </c>
      <c r="C217" s="2" t="n">
        <v>0.004498125</v>
      </c>
    </row>
    <row r="218" customFormat="false" ht="13.8" hidden="false" customHeight="false" outlineLevel="0" collapsed="false">
      <c r="B218" s="1" t="n">
        <v>217</v>
      </c>
      <c r="C218" s="2" t="n">
        <v>0.0059975</v>
      </c>
    </row>
    <row r="219" customFormat="false" ht="13.8" hidden="false" customHeight="false" outlineLevel="0" collapsed="false">
      <c r="B219" s="1" t="n">
        <v>218</v>
      </c>
      <c r="C219" s="2" t="n">
        <v>0.013571875</v>
      </c>
    </row>
    <row r="220" customFormat="false" ht="13.8" hidden="false" customHeight="false" outlineLevel="0" collapsed="false">
      <c r="B220" s="1" t="n">
        <v>219</v>
      </c>
      <c r="C220" s="2" t="n">
        <v>0.02114625</v>
      </c>
    </row>
    <row r="221" customFormat="false" ht="13.8" hidden="false" customHeight="false" outlineLevel="0" collapsed="false">
      <c r="B221" s="1" t="n">
        <v>220</v>
      </c>
      <c r="C221" s="2" t="n">
        <v>0.028720625</v>
      </c>
    </row>
    <row r="222" customFormat="false" ht="13.8" hidden="false" customHeight="false" outlineLevel="0" collapsed="false">
      <c r="B222" s="1" t="n">
        <v>221</v>
      </c>
      <c r="C222" s="2" t="n">
        <v>0.036295</v>
      </c>
    </row>
    <row r="223" customFormat="false" ht="13.8" hidden="false" customHeight="false" outlineLevel="0" collapsed="false">
      <c r="B223" s="1" t="n">
        <v>222</v>
      </c>
      <c r="C223" s="2" t="n">
        <v>0.04875125</v>
      </c>
    </row>
    <row r="224" customFormat="false" ht="13.8" hidden="false" customHeight="false" outlineLevel="0" collapsed="false">
      <c r="B224" s="1" t="n">
        <v>223</v>
      </c>
      <c r="C224" s="2" t="n">
        <v>0.0612075</v>
      </c>
    </row>
    <row r="225" customFormat="false" ht="13.8" hidden="false" customHeight="false" outlineLevel="0" collapsed="false">
      <c r="B225" s="1" t="n">
        <v>224</v>
      </c>
      <c r="C225" s="2" t="n">
        <v>0.07366375</v>
      </c>
    </row>
    <row r="226" customFormat="false" ht="13.8" hidden="false" customHeight="false" outlineLevel="0" collapsed="false">
      <c r="B226" s="1" t="n">
        <v>225</v>
      </c>
      <c r="C226" s="2" t="n">
        <v>0.08612</v>
      </c>
    </row>
    <row r="227" customFormat="false" ht="13.8" hidden="false" customHeight="false" outlineLevel="0" collapsed="false">
      <c r="B227" s="1" t="n">
        <v>226</v>
      </c>
      <c r="C227" s="2" t="n">
        <v>0.097349375</v>
      </c>
    </row>
    <row r="228" customFormat="false" ht="13.8" hidden="false" customHeight="false" outlineLevel="0" collapsed="false">
      <c r="B228" s="1" t="n">
        <v>227</v>
      </c>
      <c r="C228" s="2" t="n">
        <v>0.10857875</v>
      </c>
    </row>
    <row r="229" customFormat="false" ht="13.8" hidden="false" customHeight="false" outlineLevel="0" collapsed="false">
      <c r="B229" s="1" t="n">
        <v>228</v>
      </c>
      <c r="C229" s="2" t="n">
        <v>0.119808125</v>
      </c>
    </row>
    <row r="230" customFormat="false" ht="13.8" hidden="false" customHeight="false" outlineLevel="0" collapsed="false">
      <c r="B230" s="1" t="n">
        <v>229</v>
      </c>
      <c r="C230" s="2" t="n">
        <v>0.1310375</v>
      </c>
    </row>
    <row r="231" customFormat="false" ht="13.8" hidden="false" customHeight="false" outlineLevel="0" collapsed="false">
      <c r="B231" s="1" t="n">
        <v>230</v>
      </c>
      <c r="C231" s="2" t="n">
        <v>0.138510625</v>
      </c>
    </row>
    <row r="232" customFormat="false" ht="13.8" hidden="false" customHeight="false" outlineLevel="0" collapsed="false">
      <c r="B232" s="1" t="n">
        <v>231</v>
      </c>
      <c r="C232" s="2" t="n">
        <v>0.14598375</v>
      </c>
    </row>
    <row r="233" customFormat="false" ht="13.8" hidden="false" customHeight="false" outlineLevel="0" collapsed="false">
      <c r="B233" s="1" t="n">
        <v>232</v>
      </c>
      <c r="C233" s="2" t="n">
        <v>0.153456875</v>
      </c>
    </row>
    <row r="234" customFormat="false" ht="13.8" hidden="false" customHeight="false" outlineLevel="0" collapsed="false">
      <c r="B234" s="1" t="n">
        <v>233</v>
      </c>
      <c r="C234" s="2" t="n">
        <v>0.16093</v>
      </c>
    </row>
    <row r="235" customFormat="false" ht="13.8" hidden="false" customHeight="false" outlineLevel="0" collapsed="false">
      <c r="B235" s="1" t="n">
        <v>234</v>
      </c>
      <c r="C235" s="2" t="n">
        <v>0.1652125</v>
      </c>
    </row>
    <row r="236" customFormat="false" ht="13.8" hidden="false" customHeight="false" outlineLevel="0" collapsed="false">
      <c r="B236" s="1" t="n">
        <v>235</v>
      </c>
      <c r="C236" s="2" t="n">
        <v>0.169495</v>
      </c>
    </row>
    <row r="237" customFormat="false" ht="13.8" hidden="false" customHeight="false" outlineLevel="0" collapsed="false">
      <c r="B237" s="1" t="n">
        <v>236</v>
      </c>
      <c r="C237" s="2" t="n">
        <v>0.1737775</v>
      </c>
    </row>
    <row r="238" customFormat="false" ht="13.8" hidden="false" customHeight="false" outlineLevel="0" collapsed="false">
      <c r="B238" s="1" t="n">
        <v>237</v>
      </c>
      <c r="C238" s="2" t="n">
        <v>0.17806</v>
      </c>
    </row>
    <row r="239" customFormat="false" ht="13.8" hidden="false" customHeight="false" outlineLevel="0" collapsed="false">
      <c r="B239" s="1" t="n">
        <v>238</v>
      </c>
      <c r="C239" s="2" t="n">
        <v>0.17883875</v>
      </c>
    </row>
    <row r="240" customFormat="false" ht="13.8" hidden="false" customHeight="false" outlineLevel="0" collapsed="false">
      <c r="B240" s="1" t="n">
        <v>239</v>
      </c>
      <c r="C240" s="2" t="n">
        <v>0.1796175</v>
      </c>
    </row>
    <row r="241" customFormat="false" ht="13.8" hidden="false" customHeight="false" outlineLevel="0" collapsed="false">
      <c r="B241" s="1" t="n">
        <v>240</v>
      </c>
      <c r="C241" s="2" t="n">
        <v>0.18039625</v>
      </c>
    </row>
    <row r="242" customFormat="false" ht="13.8" hidden="false" customHeight="false" outlineLevel="0" collapsed="false">
      <c r="B242" s="1" t="n">
        <v>241</v>
      </c>
      <c r="C242" s="2" t="n">
        <v>0.181175</v>
      </c>
    </row>
    <row r="243" customFormat="false" ht="13.8" hidden="false" customHeight="false" outlineLevel="0" collapsed="false">
      <c r="B243" s="1" t="n">
        <v>242</v>
      </c>
      <c r="C243" s="2" t="n">
        <v>0.178909375</v>
      </c>
    </row>
    <row r="244" customFormat="false" ht="13.8" hidden="false" customHeight="false" outlineLevel="0" collapsed="false">
      <c r="B244" s="1" t="n">
        <v>243</v>
      </c>
      <c r="C244" s="2" t="n">
        <v>0.17664375</v>
      </c>
    </row>
    <row r="245" customFormat="false" ht="13.8" hidden="false" customHeight="false" outlineLevel="0" collapsed="false">
      <c r="B245" s="1" t="n">
        <v>244</v>
      </c>
      <c r="C245" s="2" t="n">
        <v>0.174378125</v>
      </c>
    </row>
    <row r="246" customFormat="false" ht="13.8" hidden="false" customHeight="false" outlineLevel="0" collapsed="false">
      <c r="B246" s="1" t="n">
        <v>245</v>
      </c>
      <c r="C246" s="2" t="n">
        <v>0.1721125</v>
      </c>
    </row>
    <row r="247" customFormat="false" ht="13.8" hidden="false" customHeight="false" outlineLevel="0" collapsed="false">
      <c r="B247" s="1" t="n">
        <v>246</v>
      </c>
      <c r="C247" s="2" t="n">
        <v>0.166998125</v>
      </c>
    </row>
    <row r="248" customFormat="false" ht="13.8" hidden="false" customHeight="false" outlineLevel="0" collapsed="false">
      <c r="B248" s="1" t="n">
        <v>247</v>
      </c>
      <c r="C248" s="2" t="n">
        <v>0.16188375</v>
      </c>
    </row>
    <row r="249" customFormat="false" ht="13.8" hidden="false" customHeight="false" outlineLevel="0" collapsed="false">
      <c r="B249" s="1" t="n">
        <v>248</v>
      </c>
      <c r="C249" s="2" t="n">
        <v>0.156769375</v>
      </c>
    </row>
    <row r="250" customFormat="false" ht="13.8" hidden="false" customHeight="false" outlineLevel="0" collapsed="false">
      <c r="B250" s="1" t="n">
        <v>249</v>
      </c>
      <c r="C250" s="2" t="n">
        <v>0.151655</v>
      </c>
    </row>
    <row r="251" customFormat="false" ht="13.8" hidden="false" customHeight="false" outlineLevel="0" collapsed="false">
      <c r="B251" s="1" t="n">
        <v>250</v>
      </c>
      <c r="C251" s="2" t="n">
        <v>0.14261375</v>
      </c>
    </row>
    <row r="252" customFormat="false" ht="13.8" hidden="false" customHeight="false" outlineLevel="0" collapsed="false">
      <c r="B252" s="1" t="n">
        <v>251</v>
      </c>
      <c r="C252" s="2" t="n">
        <v>0.1335725</v>
      </c>
    </row>
    <row r="253" customFormat="false" ht="13.8" hidden="false" customHeight="false" outlineLevel="0" collapsed="false">
      <c r="B253" s="1" t="n">
        <v>252</v>
      </c>
      <c r="C253" s="2" t="n">
        <v>0.12453125</v>
      </c>
    </row>
    <row r="254" customFormat="false" ht="13.8" hidden="false" customHeight="false" outlineLevel="0" collapsed="false">
      <c r="B254" s="1" t="n">
        <v>253</v>
      </c>
      <c r="C254" s="2" t="n">
        <v>0.11549</v>
      </c>
    </row>
    <row r="255" customFormat="false" ht="13.8" hidden="false" customHeight="false" outlineLevel="0" collapsed="false">
      <c r="B255" s="1" t="n">
        <v>254</v>
      </c>
      <c r="C255" s="2" t="n">
        <v>0.090353125</v>
      </c>
    </row>
    <row r="256" customFormat="false" ht="13.8" hidden="false" customHeight="false" outlineLevel="0" collapsed="false">
      <c r="B256" s="1" t="n">
        <v>255</v>
      </c>
      <c r="C256" s="2" t="n">
        <v>0.06521625</v>
      </c>
    </row>
    <row r="257" customFormat="false" ht="13.8" hidden="false" customHeight="false" outlineLevel="0" collapsed="false">
      <c r="B257" s="1" t="n">
        <v>256</v>
      </c>
      <c r="C257" s="2" t="n">
        <v>0.040079375</v>
      </c>
    </row>
    <row r="258" customFormat="false" ht="13.8" hidden="false" customHeight="false" outlineLevel="0" collapsed="false">
      <c r="B258" s="1" t="n">
        <v>257</v>
      </c>
      <c r="C258" s="2" t="n">
        <v>0.0149425</v>
      </c>
    </row>
    <row r="259" customFormat="false" ht="13.8" hidden="false" customHeight="false" outlineLevel="0" collapsed="false">
      <c r="B259" s="1" t="n">
        <v>258</v>
      </c>
      <c r="C259" s="2" t="n">
        <v>0.01275375</v>
      </c>
    </row>
    <row r="260" customFormat="false" ht="13.8" hidden="false" customHeight="false" outlineLevel="0" collapsed="false">
      <c r="B260" s="1" t="n">
        <v>259</v>
      </c>
      <c r="C260" s="2" t="n">
        <v>0.010565</v>
      </c>
    </row>
    <row r="261" customFormat="false" ht="13.8" hidden="false" customHeight="false" outlineLevel="0" collapsed="false">
      <c r="B261" s="1" t="n">
        <v>260</v>
      </c>
      <c r="C261" s="2" t="n">
        <v>0.00837625</v>
      </c>
    </row>
    <row r="262" customFormat="false" ht="13.8" hidden="false" customHeight="false" outlineLevel="0" collapsed="false">
      <c r="B262" s="1" t="n">
        <v>261</v>
      </c>
      <c r="C262" s="2" t="n">
        <v>0.0061875</v>
      </c>
    </row>
    <row r="263" customFormat="false" ht="13.8" hidden="false" customHeight="false" outlineLevel="0" collapsed="false">
      <c r="B263" s="1" t="n">
        <v>262</v>
      </c>
      <c r="C263" s="2" t="n">
        <v>0.004640625</v>
      </c>
    </row>
    <row r="264" customFormat="false" ht="13.8" hidden="false" customHeight="false" outlineLevel="0" collapsed="false">
      <c r="B264" s="1" t="n">
        <v>263</v>
      </c>
      <c r="C264" s="2" t="n">
        <v>0.00309375</v>
      </c>
    </row>
    <row r="265" customFormat="false" ht="13.8" hidden="false" customHeight="false" outlineLevel="0" collapsed="false">
      <c r="B265" s="1" t="n">
        <v>264</v>
      </c>
      <c r="C265" s="2" t="n">
        <v>0.001546875</v>
      </c>
    </row>
    <row r="266" customFormat="false" ht="13.8" hidden="false" customHeight="false" outlineLevel="0" collapsed="false">
      <c r="B266" s="1" t="n">
        <v>265</v>
      </c>
      <c r="C266" s="2" t="n">
        <v>0</v>
      </c>
    </row>
    <row r="267" customFormat="false" ht="13.8" hidden="false" customHeight="false" outlineLevel="0" collapsed="false">
      <c r="B267" s="1" t="n">
        <v>266</v>
      </c>
      <c r="C267" s="2" t="n">
        <v>0</v>
      </c>
    </row>
    <row r="268" customFormat="false" ht="13.8" hidden="false" customHeight="false" outlineLevel="0" collapsed="false">
      <c r="B268" s="1" t="n">
        <v>267</v>
      </c>
      <c r="C268" s="2" t="n">
        <v>0</v>
      </c>
    </row>
    <row r="269" customFormat="false" ht="13.8" hidden="false" customHeight="false" outlineLevel="0" collapsed="false">
      <c r="B269" s="1" t="n">
        <v>268</v>
      </c>
      <c r="C269" s="2" t="n">
        <v>0</v>
      </c>
    </row>
    <row r="270" customFormat="false" ht="13.8" hidden="false" customHeight="false" outlineLevel="0" collapsed="false">
      <c r="B270" s="1" t="n">
        <v>269</v>
      </c>
      <c r="C270" s="2" t="n">
        <v>0</v>
      </c>
    </row>
    <row r="271" customFormat="false" ht="13.8" hidden="false" customHeight="false" outlineLevel="0" collapsed="false">
      <c r="B271" s="1" t="n">
        <v>270</v>
      </c>
      <c r="C271" s="2" t="n">
        <v>0</v>
      </c>
    </row>
    <row r="272" customFormat="false" ht="13.8" hidden="false" customHeight="false" outlineLevel="0" collapsed="false">
      <c r="B272" s="1" t="n">
        <v>271</v>
      </c>
      <c r="C272" s="2" t="n">
        <v>0</v>
      </c>
    </row>
    <row r="273" customFormat="false" ht="13.8" hidden="false" customHeight="false" outlineLevel="0" collapsed="false">
      <c r="B273" s="1" t="n">
        <v>272</v>
      </c>
      <c r="C273" s="2" t="n">
        <v>0</v>
      </c>
    </row>
    <row r="274" customFormat="false" ht="13.8" hidden="false" customHeight="false" outlineLevel="0" collapsed="false">
      <c r="B274" s="1" t="n">
        <v>273</v>
      </c>
      <c r="C274" s="2" t="n">
        <v>0</v>
      </c>
    </row>
    <row r="275" customFormat="false" ht="13.8" hidden="false" customHeight="false" outlineLevel="0" collapsed="false">
      <c r="B275" s="1" t="n">
        <v>274</v>
      </c>
      <c r="C275" s="2" t="n">
        <v>0</v>
      </c>
    </row>
    <row r="276" customFormat="false" ht="13.8" hidden="false" customHeight="false" outlineLevel="0" collapsed="false">
      <c r="B276" s="1" t="n">
        <v>275</v>
      </c>
      <c r="C276" s="2" t="n">
        <v>0</v>
      </c>
    </row>
    <row r="277" customFormat="false" ht="13.8" hidden="false" customHeight="false" outlineLevel="0" collapsed="false">
      <c r="B277" s="1" t="n">
        <v>276</v>
      </c>
      <c r="C277" s="2" t="n">
        <v>0</v>
      </c>
    </row>
    <row r="278" customFormat="false" ht="13.8" hidden="false" customHeight="false" outlineLevel="0" collapsed="false">
      <c r="B278" s="1" t="n">
        <v>277</v>
      </c>
      <c r="C278" s="2" t="n">
        <v>0</v>
      </c>
    </row>
    <row r="279" customFormat="false" ht="13.8" hidden="false" customHeight="false" outlineLevel="0" collapsed="false">
      <c r="B279" s="1" t="n">
        <v>278</v>
      </c>
      <c r="C279" s="2" t="n">
        <v>0</v>
      </c>
    </row>
    <row r="280" customFormat="false" ht="13.8" hidden="false" customHeight="false" outlineLevel="0" collapsed="false">
      <c r="B280" s="1" t="n">
        <v>279</v>
      </c>
      <c r="C280" s="2" t="n">
        <v>0</v>
      </c>
    </row>
    <row r="281" customFormat="false" ht="13.8" hidden="false" customHeight="false" outlineLevel="0" collapsed="false">
      <c r="B281" s="1" t="n">
        <v>280</v>
      </c>
      <c r="C281" s="2" t="n">
        <v>0</v>
      </c>
    </row>
    <row r="282" customFormat="false" ht="13.8" hidden="false" customHeight="false" outlineLevel="0" collapsed="false">
      <c r="B282" s="1" t="n">
        <v>281</v>
      </c>
      <c r="C282" s="2" t="n">
        <v>0</v>
      </c>
    </row>
    <row r="283" customFormat="false" ht="13.8" hidden="false" customHeight="false" outlineLevel="0" collapsed="false">
      <c r="B283" s="1" t="n">
        <v>282</v>
      </c>
      <c r="C283" s="2" t="n">
        <v>0</v>
      </c>
    </row>
    <row r="284" customFormat="false" ht="13.8" hidden="false" customHeight="false" outlineLevel="0" collapsed="false">
      <c r="B284" s="1" t="n">
        <v>283</v>
      </c>
      <c r="C284" s="2" t="n">
        <v>0</v>
      </c>
    </row>
    <row r="285" customFormat="false" ht="13.8" hidden="false" customHeight="false" outlineLevel="0" collapsed="false">
      <c r="B285" s="1" t="n">
        <v>284</v>
      </c>
      <c r="C285" s="2" t="n">
        <v>0</v>
      </c>
    </row>
    <row r="286" customFormat="false" ht="13.8" hidden="false" customHeight="false" outlineLevel="0" collapsed="false">
      <c r="B286" s="1" t="n">
        <v>285</v>
      </c>
      <c r="C286" s="2" t="n">
        <v>0</v>
      </c>
    </row>
    <row r="287" customFormat="false" ht="13.8" hidden="false" customHeight="false" outlineLevel="0" collapsed="false">
      <c r="B287" s="1" t="n">
        <v>286</v>
      </c>
      <c r="C287" s="2" t="n">
        <v>0</v>
      </c>
    </row>
    <row r="288" customFormat="false" ht="13.8" hidden="false" customHeight="false" outlineLevel="0" collapsed="false">
      <c r="B288" s="1" t="n">
        <v>287</v>
      </c>
      <c r="C288" s="2" t="n">
        <v>0</v>
      </c>
    </row>
    <row r="289" customFormat="false" ht="13.8" hidden="false" customHeight="false" outlineLevel="0" collapsed="false">
      <c r="B289" s="1" t="n">
        <v>288</v>
      </c>
      <c r="C289" s="2" t="n">
        <v>0</v>
      </c>
    </row>
    <row r="290" customFormat="false" ht="13.8" hidden="false" customHeight="false" outlineLevel="0" collapsed="false">
      <c r="B290" s="1" t="n">
        <v>289</v>
      </c>
      <c r="C290" s="2" t="n">
        <v>0</v>
      </c>
    </row>
    <row r="291" customFormat="false" ht="13.8" hidden="false" customHeight="false" outlineLevel="0" collapsed="false">
      <c r="B291" s="1" t="n">
        <v>290</v>
      </c>
      <c r="C291" s="2" t="n">
        <v>0</v>
      </c>
    </row>
    <row r="292" customFormat="false" ht="13.8" hidden="false" customHeight="false" outlineLevel="0" collapsed="false">
      <c r="B292" s="1" t="n">
        <v>291</v>
      </c>
      <c r="C292" s="2" t="n">
        <v>0</v>
      </c>
    </row>
    <row r="293" customFormat="false" ht="13.8" hidden="false" customHeight="false" outlineLevel="0" collapsed="false">
      <c r="B293" s="1" t="n">
        <v>292</v>
      </c>
      <c r="C293" s="2" t="n">
        <v>0</v>
      </c>
    </row>
    <row r="294" customFormat="false" ht="13.8" hidden="false" customHeight="false" outlineLevel="0" collapsed="false">
      <c r="B294" s="1" t="n">
        <v>293</v>
      </c>
      <c r="C294" s="2" t="n">
        <v>0</v>
      </c>
    </row>
    <row r="295" customFormat="false" ht="13.8" hidden="false" customHeight="false" outlineLevel="0" collapsed="false">
      <c r="B295" s="1" t="n">
        <v>294</v>
      </c>
      <c r="C295" s="2" t="n">
        <v>0</v>
      </c>
    </row>
    <row r="296" customFormat="false" ht="13.8" hidden="false" customHeight="false" outlineLevel="0" collapsed="false">
      <c r="B296" s="1" t="n">
        <v>295</v>
      </c>
      <c r="C296" s="2" t="n">
        <v>0</v>
      </c>
    </row>
    <row r="297" customFormat="false" ht="13.8" hidden="false" customHeight="false" outlineLevel="0" collapsed="false">
      <c r="B297" s="1" t="n">
        <v>296</v>
      </c>
      <c r="C297" s="2" t="n">
        <v>0</v>
      </c>
    </row>
    <row r="298" customFormat="false" ht="13.8" hidden="false" customHeight="false" outlineLevel="0" collapsed="false">
      <c r="B298" s="1" t="n">
        <v>297</v>
      </c>
      <c r="C298" s="2" t="n">
        <v>0</v>
      </c>
    </row>
    <row r="299" customFormat="false" ht="13.8" hidden="false" customHeight="false" outlineLevel="0" collapsed="false">
      <c r="B299" s="1" t="n">
        <v>298</v>
      </c>
      <c r="C299" s="2" t="n">
        <v>0</v>
      </c>
    </row>
    <row r="300" customFormat="false" ht="13.8" hidden="false" customHeight="false" outlineLevel="0" collapsed="false">
      <c r="B300" s="1" t="n">
        <v>299</v>
      </c>
      <c r="C300" s="2" t="n">
        <v>0</v>
      </c>
    </row>
    <row r="301" customFormat="false" ht="13.8" hidden="false" customHeight="false" outlineLevel="0" collapsed="false">
      <c r="B301" s="1" t="n">
        <v>300</v>
      </c>
      <c r="C301" s="2" t="n">
        <v>0</v>
      </c>
    </row>
    <row r="302" customFormat="false" ht="13.8" hidden="false" customHeight="false" outlineLevel="0" collapsed="false">
      <c r="B302" s="1" t="n">
        <v>301</v>
      </c>
      <c r="C302" s="2" t="n">
        <v>0</v>
      </c>
    </row>
    <row r="303" customFormat="false" ht="13.8" hidden="false" customHeight="false" outlineLevel="0" collapsed="false">
      <c r="B303" s="1" t="n">
        <v>302</v>
      </c>
      <c r="C303" s="2" t="n">
        <v>0</v>
      </c>
    </row>
    <row r="304" customFormat="false" ht="13.8" hidden="false" customHeight="false" outlineLevel="0" collapsed="false">
      <c r="B304" s="1" t="n">
        <v>303</v>
      </c>
      <c r="C304" s="2" t="n">
        <v>0</v>
      </c>
    </row>
    <row r="305" customFormat="false" ht="13.8" hidden="false" customHeight="false" outlineLevel="0" collapsed="false">
      <c r="B305" s="1" t="n">
        <v>304</v>
      </c>
      <c r="C305" s="2" t="n">
        <v>0</v>
      </c>
    </row>
    <row r="306" customFormat="false" ht="13.8" hidden="false" customHeight="false" outlineLevel="0" collapsed="false">
      <c r="B306" s="1" t="n">
        <v>305</v>
      </c>
      <c r="C306" s="2" t="n">
        <v>0</v>
      </c>
    </row>
    <row r="307" customFormat="false" ht="13.8" hidden="false" customHeight="false" outlineLevel="0" collapsed="false">
      <c r="B307" s="1" t="n">
        <v>306</v>
      </c>
      <c r="C307" s="2" t="n">
        <v>0</v>
      </c>
    </row>
    <row r="308" customFormat="false" ht="13.8" hidden="false" customHeight="false" outlineLevel="0" collapsed="false">
      <c r="B308" s="1" t="n">
        <v>307</v>
      </c>
      <c r="C308" s="2" t="n">
        <v>0</v>
      </c>
    </row>
    <row r="309" customFormat="false" ht="13.8" hidden="false" customHeight="false" outlineLevel="0" collapsed="false">
      <c r="B309" s="1" t="n">
        <v>308</v>
      </c>
      <c r="C309" s="2" t="n">
        <v>0</v>
      </c>
    </row>
    <row r="310" customFormat="false" ht="13.8" hidden="false" customHeight="false" outlineLevel="0" collapsed="false">
      <c r="B310" s="1" t="n">
        <v>309</v>
      </c>
      <c r="C310" s="2" t="n">
        <v>0</v>
      </c>
    </row>
    <row r="311" customFormat="false" ht="13.8" hidden="false" customHeight="false" outlineLevel="0" collapsed="false">
      <c r="B311" s="1" t="n">
        <v>310</v>
      </c>
      <c r="C311" s="2" t="n">
        <v>0.001955</v>
      </c>
    </row>
    <row r="312" customFormat="false" ht="13.8" hidden="false" customHeight="false" outlineLevel="0" collapsed="false">
      <c r="B312" s="1" t="n">
        <v>311</v>
      </c>
      <c r="C312" s="2" t="n">
        <v>0.00391</v>
      </c>
    </row>
    <row r="313" customFormat="false" ht="13.8" hidden="false" customHeight="false" outlineLevel="0" collapsed="false">
      <c r="B313" s="1" t="n">
        <v>312</v>
      </c>
      <c r="C313" s="2" t="n">
        <v>0.005865</v>
      </c>
    </row>
    <row r="314" customFormat="false" ht="13.8" hidden="false" customHeight="false" outlineLevel="0" collapsed="false">
      <c r="B314" s="1" t="n">
        <v>313</v>
      </c>
      <c r="C314" s="2" t="n">
        <v>0.00782</v>
      </c>
    </row>
    <row r="315" customFormat="false" ht="13.8" hidden="false" customHeight="false" outlineLevel="0" collapsed="false">
      <c r="B315" s="1" t="n">
        <v>314</v>
      </c>
      <c r="C315" s="2" t="n">
        <v>0.014230625</v>
      </c>
    </row>
    <row r="316" customFormat="false" ht="13.8" hidden="false" customHeight="false" outlineLevel="0" collapsed="false">
      <c r="B316" s="1" t="n">
        <v>315</v>
      </c>
      <c r="C316" s="2" t="n">
        <v>0.02064125</v>
      </c>
    </row>
    <row r="317" customFormat="false" ht="13.8" hidden="false" customHeight="false" outlineLevel="0" collapsed="false">
      <c r="B317" s="1" t="n">
        <v>316</v>
      </c>
      <c r="C317" s="2" t="n">
        <v>0.027051875</v>
      </c>
    </row>
    <row r="318" customFormat="false" ht="13.8" hidden="false" customHeight="false" outlineLevel="0" collapsed="false">
      <c r="B318" s="1" t="n">
        <v>317</v>
      </c>
      <c r="C318" s="2" t="n">
        <v>0.0334625</v>
      </c>
    </row>
    <row r="319" customFormat="false" ht="13.8" hidden="false" customHeight="false" outlineLevel="0" collapsed="false">
      <c r="B319" s="1" t="n">
        <v>318</v>
      </c>
      <c r="C319" s="2" t="n">
        <v>0.04670625</v>
      </c>
    </row>
    <row r="320" customFormat="false" ht="13.8" hidden="false" customHeight="false" outlineLevel="0" collapsed="false">
      <c r="B320" s="1" t="n">
        <v>319</v>
      </c>
      <c r="C320" s="2" t="n">
        <v>0.05995</v>
      </c>
    </row>
    <row r="321" customFormat="false" ht="13.8" hidden="false" customHeight="false" outlineLevel="0" collapsed="false">
      <c r="B321" s="1" t="n">
        <v>320</v>
      </c>
      <c r="C321" s="2" t="n">
        <v>0.07319375</v>
      </c>
    </row>
    <row r="322" customFormat="false" ht="13.8" hidden="false" customHeight="false" outlineLevel="0" collapsed="false">
      <c r="B322" s="1" t="n">
        <v>321</v>
      </c>
      <c r="C322" s="2" t="n">
        <v>0.0864375</v>
      </c>
    </row>
    <row r="323" customFormat="false" ht="13.8" hidden="false" customHeight="false" outlineLevel="0" collapsed="false">
      <c r="B323" s="1" t="n">
        <v>322</v>
      </c>
      <c r="C323" s="2" t="n">
        <v>0.09504375</v>
      </c>
    </row>
    <row r="324" customFormat="false" ht="13.8" hidden="false" customHeight="false" outlineLevel="0" collapsed="false">
      <c r="B324" s="1" t="n">
        <v>323</v>
      </c>
      <c r="C324" s="2" t="n">
        <v>0.10365</v>
      </c>
    </row>
    <row r="325" customFormat="false" ht="13.8" hidden="false" customHeight="false" outlineLevel="0" collapsed="false">
      <c r="B325" s="1" t="n">
        <v>324</v>
      </c>
      <c r="C325" s="2" t="n">
        <v>0.11225625</v>
      </c>
    </row>
    <row r="326" customFormat="false" ht="13.8" hidden="false" customHeight="false" outlineLevel="0" collapsed="false">
      <c r="B326" s="1" t="n">
        <v>325</v>
      </c>
      <c r="C326" s="2" t="n">
        <v>0.1208625</v>
      </c>
    </row>
    <row r="327" customFormat="false" ht="13.8" hidden="false" customHeight="false" outlineLevel="0" collapsed="false">
      <c r="B327" s="1" t="n">
        <v>326</v>
      </c>
      <c r="C327" s="2" t="n">
        <v>0.130099375</v>
      </c>
    </row>
    <row r="328" customFormat="false" ht="13.8" hidden="false" customHeight="false" outlineLevel="0" collapsed="false">
      <c r="B328" s="1" t="n">
        <v>327</v>
      </c>
      <c r="C328" s="2" t="n">
        <v>0.13933625</v>
      </c>
    </row>
    <row r="329" customFormat="false" ht="13.8" hidden="false" customHeight="false" outlineLevel="0" collapsed="false">
      <c r="B329" s="1" t="n">
        <v>328</v>
      </c>
      <c r="C329" s="2" t="n">
        <v>0.148573125</v>
      </c>
    </row>
    <row r="330" customFormat="false" ht="13.8" hidden="false" customHeight="false" outlineLevel="0" collapsed="false">
      <c r="B330" s="1" t="n">
        <v>329</v>
      </c>
      <c r="C330" s="2" t="n">
        <v>0.15781</v>
      </c>
    </row>
    <row r="331" customFormat="false" ht="13.8" hidden="false" customHeight="false" outlineLevel="0" collapsed="false">
      <c r="B331" s="1" t="n">
        <v>330</v>
      </c>
      <c r="C331" s="2" t="n">
        <v>0.159374375</v>
      </c>
    </row>
    <row r="332" customFormat="false" ht="13.8" hidden="false" customHeight="false" outlineLevel="0" collapsed="false">
      <c r="B332" s="1" t="n">
        <v>331</v>
      </c>
      <c r="C332" s="2" t="n">
        <v>0.16093875</v>
      </c>
    </row>
    <row r="333" customFormat="false" ht="13.8" hidden="false" customHeight="false" outlineLevel="0" collapsed="false">
      <c r="B333" s="1" t="n">
        <v>332</v>
      </c>
      <c r="C333" s="2" t="n">
        <v>0.162503125</v>
      </c>
    </row>
    <row r="334" customFormat="false" ht="13.8" hidden="false" customHeight="false" outlineLevel="0" collapsed="false">
      <c r="B334" s="1" t="n">
        <v>333</v>
      </c>
      <c r="C334" s="2" t="n">
        <v>0.1640675</v>
      </c>
    </row>
    <row r="335" customFormat="false" ht="13.8" hidden="false" customHeight="false" outlineLevel="0" collapsed="false">
      <c r="B335" s="1" t="n">
        <v>334</v>
      </c>
      <c r="C335" s="2" t="n">
        <v>0.16484125</v>
      </c>
    </row>
    <row r="336" customFormat="false" ht="13.8" hidden="false" customHeight="false" outlineLevel="0" collapsed="false">
      <c r="B336" s="1" t="n">
        <v>335</v>
      </c>
      <c r="C336" s="2" t="n">
        <v>0.165615</v>
      </c>
    </row>
    <row r="337" customFormat="false" ht="13.8" hidden="false" customHeight="false" outlineLevel="0" collapsed="false">
      <c r="B337" s="1" t="n">
        <v>336</v>
      </c>
      <c r="C337" s="2" t="n">
        <v>0.16638875</v>
      </c>
    </row>
    <row r="338" customFormat="false" ht="13.8" hidden="false" customHeight="false" outlineLevel="0" collapsed="false">
      <c r="B338" s="1" t="n">
        <v>337</v>
      </c>
      <c r="C338" s="2" t="n">
        <v>0.1671625</v>
      </c>
    </row>
    <row r="339" customFormat="false" ht="13.8" hidden="false" customHeight="false" outlineLevel="0" collapsed="false">
      <c r="B339" s="1" t="n">
        <v>338</v>
      </c>
      <c r="C339" s="2" t="n">
        <v>0.16444125</v>
      </c>
    </row>
    <row r="340" customFormat="false" ht="13.8" hidden="false" customHeight="false" outlineLevel="0" collapsed="false">
      <c r="B340" s="1" t="n">
        <v>339</v>
      </c>
      <c r="C340" s="2" t="n">
        <v>0.16172</v>
      </c>
    </row>
    <row r="341" customFormat="false" ht="13.8" hidden="false" customHeight="false" outlineLevel="0" collapsed="false">
      <c r="B341" s="1" t="n">
        <v>340</v>
      </c>
      <c r="C341" s="2" t="n">
        <v>0.15899875</v>
      </c>
    </row>
    <row r="342" customFormat="false" ht="13.8" hidden="false" customHeight="false" outlineLevel="0" collapsed="false">
      <c r="B342" s="1" t="n">
        <v>341</v>
      </c>
      <c r="C342" s="2" t="n">
        <v>0.1562775</v>
      </c>
    </row>
    <row r="343" customFormat="false" ht="13.8" hidden="false" customHeight="false" outlineLevel="0" collapsed="false">
      <c r="B343" s="1" t="n">
        <v>342</v>
      </c>
      <c r="C343" s="2" t="n">
        <v>0.1407975</v>
      </c>
    </row>
    <row r="344" customFormat="false" ht="13.8" hidden="false" customHeight="false" outlineLevel="0" collapsed="false">
      <c r="B344" s="1" t="n">
        <v>343</v>
      </c>
      <c r="C344" s="2" t="n">
        <v>0.1253175</v>
      </c>
    </row>
    <row r="345" customFormat="false" ht="13.8" hidden="false" customHeight="false" outlineLevel="0" collapsed="false">
      <c r="B345" s="1" t="n">
        <v>344</v>
      </c>
      <c r="C345" s="2" t="n">
        <v>0.1098375</v>
      </c>
    </row>
    <row r="346" customFormat="false" ht="13.8" hidden="false" customHeight="false" outlineLevel="0" collapsed="false">
      <c r="B346" s="1" t="n">
        <v>345</v>
      </c>
      <c r="C346" s="2" t="n">
        <v>0.0943575</v>
      </c>
    </row>
    <row r="347" customFormat="false" ht="13.8" hidden="false" customHeight="false" outlineLevel="0" collapsed="false">
      <c r="B347" s="1" t="n">
        <v>346</v>
      </c>
      <c r="C347" s="2" t="n">
        <v>0.0870375</v>
      </c>
    </row>
    <row r="348" customFormat="false" ht="13.8" hidden="false" customHeight="false" outlineLevel="0" collapsed="false">
      <c r="B348" s="1" t="n">
        <v>347</v>
      </c>
      <c r="C348" s="2" t="n">
        <v>0.0797175</v>
      </c>
    </row>
    <row r="349" customFormat="false" ht="13.8" hidden="false" customHeight="false" outlineLevel="0" collapsed="false">
      <c r="B349" s="1" t="n">
        <v>348</v>
      </c>
      <c r="C349" s="2" t="n">
        <v>0.0723975</v>
      </c>
    </row>
    <row r="350" customFormat="false" ht="13.8" hidden="false" customHeight="false" outlineLevel="0" collapsed="false">
      <c r="B350" s="1" t="n">
        <v>349</v>
      </c>
      <c r="C350" s="2" t="n">
        <v>0.0650775</v>
      </c>
    </row>
    <row r="351" customFormat="false" ht="13.8" hidden="false" customHeight="false" outlineLevel="0" collapsed="false">
      <c r="B351" s="1" t="n">
        <v>350</v>
      </c>
      <c r="C351" s="2" t="n">
        <v>0.052574375</v>
      </c>
    </row>
    <row r="352" customFormat="false" ht="13.8" hidden="false" customHeight="false" outlineLevel="0" collapsed="false">
      <c r="B352" s="1" t="n">
        <v>351</v>
      </c>
      <c r="C352" s="2" t="n">
        <v>0.04007125</v>
      </c>
    </row>
    <row r="353" customFormat="false" ht="13.8" hidden="false" customHeight="false" outlineLevel="0" collapsed="false">
      <c r="B353" s="1" t="n">
        <v>352</v>
      </c>
      <c r="C353" s="2" t="n">
        <v>0.027568125</v>
      </c>
    </row>
    <row r="354" customFormat="false" ht="13.8" hidden="false" customHeight="false" outlineLevel="0" collapsed="false">
      <c r="B354" s="1" t="n">
        <v>353</v>
      </c>
      <c r="C354" s="2" t="n">
        <v>0.015065</v>
      </c>
    </row>
    <row r="355" customFormat="false" ht="13.8" hidden="false" customHeight="false" outlineLevel="0" collapsed="false">
      <c r="B355" s="1" t="n">
        <v>354</v>
      </c>
      <c r="C355" s="2" t="n">
        <v>0.012766875</v>
      </c>
    </row>
    <row r="356" customFormat="false" ht="13.8" hidden="false" customHeight="false" outlineLevel="0" collapsed="false">
      <c r="B356" s="1" t="n">
        <v>355</v>
      </c>
      <c r="C356" s="2" t="n">
        <v>0.01046875</v>
      </c>
    </row>
    <row r="357" customFormat="false" ht="13.8" hidden="false" customHeight="false" outlineLevel="0" collapsed="false">
      <c r="B357" s="1" t="n">
        <v>356</v>
      </c>
      <c r="C357" s="2" t="n">
        <v>0.008170625</v>
      </c>
    </row>
    <row r="358" customFormat="false" ht="13.8" hidden="false" customHeight="false" outlineLevel="0" collapsed="false">
      <c r="B358" s="1" t="n">
        <v>357</v>
      </c>
      <c r="C358" s="2" t="n">
        <v>0.0058725</v>
      </c>
    </row>
    <row r="359" customFormat="false" ht="13.8" hidden="false" customHeight="false" outlineLevel="0" collapsed="false">
      <c r="B359" s="1" t="n">
        <v>358</v>
      </c>
      <c r="C359" s="2" t="n">
        <v>0.004404375</v>
      </c>
    </row>
    <row r="360" customFormat="false" ht="13.8" hidden="false" customHeight="false" outlineLevel="0" collapsed="false">
      <c r="B360" s="1" t="n">
        <v>359</v>
      </c>
      <c r="C360" s="2" t="n">
        <v>0.00293625</v>
      </c>
    </row>
    <row r="361" customFormat="false" ht="13.8" hidden="false" customHeight="false" outlineLevel="0" collapsed="false">
      <c r="B361" s="1" t="n">
        <v>360</v>
      </c>
      <c r="C361" s="2" t="n">
        <v>0.001468125</v>
      </c>
    </row>
    <row r="362" customFormat="false" ht="13.8" hidden="false" customHeight="false" outlineLevel="0" collapsed="false">
      <c r="B362" s="1" t="n">
        <v>361</v>
      </c>
      <c r="C362" s="2" t="n">
        <v>0</v>
      </c>
    </row>
    <row r="363" customFormat="false" ht="13.8" hidden="false" customHeight="false" outlineLevel="0" collapsed="false">
      <c r="B363" s="1" t="n">
        <v>362</v>
      </c>
      <c r="C363" s="2" t="n">
        <v>0</v>
      </c>
    </row>
    <row r="364" customFormat="false" ht="13.8" hidden="false" customHeight="false" outlineLevel="0" collapsed="false">
      <c r="B364" s="1" t="n">
        <v>363</v>
      </c>
      <c r="C364" s="2" t="n">
        <v>0</v>
      </c>
    </row>
    <row r="365" customFormat="false" ht="13.8" hidden="false" customHeight="false" outlineLevel="0" collapsed="false">
      <c r="B365" s="1" t="n">
        <v>364</v>
      </c>
      <c r="C365" s="2" t="n">
        <v>0</v>
      </c>
    </row>
    <row r="366" customFormat="false" ht="13.8" hidden="false" customHeight="false" outlineLevel="0" collapsed="false">
      <c r="B366" s="1" t="n">
        <v>365</v>
      </c>
      <c r="C366" s="2" t="n">
        <v>0</v>
      </c>
    </row>
    <row r="367" customFormat="false" ht="13.8" hidden="false" customHeight="false" outlineLevel="0" collapsed="false">
      <c r="B367" s="1" t="n">
        <v>366</v>
      </c>
      <c r="C367" s="2" t="n">
        <v>0</v>
      </c>
    </row>
    <row r="368" customFormat="false" ht="13.8" hidden="false" customHeight="false" outlineLevel="0" collapsed="false">
      <c r="B368" s="1" t="n">
        <v>367</v>
      </c>
      <c r="C368" s="2" t="n">
        <v>0</v>
      </c>
    </row>
    <row r="369" customFormat="false" ht="13.8" hidden="false" customHeight="false" outlineLevel="0" collapsed="false">
      <c r="B369" s="1" t="n">
        <v>368</v>
      </c>
      <c r="C369" s="2" t="n">
        <v>0</v>
      </c>
    </row>
    <row r="370" customFormat="false" ht="13.8" hidden="false" customHeight="false" outlineLevel="0" collapsed="false">
      <c r="B370" s="1" t="n">
        <v>369</v>
      </c>
      <c r="C370" s="2" t="n">
        <v>0</v>
      </c>
    </row>
    <row r="371" customFormat="false" ht="13.8" hidden="false" customHeight="false" outlineLevel="0" collapsed="false">
      <c r="B371" s="1" t="n">
        <v>370</v>
      </c>
      <c r="C371" s="2" t="n">
        <v>0</v>
      </c>
    </row>
    <row r="372" customFormat="false" ht="13.8" hidden="false" customHeight="false" outlineLevel="0" collapsed="false">
      <c r="B372" s="1" t="n">
        <v>371</v>
      </c>
      <c r="C372" s="2" t="n">
        <v>0</v>
      </c>
    </row>
    <row r="373" customFormat="false" ht="13.8" hidden="false" customHeight="false" outlineLevel="0" collapsed="false">
      <c r="B373" s="1" t="n">
        <v>372</v>
      </c>
      <c r="C373" s="2" t="n">
        <v>0</v>
      </c>
    </row>
    <row r="374" customFormat="false" ht="13.8" hidden="false" customHeight="false" outlineLevel="0" collapsed="false">
      <c r="B374" s="1" t="n">
        <v>373</v>
      </c>
      <c r="C374" s="2" t="n">
        <v>0</v>
      </c>
    </row>
    <row r="375" customFormat="false" ht="13.8" hidden="false" customHeight="false" outlineLevel="0" collapsed="false">
      <c r="B375" s="1" t="n">
        <v>374</v>
      </c>
      <c r="C375" s="2" t="n">
        <v>0</v>
      </c>
    </row>
    <row r="376" customFormat="false" ht="13.8" hidden="false" customHeight="false" outlineLevel="0" collapsed="false">
      <c r="B376" s="1" t="n">
        <v>375</v>
      </c>
      <c r="C376" s="2" t="n">
        <v>0</v>
      </c>
    </row>
    <row r="377" customFormat="false" ht="13.8" hidden="false" customHeight="false" outlineLevel="0" collapsed="false">
      <c r="B377" s="1" t="n">
        <v>376</v>
      </c>
      <c r="C377" s="2" t="n">
        <v>0</v>
      </c>
    </row>
    <row r="378" customFormat="false" ht="13.8" hidden="false" customHeight="false" outlineLevel="0" collapsed="false">
      <c r="B378" s="1" t="n">
        <v>377</v>
      </c>
      <c r="C378" s="2" t="n">
        <v>0</v>
      </c>
    </row>
    <row r="379" customFormat="false" ht="13.8" hidden="false" customHeight="false" outlineLevel="0" collapsed="false">
      <c r="B379" s="1" t="n">
        <v>378</v>
      </c>
      <c r="C379" s="2" t="n">
        <v>0</v>
      </c>
    </row>
    <row r="380" customFormat="false" ht="13.8" hidden="false" customHeight="false" outlineLevel="0" collapsed="false">
      <c r="B380" s="1" t="n">
        <v>379</v>
      </c>
      <c r="C380" s="2" t="n">
        <v>0</v>
      </c>
    </row>
    <row r="381" customFormat="false" ht="13.8" hidden="false" customHeight="false" outlineLevel="0" collapsed="false">
      <c r="B381" s="1" t="n">
        <v>380</v>
      </c>
      <c r="C381" s="2" t="n">
        <v>0</v>
      </c>
    </row>
    <row r="382" customFormat="false" ht="13.8" hidden="false" customHeight="false" outlineLevel="0" collapsed="false">
      <c r="B382" s="1" t="n">
        <v>381</v>
      </c>
      <c r="C382" s="2" t="n">
        <v>0</v>
      </c>
    </row>
    <row r="383" customFormat="false" ht="13.8" hidden="false" customHeight="false" outlineLevel="0" collapsed="false">
      <c r="B383" s="1" t="n">
        <v>382</v>
      </c>
      <c r="C383" s="2" t="n">
        <v>0</v>
      </c>
    </row>
    <row r="384" customFormat="false" ht="13.8" hidden="false" customHeight="false" outlineLevel="0" collapsed="false">
      <c r="B384" s="1" t="n">
        <v>383</v>
      </c>
      <c r="C384" s="2" t="n">
        <v>0</v>
      </c>
    </row>
    <row r="385" customFormat="false" ht="13.8" hidden="false" customHeight="false" outlineLevel="0" collapsed="false">
      <c r="B385" s="1" t="n">
        <v>384</v>
      </c>
      <c r="C385" s="2" t="n">
        <v>0</v>
      </c>
    </row>
    <row r="386" customFormat="false" ht="13.8" hidden="false" customHeight="false" outlineLevel="0" collapsed="false">
      <c r="B386" s="1" t="n">
        <v>385</v>
      </c>
      <c r="C386" s="2" t="n">
        <v>0</v>
      </c>
    </row>
    <row r="387" customFormat="false" ht="13.8" hidden="false" customHeight="false" outlineLevel="0" collapsed="false">
      <c r="B387" s="1" t="n">
        <v>386</v>
      </c>
      <c r="C387" s="2" t="n">
        <v>0</v>
      </c>
    </row>
    <row r="388" customFormat="false" ht="13.8" hidden="false" customHeight="false" outlineLevel="0" collapsed="false">
      <c r="B388" s="1" t="n">
        <v>387</v>
      </c>
      <c r="C388" s="2" t="n">
        <v>0</v>
      </c>
    </row>
    <row r="389" customFormat="false" ht="13.8" hidden="false" customHeight="false" outlineLevel="0" collapsed="false">
      <c r="B389" s="1" t="n">
        <v>388</v>
      </c>
      <c r="C389" s="2" t="n">
        <v>0</v>
      </c>
    </row>
    <row r="390" customFormat="false" ht="13.8" hidden="false" customHeight="false" outlineLevel="0" collapsed="false">
      <c r="B390" s="1" t="n">
        <v>389</v>
      </c>
      <c r="C390" s="2" t="n">
        <v>0</v>
      </c>
    </row>
    <row r="391" customFormat="false" ht="13.8" hidden="false" customHeight="false" outlineLevel="0" collapsed="false">
      <c r="B391" s="1" t="n">
        <v>390</v>
      </c>
      <c r="C391" s="2" t="n">
        <v>0</v>
      </c>
    </row>
    <row r="392" customFormat="false" ht="13.8" hidden="false" customHeight="false" outlineLevel="0" collapsed="false">
      <c r="B392" s="1" t="n">
        <v>391</v>
      </c>
      <c r="C392" s="2" t="n">
        <v>0</v>
      </c>
    </row>
    <row r="393" customFormat="false" ht="13.8" hidden="false" customHeight="false" outlineLevel="0" collapsed="false">
      <c r="B393" s="1" t="n">
        <v>392</v>
      </c>
      <c r="C393" s="2" t="n">
        <v>0</v>
      </c>
    </row>
    <row r="394" customFormat="false" ht="13.8" hidden="false" customHeight="false" outlineLevel="0" collapsed="false">
      <c r="B394" s="1" t="n">
        <v>393</v>
      </c>
      <c r="C394" s="2" t="n">
        <v>0</v>
      </c>
    </row>
    <row r="395" customFormat="false" ht="13.8" hidden="false" customHeight="false" outlineLevel="0" collapsed="false">
      <c r="B395" s="1" t="n">
        <v>394</v>
      </c>
      <c r="C395" s="2" t="n">
        <v>0</v>
      </c>
    </row>
    <row r="396" customFormat="false" ht="13.8" hidden="false" customHeight="false" outlineLevel="0" collapsed="false">
      <c r="B396" s="1" t="n">
        <v>395</v>
      </c>
      <c r="C396" s="2" t="n">
        <v>0</v>
      </c>
    </row>
    <row r="397" customFormat="false" ht="13.8" hidden="false" customHeight="false" outlineLevel="0" collapsed="false">
      <c r="B397" s="1" t="n">
        <v>396</v>
      </c>
      <c r="C397" s="2" t="n">
        <v>0</v>
      </c>
    </row>
    <row r="398" customFormat="false" ht="13.8" hidden="false" customHeight="false" outlineLevel="0" collapsed="false">
      <c r="B398" s="1" t="n">
        <v>397</v>
      </c>
      <c r="C398" s="2" t="n">
        <v>0</v>
      </c>
    </row>
    <row r="399" customFormat="false" ht="13.8" hidden="false" customHeight="false" outlineLevel="0" collapsed="false">
      <c r="B399" s="1" t="n">
        <v>398</v>
      </c>
      <c r="C399" s="2" t="n">
        <v>0</v>
      </c>
    </row>
    <row r="400" customFormat="false" ht="13.8" hidden="false" customHeight="false" outlineLevel="0" collapsed="false">
      <c r="B400" s="1" t="n">
        <v>399</v>
      </c>
      <c r="C400" s="2" t="n">
        <v>0</v>
      </c>
    </row>
    <row r="401" customFormat="false" ht="13.8" hidden="false" customHeight="false" outlineLevel="0" collapsed="false">
      <c r="B401" s="1" t="n">
        <v>400</v>
      </c>
      <c r="C401" s="2" t="n">
        <v>0</v>
      </c>
    </row>
    <row r="402" customFormat="false" ht="13.8" hidden="false" customHeight="false" outlineLevel="0" collapsed="false">
      <c r="B402" s="1" t="n">
        <v>401</v>
      </c>
      <c r="C402" s="2" t="n">
        <v>0</v>
      </c>
    </row>
    <row r="403" customFormat="false" ht="13.8" hidden="false" customHeight="false" outlineLevel="0" collapsed="false">
      <c r="B403" s="1" t="n">
        <v>402</v>
      </c>
      <c r="C403" s="2" t="n">
        <v>0</v>
      </c>
    </row>
    <row r="404" customFormat="false" ht="13.8" hidden="false" customHeight="false" outlineLevel="0" collapsed="false">
      <c r="B404" s="1" t="n">
        <v>403</v>
      </c>
      <c r="C404" s="2" t="n">
        <v>0</v>
      </c>
    </row>
    <row r="405" customFormat="false" ht="13.8" hidden="false" customHeight="false" outlineLevel="0" collapsed="false">
      <c r="B405" s="1" t="n">
        <v>404</v>
      </c>
      <c r="C405" s="2" t="n">
        <v>0</v>
      </c>
    </row>
    <row r="406" customFormat="false" ht="13.8" hidden="false" customHeight="false" outlineLevel="0" collapsed="false">
      <c r="B406" s="1" t="n">
        <v>405</v>
      </c>
      <c r="C406" s="2" t="n">
        <v>0</v>
      </c>
    </row>
    <row r="407" customFormat="false" ht="13.8" hidden="false" customHeight="false" outlineLevel="0" collapsed="false">
      <c r="B407" s="1" t="n">
        <v>406</v>
      </c>
      <c r="C407" s="2" t="n">
        <v>0.001686875</v>
      </c>
    </row>
    <row r="408" customFormat="false" ht="13.8" hidden="false" customHeight="false" outlineLevel="0" collapsed="false">
      <c r="B408" s="1" t="n">
        <v>407</v>
      </c>
      <c r="C408" s="2" t="n">
        <v>0.00337375</v>
      </c>
    </row>
    <row r="409" customFormat="false" ht="13.8" hidden="false" customHeight="false" outlineLevel="0" collapsed="false">
      <c r="B409" s="1" t="n">
        <v>408</v>
      </c>
      <c r="C409" s="2" t="n">
        <v>0.005060625</v>
      </c>
    </row>
    <row r="410" customFormat="false" ht="13.8" hidden="false" customHeight="false" outlineLevel="0" collapsed="false">
      <c r="B410" s="1" t="n">
        <v>409</v>
      </c>
      <c r="C410" s="2" t="n">
        <v>0.0067475</v>
      </c>
    </row>
    <row r="411" customFormat="false" ht="13.8" hidden="false" customHeight="false" outlineLevel="0" collapsed="false">
      <c r="B411" s="1" t="n">
        <v>410</v>
      </c>
      <c r="C411" s="2" t="n">
        <v>0.01373625</v>
      </c>
    </row>
    <row r="412" customFormat="false" ht="13.8" hidden="false" customHeight="false" outlineLevel="0" collapsed="false">
      <c r="B412" s="1" t="n">
        <v>411</v>
      </c>
      <c r="C412" s="2" t="n">
        <v>0.020725</v>
      </c>
    </row>
    <row r="413" customFormat="false" ht="13.8" hidden="false" customHeight="false" outlineLevel="0" collapsed="false">
      <c r="B413" s="1" t="n">
        <v>412</v>
      </c>
      <c r="C413" s="2" t="n">
        <v>0.02771375</v>
      </c>
    </row>
    <row r="414" customFormat="false" ht="13.8" hidden="false" customHeight="false" outlineLevel="0" collapsed="false">
      <c r="B414" s="1" t="n">
        <v>413</v>
      </c>
      <c r="C414" s="2" t="n">
        <v>0.0347025</v>
      </c>
    </row>
    <row r="415" customFormat="false" ht="13.8" hidden="false" customHeight="false" outlineLevel="0" collapsed="false">
      <c r="B415" s="1" t="n">
        <v>414</v>
      </c>
      <c r="C415" s="2" t="n">
        <v>0.04805125</v>
      </c>
    </row>
    <row r="416" customFormat="false" ht="13.8" hidden="false" customHeight="false" outlineLevel="0" collapsed="false">
      <c r="B416" s="1" t="n">
        <v>415</v>
      </c>
      <c r="C416" s="2" t="n">
        <v>0.0614</v>
      </c>
    </row>
    <row r="417" customFormat="false" ht="13.8" hidden="false" customHeight="false" outlineLevel="0" collapsed="false">
      <c r="B417" s="1" t="n">
        <v>416</v>
      </c>
      <c r="C417" s="2" t="n">
        <v>0.07474875</v>
      </c>
    </row>
    <row r="418" customFormat="false" ht="13.8" hidden="false" customHeight="false" outlineLevel="0" collapsed="false">
      <c r="B418" s="1" t="n">
        <v>417</v>
      </c>
      <c r="C418" s="2" t="n">
        <v>0.0880975</v>
      </c>
    </row>
    <row r="419" customFormat="false" ht="13.8" hidden="false" customHeight="false" outlineLevel="0" collapsed="false">
      <c r="B419" s="1" t="n">
        <v>418</v>
      </c>
      <c r="C419" s="2" t="n">
        <v>0.097803125</v>
      </c>
    </row>
    <row r="420" customFormat="false" ht="13.8" hidden="false" customHeight="false" outlineLevel="0" collapsed="false">
      <c r="B420" s="1" t="n">
        <v>419</v>
      </c>
      <c r="C420" s="2" t="n">
        <v>0.10750875</v>
      </c>
    </row>
    <row r="421" customFormat="false" ht="13.8" hidden="false" customHeight="false" outlineLevel="0" collapsed="false">
      <c r="B421" s="1" t="n">
        <v>420</v>
      </c>
      <c r="C421" s="2" t="n">
        <v>0.117214375</v>
      </c>
    </row>
    <row r="422" customFormat="false" ht="13.8" hidden="false" customHeight="false" outlineLevel="0" collapsed="false">
      <c r="B422" s="1" t="n">
        <v>421</v>
      </c>
      <c r="C422" s="2" t="n">
        <v>0.12692</v>
      </c>
    </row>
    <row r="423" customFormat="false" ht="13.8" hidden="false" customHeight="false" outlineLevel="0" collapsed="false">
      <c r="B423" s="1" t="n">
        <v>422</v>
      </c>
      <c r="C423" s="2" t="n">
        <v>0.1334675</v>
      </c>
    </row>
    <row r="424" customFormat="false" ht="13.8" hidden="false" customHeight="false" outlineLevel="0" collapsed="false">
      <c r="B424" s="1" t="n">
        <v>423</v>
      </c>
      <c r="C424" s="2" t="n">
        <v>0.140015</v>
      </c>
    </row>
    <row r="425" customFormat="false" ht="13.8" hidden="false" customHeight="false" outlineLevel="0" collapsed="false">
      <c r="B425" s="1" t="n">
        <v>424</v>
      </c>
      <c r="C425" s="2" t="n">
        <v>0.1465625</v>
      </c>
    </row>
    <row r="426" customFormat="false" ht="13.8" hidden="false" customHeight="false" outlineLevel="0" collapsed="false">
      <c r="B426" s="1" t="n">
        <v>425</v>
      </c>
      <c r="C426" s="2" t="n">
        <v>0.15311</v>
      </c>
    </row>
    <row r="427" customFormat="false" ht="13.8" hidden="false" customHeight="false" outlineLevel="0" collapsed="false">
      <c r="B427" s="1" t="n">
        <v>426</v>
      </c>
      <c r="C427" s="2" t="n">
        <v>0.155935625</v>
      </c>
    </row>
    <row r="428" customFormat="false" ht="13.8" hidden="false" customHeight="false" outlineLevel="0" collapsed="false">
      <c r="B428" s="1" t="n">
        <v>427</v>
      </c>
      <c r="C428" s="2" t="n">
        <v>0.15876125</v>
      </c>
    </row>
    <row r="429" customFormat="false" ht="13.8" hidden="false" customHeight="false" outlineLevel="0" collapsed="false">
      <c r="B429" s="1" t="n">
        <v>428</v>
      </c>
      <c r="C429" s="2" t="n">
        <v>0.161586875</v>
      </c>
    </row>
    <row r="430" customFormat="false" ht="13.8" hidden="false" customHeight="false" outlineLevel="0" collapsed="false">
      <c r="B430" s="1" t="n">
        <v>429</v>
      </c>
      <c r="C430" s="2" t="n">
        <v>0.1644125</v>
      </c>
    </row>
    <row r="431" customFormat="false" ht="13.8" hidden="false" customHeight="false" outlineLevel="0" collapsed="false">
      <c r="B431" s="1" t="n">
        <v>430</v>
      </c>
      <c r="C431" s="2" t="n">
        <v>0.168485</v>
      </c>
    </row>
    <row r="432" customFormat="false" ht="13.8" hidden="false" customHeight="false" outlineLevel="0" collapsed="false">
      <c r="B432" s="1" t="n">
        <v>431</v>
      </c>
      <c r="C432" s="2" t="n">
        <v>0.1725575</v>
      </c>
    </row>
    <row r="433" customFormat="false" ht="13.8" hidden="false" customHeight="false" outlineLevel="0" collapsed="false">
      <c r="B433" s="1" t="n">
        <v>432</v>
      </c>
      <c r="C433" s="2" t="n">
        <v>0.17663</v>
      </c>
    </row>
    <row r="434" customFormat="false" ht="13.8" hidden="false" customHeight="false" outlineLevel="0" collapsed="false">
      <c r="B434" s="1" t="n">
        <v>433</v>
      </c>
      <c r="C434" s="2" t="n">
        <v>0.1807025</v>
      </c>
    </row>
    <row r="435" customFormat="false" ht="13.8" hidden="false" customHeight="false" outlineLevel="0" collapsed="false">
      <c r="B435" s="1" t="n">
        <v>434</v>
      </c>
      <c r="C435" s="2" t="n">
        <v>0.1793175</v>
      </c>
    </row>
    <row r="436" customFormat="false" ht="13.8" hidden="false" customHeight="false" outlineLevel="0" collapsed="false">
      <c r="B436" s="1" t="n">
        <v>435</v>
      </c>
      <c r="C436" s="2" t="n">
        <v>0.1779325</v>
      </c>
    </row>
    <row r="437" customFormat="false" ht="13.8" hidden="false" customHeight="false" outlineLevel="0" collapsed="false">
      <c r="B437" s="1" t="n">
        <v>436</v>
      </c>
      <c r="C437" s="2" t="n">
        <v>0.1765475</v>
      </c>
    </row>
    <row r="438" customFormat="false" ht="13.8" hidden="false" customHeight="false" outlineLevel="0" collapsed="false">
      <c r="B438" s="1" t="n">
        <v>437</v>
      </c>
      <c r="C438" s="2" t="n">
        <v>0.1751625</v>
      </c>
    </row>
    <row r="439" customFormat="false" ht="13.8" hidden="false" customHeight="false" outlineLevel="0" collapsed="false">
      <c r="B439" s="1" t="n">
        <v>438</v>
      </c>
      <c r="C439" s="2" t="n">
        <v>0.14384</v>
      </c>
    </row>
    <row r="440" customFormat="false" ht="13.8" hidden="false" customHeight="false" outlineLevel="0" collapsed="false">
      <c r="B440" s="1" t="n">
        <v>439</v>
      </c>
      <c r="C440" s="2" t="n">
        <v>0.1125175</v>
      </c>
    </row>
    <row r="441" customFormat="false" ht="13.8" hidden="false" customHeight="false" outlineLevel="0" collapsed="false">
      <c r="B441" s="1" t="n">
        <v>440</v>
      </c>
      <c r="C441" s="2" t="n">
        <v>0.081195</v>
      </c>
    </row>
    <row r="442" customFormat="false" ht="13.8" hidden="false" customHeight="false" outlineLevel="0" collapsed="false">
      <c r="B442" s="1" t="n">
        <v>441</v>
      </c>
      <c r="C442" s="2" t="n">
        <v>0.0498725</v>
      </c>
    </row>
    <row r="443" customFormat="false" ht="13.8" hidden="false" customHeight="false" outlineLevel="0" collapsed="false">
      <c r="B443" s="1" t="n">
        <v>442</v>
      </c>
      <c r="C443" s="2" t="n">
        <v>0.05494375</v>
      </c>
    </row>
    <row r="444" customFormat="false" ht="13.8" hidden="false" customHeight="false" outlineLevel="0" collapsed="false">
      <c r="B444" s="1" t="n">
        <v>443</v>
      </c>
      <c r="C444" s="2" t="n">
        <v>0.060015</v>
      </c>
    </row>
    <row r="445" customFormat="false" ht="13.8" hidden="false" customHeight="false" outlineLevel="0" collapsed="false">
      <c r="B445" s="1" t="n">
        <v>444</v>
      </c>
      <c r="C445" s="2" t="n">
        <v>0.06508625</v>
      </c>
    </row>
    <row r="446" customFormat="false" ht="13.8" hidden="false" customHeight="false" outlineLevel="0" collapsed="false">
      <c r="B446" s="1" t="n">
        <v>445</v>
      </c>
      <c r="C446" s="2" t="n">
        <v>0.0701575</v>
      </c>
    </row>
    <row r="447" customFormat="false" ht="13.8" hidden="false" customHeight="false" outlineLevel="0" collapsed="false">
      <c r="B447" s="1" t="n">
        <v>446</v>
      </c>
      <c r="C447" s="2" t="n">
        <v>0.06392</v>
      </c>
    </row>
    <row r="448" customFormat="false" ht="13.8" hidden="false" customHeight="false" outlineLevel="0" collapsed="false">
      <c r="B448" s="1" t="n">
        <v>447</v>
      </c>
      <c r="C448" s="2" t="n">
        <v>0.0576825</v>
      </c>
    </row>
    <row r="449" customFormat="false" ht="13.8" hidden="false" customHeight="false" outlineLevel="0" collapsed="false">
      <c r="B449" s="1" t="n">
        <v>448</v>
      </c>
      <c r="C449" s="2" t="n">
        <v>0.051445</v>
      </c>
    </row>
    <row r="450" customFormat="false" ht="13.8" hidden="false" customHeight="false" outlineLevel="0" collapsed="false">
      <c r="B450" s="1" t="n">
        <v>449</v>
      </c>
      <c r="C450" s="2" t="n">
        <v>0.0452075</v>
      </c>
    </row>
    <row r="451" customFormat="false" ht="13.8" hidden="false" customHeight="false" outlineLevel="0" collapsed="false">
      <c r="B451" s="1" t="n">
        <v>450</v>
      </c>
      <c r="C451" s="2" t="n">
        <v>0.039648125</v>
      </c>
    </row>
    <row r="452" customFormat="false" ht="13.8" hidden="false" customHeight="false" outlineLevel="0" collapsed="false">
      <c r="B452" s="1" t="n">
        <v>451</v>
      </c>
      <c r="C452" s="2" t="n">
        <v>0.03408875</v>
      </c>
    </row>
    <row r="453" customFormat="false" ht="13.8" hidden="false" customHeight="false" outlineLevel="0" collapsed="false">
      <c r="B453" s="1" t="n">
        <v>452</v>
      </c>
      <c r="C453" s="2" t="n">
        <v>0.028529375</v>
      </c>
    </row>
    <row r="454" customFormat="false" ht="13.8" hidden="false" customHeight="false" outlineLevel="0" collapsed="false">
      <c r="B454" s="1" t="n">
        <v>453</v>
      </c>
      <c r="C454" s="2" t="n">
        <v>0.02297</v>
      </c>
    </row>
    <row r="455" customFormat="false" ht="13.8" hidden="false" customHeight="false" outlineLevel="0" collapsed="false">
      <c r="B455" s="1" t="n">
        <v>454</v>
      </c>
      <c r="C455" s="2" t="n">
        <v>0.017274375</v>
      </c>
    </row>
    <row r="456" customFormat="false" ht="13.8" hidden="false" customHeight="false" outlineLevel="0" collapsed="false">
      <c r="B456" s="1" t="n">
        <v>455</v>
      </c>
      <c r="C456" s="2" t="n">
        <v>0.01157875</v>
      </c>
    </row>
    <row r="457" customFormat="false" ht="13.8" hidden="false" customHeight="false" outlineLevel="0" collapsed="false">
      <c r="B457" s="1" t="n">
        <v>456</v>
      </c>
      <c r="C457" s="2" t="n">
        <v>0.005883125</v>
      </c>
    </row>
    <row r="458" customFormat="false" ht="13.8" hidden="false" customHeight="false" outlineLevel="0" collapsed="false">
      <c r="B458" s="1" t="n">
        <v>457</v>
      </c>
      <c r="C458" s="2" t="n">
        <v>0.0001875</v>
      </c>
    </row>
    <row r="459" customFormat="false" ht="13.8" hidden="false" customHeight="false" outlineLevel="0" collapsed="false">
      <c r="B459" s="1" t="n">
        <v>458</v>
      </c>
      <c r="C459" s="2" t="n">
        <v>0.000140625</v>
      </c>
    </row>
    <row r="460" customFormat="false" ht="13.8" hidden="false" customHeight="false" outlineLevel="0" collapsed="false">
      <c r="B460" s="1" t="n">
        <v>459</v>
      </c>
      <c r="C460" s="2" t="n">
        <v>9.375E-005</v>
      </c>
    </row>
    <row r="461" customFormat="false" ht="13.8" hidden="false" customHeight="false" outlineLevel="0" collapsed="false">
      <c r="B461" s="1" t="n">
        <v>460</v>
      </c>
      <c r="C461" s="2" t="n">
        <v>4.6875E-005</v>
      </c>
    </row>
    <row r="462" customFormat="false" ht="13.8" hidden="false" customHeight="false" outlineLevel="0" collapsed="false">
      <c r="B462" s="1" t="n">
        <v>461</v>
      </c>
      <c r="C462" s="2" t="n">
        <v>0</v>
      </c>
    </row>
    <row r="463" customFormat="false" ht="13.8" hidden="false" customHeight="false" outlineLevel="0" collapsed="false">
      <c r="B463" s="1" t="n">
        <v>462</v>
      </c>
      <c r="C463" s="2" t="n">
        <v>0</v>
      </c>
    </row>
    <row r="464" customFormat="false" ht="13.8" hidden="false" customHeight="false" outlineLevel="0" collapsed="false">
      <c r="B464" s="1" t="n">
        <v>463</v>
      </c>
      <c r="C464" s="2" t="n">
        <v>0</v>
      </c>
    </row>
    <row r="465" customFormat="false" ht="13.8" hidden="false" customHeight="false" outlineLevel="0" collapsed="false">
      <c r="B465" s="1" t="n">
        <v>464</v>
      </c>
      <c r="C465" s="2" t="n">
        <v>0</v>
      </c>
    </row>
    <row r="466" customFormat="false" ht="13.8" hidden="false" customHeight="false" outlineLevel="0" collapsed="false">
      <c r="B466" s="1" t="n">
        <v>465</v>
      </c>
      <c r="C466" s="2" t="n">
        <v>0</v>
      </c>
    </row>
    <row r="467" customFormat="false" ht="13.8" hidden="false" customHeight="false" outlineLevel="0" collapsed="false">
      <c r="B467" s="1" t="n">
        <v>466</v>
      </c>
      <c r="C467" s="2" t="n">
        <v>0</v>
      </c>
    </row>
    <row r="468" customFormat="false" ht="13.8" hidden="false" customHeight="false" outlineLevel="0" collapsed="false">
      <c r="B468" s="1" t="n">
        <v>467</v>
      </c>
      <c r="C468" s="2" t="n">
        <v>0</v>
      </c>
    </row>
    <row r="469" customFormat="false" ht="13.8" hidden="false" customHeight="false" outlineLevel="0" collapsed="false">
      <c r="B469" s="1" t="n">
        <v>468</v>
      </c>
      <c r="C469" s="2" t="n">
        <v>0</v>
      </c>
    </row>
    <row r="470" customFormat="false" ht="13.8" hidden="false" customHeight="false" outlineLevel="0" collapsed="false">
      <c r="B470" s="1" t="n">
        <v>469</v>
      </c>
      <c r="C470" s="2" t="n">
        <v>0</v>
      </c>
    </row>
    <row r="471" customFormat="false" ht="13.8" hidden="false" customHeight="false" outlineLevel="0" collapsed="false">
      <c r="B471" s="1" t="n">
        <v>470</v>
      </c>
      <c r="C471" s="2" t="n">
        <v>0</v>
      </c>
    </row>
    <row r="472" customFormat="false" ht="13.8" hidden="false" customHeight="false" outlineLevel="0" collapsed="false">
      <c r="B472" s="1" t="n">
        <v>471</v>
      </c>
      <c r="C472" s="2" t="n">
        <v>0</v>
      </c>
    </row>
    <row r="473" customFormat="false" ht="13.8" hidden="false" customHeight="false" outlineLevel="0" collapsed="false">
      <c r="B473" s="1" t="n">
        <v>472</v>
      </c>
      <c r="C473" s="2" t="n">
        <v>0</v>
      </c>
    </row>
    <row r="474" customFormat="false" ht="13.8" hidden="false" customHeight="false" outlineLevel="0" collapsed="false">
      <c r="B474" s="1" t="n">
        <v>473</v>
      </c>
      <c r="C474" s="2" t="n">
        <v>0</v>
      </c>
    </row>
    <row r="475" customFormat="false" ht="13.8" hidden="false" customHeight="false" outlineLevel="0" collapsed="false">
      <c r="B475" s="1" t="n">
        <v>474</v>
      </c>
      <c r="C475" s="2" t="n">
        <v>0</v>
      </c>
    </row>
    <row r="476" customFormat="false" ht="13.8" hidden="false" customHeight="false" outlineLevel="0" collapsed="false">
      <c r="B476" s="1" t="n">
        <v>475</v>
      </c>
      <c r="C476" s="2" t="n">
        <v>0</v>
      </c>
    </row>
    <row r="477" customFormat="false" ht="13.8" hidden="false" customHeight="false" outlineLevel="0" collapsed="false">
      <c r="B477" s="1" t="n">
        <v>476</v>
      </c>
      <c r="C477" s="2" t="n">
        <v>0</v>
      </c>
    </row>
    <row r="478" customFormat="false" ht="13.8" hidden="false" customHeight="false" outlineLevel="0" collapsed="false">
      <c r="B478" s="1" t="n">
        <v>477</v>
      </c>
      <c r="C478" s="2" t="n">
        <v>0</v>
      </c>
    </row>
    <row r="479" customFormat="false" ht="13.8" hidden="false" customHeight="false" outlineLevel="0" collapsed="false">
      <c r="B479" s="1" t="n">
        <v>478</v>
      </c>
      <c r="C479" s="2" t="n">
        <v>0</v>
      </c>
    </row>
    <row r="480" customFormat="false" ht="13.8" hidden="false" customHeight="false" outlineLevel="0" collapsed="false">
      <c r="B480" s="1" t="n">
        <v>479</v>
      </c>
      <c r="C480" s="2" t="n">
        <v>0</v>
      </c>
    </row>
    <row r="481" customFormat="false" ht="13.8" hidden="false" customHeight="false" outlineLevel="0" collapsed="false">
      <c r="B481" s="1" t="n">
        <v>480</v>
      </c>
      <c r="C481" s="2" t="n">
        <v>0</v>
      </c>
    </row>
    <row r="482" customFormat="false" ht="13.8" hidden="false" customHeight="false" outlineLevel="0" collapsed="false">
      <c r="B482" s="1" t="n">
        <v>481</v>
      </c>
      <c r="C482" s="2" t="n">
        <v>0</v>
      </c>
    </row>
    <row r="483" customFormat="false" ht="13.8" hidden="false" customHeight="false" outlineLevel="0" collapsed="false">
      <c r="B483" s="1" t="n">
        <v>482</v>
      </c>
      <c r="C483" s="2" t="n">
        <v>0</v>
      </c>
    </row>
    <row r="484" customFormat="false" ht="13.8" hidden="false" customHeight="false" outlineLevel="0" collapsed="false">
      <c r="B484" s="1" t="n">
        <v>483</v>
      </c>
      <c r="C484" s="2" t="n">
        <v>0</v>
      </c>
    </row>
    <row r="485" customFormat="false" ht="13.8" hidden="false" customHeight="false" outlineLevel="0" collapsed="false">
      <c r="B485" s="1" t="n">
        <v>484</v>
      </c>
      <c r="C485" s="2" t="n">
        <v>0</v>
      </c>
    </row>
    <row r="486" customFormat="false" ht="13.8" hidden="false" customHeight="false" outlineLevel="0" collapsed="false">
      <c r="B486" s="1" t="n">
        <v>485</v>
      </c>
      <c r="C486" s="2" t="n">
        <v>0</v>
      </c>
    </row>
    <row r="487" customFormat="false" ht="13.8" hidden="false" customHeight="false" outlineLevel="0" collapsed="false">
      <c r="B487" s="1" t="n">
        <v>486</v>
      </c>
      <c r="C487" s="2" t="n">
        <v>0</v>
      </c>
    </row>
    <row r="488" customFormat="false" ht="13.8" hidden="false" customHeight="false" outlineLevel="0" collapsed="false">
      <c r="B488" s="1" t="n">
        <v>487</v>
      </c>
      <c r="C488" s="2" t="n">
        <v>0</v>
      </c>
    </row>
    <row r="489" customFormat="false" ht="13.8" hidden="false" customHeight="false" outlineLevel="0" collapsed="false">
      <c r="B489" s="1" t="n">
        <v>488</v>
      </c>
      <c r="C489" s="2" t="n">
        <v>0</v>
      </c>
    </row>
    <row r="490" customFormat="false" ht="13.8" hidden="false" customHeight="false" outlineLevel="0" collapsed="false">
      <c r="B490" s="1" t="n">
        <v>489</v>
      </c>
      <c r="C490" s="2" t="n">
        <v>0</v>
      </c>
    </row>
    <row r="491" customFormat="false" ht="13.8" hidden="false" customHeight="false" outlineLevel="0" collapsed="false">
      <c r="B491" s="1" t="n">
        <v>490</v>
      </c>
      <c r="C491" s="2" t="n">
        <v>0</v>
      </c>
    </row>
    <row r="492" customFormat="false" ht="13.8" hidden="false" customHeight="false" outlineLevel="0" collapsed="false">
      <c r="B492" s="1" t="n">
        <v>491</v>
      </c>
      <c r="C492" s="2" t="n">
        <v>0</v>
      </c>
    </row>
    <row r="493" customFormat="false" ht="13.8" hidden="false" customHeight="false" outlineLevel="0" collapsed="false">
      <c r="B493" s="1" t="n">
        <v>492</v>
      </c>
      <c r="C493" s="2" t="n">
        <v>0</v>
      </c>
    </row>
    <row r="494" customFormat="false" ht="13.8" hidden="false" customHeight="false" outlineLevel="0" collapsed="false">
      <c r="B494" s="1" t="n">
        <v>493</v>
      </c>
      <c r="C494" s="2" t="n">
        <v>0</v>
      </c>
    </row>
    <row r="495" customFormat="false" ht="13.8" hidden="false" customHeight="false" outlineLevel="0" collapsed="false">
      <c r="B495" s="1" t="n">
        <v>494</v>
      </c>
      <c r="C495" s="2" t="n">
        <v>0</v>
      </c>
    </row>
    <row r="496" customFormat="false" ht="13.8" hidden="false" customHeight="false" outlineLevel="0" collapsed="false">
      <c r="B496" s="1" t="n">
        <v>495</v>
      </c>
      <c r="C496" s="2" t="n">
        <v>0</v>
      </c>
    </row>
    <row r="497" customFormat="false" ht="13.8" hidden="false" customHeight="false" outlineLevel="0" collapsed="false">
      <c r="B497" s="1" t="n">
        <v>496</v>
      </c>
      <c r="C497" s="2" t="n">
        <v>0</v>
      </c>
    </row>
    <row r="498" customFormat="false" ht="13.8" hidden="false" customHeight="false" outlineLevel="0" collapsed="false">
      <c r="B498" s="1" t="n">
        <v>497</v>
      </c>
      <c r="C498" s="2" t="n">
        <v>0</v>
      </c>
    </row>
    <row r="499" customFormat="false" ht="13.8" hidden="false" customHeight="false" outlineLevel="0" collapsed="false">
      <c r="B499" s="1" t="n">
        <v>498</v>
      </c>
      <c r="C499" s="2" t="n">
        <v>0</v>
      </c>
    </row>
    <row r="500" customFormat="false" ht="13.8" hidden="false" customHeight="false" outlineLevel="0" collapsed="false">
      <c r="B500" s="1" t="n">
        <v>499</v>
      </c>
      <c r="C500" s="2" t="n">
        <v>0</v>
      </c>
    </row>
    <row r="501" customFormat="false" ht="13.8" hidden="false" customHeight="false" outlineLevel="0" collapsed="false">
      <c r="B501" s="1" t="n">
        <v>500</v>
      </c>
      <c r="C501" s="2" t="n">
        <v>0</v>
      </c>
    </row>
    <row r="502" customFormat="false" ht="13.8" hidden="false" customHeight="false" outlineLevel="0" collapsed="false">
      <c r="B502" s="1" t="n">
        <v>501</v>
      </c>
      <c r="C502" s="2" t="n">
        <v>0</v>
      </c>
    </row>
    <row r="503" customFormat="false" ht="13.8" hidden="false" customHeight="false" outlineLevel="0" collapsed="false">
      <c r="B503" s="1" t="n">
        <v>502</v>
      </c>
      <c r="C503" s="2" t="n">
        <v>7.1875E-005</v>
      </c>
    </row>
    <row r="504" customFormat="false" ht="13.8" hidden="false" customHeight="false" outlineLevel="0" collapsed="false">
      <c r="B504" s="1" t="n">
        <v>503</v>
      </c>
      <c r="C504" s="2" t="n">
        <v>0.00014375</v>
      </c>
    </row>
    <row r="505" customFormat="false" ht="13.8" hidden="false" customHeight="false" outlineLevel="0" collapsed="false">
      <c r="B505" s="1" t="n">
        <v>504</v>
      </c>
      <c r="C505" s="2" t="n">
        <v>0.000215625</v>
      </c>
    </row>
    <row r="506" customFormat="false" ht="13.8" hidden="false" customHeight="false" outlineLevel="0" collapsed="false">
      <c r="B506" s="1" t="n">
        <v>505</v>
      </c>
      <c r="C506" s="2" t="n">
        <v>0.0002875</v>
      </c>
    </row>
    <row r="507" customFormat="false" ht="13.8" hidden="false" customHeight="false" outlineLevel="0" collapsed="false">
      <c r="B507" s="1" t="n">
        <v>506</v>
      </c>
      <c r="C507" s="2" t="n">
        <v>0.001044375</v>
      </c>
    </row>
    <row r="508" customFormat="false" ht="13.8" hidden="false" customHeight="false" outlineLevel="0" collapsed="false">
      <c r="B508" s="1" t="n">
        <v>507</v>
      </c>
      <c r="C508" s="2" t="n">
        <v>0.00180125</v>
      </c>
    </row>
    <row r="509" customFormat="false" ht="13.8" hidden="false" customHeight="false" outlineLevel="0" collapsed="false">
      <c r="B509" s="1" t="n">
        <v>508</v>
      </c>
      <c r="C509" s="2" t="n">
        <v>0.002558125</v>
      </c>
    </row>
    <row r="510" customFormat="false" ht="13.8" hidden="false" customHeight="false" outlineLevel="0" collapsed="false">
      <c r="B510" s="1" t="n">
        <v>509</v>
      </c>
      <c r="C510" s="2" t="n">
        <v>0.003315</v>
      </c>
    </row>
    <row r="511" customFormat="false" ht="13.8" hidden="false" customHeight="false" outlineLevel="0" collapsed="false">
      <c r="B511" s="1" t="n">
        <v>510</v>
      </c>
      <c r="C511" s="2" t="n">
        <v>0.013855625</v>
      </c>
    </row>
    <row r="512" customFormat="false" ht="13.8" hidden="false" customHeight="false" outlineLevel="0" collapsed="false">
      <c r="B512" s="1" t="n">
        <v>511</v>
      </c>
      <c r="C512" s="2" t="n">
        <v>0.02439625</v>
      </c>
    </row>
    <row r="513" customFormat="false" ht="13.8" hidden="false" customHeight="false" outlineLevel="0" collapsed="false">
      <c r="B513" s="1" t="n">
        <v>512</v>
      </c>
      <c r="C513" s="2" t="n">
        <v>0.034936875</v>
      </c>
    </row>
    <row r="514" customFormat="false" ht="13.8" hidden="false" customHeight="false" outlineLevel="0" collapsed="false">
      <c r="B514" s="1" t="n">
        <v>513</v>
      </c>
      <c r="C514" s="2" t="n">
        <v>0.0454775</v>
      </c>
    </row>
    <row r="515" customFormat="false" ht="13.8" hidden="false" customHeight="false" outlineLevel="0" collapsed="false">
      <c r="B515" s="1" t="n">
        <v>514</v>
      </c>
      <c r="C515" s="2" t="n">
        <v>0.0545375</v>
      </c>
    </row>
    <row r="516" customFormat="false" ht="13.8" hidden="false" customHeight="false" outlineLevel="0" collapsed="false">
      <c r="B516" s="1" t="n">
        <v>515</v>
      </c>
      <c r="C516" s="2" t="n">
        <v>0.0635975</v>
      </c>
    </row>
    <row r="517" customFormat="false" ht="13.8" hidden="false" customHeight="false" outlineLevel="0" collapsed="false">
      <c r="B517" s="1" t="n">
        <v>516</v>
      </c>
      <c r="C517" s="2" t="n">
        <v>0.0726575</v>
      </c>
    </row>
    <row r="518" customFormat="false" ht="13.8" hidden="false" customHeight="false" outlineLevel="0" collapsed="false">
      <c r="B518" s="1" t="n">
        <v>517</v>
      </c>
      <c r="C518" s="2" t="n">
        <v>0.0817175</v>
      </c>
    </row>
    <row r="519" customFormat="false" ht="13.8" hidden="false" customHeight="false" outlineLevel="0" collapsed="false">
      <c r="B519" s="1" t="n">
        <v>518</v>
      </c>
      <c r="C519" s="2" t="n">
        <v>0.085335</v>
      </c>
    </row>
    <row r="520" customFormat="false" ht="13.8" hidden="false" customHeight="false" outlineLevel="0" collapsed="false">
      <c r="B520" s="1" t="n">
        <v>519</v>
      </c>
      <c r="C520" s="2" t="n">
        <v>0.0889525</v>
      </c>
    </row>
    <row r="521" customFormat="false" ht="13.8" hidden="false" customHeight="false" outlineLevel="0" collapsed="false">
      <c r="B521" s="1" t="n">
        <v>520</v>
      </c>
      <c r="C521" s="2" t="n">
        <v>0.09257</v>
      </c>
    </row>
    <row r="522" customFormat="false" ht="13.8" hidden="false" customHeight="false" outlineLevel="0" collapsed="false">
      <c r="B522" s="1" t="n">
        <v>521</v>
      </c>
      <c r="C522" s="2" t="n">
        <v>0.0961875</v>
      </c>
    </row>
    <row r="523" customFormat="false" ht="13.8" hidden="false" customHeight="false" outlineLevel="0" collapsed="false">
      <c r="B523" s="1" t="n">
        <v>522</v>
      </c>
      <c r="C523" s="2" t="n">
        <v>0.108524375</v>
      </c>
    </row>
    <row r="524" customFormat="false" ht="13.8" hidden="false" customHeight="false" outlineLevel="0" collapsed="false">
      <c r="B524" s="1" t="n">
        <v>523</v>
      </c>
      <c r="C524" s="2" t="n">
        <v>0.12086125</v>
      </c>
    </row>
    <row r="525" customFormat="false" ht="13.8" hidden="false" customHeight="false" outlineLevel="0" collapsed="false">
      <c r="B525" s="1" t="n">
        <v>524</v>
      </c>
      <c r="C525" s="2" t="n">
        <v>0.133198125</v>
      </c>
    </row>
    <row r="526" customFormat="false" ht="13.8" hidden="false" customHeight="false" outlineLevel="0" collapsed="false">
      <c r="B526" s="1" t="n">
        <v>525</v>
      </c>
      <c r="C526" s="2" t="n">
        <v>0.145535</v>
      </c>
    </row>
    <row r="527" customFormat="false" ht="13.8" hidden="false" customHeight="false" outlineLevel="0" collapsed="false">
      <c r="B527" s="1" t="n">
        <v>526</v>
      </c>
      <c r="C527" s="2" t="n">
        <v>0.13894625</v>
      </c>
    </row>
    <row r="528" customFormat="false" ht="13.8" hidden="false" customHeight="false" outlineLevel="0" collapsed="false">
      <c r="B528" s="1" t="n">
        <v>527</v>
      </c>
      <c r="C528" s="2" t="n">
        <v>0.1323575</v>
      </c>
    </row>
    <row r="529" customFormat="false" ht="13.8" hidden="false" customHeight="false" outlineLevel="0" collapsed="false">
      <c r="B529" s="1" t="n">
        <v>528</v>
      </c>
      <c r="C529" s="2" t="n">
        <v>0.12576875</v>
      </c>
    </row>
    <row r="530" customFormat="false" ht="13.8" hidden="false" customHeight="false" outlineLevel="0" collapsed="false">
      <c r="B530" s="1" t="n">
        <v>529</v>
      </c>
      <c r="C530" s="2" t="n">
        <v>0.11918</v>
      </c>
    </row>
    <row r="531" customFormat="false" ht="13.8" hidden="false" customHeight="false" outlineLevel="0" collapsed="false">
      <c r="B531" s="1" t="n">
        <v>530</v>
      </c>
      <c r="C531" s="2" t="n">
        <v>0.116291875</v>
      </c>
    </row>
    <row r="532" customFormat="false" ht="13.8" hidden="false" customHeight="false" outlineLevel="0" collapsed="false">
      <c r="B532" s="1" t="n">
        <v>531</v>
      </c>
      <c r="C532" s="2" t="n">
        <v>0.11340375</v>
      </c>
    </row>
    <row r="533" customFormat="false" ht="13.8" hidden="false" customHeight="false" outlineLevel="0" collapsed="false">
      <c r="B533" s="1" t="n">
        <v>532</v>
      </c>
      <c r="C533" s="2" t="n">
        <v>0.110515625</v>
      </c>
    </row>
    <row r="534" customFormat="false" ht="13.8" hidden="false" customHeight="false" outlineLevel="0" collapsed="false">
      <c r="B534" s="1" t="n">
        <v>533</v>
      </c>
      <c r="C534" s="2" t="n">
        <v>0.1076275</v>
      </c>
    </row>
    <row r="535" customFormat="false" ht="13.8" hidden="false" customHeight="false" outlineLevel="0" collapsed="false">
      <c r="B535" s="1" t="n">
        <v>534</v>
      </c>
      <c r="C535" s="2" t="n">
        <v>0.089943125</v>
      </c>
    </row>
    <row r="536" customFormat="false" ht="13.8" hidden="false" customHeight="false" outlineLevel="0" collapsed="false">
      <c r="B536" s="1" t="n">
        <v>535</v>
      </c>
      <c r="C536" s="2" t="n">
        <v>0.07225875</v>
      </c>
    </row>
    <row r="537" customFormat="false" ht="13.8" hidden="false" customHeight="false" outlineLevel="0" collapsed="false">
      <c r="B537" s="1" t="n">
        <v>536</v>
      </c>
      <c r="C537" s="2" t="n">
        <v>0.054574375</v>
      </c>
    </row>
    <row r="538" customFormat="false" ht="13.8" hidden="false" customHeight="false" outlineLevel="0" collapsed="false">
      <c r="B538" s="1" t="n">
        <v>537</v>
      </c>
      <c r="C538" s="2" t="n">
        <v>0.03689</v>
      </c>
    </row>
    <row r="539" customFormat="false" ht="13.8" hidden="false" customHeight="false" outlineLevel="0" collapsed="false">
      <c r="B539" s="1" t="n">
        <v>538</v>
      </c>
      <c r="C539" s="2" t="n">
        <v>0.029913125</v>
      </c>
    </row>
    <row r="540" customFormat="false" ht="13.8" hidden="false" customHeight="false" outlineLevel="0" collapsed="false">
      <c r="B540" s="1" t="n">
        <v>539</v>
      </c>
      <c r="C540" s="2" t="n">
        <v>0.02293625</v>
      </c>
    </row>
    <row r="541" customFormat="false" ht="13.8" hidden="false" customHeight="false" outlineLevel="0" collapsed="false">
      <c r="B541" s="1" t="n">
        <v>540</v>
      </c>
      <c r="C541" s="2" t="n">
        <v>0.015959375</v>
      </c>
    </row>
    <row r="542" customFormat="false" ht="13.8" hidden="false" customHeight="false" outlineLevel="0" collapsed="false">
      <c r="B542" s="1" t="n">
        <v>541</v>
      </c>
      <c r="C542" s="2" t="n">
        <v>0.0089825</v>
      </c>
    </row>
    <row r="543" customFormat="false" ht="13.8" hidden="false" customHeight="false" outlineLevel="0" collapsed="false">
      <c r="B543" s="1" t="n">
        <v>542</v>
      </c>
      <c r="C543" s="2" t="n">
        <v>0.0080775</v>
      </c>
    </row>
    <row r="544" customFormat="false" ht="13.8" hidden="false" customHeight="false" outlineLevel="0" collapsed="false">
      <c r="B544" s="1" t="n">
        <v>543</v>
      </c>
      <c r="C544" s="2" t="n">
        <v>0.0071725</v>
      </c>
    </row>
    <row r="545" customFormat="false" ht="13.8" hidden="false" customHeight="false" outlineLevel="0" collapsed="false">
      <c r="B545" s="1" t="n">
        <v>544</v>
      </c>
      <c r="C545" s="2" t="n">
        <v>0.0062675</v>
      </c>
    </row>
    <row r="546" customFormat="false" ht="13.8" hidden="false" customHeight="false" outlineLevel="0" collapsed="false">
      <c r="B546" s="1" t="n">
        <v>545</v>
      </c>
      <c r="C546" s="2" t="n">
        <v>0.0053625</v>
      </c>
    </row>
    <row r="547" customFormat="false" ht="13.8" hidden="false" customHeight="false" outlineLevel="0" collapsed="false">
      <c r="B547" s="1" t="n">
        <v>546</v>
      </c>
      <c r="C547" s="2" t="n">
        <v>0.004891875</v>
      </c>
    </row>
    <row r="548" customFormat="false" ht="13.8" hidden="false" customHeight="false" outlineLevel="0" collapsed="false">
      <c r="B548" s="1" t="n">
        <v>547</v>
      </c>
      <c r="C548" s="2" t="n">
        <v>0.00442125</v>
      </c>
    </row>
    <row r="549" customFormat="false" ht="13.8" hidden="false" customHeight="false" outlineLevel="0" collapsed="false">
      <c r="B549" s="1" t="n">
        <v>548</v>
      </c>
      <c r="C549" s="2" t="n">
        <v>0.003950625</v>
      </c>
    </row>
    <row r="550" customFormat="false" ht="13.8" hidden="false" customHeight="false" outlineLevel="0" collapsed="false">
      <c r="B550" s="1" t="n">
        <v>549</v>
      </c>
      <c r="C550" s="2" t="n">
        <v>0.00348</v>
      </c>
    </row>
    <row r="551" customFormat="false" ht="13.8" hidden="false" customHeight="false" outlineLevel="0" collapsed="false">
      <c r="B551" s="1" t="n">
        <v>550</v>
      </c>
      <c r="C551" s="2" t="n">
        <v>0.00261</v>
      </c>
    </row>
    <row r="552" customFormat="false" ht="13.8" hidden="false" customHeight="false" outlineLevel="0" collapsed="false">
      <c r="B552" s="1" t="n">
        <v>551</v>
      </c>
      <c r="C552" s="2" t="n">
        <v>0.00174</v>
      </c>
    </row>
    <row r="553" customFormat="false" ht="13.8" hidden="false" customHeight="false" outlineLevel="0" collapsed="false">
      <c r="B553" s="1" t="n">
        <v>552</v>
      </c>
      <c r="C553" s="2" t="n">
        <v>0.00087</v>
      </c>
    </row>
    <row r="554" customFormat="false" ht="13.8" hidden="false" customHeight="false" outlineLevel="0" collapsed="false">
      <c r="B554" s="1" t="n">
        <v>553</v>
      </c>
      <c r="C554" s="2" t="n">
        <v>0</v>
      </c>
    </row>
    <row r="555" customFormat="false" ht="13.8" hidden="false" customHeight="false" outlineLevel="0" collapsed="false">
      <c r="B555" s="1" t="n">
        <v>554</v>
      </c>
      <c r="C555" s="2" t="n">
        <v>0</v>
      </c>
    </row>
    <row r="556" customFormat="false" ht="13.8" hidden="false" customHeight="false" outlineLevel="0" collapsed="false">
      <c r="B556" s="1" t="n">
        <v>555</v>
      </c>
      <c r="C556" s="2" t="n">
        <v>0</v>
      </c>
    </row>
    <row r="557" customFormat="false" ht="13.8" hidden="false" customHeight="false" outlineLevel="0" collapsed="false">
      <c r="B557" s="1" t="n">
        <v>556</v>
      </c>
      <c r="C557" s="2" t="n">
        <v>0</v>
      </c>
    </row>
    <row r="558" customFormat="false" ht="13.8" hidden="false" customHeight="false" outlineLevel="0" collapsed="false">
      <c r="B558" s="1" t="n">
        <v>557</v>
      </c>
      <c r="C558" s="2" t="n">
        <v>0</v>
      </c>
    </row>
    <row r="559" customFormat="false" ht="13.8" hidden="false" customHeight="false" outlineLevel="0" collapsed="false">
      <c r="B559" s="1" t="n">
        <v>558</v>
      </c>
      <c r="C559" s="2" t="n">
        <v>0</v>
      </c>
    </row>
    <row r="560" customFormat="false" ht="13.8" hidden="false" customHeight="false" outlineLevel="0" collapsed="false">
      <c r="B560" s="1" t="n">
        <v>559</v>
      </c>
      <c r="C560" s="2" t="n">
        <v>0</v>
      </c>
    </row>
    <row r="561" customFormat="false" ht="13.8" hidden="false" customHeight="false" outlineLevel="0" collapsed="false">
      <c r="B561" s="1" t="n">
        <v>560</v>
      </c>
      <c r="C561" s="2" t="n">
        <v>0</v>
      </c>
    </row>
    <row r="562" customFormat="false" ht="13.8" hidden="false" customHeight="false" outlineLevel="0" collapsed="false">
      <c r="B562" s="1" t="n">
        <v>561</v>
      </c>
      <c r="C562" s="2" t="n">
        <v>0</v>
      </c>
    </row>
    <row r="563" customFormat="false" ht="13.8" hidden="false" customHeight="false" outlineLevel="0" collapsed="false">
      <c r="B563" s="1" t="n">
        <v>562</v>
      </c>
      <c r="C563" s="2" t="n">
        <v>0</v>
      </c>
    </row>
    <row r="564" customFormat="false" ht="13.8" hidden="false" customHeight="false" outlineLevel="0" collapsed="false">
      <c r="B564" s="1" t="n">
        <v>563</v>
      </c>
      <c r="C564" s="2" t="n">
        <v>0</v>
      </c>
    </row>
    <row r="565" customFormat="false" ht="13.8" hidden="false" customHeight="false" outlineLevel="0" collapsed="false">
      <c r="B565" s="1" t="n">
        <v>564</v>
      </c>
      <c r="C565" s="2" t="n">
        <v>0</v>
      </c>
    </row>
    <row r="566" customFormat="false" ht="13.8" hidden="false" customHeight="false" outlineLevel="0" collapsed="false">
      <c r="B566" s="1" t="n">
        <v>565</v>
      </c>
      <c r="C566" s="2" t="n">
        <v>0</v>
      </c>
    </row>
    <row r="567" customFormat="false" ht="13.8" hidden="false" customHeight="false" outlineLevel="0" collapsed="false">
      <c r="B567" s="1" t="n">
        <v>566</v>
      </c>
      <c r="C567" s="2" t="n">
        <v>0</v>
      </c>
    </row>
    <row r="568" customFormat="false" ht="13.8" hidden="false" customHeight="false" outlineLevel="0" collapsed="false">
      <c r="B568" s="1" t="n">
        <v>567</v>
      </c>
      <c r="C568" s="2" t="n">
        <v>0</v>
      </c>
    </row>
    <row r="569" customFormat="false" ht="13.8" hidden="false" customHeight="false" outlineLevel="0" collapsed="false">
      <c r="B569" s="1" t="n">
        <v>568</v>
      </c>
      <c r="C569" s="2" t="n">
        <v>0</v>
      </c>
    </row>
    <row r="570" customFormat="false" ht="13.8" hidden="false" customHeight="false" outlineLevel="0" collapsed="false">
      <c r="B570" s="1" t="n">
        <v>569</v>
      </c>
      <c r="C570" s="2" t="n">
        <v>0</v>
      </c>
    </row>
    <row r="571" customFormat="false" ht="13.8" hidden="false" customHeight="false" outlineLevel="0" collapsed="false">
      <c r="B571" s="1" t="n">
        <v>570</v>
      </c>
      <c r="C571" s="2" t="n">
        <v>0</v>
      </c>
    </row>
    <row r="572" customFormat="false" ht="13.8" hidden="false" customHeight="false" outlineLevel="0" collapsed="false">
      <c r="B572" s="1" t="n">
        <v>571</v>
      </c>
      <c r="C572" s="2" t="n">
        <v>0</v>
      </c>
    </row>
    <row r="573" customFormat="false" ht="13.8" hidden="false" customHeight="false" outlineLevel="0" collapsed="false">
      <c r="B573" s="1" t="n">
        <v>572</v>
      </c>
      <c r="C573" s="2" t="n">
        <v>0</v>
      </c>
    </row>
    <row r="574" customFormat="false" ht="13.8" hidden="false" customHeight="false" outlineLevel="0" collapsed="false">
      <c r="B574" s="1" t="n">
        <v>573</v>
      </c>
      <c r="C574" s="2" t="n">
        <v>0</v>
      </c>
    </row>
    <row r="575" customFormat="false" ht="13.8" hidden="false" customHeight="false" outlineLevel="0" collapsed="false">
      <c r="B575" s="1" t="n">
        <v>574</v>
      </c>
      <c r="C575" s="2" t="n">
        <v>0</v>
      </c>
    </row>
    <row r="576" customFormat="false" ht="13.8" hidden="false" customHeight="false" outlineLevel="0" collapsed="false">
      <c r="B576" s="1" t="n">
        <v>575</v>
      </c>
      <c r="C576" s="2" t="n">
        <v>0</v>
      </c>
    </row>
    <row r="577" customFormat="false" ht="13.8" hidden="false" customHeight="false" outlineLevel="0" collapsed="false">
      <c r="B577" s="1" t="n">
        <v>576</v>
      </c>
      <c r="C577" s="2" t="n">
        <v>0</v>
      </c>
    </row>
    <row r="578" customFormat="false" ht="13.8" hidden="false" customHeight="false" outlineLevel="0" collapsed="false">
      <c r="B578" s="1" t="n">
        <v>577</v>
      </c>
      <c r="C578" s="2" t="n">
        <v>0</v>
      </c>
    </row>
    <row r="579" customFormat="false" ht="13.8" hidden="false" customHeight="false" outlineLevel="0" collapsed="false">
      <c r="B579" s="1" t="n">
        <v>578</v>
      </c>
      <c r="C579" s="2" t="n">
        <v>0</v>
      </c>
    </row>
    <row r="580" customFormat="false" ht="13.8" hidden="false" customHeight="false" outlineLevel="0" collapsed="false">
      <c r="B580" s="1" t="n">
        <v>579</v>
      </c>
      <c r="C580" s="2" t="n">
        <v>0</v>
      </c>
    </row>
    <row r="581" customFormat="false" ht="13.8" hidden="false" customHeight="false" outlineLevel="0" collapsed="false">
      <c r="B581" s="1" t="n">
        <v>580</v>
      </c>
      <c r="C581" s="2" t="n">
        <v>0</v>
      </c>
    </row>
    <row r="582" customFormat="false" ht="13.8" hidden="false" customHeight="false" outlineLevel="0" collapsed="false">
      <c r="B582" s="1" t="n">
        <v>581</v>
      </c>
      <c r="C582" s="2" t="n">
        <v>0</v>
      </c>
    </row>
    <row r="583" customFormat="false" ht="13.8" hidden="false" customHeight="false" outlineLevel="0" collapsed="false">
      <c r="B583" s="1" t="n">
        <v>582</v>
      </c>
      <c r="C583" s="2" t="n">
        <v>0</v>
      </c>
    </row>
    <row r="584" customFormat="false" ht="13.8" hidden="false" customHeight="false" outlineLevel="0" collapsed="false">
      <c r="B584" s="1" t="n">
        <v>583</v>
      </c>
      <c r="C584" s="2" t="n">
        <v>0</v>
      </c>
    </row>
    <row r="585" customFormat="false" ht="13.8" hidden="false" customHeight="false" outlineLevel="0" collapsed="false">
      <c r="B585" s="1" t="n">
        <v>584</v>
      </c>
      <c r="C585" s="2" t="n">
        <v>0</v>
      </c>
    </row>
    <row r="586" customFormat="false" ht="13.8" hidden="false" customHeight="false" outlineLevel="0" collapsed="false">
      <c r="B586" s="1" t="n">
        <v>585</v>
      </c>
      <c r="C586" s="2" t="n">
        <v>0</v>
      </c>
    </row>
    <row r="587" customFormat="false" ht="13.8" hidden="false" customHeight="false" outlineLevel="0" collapsed="false">
      <c r="B587" s="1" t="n">
        <v>586</v>
      </c>
      <c r="C587" s="2" t="n">
        <v>0</v>
      </c>
    </row>
    <row r="588" customFormat="false" ht="13.8" hidden="false" customHeight="false" outlineLevel="0" collapsed="false">
      <c r="B588" s="1" t="n">
        <v>587</v>
      </c>
      <c r="C588" s="2" t="n">
        <v>0</v>
      </c>
    </row>
    <row r="589" customFormat="false" ht="13.8" hidden="false" customHeight="false" outlineLevel="0" collapsed="false">
      <c r="B589" s="1" t="n">
        <v>588</v>
      </c>
      <c r="C589" s="2" t="n">
        <v>0</v>
      </c>
    </row>
    <row r="590" customFormat="false" ht="13.8" hidden="false" customHeight="false" outlineLevel="0" collapsed="false">
      <c r="B590" s="1" t="n">
        <v>589</v>
      </c>
      <c r="C590" s="2" t="n">
        <v>0</v>
      </c>
    </row>
    <row r="591" customFormat="false" ht="13.8" hidden="false" customHeight="false" outlineLevel="0" collapsed="false">
      <c r="B591" s="1" t="n">
        <v>590</v>
      </c>
      <c r="C591" s="2" t="n">
        <v>0</v>
      </c>
    </row>
    <row r="592" customFormat="false" ht="13.8" hidden="false" customHeight="false" outlineLevel="0" collapsed="false">
      <c r="B592" s="1" t="n">
        <v>591</v>
      </c>
      <c r="C592" s="2" t="n">
        <v>0</v>
      </c>
    </row>
    <row r="593" customFormat="false" ht="13.8" hidden="false" customHeight="false" outlineLevel="0" collapsed="false">
      <c r="B593" s="1" t="n">
        <v>592</v>
      </c>
      <c r="C593" s="2" t="n">
        <v>0</v>
      </c>
    </row>
    <row r="594" customFormat="false" ht="13.8" hidden="false" customHeight="false" outlineLevel="0" collapsed="false">
      <c r="B594" s="1" t="n">
        <v>593</v>
      </c>
      <c r="C594" s="2" t="n">
        <v>0</v>
      </c>
    </row>
    <row r="595" customFormat="false" ht="13.8" hidden="false" customHeight="false" outlineLevel="0" collapsed="false">
      <c r="B595" s="1" t="n">
        <v>594</v>
      </c>
      <c r="C595" s="2" t="n">
        <v>0</v>
      </c>
    </row>
    <row r="596" customFormat="false" ht="13.8" hidden="false" customHeight="false" outlineLevel="0" collapsed="false">
      <c r="B596" s="1" t="n">
        <v>595</v>
      </c>
      <c r="C596" s="2" t="n">
        <v>0</v>
      </c>
    </row>
    <row r="597" customFormat="false" ht="13.8" hidden="false" customHeight="false" outlineLevel="0" collapsed="false">
      <c r="B597" s="1" t="n">
        <v>596</v>
      </c>
      <c r="C597" s="2" t="n">
        <v>0</v>
      </c>
    </row>
    <row r="598" customFormat="false" ht="13.8" hidden="false" customHeight="false" outlineLevel="0" collapsed="false">
      <c r="B598" s="1" t="n">
        <v>597</v>
      </c>
      <c r="C598" s="2" t="n">
        <v>0</v>
      </c>
    </row>
    <row r="599" customFormat="false" ht="13.8" hidden="false" customHeight="false" outlineLevel="0" collapsed="false">
      <c r="B599" s="1" t="n">
        <v>598</v>
      </c>
      <c r="C599" s="2" t="n">
        <v>0.001459375</v>
      </c>
    </row>
    <row r="600" customFormat="false" ht="13.8" hidden="false" customHeight="false" outlineLevel="0" collapsed="false">
      <c r="B600" s="1" t="n">
        <v>599</v>
      </c>
      <c r="C600" s="2" t="n">
        <v>0.00291875</v>
      </c>
    </row>
    <row r="601" customFormat="false" ht="13.8" hidden="false" customHeight="false" outlineLevel="0" collapsed="false">
      <c r="B601" s="1" t="n">
        <v>600</v>
      </c>
      <c r="C601" s="2" t="n">
        <v>0.004378125</v>
      </c>
    </row>
    <row r="602" customFormat="false" ht="13.8" hidden="false" customHeight="false" outlineLevel="0" collapsed="false">
      <c r="B602" s="1" t="n">
        <v>601</v>
      </c>
      <c r="C602" s="2" t="n">
        <v>0.0058375</v>
      </c>
    </row>
    <row r="603" customFormat="false" ht="13.8" hidden="false" customHeight="false" outlineLevel="0" collapsed="false">
      <c r="B603" s="1" t="n">
        <v>602</v>
      </c>
      <c r="C603" s="2" t="n">
        <v>0.0131025</v>
      </c>
    </row>
    <row r="604" customFormat="false" ht="13.8" hidden="false" customHeight="false" outlineLevel="0" collapsed="false">
      <c r="B604" s="1" t="n">
        <v>603</v>
      </c>
      <c r="C604" s="2" t="n">
        <v>0.0203675</v>
      </c>
    </row>
    <row r="605" customFormat="false" ht="13.8" hidden="false" customHeight="false" outlineLevel="0" collapsed="false">
      <c r="B605" s="1" t="n">
        <v>604</v>
      </c>
      <c r="C605" s="2" t="n">
        <v>0.0276325</v>
      </c>
    </row>
    <row r="606" customFormat="false" ht="13.8" hidden="false" customHeight="false" outlineLevel="0" collapsed="false">
      <c r="B606" s="1" t="n">
        <v>605</v>
      </c>
      <c r="C606" s="2" t="n">
        <v>0.0348975</v>
      </c>
    </row>
    <row r="607" customFormat="false" ht="13.8" hidden="false" customHeight="false" outlineLevel="0" collapsed="false">
      <c r="B607" s="1" t="n">
        <v>606</v>
      </c>
      <c r="C607" s="2" t="n">
        <v>0.047335625</v>
      </c>
    </row>
    <row r="608" customFormat="false" ht="13.8" hidden="false" customHeight="false" outlineLevel="0" collapsed="false">
      <c r="B608" s="1" t="n">
        <v>607</v>
      </c>
      <c r="C608" s="2" t="n">
        <v>0.05977375</v>
      </c>
    </row>
    <row r="609" customFormat="false" ht="13.8" hidden="false" customHeight="false" outlineLevel="0" collapsed="false">
      <c r="B609" s="1" t="n">
        <v>608</v>
      </c>
      <c r="C609" s="2" t="n">
        <v>0.072211875</v>
      </c>
    </row>
    <row r="610" customFormat="false" ht="13.8" hidden="false" customHeight="false" outlineLevel="0" collapsed="false">
      <c r="B610" s="1" t="n">
        <v>609</v>
      </c>
      <c r="C610" s="2" t="n">
        <v>0.08465</v>
      </c>
    </row>
    <row r="611" customFormat="false" ht="13.8" hidden="false" customHeight="false" outlineLevel="0" collapsed="false">
      <c r="B611" s="1" t="n">
        <v>610</v>
      </c>
      <c r="C611" s="2" t="n">
        <v>0.09511875</v>
      </c>
    </row>
    <row r="612" customFormat="false" ht="13.8" hidden="false" customHeight="false" outlineLevel="0" collapsed="false">
      <c r="B612" s="1" t="n">
        <v>611</v>
      </c>
      <c r="C612" s="2" t="n">
        <v>0.1055875</v>
      </c>
    </row>
    <row r="613" customFormat="false" ht="13.8" hidden="false" customHeight="false" outlineLevel="0" collapsed="false">
      <c r="B613" s="1" t="n">
        <v>612</v>
      </c>
      <c r="C613" s="2" t="n">
        <v>0.11605625</v>
      </c>
    </row>
    <row r="614" customFormat="false" ht="13.8" hidden="false" customHeight="false" outlineLevel="0" collapsed="false">
      <c r="B614" s="1" t="n">
        <v>613</v>
      </c>
      <c r="C614" s="2" t="n">
        <v>0.126525</v>
      </c>
    </row>
    <row r="615" customFormat="false" ht="13.8" hidden="false" customHeight="false" outlineLevel="0" collapsed="false">
      <c r="B615" s="1" t="n">
        <v>614</v>
      </c>
      <c r="C615" s="2" t="n">
        <v>0.1344325</v>
      </c>
    </row>
    <row r="616" customFormat="false" ht="13.8" hidden="false" customHeight="false" outlineLevel="0" collapsed="false">
      <c r="B616" s="1" t="n">
        <v>615</v>
      </c>
      <c r="C616" s="2" t="n">
        <v>0.14234</v>
      </c>
    </row>
    <row r="617" customFormat="false" ht="13.8" hidden="false" customHeight="false" outlineLevel="0" collapsed="false">
      <c r="B617" s="1" t="n">
        <v>616</v>
      </c>
      <c r="C617" s="2" t="n">
        <v>0.1502475</v>
      </c>
    </row>
    <row r="618" customFormat="false" ht="13.8" hidden="false" customHeight="false" outlineLevel="0" collapsed="false">
      <c r="B618" s="1" t="n">
        <v>617</v>
      </c>
      <c r="C618" s="2" t="n">
        <v>0.158155</v>
      </c>
    </row>
    <row r="619" customFormat="false" ht="13.8" hidden="false" customHeight="false" outlineLevel="0" collapsed="false">
      <c r="B619" s="1" t="n">
        <v>618</v>
      </c>
      <c r="C619" s="2" t="n">
        <v>0.162835</v>
      </c>
    </row>
    <row r="620" customFormat="false" ht="13.8" hidden="false" customHeight="false" outlineLevel="0" collapsed="false">
      <c r="B620" s="1" t="n">
        <v>619</v>
      </c>
      <c r="C620" s="2" t="n">
        <v>0.167515</v>
      </c>
    </row>
    <row r="621" customFormat="false" ht="13.8" hidden="false" customHeight="false" outlineLevel="0" collapsed="false">
      <c r="B621" s="1" t="n">
        <v>620</v>
      </c>
      <c r="C621" s="2" t="n">
        <v>0.172195</v>
      </c>
    </row>
    <row r="622" customFormat="false" ht="13.8" hidden="false" customHeight="false" outlineLevel="0" collapsed="false">
      <c r="B622" s="1" t="n">
        <v>621</v>
      </c>
      <c r="C622" s="2" t="n">
        <v>0.176875</v>
      </c>
    </row>
    <row r="623" customFormat="false" ht="13.8" hidden="false" customHeight="false" outlineLevel="0" collapsed="false">
      <c r="B623" s="1" t="n">
        <v>622</v>
      </c>
      <c r="C623" s="2" t="n">
        <v>0.17365125</v>
      </c>
    </row>
    <row r="624" customFormat="false" ht="13.8" hidden="false" customHeight="false" outlineLevel="0" collapsed="false">
      <c r="B624" s="1" t="n">
        <v>623</v>
      </c>
      <c r="C624" s="2" t="n">
        <v>0.1704275</v>
      </c>
    </row>
    <row r="625" customFormat="false" ht="13.8" hidden="false" customHeight="false" outlineLevel="0" collapsed="false">
      <c r="B625" s="1" t="n">
        <v>624</v>
      </c>
      <c r="C625" s="2" t="n">
        <v>0.16720375</v>
      </c>
    </row>
    <row r="626" customFormat="false" ht="13.8" hidden="false" customHeight="false" outlineLevel="0" collapsed="false">
      <c r="B626" s="1" t="n">
        <v>625</v>
      </c>
      <c r="C626" s="2" t="n">
        <v>0.16398</v>
      </c>
    </row>
    <row r="627" customFormat="false" ht="13.8" hidden="false" customHeight="false" outlineLevel="0" collapsed="false">
      <c r="B627" s="1" t="n">
        <v>626</v>
      </c>
      <c r="C627" s="2" t="n">
        <v>0.1457525</v>
      </c>
    </row>
    <row r="628" customFormat="false" ht="13.8" hidden="false" customHeight="false" outlineLevel="0" collapsed="false">
      <c r="B628" s="1" t="n">
        <v>627</v>
      </c>
      <c r="C628" s="2" t="n">
        <v>0.127525</v>
      </c>
    </row>
    <row r="629" customFormat="false" ht="13.8" hidden="false" customHeight="false" outlineLevel="0" collapsed="false">
      <c r="B629" s="1" t="n">
        <v>628</v>
      </c>
      <c r="C629" s="2" t="n">
        <v>0.1092975</v>
      </c>
    </row>
    <row r="630" customFormat="false" ht="13.8" hidden="false" customHeight="false" outlineLevel="0" collapsed="false">
      <c r="B630" s="1" t="n">
        <v>629</v>
      </c>
      <c r="C630" s="2" t="n">
        <v>0.09107</v>
      </c>
    </row>
    <row r="631" customFormat="false" ht="13.8" hidden="false" customHeight="false" outlineLevel="0" collapsed="false">
      <c r="B631" s="1" t="n">
        <v>630</v>
      </c>
      <c r="C631" s="2" t="n">
        <v>0.08901375</v>
      </c>
    </row>
    <row r="632" customFormat="false" ht="13.8" hidden="false" customHeight="false" outlineLevel="0" collapsed="false">
      <c r="B632" s="1" t="n">
        <v>631</v>
      </c>
      <c r="C632" s="2" t="n">
        <v>0.0869575</v>
      </c>
    </row>
    <row r="633" customFormat="false" ht="13.8" hidden="false" customHeight="false" outlineLevel="0" collapsed="false">
      <c r="B633" s="1" t="n">
        <v>632</v>
      </c>
      <c r="C633" s="2" t="n">
        <v>0.08490125</v>
      </c>
    </row>
    <row r="634" customFormat="false" ht="13.8" hidden="false" customHeight="false" outlineLevel="0" collapsed="false">
      <c r="B634" s="1" t="n">
        <v>633</v>
      </c>
      <c r="C634" s="2" t="n">
        <v>0.082845</v>
      </c>
    </row>
    <row r="635" customFormat="false" ht="13.8" hidden="false" customHeight="false" outlineLevel="0" collapsed="false">
      <c r="B635" s="1" t="n">
        <v>634</v>
      </c>
      <c r="C635" s="2" t="n">
        <v>0.07641375</v>
      </c>
    </row>
    <row r="636" customFormat="false" ht="13.8" hidden="false" customHeight="false" outlineLevel="0" collapsed="false">
      <c r="B636" s="1" t="n">
        <v>635</v>
      </c>
      <c r="C636" s="2" t="n">
        <v>0.0699825</v>
      </c>
    </row>
    <row r="637" customFormat="false" ht="13.8" hidden="false" customHeight="false" outlineLevel="0" collapsed="false">
      <c r="B637" s="1" t="n">
        <v>636</v>
      </c>
      <c r="C637" s="2" t="n">
        <v>0.06355125</v>
      </c>
    </row>
    <row r="638" customFormat="false" ht="13.8" hidden="false" customHeight="false" outlineLevel="0" collapsed="false">
      <c r="B638" s="1" t="n">
        <v>637</v>
      </c>
      <c r="C638" s="2" t="n">
        <v>0.05712</v>
      </c>
    </row>
    <row r="639" customFormat="false" ht="13.8" hidden="false" customHeight="false" outlineLevel="0" collapsed="false">
      <c r="B639" s="1" t="n">
        <v>638</v>
      </c>
      <c r="C639" s="2" t="n">
        <v>0.045080625</v>
      </c>
    </row>
    <row r="640" customFormat="false" ht="13.8" hidden="false" customHeight="false" outlineLevel="0" collapsed="false">
      <c r="B640" s="1" t="n">
        <v>639</v>
      </c>
      <c r="C640" s="2" t="n">
        <v>0.03304125</v>
      </c>
    </row>
    <row r="641" customFormat="false" ht="13.8" hidden="false" customHeight="false" outlineLevel="0" collapsed="false">
      <c r="B641" s="1" t="n">
        <v>640</v>
      </c>
      <c r="C641" s="2" t="n">
        <v>0.021001875</v>
      </c>
    </row>
    <row r="642" customFormat="false" ht="13.8" hidden="false" customHeight="false" outlineLevel="0" collapsed="false">
      <c r="B642" s="1" t="n">
        <v>641</v>
      </c>
      <c r="C642" s="2" t="n">
        <v>0.0089625</v>
      </c>
    </row>
    <row r="643" customFormat="false" ht="13.8" hidden="false" customHeight="false" outlineLevel="0" collapsed="false">
      <c r="B643" s="1" t="n">
        <v>642</v>
      </c>
      <c r="C643" s="2" t="n">
        <v>0.00814375</v>
      </c>
    </row>
    <row r="644" customFormat="false" ht="13.8" hidden="false" customHeight="false" outlineLevel="0" collapsed="false">
      <c r="B644" s="1" t="n">
        <v>643</v>
      </c>
      <c r="C644" s="2" t="n">
        <v>0.007325</v>
      </c>
    </row>
    <row r="645" customFormat="false" ht="13.8" hidden="false" customHeight="false" outlineLevel="0" collapsed="false">
      <c r="B645" s="1" t="n">
        <v>644</v>
      </c>
      <c r="C645" s="2" t="n">
        <v>0.00650625</v>
      </c>
    </row>
    <row r="646" customFormat="false" ht="13.8" hidden="false" customHeight="false" outlineLevel="0" collapsed="false">
      <c r="B646" s="1" t="n">
        <v>645</v>
      </c>
      <c r="C646" s="2" t="n">
        <v>0.0056875</v>
      </c>
    </row>
    <row r="647" customFormat="false" ht="13.8" hidden="false" customHeight="false" outlineLevel="0" collapsed="false">
      <c r="B647" s="1" t="n">
        <v>646</v>
      </c>
      <c r="C647" s="2" t="n">
        <v>0.004265625</v>
      </c>
    </row>
    <row r="648" customFormat="false" ht="13.8" hidden="false" customHeight="false" outlineLevel="0" collapsed="false">
      <c r="B648" s="1" t="n">
        <v>647</v>
      </c>
      <c r="C648" s="2" t="n">
        <v>0.00284375</v>
      </c>
    </row>
    <row r="649" customFormat="false" ht="13.8" hidden="false" customHeight="false" outlineLevel="0" collapsed="false">
      <c r="B649" s="1" t="n">
        <v>648</v>
      </c>
      <c r="C649" s="2" t="n">
        <v>0.001421875</v>
      </c>
    </row>
    <row r="650" customFormat="false" ht="13.8" hidden="false" customHeight="false" outlineLevel="0" collapsed="false">
      <c r="B650" s="1" t="n">
        <v>649</v>
      </c>
      <c r="C650" s="2" t="n">
        <v>0</v>
      </c>
    </row>
    <row r="651" customFormat="false" ht="13.8" hidden="false" customHeight="false" outlineLevel="0" collapsed="false">
      <c r="B651" s="1" t="n">
        <v>650</v>
      </c>
      <c r="C651" s="2" t="n">
        <v>0</v>
      </c>
    </row>
    <row r="652" customFormat="false" ht="13.8" hidden="false" customHeight="false" outlineLevel="0" collapsed="false">
      <c r="B652" s="1" t="n">
        <v>651</v>
      </c>
      <c r="C652" s="2" t="n">
        <v>0</v>
      </c>
    </row>
    <row r="653" customFormat="false" ht="13.8" hidden="false" customHeight="false" outlineLevel="0" collapsed="false">
      <c r="B653" s="1" t="n">
        <v>652</v>
      </c>
      <c r="C653" s="2" t="n">
        <v>0</v>
      </c>
    </row>
    <row r="654" customFormat="false" ht="13.8" hidden="false" customHeight="false" outlineLevel="0" collapsed="false">
      <c r="B654" s="1" t="n">
        <v>653</v>
      </c>
      <c r="C654" s="2" t="n">
        <v>0</v>
      </c>
    </row>
    <row r="655" customFormat="false" ht="13.8" hidden="false" customHeight="false" outlineLevel="0" collapsed="false">
      <c r="B655" s="1" t="n">
        <v>654</v>
      </c>
      <c r="C655" s="2" t="n">
        <v>0</v>
      </c>
    </row>
    <row r="656" customFormat="false" ht="13.8" hidden="false" customHeight="false" outlineLevel="0" collapsed="false">
      <c r="B656" s="1" t="n">
        <v>655</v>
      </c>
      <c r="C656" s="2" t="n">
        <v>0</v>
      </c>
    </row>
    <row r="657" customFormat="false" ht="13.8" hidden="false" customHeight="false" outlineLevel="0" collapsed="false">
      <c r="B657" s="1" t="n">
        <v>656</v>
      </c>
      <c r="C657" s="2" t="n">
        <v>0</v>
      </c>
    </row>
    <row r="658" customFormat="false" ht="13.8" hidden="false" customHeight="false" outlineLevel="0" collapsed="false">
      <c r="B658" s="1" t="n">
        <v>657</v>
      </c>
      <c r="C658" s="2" t="n">
        <v>0</v>
      </c>
    </row>
    <row r="659" customFormat="false" ht="13.8" hidden="false" customHeight="false" outlineLevel="0" collapsed="false">
      <c r="B659" s="1" t="n">
        <v>658</v>
      </c>
      <c r="C659" s="2" t="n">
        <v>0</v>
      </c>
    </row>
    <row r="660" customFormat="false" ht="13.8" hidden="false" customHeight="false" outlineLevel="0" collapsed="false">
      <c r="B660" s="1" t="n">
        <v>659</v>
      </c>
      <c r="C660" s="2" t="n">
        <v>0</v>
      </c>
    </row>
    <row r="661" customFormat="false" ht="13.8" hidden="false" customHeight="false" outlineLevel="0" collapsed="false">
      <c r="B661" s="1" t="n">
        <v>660</v>
      </c>
      <c r="C661" s="2" t="n">
        <v>0</v>
      </c>
    </row>
    <row r="662" customFormat="false" ht="13.8" hidden="false" customHeight="false" outlineLevel="0" collapsed="false">
      <c r="B662" s="1" t="n">
        <v>661</v>
      </c>
      <c r="C662" s="2" t="n">
        <v>0</v>
      </c>
    </row>
    <row r="663" customFormat="false" ht="13.8" hidden="false" customHeight="false" outlineLevel="0" collapsed="false">
      <c r="B663" s="1" t="n">
        <v>662</v>
      </c>
      <c r="C663" s="2" t="n">
        <v>0</v>
      </c>
    </row>
    <row r="664" customFormat="false" ht="13.8" hidden="false" customHeight="false" outlineLevel="0" collapsed="false">
      <c r="B664" s="1" t="n">
        <v>663</v>
      </c>
      <c r="C664" s="2" t="n">
        <v>0</v>
      </c>
    </row>
    <row r="665" customFormat="false" ht="13.8" hidden="false" customHeight="false" outlineLevel="0" collapsed="false">
      <c r="B665" s="1" t="n">
        <v>664</v>
      </c>
      <c r="C665" s="2" t="n">
        <v>0</v>
      </c>
    </row>
    <row r="666" customFormat="false" ht="13.8" hidden="false" customHeight="false" outlineLevel="0" collapsed="false">
      <c r="B666" s="1" t="n">
        <v>665</v>
      </c>
      <c r="C666" s="2" t="n">
        <v>0</v>
      </c>
    </row>
    <row r="667" customFormat="false" ht="13.8" hidden="false" customHeight="false" outlineLevel="0" collapsed="false">
      <c r="B667" s="1" t="n">
        <v>666</v>
      </c>
      <c r="C667" s="2" t="n">
        <v>0</v>
      </c>
    </row>
    <row r="668" customFormat="false" ht="13.8" hidden="false" customHeight="false" outlineLevel="0" collapsed="false">
      <c r="B668" s="1" t="n">
        <v>667</v>
      </c>
      <c r="C668" s="2" t="n">
        <v>0</v>
      </c>
    </row>
    <row r="669" customFormat="false" ht="13.8" hidden="false" customHeight="false" outlineLevel="0" collapsed="false">
      <c r="B669" s="1" t="n">
        <v>668</v>
      </c>
      <c r="C669" s="2" t="n">
        <v>0</v>
      </c>
    </row>
    <row r="670" customFormat="false" ht="13.8" hidden="false" customHeight="false" outlineLevel="0" collapsed="false">
      <c r="B670" s="1" t="n">
        <v>669</v>
      </c>
      <c r="C670" s="2" t="n">
        <v>0</v>
      </c>
    </row>
    <row r="671" customFormat="false" ht="13.8" hidden="false" customHeight="false" outlineLevel="0" collapsed="false">
      <c r="B671" s="1" t="n">
        <v>670</v>
      </c>
      <c r="C671" s="2" t="n">
        <v>0</v>
      </c>
    </row>
    <row r="672" customFormat="false" ht="13.8" hidden="false" customHeight="false" outlineLevel="0" collapsed="false">
      <c r="B672" s="1" t="n">
        <v>671</v>
      </c>
      <c r="C672" s="2" t="n">
        <v>0</v>
      </c>
    </row>
    <row r="673" customFormat="false" ht="13.8" hidden="false" customHeight="false" outlineLevel="0" collapsed="false">
      <c r="B673" s="1" t="n">
        <v>672</v>
      </c>
      <c r="C67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0.0480098666666667</v>
      </c>
      <c r="D3" s="2" t="n">
        <v>0</v>
      </c>
      <c r="E3" s="2" t="n">
        <v>0.0933338666666667</v>
      </c>
    </row>
    <row r="4" customFormat="false" ht="13.8" hidden="false" customHeight="false" outlineLevel="0" collapsed="false">
      <c r="B4" s="2" t="n">
        <v>2</v>
      </c>
      <c r="C4" s="2" t="n">
        <v>0.193541933333333</v>
      </c>
      <c r="D4" s="2" t="n">
        <v>0</v>
      </c>
      <c r="E4" s="2" t="n">
        <v>0.044</v>
      </c>
    </row>
    <row r="5" customFormat="false" ht="13.8" hidden="false" customHeight="false" outlineLevel="0" collapsed="false">
      <c r="B5" s="2" t="n">
        <v>3</v>
      </c>
      <c r="C5" s="2" t="n">
        <v>0.220741066666667</v>
      </c>
      <c r="D5" s="2" t="n">
        <v>0</v>
      </c>
      <c r="E5" s="2" t="n">
        <v>0.0560002</v>
      </c>
    </row>
    <row r="6" customFormat="false" ht="13.8" hidden="false" customHeight="false" outlineLevel="0" collapsed="false">
      <c r="B6" s="2" t="n">
        <v>4</v>
      </c>
      <c r="C6" s="2" t="n">
        <v>0.2126704</v>
      </c>
      <c r="D6" s="2" t="n">
        <v>0.133333333333333</v>
      </c>
      <c r="E6" s="2" t="n">
        <v>0.0400008</v>
      </c>
    </row>
    <row r="7" customFormat="false" ht="13.8" hidden="false" customHeight="false" outlineLevel="0" collapsed="false">
      <c r="B7" s="2" t="n">
        <v>5</v>
      </c>
      <c r="C7" s="2" t="n">
        <v>0.217001733333333</v>
      </c>
      <c r="D7" s="2" t="n">
        <v>0.4</v>
      </c>
      <c r="E7" s="2" t="n">
        <v>0.096</v>
      </c>
    </row>
    <row r="8" customFormat="false" ht="13.8" hidden="false" customHeight="false" outlineLevel="0" collapsed="false">
      <c r="B8" s="2" t="n">
        <v>6</v>
      </c>
      <c r="C8" s="2" t="n">
        <v>0.1589342</v>
      </c>
      <c r="D8" s="2" t="n">
        <v>0.4</v>
      </c>
      <c r="E8" s="2" t="n">
        <v>0.044</v>
      </c>
    </row>
    <row r="9" customFormat="false" ht="13.8" hidden="false" customHeight="false" outlineLevel="0" collapsed="false">
      <c r="B9" s="2" t="n">
        <v>7</v>
      </c>
      <c r="C9" s="2" t="n">
        <v>0.216133866666667</v>
      </c>
      <c r="D9" s="2" t="n">
        <v>0.4</v>
      </c>
      <c r="E9" s="2" t="n">
        <v>0.096</v>
      </c>
    </row>
    <row r="10" customFormat="false" ht="13.8" hidden="false" customHeight="false" outlineLevel="0" collapsed="false">
      <c r="B10" s="2" t="n">
        <v>8</v>
      </c>
      <c r="C10" s="2" t="n">
        <v>0.164467333333333</v>
      </c>
      <c r="D10" s="2" t="n">
        <v>0.4</v>
      </c>
      <c r="E10" s="2" t="n">
        <v>0.044</v>
      </c>
    </row>
    <row r="11" customFormat="false" ht="13.8" hidden="false" customHeight="false" outlineLevel="0" collapsed="false">
      <c r="B11" s="2" t="n">
        <v>9</v>
      </c>
      <c r="C11" s="2" t="n">
        <v>0.221000466666667</v>
      </c>
      <c r="D11" s="2" t="n">
        <v>0.4</v>
      </c>
      <c r="E11" s="2" t="n">
        <v>0.096</v>
      </c>
    </row>
    <row r="12" customFormat="false" ht="13.8" hidden="false" customHeight="false" outlineLevel="0" collapsed="false">
      <c r="B12" s="2" t="n">
        <v>10</v>
      </c>
      <c r="C12" s="2" t="n">
        <v>0.160201066666667</v>
      </c>
      <c r="D12" s="2" t="n">
        <v>0.4</v>
      </c>
      <c r="E12" s="2" t="n">
        <v>0.044</v>
      </c>
    </row>
    <row r="13" customFormat="false" ht="13.8" hidden="false" customHeight="false" outlineLevel="0" collapsed="false">
      <c r="B13" s="2" t="n">
        <v>11</v>
      </c>
      <c r="C13" s="2" t="n">
        <v>0.0846671333333333</v>
      </c>
      <c r="D13" s="2" t="n">
        <v>0.4</v>
      </c>
      <c r="E13" s="2" t="n">
        <v>0.0533340666666667</v>
      </c>
    </row>
    <row r="14" customFormat="false" ht="13.8" hidden="false" customHeight="false" outlineLevel="0" collapsed="false">
      <c r="B14" s="2" t="n">
        <v>12</v>
      </c>
      <c r="C14" s="2" t="n">
        <v>0.2064</v>
      </c>
      <c r="D14" s="2" t="n">
        <v>0.4</v>
      </c>
      <c r="E14" s="2" t="n">
        <v>0.0666673333333333</v>
      </c>
    </row>
    <row r="15" customFormat="false" ht="13.8" hidden="false" customHeight="false" outlineLevel="0" collapsed="false">
      <c r="B15" s="2" t="n">
        <v>13</v>
      </c>
      <c r="C15" s="2" t="n">
        <v>0.292200466666667</v>
      </c>
      <c r="D15" s="2" t="n">
        <v>0.4</v>
      </c>
      <c r="E15" s="2" t="n">
        <v>0.07</v>
      </c>
    </row>
    <row r="16" customFormat="false" ht="13.8" hidden="false" customHeight="false" outlineLevel="0" collapsed="false">
      <c r="B16" s="2" t="n">
        <v>14</v>
      </c>
      <c r="C16" s="2" t="n">
        <v>0.335866733333333</v>
      </c>
      <c r="D16" s="2" t="n">
        <v>0.4</v>
      </c>
      <c r="E16" s="2" t="n">
        <v>0.0566667333333333</v>
      </c>
    </row>
    <row r="17" customFormat="false" ht="13.8" hidden="false" customHeight="false" outlineLevel="0" collapsed="false">
      <c r="B17" s="2" t="n">
        <v>15</v>
      </c>
      <c r="C17" s="2" t="n">
        <v>0.189266733333333</v>
      </c>
      <c r="D17" s="2" t="n">
        <v>0.4</v>
      </c>
      <c r="E17" s="2" t="n">
        <v>0.083</v>
      </c>
    </row>
    <row r="18" customFormat="false" ht="13.8" hidden="false" customHeight="false" outlineLevel="0" collapsed="false">
      <c r="B18" s="2" t="n">
        <v>16</v>
      </c>
      <c r="C18" s="2" t="n">
        <v>0.307600533333333</v>
      </c>
      <c r="D18" s="2" t="n">
        <v>0.4</v>
      </c>
      <c r="E18" s="2" t="n">
        <v>0.0303334666666667</v>
      </c>
    </row>
    <row r="19" customFormat="false" ht="13.8" hidden="false" customHeight="false" outlineLevel="0" collapsed="false">
      <c r="B19" s="2" t="n">
        <v>17</v>
      </c>
      <c r="C19" s="2" t="n">
        <v>0.172800866666667</v>
      </c>
      <c r="D19" s="2" t="n">
        <v>0.4</v>
      </c>
      <c r="E19" s="2" t="n">
        <v>1E-006</v>
      </c>
    </row>
    <row r="20" customFormat="false" ht="13.8" hidden="false" customHeight="false" outlineLevel="0" collapsed="false">
      <c r="B20" s="2" t="n">
        <v>18</v>
      </c>
      <c r="C20" s="2" t="n">
        <v>0.2914676</v>
      </c>
      <c r="D20" s="2" t="n">
        <v>0.4</v>
      </c>
      <c r="E20" s="2" t="n">
        <v>0.135</v>
      </c>
    </row>
    <row r="21" customFormat="false" ht="13.8" hidden="false" customHeight="false" outlineLevel="0" collapsed="false">
      <c r="B21" s="2" t="n">
        <v>19</v>
      </c>
      <c r="C21" s="2" t="n">
        <v>0.163934066666667</v>
      </c>
      <c r="D21" s="2" t="n">
        <v>0.4</v>
      </c>
      <c r="E21" s="2" t="n">
        <v>0.005</v>
      </c>
    </row>
    <row r="22" customFormat="false" ht="13.8" hidden="false" customHeight="false" outlineLevel="0" collapsed="false">
      <c r="B22" s="2" t="n">
        <v>20</v>
      </c>
      <c r="C22" s="2" t="n">
        <v>0.2147346</v>
      </c>
      <c r="D22" s="2" t="n">
        <v>0.4</v>
      </c>
      <c r="E22" s="2" t="n">
        <v>0.106667133333333</v>
      </c>
    </row>
    <row r="23" customFormat="false" ht="13.8" hidden="false" customHeight="false" outlineLevel="0" collapsed="false">
      <c r="B23" s="2" t="n">
        <v>21</v>
      </c>
      <c r="C23" s="2" t="n">
        <v>0.257201733333333</v>
      </c>
      <c r="D23" s="2" t="n">
        <v>0.4</v>
      </c>
      <c r="E23" s="2" t="n">
        <v>0.044</v>
      </c>
    </row>
    <row r="24" customFormat="false" ht="13.8" hidden="false" customHeight="false" outlineLevel="0" collapsed="false">
      <c r="B24" s="2" t="n">
        <v>22</v>
      </c>
      <c r="C24" s="2" t="n">
        <v>0.281133466666667</v>
      </c>
      <c r="D24" s="2" t="n">
        <v>0</v>
      </c>
      <c r="E24" s="2" t="n">
        <v>0.096</v>
      </c>
    </row>
    <row r="25" customFormat="false" ht="13.8" hidden="false" customHeight="false" outlineLevel="0" collapsed="false">
      <c r="B25" s="2" t="n">
        <v>23</v>
      </c>
      <c r="C25" s="2" t="n">
        <v>0.152267466666667</v>
      </c>
      <c r="D25" s="2" t="n">
        <v>0</v>
      </c>
      <c r="E25" s="2" t="n">
        <v>0.044</v>
      </c>
    </row>
    <row r="26" customFormat="false" ht="13.8" hidden="false" customHeight="false" outlineLevel="0" collapsed="false">
      <c r="B26" s="2" t="n">
        <v>24</v>
      </c>
      <c r="C26" s="2" t="n">
        <v>0.382734133333333</v>
      </c>
      <c r="D26" s="2" t="n">
        <v>0</v>
      </c>
      <c r="E26" s="2" t="n">
        <v>0.0560002</v>
      </c>
    </row>
    <row r="27" customFormat="false" ht="13.8" hidden="false" customHeight="false" outlineLevel="0" collapsed="false">
      <c r="B27" s="2" t="n">
        <v>25</v>
      </c>
      <c r="C27" s="2" t="n">
        <v>0.1504674</v>
      </c>
      <c r="D27" s="2" t="n">
        <v>0</v>
      </c>
      <c r="E27" s="2" t="n">
        <v>0.109</v>
      </c>
    </row>
    <row r="28" customFormat="false" ht="13.8" hidden="false" customHeight="false" outlineLevel="0" collapsed="false">
      <c r="B28" s="2" t="n">
        <v>26</v>
      </c>
      <c r="C28" s="2" t="n">
        <v>0.407667866666667</v>
      </c>
      <c r="D28" s="2" t="n">
        <v>0</v>
      </c>
      <c r="E28" s="2" t="n">
        <v>0.031</v>
      </c>
    </row>
    <row r="29" customFormat="false" ht="13.8" hidden="false" customHeight="false" outlineLevel="0" collapsed="false">
      <c r="B29" s="2" t="n">
        <v>27</v>
      </c>
      <c r="C29" s="2" t="n">
        <v>0.160868666666667</v>
      </c>
      <c r="D29" s="2" t="n">
        <v>0</v>
      </c>
      <c r="E29" s="2" t="n">
        <v>0.109</v>
      </c>
    </row>
    <row r="30" customFormat="false" ht="13.8" hidden="false" customHeight="false" outlineLevel="0" collapsed="false">
      <c r="B30" s="2" t="n">
        <v>28</v>
      </c>
      <c r="C30" s="2" t="n">
        <v>0.3845374</v>
      </c>
      <c r="D30" s="2" t="n">
        <v>0</v>
      </c>
      <c r="E30" s="2" t="n">
        <v>0.031</v>
      </c>
    </row>
    <row r="31" customFormat="false" ht="13.8" hidden="false" customHeight="false" outlineLevel="0" collapsed="false">
      <c r="B31" s="2" t="n">
        <v>29</v>
      </c>
      <c r="C31" s="2" t="n">
        <v>0.1332708</v>
      </c>
      <c r="D31" s="2" t="n">
        <v>0</v>
      </c>
      <c r="E31" s="2" t="n">
        <v>0.109</v>
      </c>
    </row>
    <row r="32" customFormat="false" ht="13.8" hidden="false" customHeight="false" outlineLevel="0" collapsed="false">
      <c r="B32" s="2" t="n">
        <v>30</v>
      </c>
      <c r="C32" s="2" t="n">
        <v>0.378405533333333</v>
      </c>
      <c r="D32" s="2" t="n">
        <v>0</v>
      </c>
      <c r="E32" s="2" t="n">
        <v>0.0310001333333333</v>
      </c>
    </row>
    <row r="33" customFormat="false" ht="13.8" hidden="false" customHeight="false" outlineLevel="0" collapsed="false">
      <c r="B33" s="2" t="n">
        <v>31</v>
      </c>
      <c r="C33" s="2" t="n">
        <v>0.141004133333333</v>
      </c>
      <c r="D33" s="2" t="n">
        <v>0</v>
      </c>
      <c r="E33" s="2" t="n">
        <v>0.109001</v>
      </c>
    </row>
    <row r="34" customFormat="false" ht="13.8" hidden="false" customHeight="false" outlineLevel="0" collapsed="false">
      <c r="B34" s="2" t="n">
        <v>32</v>
      </c>
      <c r="C34" s="2" t="n">
        <v>0.282673066666667</v>
      </c>
      <c r="D34" s="2" t="n">
        <v>0</v>
      </c>
      <c r="E34" s="2" t="n">
        <v>0.031001</v>
      </c>
    </row>
    <row r="35" customFormat="false" ht="13.8" hidden="false" customHeight="false" outlineLevel="0" collapsed="false">
      <c r="B35" s="2" t="n">
        <v>33</v>
      </c>
      <c r="C35" s="2" t="n">
        <v>0.1280074</v>
      </c>
      <c r="D35" s="2" t="n">
        <v>0</v>
      </c>
      <c r="E35" s="2" t="n">
        <v>0.109001</v>
      </c>
    </row>
    <row r="36" customFormat="false" ht="13.8" hidden="false" customHeight="false" outlineLevel="0" collapsed="false">
      <c r="B36" s="2" t="n">
        <v>34</v>
      </c>
      <c r="C36" s="2" t="n">
        <v>0.369007</v>
      </c>
      <c r="D36" s="2" t="n">
        <v>0</v>
      </c>
      <c r="E36" s="2" t="n">
        <v>0.031001</v>
      </c>
    </row>
    <row r="37" customFormat="false" ht="13.8" hidden="false" customHeight="false" outlineLevel="0" collapsed="false">
      <c r="B37" s="2" t="n">
        <v>35</v>
      </c>
      <c r="C37" s="2" t="n">
        <v>0.1822076</v>
      </c>
      <c r="D37" s="2" t="n">
        <v>0</v>
      </c>
      <c r="E37" s="2" t="n">
        <v>0.109001</v>
      </c>
    </row>
    <row r="38" customFormat="false" ht="13.8" hidden="false" customHeight="false" outlineLevel="0" collapsed="false">
      <c r="B38" s="2" t="n">
        <v>36</v>
      </c>
      <c r="C38" s="2" t="n">
        <v>0.291008333333333</v>
      </c>
      <c r="D38" s="2" t="n">
        <v>0</v>
      </c>
      <c r="E38" s="2" t="n">
        <v>0.031001</v>
      </c>
    </row>
    <row r="39" customFormat="false" ht="13.8" hidden="false" customHeight="false" outlineLevel="0" collapsed="false">
      <c r="B39" s="2" t="n">
        <v>37</v>
      </c>
      <c r="C39" s="2" t="n">
        <v>0.298008</v>
      </c>
      <c r="D39" s="2" t="n">
        <v>0</v>
      </c>
      <c r="E39" s="2" t="n">
        <v>0.109001</v>
      </c>
    </row>
    <row r="40" customFormat="false" ht="13.8" hidden="false" customHeight="false" outlineLevel="0" collapsed="false">
      <c r="B40" s="2" t="n">
        <v>38</v>
      </c>
      <c r="C40" s="2" t="n">
        <v>0.273673933333333</v>
      </c>
      <c r="D40" s="2" t="n">
        <v>0</v>
      </c>
      <c r="E40" s="2" t="n">
        <v>2.2E-006</v>
      </c>
    </row>
    <row r="41" customFormat="false" ht="13.8" hidden="false" customHeight="false" outlineLevel="0" collapsed="false">
      <c r="B41" s="2" t="n">
        <v>39</v>
      </c>
      <c r="C41" s="2" t="n">
        <v>0.3010068</v>
      </c>
      <c r="D41" s="2" t="n">
        <v>0</v>
      </c>
      <c r="E41" s="2" t="n">
        <v>0.0566687333333333</v>
      </c>
    </row>
    <row r="42" customFormat="false" ht="13.8" hidden="false" customHeight="false" outlineLevel="0" collapsed="false">
      <c r="B42" s="2" t="n">
        <v>40</v>
      </c>
      <c r="C42" s="2" t="n">
        <v>0.265008</v>
      </c>
      <c r="D42" s="2" t="n">
        <v>0</v>
      </c>
      <c r="E42" s="2" t="n">
        <v>0.2005352</v>
      </c>
    </row>
    <row r="43" customFormat="false" ht="13.8" hidden="false" customHeight="false" outlineLevel="0" collapsed="false">
      <c r="B43" s="2" t="n">
        <v>41</v>
      </c>
      <c r="C43" s="2" t="n">
        <v>0.184341866666667</v>
      </c>
      <c r="D43" s="2" t="n">
        <v>0</v>
      </c>
      <c r="E43" s="2" t="n">
        <v>0.074001</v>
      </c>
    </row>
    <row r="44" customFormat="false" ht="13.8" hidden="false" customHeight="false" outlineLevel="0" collapsed="false">
      <c r="B44" s="2" t="n">
        <v>42</v>
      </c>
      <c r="C44" s="2" t="n">
        <v>0.1658084</v>
      </c>
      <c r="D44" s="2" t="n">
        <v>0</v>
      </c>
      <c r="E44" s="2" t="n">
        <v>0.2034678</v>
      </c>
    </row>
    <row r="45" customFormat="false" ht="13.8" hidden="false" customHeight="false" outlineLevel="0" collapsed="false">
      <c r="B45" s="2" t="n">
        <v>43</v>
      </c>
      <c r="C45" s="2" t="n">
        <v>0.311140933333333</v>
      </c>
      <c r="D45" s="2" t="n">
        <v>0</v>
      </c>
      <c r="E45" s="2" t="n">
        <v>0.1500016</v>
      </c>
    </row>
    <row r="46" customFormat="false" ht="13.8" hidden="false" customHeight="false" outlineLevel="0" collapsed="false">
      <c r="B46" s="2" t="n">
        <v>44</v>
      </c>
      <c r="C46" s="2" t="n">
        <v>0.244739666666667</v>
      </c>
      <c r="D46" s="2" t="n">
        <v>0</v>
      </c>
      <c r="E46" s="2" t="n">
        <v>0.400001</v>
      </c>
    </row>
    <row r="47" customFormat="false" ht="13.8" hidden="false" customHeight="false" outlineLevel="0" collapsed="false">
      <c r="B47" s="2" t="n">
        <v>45</v>
      </c>
      <c r="C47" s="2" t="n">
        <v>0.367004733333333</v>
      </c>
      <c r="D47" s="2" t="n">
        <v>0</v>
      </c>
      <c r="E47" s="2" t="n">
        <v>0.164001466666667</v>
      </c>
    </row>
    <row r="48" customFormat="false" ht="13.8" hidden="false" customHeight="false" outlineLevel="0" collapsed="false">
      <c r="B48" s="2" t="n">
        <v>46</v>
      </c>
      <c r="C48" s="2" t="n">
        <v>0.2610054</v>
      </c>
      <c r="D48" s="2" t="n">
        <v>0</v>
      </c>
      <c r="E48" s="2" t="n">
        <v>0.210001</v>
      </c>
    </row>
    <row r="49" customFormat="false" ht="13.8" hidden="false" customHeight="false" outlineLevel="0" collapsed="false">
      <c r="B49" s="2" t="n">
        <v>47</v>
      </c>
      <c r="C49" s="2" t="n">
        <v>0.196006533333333</v>
      </c>
      <c r="D49" s="2" t="n">
        <v>0</v>
      </c>
      <c r="E49" s="2" t="n">
        <v>0.080001</v>
      </c>
    </row>
    <row r="50" customFormat="false" ht="13.8" hidden="false" customHeight="false" outlineLevel="0" collapsed="false">
      <c r="B50" s="2" t="n">
        <v>48</v>
      </c>
      <c r="C50" s="2" t="n">
        <v>0.1662068</v>
      </c>
      <c r="D50" s="2" t="n">
        <v>0</v>
      </c>
      <c r="E50" s="2" t="n">
        <v>0.2040016</v>
      </c>
    </row>
    <row r="51" customFormat="false" ht="13.8" hidden="false" customHeight="false" outlineLevel="0" collapsed="false">
      <c r="B51" s="2" t="n">
        <v>49</v>
      </c>
      <c r="C51" s="2" t="n">
        <v>0.2823404</v>
      </c>
      <c r="D51" s="2" t="n">
        <v>0</v>
      </c>
      <c r="E51" s="2" t="n">
        <v>0.0700010666666667</v>
      </c>
    </row>
    <row r="52" customFormat="false" ht="13.8" hidden="false" customHeight="false" outlineLevel="0" collapsed="false">
      <c r="B52" s="2" t="n">
        <v>50</v>
      </c>
      <c r="C52" s="2" t="n">
        <v>0.2570072</v>
      </c>
      <c r="D52" s="2" t="n">
        <v>0</v>
      </c>
      <c r="E52" s="2" t="n">
        <v>0.200001</v>
      </c>
    </row>
    <row r="53" customFormat="false" ht="13.8" hidden="false" customHeight="false" outlineLevel="0" collapsed="false">
      <c r="B53" s="2" t="n">
        <v>51</v>
      </c>
      <c r="C53" s="2" t="n">
        <v>0.295674333333333</v>
      </c>
      <c r="D53" s="2" t="n">
        <v>0</v>
      </c>
      <c r="E53" s="2" t="n">
        <v>0.070001</v>
      </c>
    </row>
    <row r="54" customFormat="false" ht="13.8" hidden="false" customHeight="false" outlineLevel="0" collapsed="false">
      <c r="B54" s="2" t="n">
        <v>52</v>
      </c>
      <c r="C54" s="2" t="n">
        <v>0.292872666666667</v>
      </c>
      <c r="D54" s="2" t="n">
        <v>0</v>
      </c>
      <c r="E54" s="2" t="n">
        <v>0.200001</v>
      </c>
    </row>
    <row r="55" customFormat="false" ht="13.8" hidden="false" customHeight="false" outlineLevel="0" collapsed="false">
      <c r="B55" s="2" t="n">
        <v>53</v>
      </c>
      <c r="C55" s="2" t="n">
        <v>0.310673666666667</v>
      </c>
      <c r="D55" s="2" t="n">
        <v>0</v>
      </c>
      <c r="E55" s="2" t="n">
        <v>0.070001</v>
      </c>
    </row>
    <row r="56" customFormat="false" ht="13.8" hidden="false" customHeight="false" outlineLevel="0" collapsed="false">
      <c r="B56" s="2" t="n">
        <v>54</v>
      </c>
      <c r="C56" s="2" t="n">
        <v>0.257008266666667</v>
      </c>
      <c r="D56" s="2" t="n">
        <v>0</v>
      </c>
      <c r="E56" s="2" t="n">
        <v>0.480000333333333</v>
      </c>
    </row>
    <row r="57" customFormat="false" ht="13.8" hidden="false" customHeight="false" outlineLevel="0" collapsed="false">
      <c r="B57" s="2" t="n">
        <v>55</v>
      </c>
      <c r="C57" s="2" t="n">
        <v>0.283006733333333</v>
      </c>
      <c r="D57" s="2" t="n">
        <v>0</v>
      </c>
      <c r="E57" s="2" t="n">
        <v>0.0010018</v>
      </c>
    </row>
    <row r="58" customFormat="false" ht="13.8" hidden="false" customHeight="false" outlineLevel="0" collapsed="false">
      <c r="B58" s="2" t="n">
        <v>56</v>
      </c>
      <c r="C58" s="2" t="n">
        <v>0.257004933333333</v>
      </c>
      <c r="D58" s="2" t="n">
        <v>0</v>
      </c>
      <c r="E58" s="2" t="n">
        <v>0.109667466666667</v>
      </c>
    </row>
    <row r="59" customFormat="false" ht="13.8" hidden="false" customHeight="false" outlineLevel="0" collapsed="false">
      <c r="B59" s="2" t="n">
        <v>57</v>
      </c>
      <c r="C59" s="2" t="n">
        <v>0.202337666666667</v>
      </c>
      <c r="D59" s="2" t="n">
        <v>0</v>
      </c>
      <c r="E59" s="2" t="n">
        <v>0.1634006</v>
      </c>
    </row>
    <row r="60" customFormat="false" ht="13.8" hidden="false" customHeight="false" outlineLevel="0" collapsed="false">
      <c r="B60" s="2" t="n">
        <v>58</v>
      </c>
      <c r="C60" s="2" t="n">
        <v>0.296002933333333</v>
      </c>
      <c r="D60" s="2" t="n">
        <v>0</v>
      </c>
      <c r="E60" s="2" t="n">
        <v>0.00480113333333333</v>
      </c>
    </row>
    <row r="61" customFormat="false" ht="13.8" hidden="false" customHeight="false" outlineLevel="0" collapsed="false">
      <c r="B61" s="2" t="n">
        <v>59</v>
      </c>
      <c r="C61" s="2" t="n">
        <v>0.244001266666667</v>
      </c>
      <c r="D61" s="2" t="n">
        <v>0</v>
      </c>
      <c r="E61" s="2" t="n">
        <v>0.148001</v>
      </c>
    </row>
    <row r="62" customFormat="false" ht="13.8" hidden="false" customHeight="false" outlineLevel="0" collapsed="false">
      <c r="B62" s="2" t="n">
        <v>60</v>
      </c>
      <c r="C62" s="2" t="n">
        <v>0.296</v>
      </c>
      <c r="D62" s="2" t="n">
        <v>0</v>
      </c>
      <c r="E62" s="2" t="n">
        <v>0.128400733333333</v>
      </c>
    </row>
    <row r="63" customFormat="false" ht="13.8" hidden="false" customHeight="false" outlineLevel="0" collapsed="false">
      <c r="B63" s="2" t="n">
        <v>61</v>
      </c>
      <c r="C63" s="2" t="n">
        <v>0.244000666666667</v>
      </c>
      <c r="D63" s="2" t="n">
        <v>0</v>
      </c>
      <c r="E63" s="2" t="n">
        <v>0.156001</v>
      </c>
    </row>
    <row r="64" customFormat="false" ht="13.8" hidden="false" customHeight="false" outlineLevel="0" collapsed="false">
      <c r="B64" s="2" t="n">
        <v>62</v>
      </c>
      <c r="C64" s="2" t="n">
        <v>0.299666933333333</v>
      </c>
      <c r="D64" s="2" t="n">
        <v>0</v>
      </c>
      <c r="E64" s="2" t="n">
        <v>0.130001</v>
      </c>
    </row>
    <row r="65" customFormat="false" ht="13.8" hidden="false" customHeight="false" outlineLevel="0" collapsed="false">
      <c r="B65" s="2" t="n">
        <v>63</v>
      </c>
      <c r="C65" s="2" t="n">
        <v>0.249</v>
      </c>
      <c r="D65" s="2" t="n">
        <v>0</v>
      </c>
      <c r="E65" s="2" t="n">
        <v>0.482666733333333</v>
      </c>
    </row>
    <row r="66" customFormat="false" ht="13.8" hidden="false" customHeight="false" outlineLevel="0" collapsed="false">
      <c r="B66" s="2" t="n">
        <v>64</v>
      </c>
      <c r="C66" s="2" t="n">
        <v>0.301</v>
      </c>
      <c r="D66" s="2" t="n">
        <v>0</v>
      </c>
      <c r="E66" s="2" t="n">
        <v>0.48</v>
      </c>
    </row>
    <row r="67" customFormat="false" ht="13.8" hidden="false" customHeight="false" outlineLevel="0" collapsed="false">
      <c r="B67" s="2" t="n">
        <v>65</v>
      </c>
      <c r="C67" s="2" t="n">
        <v>0.249</v>
      </c>
      <c r="D67" s="2" t="n">
        <v>0</v>
      </c>
      <c r="E67" s="2" t="n">
        <v>0.506</v>
      </c>
    </row>
    <row r="68" customFormat="false" ht="13.8" hidden="false" customHeight="false" outlineLevel="0" collapsed="false">
      <c r="B68" s="2" t="n">
        <v>66</v>
      </c>
      <c r="C68" s="2" t="n">
        <v>0.296001</v>
      </c>
      <c r="D68" s="2" t="n">
        <v>0</v>
      </c>
      <c r="E68" s="2" t="n">
        <v>0.176667533333333</v>
      </c>
    </row>
    <row r="69" customFormat="false" ht="13.8" hidden="false" customHeight="false" outlineLevel="0" collapsed="false">
      <c r="B69" s="2" t="n">
        <v>67</v>
      </c>
      <c r="C69" s="2" t="n">
        <v>0.244001</v>
      </c>
      <c r="D69" s="2" t="n">
        <v>0</v>
      </c>
      <c r="E69" s="2" t="n">
        <v>0.008002</v>
      </c>
    </row>
    <row r="70" customFormat="false" ht="13.8" hidden="false" customHeight="false" outlineLevel="0" collapsed="false">
      <c r="B70" s="2" t="n">
        <v>68</v>
      </c>
      <c r="C70" s="2" t="n">
        <v>0.296001</v>
      </c>
      <c r="D70" s="2" t="n">
        <v>0</v>
      </c>
      <c r="E70" s="2" t="n">
        <v>0.3286686</v>
      </c>
    </row>
    <row r="71" customFormat="false" ht="13.8" hidden="false" customHeight="false" outlineLevel="0" collapsed="false">
      <c r="B71" s="2" t="n">
        <v>69</v>
      </c>
      <c r="C71" s="2" t="n">
        <v>0.244001</v>
      </c>
      <c r="D71" s="2" t="n">
        <v>0</v>
      </c>
      <c r="E71" s="2" t="n">
        <v>0.3466682</v>
      </c>
    </row>
    <row r="72" customFormat="false" ht="13.8" hidden="false" customHeight="false" outlineLevel="0" collapsed="false">
      <c r="B72" s="2" t="n">
        <v>70</v>
      </c>
      <c r="C72" s="2" t="n">
        <v>0.296001333333333</v>
      </c>
      <c r="D72" s="2" t="n">
        <v>0</v>
      </c>
      <c r="E72" s="2" t="n">
        <v>0.4675348</v>
      </c>
    </row>
    <row r="73" customFormat="false" ht="13.8" hidden="false" customHeight="false" outlineLevel="0" collapsed="false">
      <c r="B73" s="2" t="n">
        <v>71</v>
      </c>
      <c r="C73" s="2" t="n">
        <v>0.244002</v>
      </c>
      <c r="D73" s="2" t="n">
        <v>0</v>
      </c>
      <c r="E73" s="2" t="n">
        <v>0.535001</v>
      </c>
    </row>
    <row r="74" customFormat="false" ht="13.8" hidden="false" customHeight="false" outlineLevel="0" collapsed="false">
      <c r="B74" s="2" t="n">
        <v>72</v>
      </c>
      <c r="C74" s="2" t="n">
        <v>0.296002</v>
      </c>
      <c r="D74" s="2" t="n">
        <v>0</v>
      </c>
      <c r="E74" s="2" t="n">
        <v>0.5314016</v>
      </c>
    </row>
    <row r="75" customFormat="false" ht="13.8" hidden="false" customHeight="false" outlineLevel="0" collapsed="false">
      <c r="B75" s="2" t="n">
        <v>73</v>
      </c>
      <c r="C75" s="2" t="n">
        <v>0.282335666666667</v>
      </c>
      <c r="D75" s="2" t="n">
        <v>0</v>
      </c>
      <c r="E75" s="2" t="n">
        <v>0.456668533333333</v>
      </c>
    </row>
    <row r="76" customFormat="false" ht="13.8" hidden="false" customHeight="false" outlineLevel="0" collapsed="false">
      <c r="B76" s="2" t="n">
        <v>74</v>
      </c>
      <c r="C76" s="2" t="n">
        <v>0.347671266666667</v>
      </c>
      <c r="D76" s="2" t="n">
        <v>0</v>
      </c>
      <c r="E76" s="2" t="n">
        <v>0.4480006</v>
      </c>
    </row>
    <row r="77" customFormat="false" ht="13.8" hidden="false" customHeight="false" outlineLevel="0" collapsed="false">
      <c r="B77" s="2" t="n">
        <v>75</v>
      </c>
      <c r="C77" s="2" t="n">
        <v>0.311340733333333</v>
      </c>
      <c r="D77" s="2" t="n">
        <v>0</v>
      </c>
      <c r="E77" s="2" t="n">
        <v>0.422</v>
      </c>
    </row>
    <row r="78" customFormat="false" ht="13.8" hidden="false" customHeight="false" outlineLevel="0" collapsed="false">
      <c r="B78" s="2" t="n">
        <v>76</v>
      </c>
      <c r="C78" s="2" t="n">
        <v>0.1818114</v>
      </c>
      <c r="D78" s="2" t="n">
        <v>0</v>
      </c>
      <c r="E78" s="2" t="n">
        <v>0.368000266666667</v>
      </c>
    </row>
    <row r="79" customFormat="false" ht="13.8" hidden="false" customHeight="false" outlineLevel="0" collapsed="false">
      <c r="B79" s="2" t="n">
        <v>77</v>
      </c>
      <c r="C79" s="2" t="n">
        <v>0.4102792</v>
      </c>
      <c r="D79" s="2" t="n">
        <v>0</v>
      </c>
      <c r="E79" s="2" t="n">
        <v>0.222000133333333</v>
      </c>
    </row>
    <row r="80" customFormat="false" ht="13.8" hidden="false" customHeight="false" outlineLevel="0" collapsed="false">
      <c r="B80" s="2" t="n">
        <v>78</v>
      </c>
      <c r="C80" s="2" t="n">
        <v>0.258812133333333</v>
      </c>
      <c r="D80" s="2" t="n">
        <v>0.133333333333333</v>
      </c>
      <c r="E80" s="2" t="n">
        <v>0.148</v>
      </c>
    </row>
    <row r="81" customFormat="false" ht="13.8" hidden="false" customHeight="false" outlineLevel="0" collapsed="false">
      <c r="B81" s="2" t="n">
        <v>79</v>
      </c>
      <c r="C81" s="2" t="n">
        <v>0.526013333333333</v>
      </c>
      <c r="D81" s="2" t="n">
        <v>0.4</v>
      </c>
      <c r="E81" s="2" t="n">
        <v>0.122</v>
      </c>
    </row>
    <row r="82" customFormat="false" ht="13.8" hidden="false" customHeight="false" outlineLevel="0" collapsed="false">
      <c r="B82" s="2" t="n">
        <v>80</v>
      </c>
      <c r="C82" s="2" t="n">
        <v>0.2032846</v>
      </c>
      <c r="D82" s="2" t="n">
        <v>0.4</v>
      </c>
      <c r="E82" s="2" t="n">
        <v>0.148</v>
      </c>
    </row>
    <row r="83" customFormat="false" ht="13.8" hidden="false" customHeight="false" outlineLevel="0" collapsed="false">
      <c r="B83" s="2" t="n">
        <v>81</v>
      </c>
      <c r="C83" s="2" t="n">
        <v>0.428150266666667</v>
      </c>
      <c r="D83" s="2" t="n">
        <v>0.4</v>
      </c>
      <c r="E83" s="2" t="n">
        <v>0.122</v>
      </c>
    </row>
    <row r="84" customFormat="false" ht="13.8" hidden="false" customHeight="false" outlineLevel="0" collapsed="false">
      <c r="B84" s="2" t="n">
        <v>82</v>
      </c>
      <c r="C84" s="2" t="n">
        <v>0.254882733333333</v>
      </c>
      <c r="D84" s="2" t="n">
        <v>0.4</v>
      </c>
      <c r="E84" s="2" t="n">
        <v>0.148</v>
      </c>
    </row>
    <row r="85" customFormat="false" ht="13.8" hidden="false" customHeight="false" outlineLevel="0" collapsed="false">
      <c r="B85" s="2" t="n">
        <v>83</v>
      </c>
      <c r="C85" s="2" t="n">
        <v>0.398214466666667</v>
      </c>
      <c r="D85" s="2" t="n">
        <v>0.4</v>
      </c>
      <c r="E85" s="2" t="n">
        <v>0.122</v>
      </c>
    </row>
    <row r="86" customFormat="false" ht="13.8" hidden="false" customHeight="false" outlineLevel="0" collapsed="false">
      <c r="B86" s="2" t="n">
        <v>84</v>
      </c>
      <c r="C86" s="2" t="n">
        <v>0.423347666666667</v>
      </c>
      <c r="D86" s="2" t="n">
        <v>0.4</v>
      </c>
      <c r="E86" s="2" t="n">
        <v>0.148</v>
      </c>
    </row>
    <row r="87" customFormat="false" ht="13.8" hidden="false" customHeight="false" outlineLevel="0" collapsed="false">
      <c r="B87" s="2" t="n">
        <v>85</v>
      </c>
      <c r="C87" s="2" t="n">
        <v>0.360882933333333</v>
      </c>
      <c r="D87" s="2" t="n">
        <v>0.4</v>
      </c>
      <c r="E87" s="2" t="n">
        <v>0.122</v>
      </c>
    </row>
    <row r="88" customFormat="false" ht="13.8" hidden="false" customHeight="false" outlineLevel="0" collapsed="false">
      <c r="B88" s="2" t="n">
        <v>86</v>
      </c>
      <c r="C88" s="2" t="n">
        <v>0.3121492</v>
      </c>
      <c r="D88" s="2" t="n">
        <v>0.4</v>
      </c>
      <c r="E88" s="2" t="n">
        <v>0.148</v>
      </c>
    </row>
    <row r="89" customFormat="false" ht="13.8" hidden="false" customHeight="false" outlineLevel="0" collapsed="false">
      <c r="B89" s="2" t="n">
        <v>87</v>
      </c>
      <c r="C89" s="2" t="n">
        <v>0.288680533333333</v>
      </c>
      <c r="D89" s="2" t="n">
        <v>0.4</v>
      </c>
      <c r="E89" s="2" t="n">
        <v>0.122</v>
      </c>
    </row>
    <row r="90" customFormat="false" ht="13.8" hidden="false" customHeight="false" outlineLevel="0" collapsed="false">
      <c r="B90" s="2" t="n">
        <v>88</v>
      </c>
      <c r="C90" s="2" t="n">
        <v>0.3787456</v>
      </c>
      <c r="D90" s="2" t="n">
        <v>0.4</v>
      </c>
      <c r="E90" s="2" t="n">
        <v>0.148</v>
      </c>
    </row>
    <row r="91" customFormat="false" ht="13.8" hidden="false" customHeight="false" outlineLevel="0" collapsed="false">
      <c r="B91" s="2" t="n">
        <v>89</v>
      </c>
      <c r="C91" s="2" t="n">
        <v>0.3160794</v>
      </c>
      <c r="D91" s="2" t="n">
        <v>0.4</v>
      </c>
      <c r="E91" s="2" t="n">
        <v>0.0673338666666667</v>
      </c>
    </row>
    <row r="92" customFormat="false" ht="13.8" hidden="false" customHeight="false" outlineLevel="0" collapsed="false">
      <c r="B92" s="2" t="n">
        <v>90</v>
      </c>
      <c r="C92" s="2" t="n">
        <v>0.168082466666667</v>
      </c>
      <c r="D92" s="2" t="n">
        <v>0.4</v>
      </c>
      <c r="E92" s="2" t="n">
        <v>0.07</v>
      </c>
    </row>
    <row r="93" customFormat="false" ht="13.8" hidden="false" customHeight="false" outlineLevel="0" collapsed="false">
      <c r="B93" s="2" t="n">
        <v>91</v>
      </c>
      <c r="C93" s="2" t="n">
        <v>0.152014333333333</v>
      </c>
      <c r="D93" s="2" t="n">
        <v>0.4</v>
      </c>
      <c r="E93" s="2" t="n">
        <v>0.07</v>
      </c>
    </row>
    <row r="94" customFormat="false" ht="13.8" hidden="false" customHeight="false" outlineLevel="0" collapsed="false">
      <c r="B94" s="2" t="n">
        <v>92</v>
      </c>
      <c r="C94" s="2" t="n">
        <v>0.3966794</v>
      </c>
      <c r="D94" s="2" t="n">
        <v>0.4</v>
      </c>
      <c r="E94" s="2" t="n">
        <v>0.07</v>
      </c>
    </row>
    <row r="95" customFormat="false" ht="13.8" hidden="false" customHeight="false" outlineLevel="0" collapsed="false">
      <c r="B95" s="2" t="n">
        <v>93</v>
      </c>
      <c r="C95" s="2" t="n">
        <v>0.215207866666667</v>
      </c>
      <c r="D95" s="2" t="n">
        <v>0.4</v>
      </c>
      <c r="E95" s="2" t="n">
        <v>0.0020006</v>
      </c>
    </row>
    <row r="96" customFormat="false" ht="13.8" hidden="false" customHeight="false" outlineLevel="0" collapsed="false">
      <c r="B96" s="2" t="n">
        <v>94</v>
      </c>
      <c r="C96" s="2" t="n">
        <v>0.4427408</v>
      </c>
      <c r="D96" s="2" t="n">
        <v>0.4</v>
      </c>
      <c r="E96" s="2" t="n">
        <v>0.133666933333333</v>
      </c>
    </row>
    <row r="97" customFormat="false" ht="13.8" hidden="false" customHeight="false" outlineLevel="0" collapsed="false">
      <c r="B97" s="2" t="n">
        <v>95</v>
      </c>
      <c r="C97" s="2" t="n">
        <v>0.160209733333333</v>
      </c>
      <c r="D97" s="2" t="n">
        <v>0.4</v>
      </c>
      <c r="E97" s="2" t="n">
        <v>0.005</v>
      </c>
    </row>
    <row r="98" customFormat="false" ht="13.8" hidden="false" customHeight="false" outlineLevel="0" collapsed="false">
      <c r="B98" s="2" t="n">
        <v>96</v>
      </c>
      <c r="C98" s="2" t="n">
        <v>0.141677333333333</v>
      </c>
      <c r="D98" s="2" t="n">
        <v>0.373333333333333</v>
      </c>
      <c r="E98" s="2" t="n">
        <v>0.00133406666666667</v>
      </c>
    </row>
    <row r="99" customFormat="false" ht="13.8" hidden="false" customHeight="false" outlineLevel="0" collapsed="false">
      <c r="B99" s="2" t="n">
        <v>97</v>
      </c>
      <c r="C99" s="2" t="n">
        <v>0.124078933333333</v>
      </c>
      <c r="D99" s="2" t="n">
        <v>0.4</v>
      </c>
      <c r="E99" s="2" t="n">
        <v>0.0533340666666667</v>
      </c>
    </row>
    <row r="100" customFormat="false" ht="13.8" hidden="false" customHeight="false" outlineLevel="0" collapsed="false">
      <c r="B100" s="2" t="n">
        <v>98</v>
      </c>
      <c r="C100" s="2" t="n">
        <v>0.44234</v>
      </c>
      <c r="D100" s="2" t="n">
        <v>0.4</v>
      </c>
      <c r="E100" s="2" t="n">
        <v>0.083</v>
      </c>
    </row>
    <row r="101" customFormat="false" ht="13.8" hidden="false" customHeight="false" outlineLevel="0" collapsed="false">
      <c r="B101" s="2" t="n">
        <v>99</v>
      </c>
      <c r="C101" s="2" t="n">
        <v>0.159005466666667</v>
      </c>
      <c r="D101" s="2" t="n">
        <v>0.4</v>
      </c>
      <c r="E101" s="2" t="n">
        <v>0.057</v>
      </c>
    </row>
    <row r="102" customFormat="false" ht="13.8" hidden="false" customHeight="false" outlineLevel="0" collapsed="false">
      <c r="B102" s="2" t="n">
        <v>100</v>
      </c>
      <c r="C102" s="2" t="n">
        <v>0.1664714</v>
      </c>
      <c r="D102" s="2" t="n">
        <v>0.4</v>
      </c>
      <c r="E102" s="2" t="n">
        <v>0.160333466666667</v>
      </c>
    </row>
    <row r="103" customFormat="false" ht="13.8" hidden="false" customHeight="false" outlineLevel="0" collapsed="false">
      <c r="B103" s="2" t="n">
        <v>101</v>
      </c>
      <c r="C103" s="2" t="n">
        <v>0.211933933333333</v>
      </c>
      <c r="D103" s="2" t="n">
        <v>0.4</v>
      </c>
      <c r="E103" s="2" t="n">
        <v>0.005</v>
      </c>
    </row>
    <row r="104" customFormat="false" ht="13.8" hidden="false" customHeight="false" outlineLevel="0" collapsed="false">
      <c r="B104" s="2" t="n">
        <v>102</v>
      </c>
      <c r="C104" s="2" t="n">
        <v>0.0707345333333333</v>
      </c>
      <c r="D104" s="2" t="n">
        <v>0.4</v>
      </c>
      <c r="E104" s="2" t="n">
        <v>0.121333466666667</v>
      </c>
    </row>
    <row r="105" customFormat="false" ht="13.8" hidden="false" customHeight="false" outlineLevel="0" collapsed="false">
      <c r="B105" s="2" t="n">
        <v>103</v>
      </c>
      <c r="C105" s="2" t="n">
        <v>0.3085336</v>
      </c>
      <c r="D105" s="2" t="n">
        <v>0.4</v>
      </c>
      <c r="E105" s="2" t="n">
        <v>0.018</v>
      </c>
    </row>
    <row r="106" customFormat="false" ht="13.8" hidden="false" customHeight="false" outlineLevel="0" collapsed="false">
      <c r="B106" s="2" t="n">
        <v>104</v>
      </c>
      <c r="C106" s="2" t="n">
        <v>0.0482007333333333</v>
      </c>
      <c r="D106" s="2" t="n">
        <v>0.4</v>
      </c>
      <c r="E106" s="2" t="n">
        <v>0.122</v>
      </c>
    </row>
    <row r="107" customFormat="false" ht="13.8" hidden="false" customHeight="false" outlineLevel="0" collapsed="false">
      <c r="B107" s="2" t="n">
        <v>105</v>
      </c>
      <c r="C107" s="2" t="n">
        <v>0.1990016</v>
      </c>
      <c r="D107" s="2" t="n">
        <v>0.4</v>
      </c>
      <c r="E107" s="2" t="n">
        <v>0.018</v>
      </c>
    </row>
    <row r="108" customFormat="false" ht="13.8" hidden="false" customHeight="false" outlineLevel="0" collapsed="false">
      <c r="B108" s="2" t="n">
        <v>106</v>
      </c>
      <c r="C108" s="2" t="n">
        <v>0.0556667333333333</v>
      </c>
      <c r="D108" s="2" t="n">
        <v>0.4</v>
      </c>
      <c r="E108" s="2" t="n">
        <v>0.122</v>
      </c>
    </row>
    <row r="109" customFormat="false" ht="13.8" hidden="false" customHeight="false" outlineLevel="0" collapsed="false">
      <c r="B109" s="2" t="n">
        <v>107</v>
      </c>
      <c r="C109" s="2" t="n">
        <v>0.298200533333333</v>
      </c>
      <c r="D109" s="2" t="n">
        <v>0.4</v>
      </c>
      <c r="E109" s="2" t="n">
        <v>0.018</v>
      </c>
    </row>
    <row r="110" customFormat="false" ht="13.8" hidden="false" customHeight="false" outlineLevel="0" collapsed="false">
      <c r="B110" s="2" t="n">
        <v>108</v>
      </c>
      <c r="C110" s="2" t="n">
        <v>0.0646678666666667</v>
      </c>
      <c r="D110" s="2" t="n">
        <v>0.4</v>
      </c>
      <c r="E110" s="2" t="n">
        <v>0.122</v>
      </c>
    </row>
    <row r="111" customFormat="false" ht="13.8" hidden="false" customHeight="false" outlineLevel="0" collapsed="false">
      <c r="B111" s="2" t="n">
        <v>109</v>
      </c>
      <c r="C111" s="2" t="n">
        <v>0.256001</v>
      </c>
      <c r="D111" s="2" t="n">
        <v>0.4</v>
      </c>
      <c r="E111" s="2" t="n">
        <v>0.018</v>
      </c>
    </row>
    <row r="112" customFormat="false" ht="13.8" hidden="false" customHeight="false" outlineLevel="0" collapsed="false">
      <c r="B112" s="2" t="n">
        <v>110</v>
      </c>
      <c r="C112" s="2" t="n">
        <v>0.125534266666667</v>
      </c>
      <c r="D112" s="2" t="n">
        <v>0.4</v>
      </c>
      <c r="E112" s="2" t="n">
        <v>0.122</v>
      </c>
    </row>
    <row r="113" customFormat="false" ht="13.8" hidden="false" customHeight="false" outlineLevel="0" collapsed="false">
      <c r="B113" s="2" t="n">
        <v>111</v>
      </c>
      <c r="C113" s="2" t="n">
        <v>0.179534066666667</v>
      </c>
      <c r="D113" s="2" t="n">
        <v>0.4</v>
      </c>
      <c r="E113" s="2" t="n">
        <v>0.018</v>
      </c>
    </row>
    <row r="114" customFormat="false" ht="13.8" hidden="false" customHeight="false" outlineLevel="0" collapsed="false">
      <c r="B114" s="2" t="n">
        <v>112</v>
      </c>
      <c r="C114" s="2" t="n">
        <v>0.162934333333333</v>
      </c>
      <c r="D114" s="2" t="n">
        <v>0.4</v>
      </c>
      <c r="E114" s="2" t="n">
        <v>0.122</v>
      </c>
    </row>
    <row r="115" customFormat="false" ht="13.8" hidden="false" customHeight="false" outlineLevel="0" collapsed="false">
      <c r="B115" s="2" t="n">
        <v>113</v>
      </c>
      <c r="C115" s="2" t="n">
        <v>0.156</v>
      </c>
      <c r="D115" s="2" t="n">
        <v>0.4</v>
      </c>
      <c r="E115" s="2" t="n">
        <v>0.018</v>
      </c>
    </row>
    <row r="116" customFormat="false" ht="13.8" hidden="false" customHeight="false" outlineLevel="0" collapsed="false">
      <c r="B116" s="2" t="n">
        <v>114</v>
      </c>
      <c r="C116" s="2" t="n">
        <v>0.1522006</v>
      </c>
      <c r="D116" s="2" t="n">
        <v>0.4</v>
      </c>
      <c r="E116" s="2" t="n">
        <v>0.122</v>
      </c>
    </row>
    <row r="117" customFormat="false" ht="13.8" hidden="false" customHeight="false" outlineLevel="0" collapsed="false">
      <c r="B117" s="2" t="n">
        <v>115</v>
      </c>
      <c r="C117" s="2" t="n">
        <v>0.219333666666667</v>
      </c>
      <c r="D117" s="2" t="n">
        <v>0.4</v>
      </c>
      <c r="E117" s="2" t="n">
        <v>0.018</v>
      </c>
    </row>
    <row r="118" customFormat="false" ht="13.8" hidden="false" customHeight="false" outlineLevel="0" collapsed="false">
      <c r="B118" s="2" t="n">
        <v>116</v>
      </c>
      <c r="C118" s="2" t="n">
        <v>0.089667</v>
      </c>
      <c r="D118" s="2" t="n">
        <v>0.4</v>
      </c>
      <c r="E118" s="2" t="n">
        <v>0.0140008</v>
      </c>
    </row>
    <row r="119" customFormat="false" ht="13.8" hidden="false" customHeight="false" outlineLevel="0" collapsed="false">
      <c r="B119" s="2" t="n">
        <v>117</v>
      </c>
      <c r="C119" s="2" t="n">
        <v>0.221800066666667</v>
      </c>
      <c r="D119" s="2" t="n">
        <v>0.4</v>
      </c>
      <c r="E119" s="2" t="n">
        <v>0.122</v>
      </c>
    </row>
    <row r="120" customFormat="false" ht="13.8" hidden="false" customHeight="false" outlineLevel="0" collapsed="false">
      <c r="B120" s="2" t="n">
        <v>118</v>
      </c>
      <c r="C120" s="2" t="n">
        <v>0.085068</v>
      </c>
      <c r="D120" s="2" t="n">
        <v>0.4</v>
      </c>
      <c r="E120" s="2" t="n">
        <v>0.018</v>
      </c>
    </row>
    <row r="121" customFormat="false" ht="13.8" hidden="false" customHeight="false" outlineLevel="0" collapsed="false">
      <c r="B121" s="2" t="n">
        <v>119</v>
      </c>
      <c r="C121" s="2" t="n">
        <v>0.121134</v>
      </c>
      <c r="D121" s="2" t="n">
        <v>0.4</v>
      </c>
      <c r="E121" s="2" t="n">
        <v>0.1210002</v>
      </c>
    </row>
    <row r="122" customFormat="false" ht="13.8" hidden="false" customHeight="false" outlineLevel="0" collapsed="false">
      <c r="B122" s="2" t="n">
        <v>120</v>
      </c>
      <c r="C122" s="2" t="n">
        <v>0.2865342</v>
      </c>
      <c r="D122" s="2" t="n">
        <v>0.4</v>
      </c>
      <c r="E122" s="2" t="n">
        <v>0.134666733333333</v>
      </c>
    </row>
    <row r="123" customFormat="false" ht="13.8" hidden="false" customHeight="false" outlineLevel="0" collapsed="false">
      <c r="B123" s="2" t="n">
        <v>121</v>
      </c>
      <c r="C123" s="2" t="n">
        <v>0.04</v>
      </c>
      <c r="D123" s="2" t="n">
        <v>0.106666666666667</v>
      </c>
      <c r="E123" s="2" t="n">
        <v>0.005</v>
      </c>
    </row>
    <row r="124" customFormat="false" ht="13.8" hidden="false" customHeight="false" outlineLevel="0" collapsed="false">
      <c r="B124" s="2" t="n">
        <v>122</v>
      </c>
      <c r="C124" s="2" t="n">
        <v>0.377468266666667</v>
      </c>
      <c r="D124" s="2" t="n">
        <v>0</v>
      </c>
      <c r="E124" s="2" t="n">
        <v>0.134666733333333</v>
      </c>
    </row>
    <row r="125" customFormat="false" ht="13.8" hidden="false" customHeight="false" outlineLevel="0" collapsed="false">
      <c r="B125" s="2" t="n">
        <v>123</v>
      </c>
      <c r="C125" s="2" t="n">
        <v>0.0216707333333333</v>
      </c>
      <c r="D125" s="2" t="n">
        <v>0</v>
      </c>
      <c r="E125" s="2" t="n">
        <v>0.005</v>
      </c>
    </row>
    <row r="126" customFormat="false" ht="13.8" hidden="false" customHeight="false" outlineLevel="0" collapsed="false">
      <c r="B126" s="2" t="n">
        <v>124</v>
      </c>
      <c r="C126" s="2" t="n">
        <v>0.321004133333333</v>
      </c>
      <c r="D126" s="2" t="n">
        <v>0</v>
      </c>
      <c r="E126" s="2" t="n">
        <v>0.174</v>
      </c>
    </row>
    <row r="127" customFormat="false" ht="13.8" hidden="false" customHeight="false" outlineLevel="0" collapsed="false">
      <c r="B127" s="2" t="n">
        <v>125</v>
      </c>
      <c r="C127" s="2" t="n">
        <v>0.101005</v>
      </c>
      <c r="D127" s="2" t="n">
        <v>0</v>
      </c>
      <c r="E127" s="2" t="n">
        <v>0.018</v>
      </c>
    </row>
    <row r="128" customFormat="false" ht="13.8" hidden="false" customHeight="false" outlineLevel="0" collapsed="false">
      <c r="B128" s="2" t="n">
        <v>126</v>
      </c>
      <c r="C128" s="2" t="n">
        <v>0.3428714</v>
      </c>
      <c r="D128" s="2" t="n">
        <v>0</v>
      </c>
      <c r="E128" s="2" t="n">
        <v>0.0953348666666667</v>
      </c>
    </row>
    <row r="129" customFormat="false" ht="13.8" hidden="false" customHeight="false" outlineLevel="0" collapsed="false">
      <c r="B129" s="2" t="n">
        <v>127</v>
      </c>
      <c r="C129" s="2" t="n">
        <v>0.125672866666667</v>
      </c>
      <c r="D129" s="2" t="n">
        <v>0</v>
      </c>
      <c r="E129" s="2" t="n">
        <v>0.1340028</v>
      </c>
    </row>
    <row r="130" customFormat="false" ht="13.8" hidden="false" customHeight="false" outlineLevel="0" collapsed="false">
      <c r="B130" s="2" t="n">
        <v>128</v>
      </c>
      <c r="C130" s="2" t="n">
        <v>0.203207866666667</v>
      </c>
      <c r="D130" s="2" t="n">
        <v>0</v>
      </c>
      <c r="E130" s="2" t="n">
        <v>0.005003</v>
      </c>
    </row>
    <row r="131" customFormat="false" ht="13.8" hidden="false" customHeight="false" outlineLevel="0" collapsed="false">
      <c r="B131" s="2" t="n">
        <v>129</v>
      </c>
      <c r="C131" s="2" t="n">
        <v>0.3008074</v>
      </c>
      <c r="D131" s="2" t="n">
        <v>0</v>
      </c>
      <c r="E131" s="2" t="n">
        <v>0.135003</v>
      </c>
    </row>
    <row r="132" customFormat="false" ht="13.8" hidden="false" customHeight="false" outlineLevel="0" collapsed="false">
      <c r="B132" s="2" t="n">
        <v>130</v>
      </c>
      <c r="C132" s="2" t="n">
        <v>0.244541266666667</v>
      </c>
      <c r="D132" s="2" t="n">
        <v>0</v>
      </c>
      <c r="E132" s="2" t="n">
        <v>0.3063366</v>
      </c>
    </row>
    <row r="133" customFormat="false" ht="13.8" hidden="false" customHeight="false" outlineLevel="0" collapsed="false">
      <c r="B133" s="2" t="n">
        <v>131</v>
      </c>
      <c r="C133" s="2" t="n">
        <v>0.157341266666667</v>
      </c>
      <c r="D133" s="2" t="n">
        <v>0</v>
      </c>
      <c r="E133" s="2" t="n">
        <v>0.3540032</v>
      </c>
    </row>
    <row r="134" customFormat="false" ht="13.8" hidden="false" customHeight="false" outlineLevel="0" collapsed="false">
      <c r="B134" s="2" t="n">
        <v>132</v>
      </c>
      <c r="C134" s="2" t="n">
        <v>0.379874933333333</v>
      </c>
      <c r="D134" s="2" t="n">
        <v>0</v>
      </c>
      <c r="E134" s="2" t="n">
        <v>0.513669333333333</v>
      </c>
    </row>
    <row r="135" customFormat="false" ht="13.8" hidden="false" customHeight="false" outlineLevel="0" collapsed="false">
      <c r="B135" s="2" t="n">
        <v>133</v>
      </c>
      <c r="C135" s="2" t="n">
        <v>0.166009</v>
      </c>
      <c r="D135" s="2" t="n">
        <v>0</v>
      </c>
      <c r="E135" s="2" t="n">
        <v>0.400669533333333</v>
      </c>
    </row>
    <row r="136" customFormat="false" ht="13.8" hidden="false" customHeight="false" outlineLevel="0" collapsed="false">
      <c r="B136" s="2" t="n">
        <v>134</v>
      </c>
      <c r="C136" s="2" t="n">
        <v>0.374009</v>
      </c>
      <c r="D136" s="2" t="n">
        <v>0</v>
      </c>
      <c r="E136" s="2" t="n">
        <v>0.369003</v>
      </c>
    </row>
    <row r="137" customFormat="false" ht="13.8" hidden="false" customHeight="false" outlineLevel="0" collapsed="false">
      <c r="B137" s="2" t="n">
        <v>135</v>
      </c>
      <c r="C137" s="2" t="n">
        <v>0.166009</v>
      </c>
      <c r="D137" s="2" t="n">
        <v>0</v>
      </c>
      <c r="E137" s="2" t="n">
        <v>0.233669733333333</v>
      </c>
    </row>
    <row r="138" customFormat="false" ht="13.8" hidden="false" customHeight="false" outlineLevel="0" collapsed="false">
      <c r="B138" s="2" t="n">
        <v>136</v>
      </c>
      <c r="C138" s="2" t="n">
        <v>0.374009</v>
      </c>
      <c r="D138" s="2" t="n">
        <v>0</v>
      </c>
      <c r="E138" s="2" t="n">
        <v>0.1894034</v>
      </c>
    </row>
    <row r="139" customFormat="false" ht="13.8" hidden="false" customHeight="false" outlineLevel="0" collapsed="false">
      <c r="B139" s="2" t="n">
        <v>137</v>
      </c>
      <c r="C139" s="2" t="n">
        <v>0.171874933333333</v>
      </c>
      <c r="D139" s="2" t="n">
        <v>0</v>
      </c>
      <c r="E139" s="2" t="n">
        <v>0.087003</v>
      </c>
    </row>
    <row r="140" customFormat="false" ht="13.8" hidden="false" customHeight="false" outlineLevel="0" collapsed="false">
      <c r="B140" s="2" t="n">
        <v>138</v>
      </c>
      <c r="C140" s="2" t="n">
        <v>0.382007</v>
      </c>
      <c r="D140" s="2" t="n">
        <v>0</v>
      </c>
      <c r="E140" s="2" t="n">
        <v>0.4710022</v>
      </c>
    </row>
    <row r="141" customFormat="false" ht="13.8" hidden="false" customHeight="false" outlineLevel="0" collapsed="false">
      <c r="B141" s="2" t="n">
        <v>139</v>
      </c>
      <c r="C141" s="2" t="n">
        <v>0.1578738</v>
      </c>
      <c r="D141" s="2" t="n">
        <v>0</v>
      </c>
      <c r="E141" s="2" t="n">
        <v>0.410335466666667</v>
      </c>
    </row>
    <row r="142" customFormat="false" ht="13.8" hidden="false" customHeight="false" outlineLevel="0" collapsed="false">
      <c r="B142" s="2" t="n">
        <v>140</v>
      </c>
      <c r="C142" s="2" t="n">
        <v>0.415005</v>
      </c>
      <c r="D142" s="2" t="n">
        <v>0</v>
      </c>
      <c r="E142" s="2" t="n">
        <v>0.354669666666667</v>
      </c>
    </row>
    <row r="143" customFormat="false" ht="13.8" hidden="false" customHeight="false" outlineLevel="0" collapsed="false">
      <c r="B143" s="2" t="n">
        <v>141</v>
      </c>
      <c r="C143" s="2" t="n">
        <v>0.1576718</v>
      </c>
      <c r="D143" s="2" t="n">
        <v>0</v>
      </c>
      <c r="E143" s="2" t="n">
        <v>0.1448036</v>
      </c>
    </row>
    <row r="144" customFormat="false" ht="13.8" hidden="false" customHeight="false" outlineLevel="0" collapsed="false">
      <c r="B144" s="2" t="n">
        <v>142</v>
      </c>
      <c r="C144" s="2" t="n">
        <v>0.366672333333333</v>
      </c>
      <c r="D144" s="2" t="n">
        <v>0</v>
      </c>
      <c r="E144" s="2" t="n">
        <v>0.1740032</v>
      </c>
    </row>
    <row r="145" customFormat="false" ht="13.8" hidden="false" customHeight="false" outlineLevel="0" collapsed="false">
      <c r="B145" s="2" t="n">
        <v>143</v>
      </c>
      <c r="C145" s="2" t="n">
        <v>0.372005</v>
      </c>
      <c r="D145" s="2" t="n">
        <v>0</v>
      </c>
      <c r="E145" s="2" t="n">
        <v>0.096003</v>
      </c>
    </row>
    <row r="146" customFormat="false" ht="13.8" hidden="false" customHeight="false" outlineLevel="0" collapsed="false">
      <c r="B146" s="2" t="n">
        <v>144</v>
      </c>
      <c r="C146" s="2" t="n">
        <v>0.234673066666667</v>
      </c>
      <c r="D146" s="2" t="n">
        <v>0</v>
      </c>
      <c r="E146" s="2" t="n">
        <v>0.1756026</v>
      </c>
    </row>
    <row r="147" customFormat="false" ht="13.8" hidden="false" customHeight="false" outlineLevel="0" collapsed="false">
      <c r="B147" s="2" t="n">
        <v>145</v>
      </c>
      <c r="C147" s="2" t="n">
        <v>0.2020088</v>
      </c>
      <c r="D147" s="2" t="n">
        <v>0</v>
      </c>
      <c r="E147" s="2" t="n">
        <v>0.00633586666666667</v>
      </c>
    </row>
    <row r="148" customFormat="false" ht="13.8" hidden="false" customHeight="false" outlineLevel="0" collapsed="false">
      <c r="B148" s="2" t="n">
        <v>146</v>
      </c>
      <c r="C148" s="2" t="n">
        <v>0.164409</v>
      </c>
      <c r="D148" s="2" t="n">
        <v>0</v>
      </c>
      <c r="E148" s="2" t="n">
        <v>0.3615358</v>
      </c>
    </row>
    <row r="149" customFormat="false" ht="13.8" hidden="false" customHeight="false" outlineLevel="0" collapsed="false">
      <c r="B149" s="2" t="n">
        <v>147</v>
      </c>
      <c r="C149" s="2" t="n">
        <v>0.1766096</v>
      </c>
      <c r="D149" s="2" t="n">
        <v>0</v>
      </c>
      <c r="E149" s="2" t="n">
        <v>0.611668333333333</v>
      </c>
    </row>
    <row r="150" customFormat="false" ht="13.8" hidden="false" customHeight="false" outlineLevel="0" collapsed="false">
      <c r="B150" s="2" t="n">
        <v>148</v>
      </c>
      <c r="C150" s="2" t="n">
        <v>0.386873133333333</v>
      </c>
      <c r="D150" s="2" t="n">
        <v>0</v>
      </c>
      <c r="E150" s="2" t="n">
        <v>0.627668733333333</v>
      </c>
    </row>
    <row r="151" customFormat="false" ht="13.8" hidden="false" customHeight="false" outlineLevel="0" collapsed="false">
      <c r="B151" s="2" t="n">
        <v>149</v>
      </c>
      <c r="C151" s="2" t="n">
        <v>0.2036068</v>
      </c>
      <c r="D151" s="2" t="n">
        <v>0</v>
      </c>
      <c r="E151" s="2" t="n">
        <v>0.109003</v>
      </c>
    </row>
    <row r="152" customFormat="false" ht="13.8" hidden="false" customHeight="false" outlineLevel="0" collapsed="false">
      <c r="B152" s="2" t="n">
        <v>150</v>
      </c>
      <c r="C152" s="2" t="n">
        <v>0.385073533333333</v>
      </c>
      <c r="D152" s="2" t="n">
        <v>0</v>
      </c>
      <c r="E152" s="2" t="n">
        <v>0.161003133333333</v>
      </c>
    </row>
    <row r="153" customFormat="false" ht="13.8" hidden="false" customHeight="false" outlineLevel="0" collapsed="false">
      <c r="B153" s="2" t="n">
        <v>151</v>
      </c>
      <c r="C153" s="2" t="n">
        <v>0.1885402</v>
      </c>
      <c r="D153" s="2" t="n">
        <v>0</v>
      </c>
      <c r="E153" s="2" t="n">
        <v>0.109003533333333</v>
      </c>
    </row>
    <row r="154" customFormat="false" ht="13.8" hidden="false" customHeight="false" outlineLevel="0" collapsed="false">
      <c r="B154" s="2" t="n">
        <v>152</v>
      </c>
      <c r="C154" s="2" t="n">
        <v>0.402205066666667</v>
      </c>
      <c r="D154" s="2" t="n">
        <v>0</v>
      </c>
      <c r="E154" s="2" t="n">
        <v>0.161002866666667</v>
      </c>
    </row>
    <row r="155" customFormat="false" ht="13.8" hidden="false" customHeight="false" outlineLevel="0" collapsed="false">
      <c r="B155" s="2" t="n">
        <v>153</v>
      </c>
      <c r="C155" s="2" t="n">
        <v>0.127336866666667</v>
      </c>
      <c r="D155" s="2" t="n">
        <v>0</v>
      </c>
      <c r="E155" s="2" t="n">
        <v>0.1100694</v>
      </c>
    </row>
    <row r="156" customFormat="false" ht="13.8" hidden="false" customHeight="false" outlineLevel="0" collapsed="false">
      <c r="B156" s="2" t="n">
        <v>154</v>
      </c>
      <c r="C156" s="2" t="n">
        <v>0.258669</v>
      </c>
      <c r="D156" s="2" t="n">
        <v>0</v>
      </c>
      <c r="E156" s="2" t="n">
        <v>0.0346687333333333</v>
      </c>
    </row>
    <row r="157" customFormat="false" ht="13.8" hidden="false" customHeight="false" outlineLevel="0" collapsed="false">
      <c r="B157" s="2" t="n">
        <v>155</v>
      </c>
      <c r="C157" s="2" t="n">
        <v>0.298001</v>
      </c>
      <c r="D157" s="2" t="n">
        <v>0</v>
      </c>
      <c r="E157" s="2" t="n">
        <v>0.204002</v>
      </c>
    </row>
    <row r="158" customFormat="false" ht="13.8" hidden="false" customHeight="false" outlineLevel="0" collapsed="false">
      <c r="B158" s="2" t="n">
        <v>156</v>
      </c>
      <c r="C158" s="2" t="n">
        <v>0.2600008</v>
      </c>
      <c r="D158" s="2" t="n">
        <v>0</v>
      </c>
      <c r="E158" s="2" t="n">
        <v>0.0737359333333333</v>
      </c>
    </row>
    <row r="159" customFormat="false" ht="13.8" hidden="false" customHeight="false" outlineLevel="0" collapsed="false">
      <c r="B159" s="2" t="n">
        <v>157</v>
      </c>
      <c r="C159" s="2" t="n">
        <v>0.283</v>
      </c>
      <c r="D159" s="2" t="n">
        <v>0</v>
      </c>
      <c r="E159" s="2" t="n">
        <v>0.200004</v>
      </c>
    </row>
    <row r="160" customFormat="false" ht="13.8" hidden="false" customHeight="false" outlineLevel="0" collapsed="false">
      <c r="B160" s="2" t="n">
        <v>158</v>
      </c>
      <c r="C160" s="2" t="n">
        <v>0.387</v>
      </c>
      <c r="D160" s="2" t="n">
        <v>0</v>
      </c>
      <c r="E160" s="2" t="n">
        <v>0.0410046</v>
      </c>
    </row>
    <row r="161" customFormat="false" ht="13.8" hidden="false" customHeight="false" outlineLevel="0" collapsed="false">
      <c r="B161" s="2" t="n">
        <v>159</v>
      </c>
      <c r="C161" s="2" t="n">
        <v>0.203333666666667</v>
      </c>
      <c r="D161" s="2" t="n">
        <v>0</v>
      </c>
      <c r="E161" s="2" t="n">
        <v>0.00747053333333333</v>
      </c>
    </row>
    <row r="162" customFormat="false" ht="13.8" hidden="false" customHeight="false" outlineLevel="0" collapsed="false">
      <c r="B162" s="2" t="n">
        <v>160</v>
      </c>
      <c r="C162" s="2" t="n">
        <v>0.361</v>
      </c>
      <c r="D162" s="2" t="n">
        <v>0</v>
      </c>
      <c r="E162" s="2" t="n">
        <v>0.1868022</v>
      </c>
    </row>
    <row r="163" customFormat="false" ht="13.8" hidden="false" customHeight="false" outlineLevel="0" collapsed="false">
      <c r="B163" s="2" t="n">
        <v>161</v>
      </c>
      <c r="C163" s="2" t="n">
        <v>0.152333466666667</v>
      </c>
      <c r="D163" s="2" t="n">
        <v>0</v>
      </c>
      <c r="E163" s="2" t="n">
        <v>0.176668533333333</v>
      </c>
    </row>
    <row r="164" customFormat="false" ht="13.8" hidden="false" customHeight="false" outlineLevel="0" collapsed="false">
      <c r="B164" s="2" t="n">
        <v>162</v>
      </c>
      <c r="C164" s="2" t="n">
        <v>0.226667533333333</v>
      </c>
      <c r="D164" s="2" t="n">
        <v>0</v>
      </c>
      <c r="E164" s="2" t="n">
        <v>0.687601066666667</v>
      </c>
    </row>
    <row r="165" customFormat="false" ht="13.8" hidden="false" customHeight="false" outlineLevel="0" collapsed="false">
      <c r="B165" s="2" t="n">
        <v>163</v>
      </c>
      <c r="C165" s="2" t="n">
        <v>0.2740002</v>
      </c>
      <c r="D165" s="2" t="n">
        <v>0</v>
      </c>
      <c r="E165" s="2" t="n">
        <v>0.604002</v>
      </c>
    </row>
    <row r="166" customFormat="false" ht="13.8" hidden="false" customHeight="false" outlineLevel="0" collapsed="false">
      <c r="B166" s="2" t="n">
        <v>164</v>
      </c>
      <c r="C166" s="2" t="n">
        <v>0.275667266666667</v>
      </c>
      <c r="D166" s="2" t="n">
        <v>0</v>
      </c>
      <c r="E166" s="2" t="n">
        <v>0.696935466666667</v>
      </c>
    </row>
    <row r="167" customFormat="false" ht="13.8" hidden="false" customHeight="false" outlineLevel="0" collapsed="false">
      <c r="B167" s="2" t="n">
        <v>165</v>
      </c>
      <c r="C167" s="2" t="n">
        <v>0.277333466666667</v>
      </c>
      <c r="D167" s="2" t="n">
        <v>0</v>
      </c>
      <c r="E167" s="2" t="n">
        <v>0.258137</v>
      </c>
    </row>
    <row r="168" customFormat="false" ht="13.8" hidden="false" customHeight="false" outlineLevel="0" collapsed="false">
      <c r="B168" s="2" t="n">
        <v>166</v>
      </c>
      <c r="C168" s="2" t="n">
        <v>0.248334</v>
      </c>
      <c r="D168" s="2" t="n">
        <v>0</v>
      </c>
      <c r="E168" s="2" t="n">
        <v>0.2422036</v>
      </c>
    </row>
    <row r="169" customFormat="false" ht="13.8" hidden="false" customHeight="false" outlineLevel="0" collapsed="false">
      <c r="B169" s="2" t="n">
        <v>167</v>
      </c>
      <c r="C169" s="2" t="n">
        <v>0.246668933333333</v>
      </c>
      <c r="D169" s="2" t="n">
        <v>0</v>
      </c>
      <c r="E169" s="2" t="n">
        <v>0.151671</v>
      </c>
    </row>
    <row r="170" customFormat="false" ht="13.8" hidden="false" customHeight="false" outlineLevel="0" collapsed="false">
      <c r="B170" s="2" t="n">
        <v>168</v>
      </c>
      <c r="C170" s="2" t="n">
        <v>0.3523348</v>
      </c>
      <c r="D170" s="2" t="n">
        <v>0</v>
      </c>
      <c r="E170" s="2" t="n">
        <v>0.195004066666667</v>
      </c>
    </row>
    <row r="171" customFormat="false" ht="13.8" hidden="false" customHeight="false" outlineLevel="0" collapsed="false">
      <c r="B171" s="2" t="n">
        <v>169</v>
      </c>
      <c r="C171" s="2" t="n">
        <v>0.222002266666667</v>
      </c>
      <c r="D171" s="2" t="n">
        <v>0</v>
      </c>
      <c r="E171" s="2" t="n">
        <v>0.098803</v>
      </c>
    </row>
    <row r="172" customFormat="false" ht="13.8" hidden="false" customHeight="false" outlineLevel="0" collapsed="false">
      <c r="B172" s="2" t="n">
        <v>170</v>
      </c>
      <c r="C172" s="2" t="n">
        <v>0.378005266666667</v>
      </c>
      <c r="D172" s="2" t="n">
        <v>0</v>
      </c>
      <c r="E172" s="2" t="n">
        <v>0.0003354</v>
      </c>
    </row>
    <row r="173" customFormat="false" ht="13.8" hidden="false" customHeight="false" outlineLevel="0" collapsed="false">
      <c r="B173" s="2" t="n">
        <v>171</v>
      </c>
      <c r="C173" s="2" t="n">
        <v>0.176940533333333</v>
      </c>
      <c r="D173" s="2" t="n">
        <v>0</v>
      </c>
      <c r="E173" s="2" t="n">
        <v>1.8E-006</v>
      </c>
    </row>
    <row r="174" customFormat="false" ht="13.8" hidden="false" customHeight="false" outlineLevel="0" collapsed="false">
      <c r="B174" s="2" t="n">
        <v>172</v>
      </c>
      <c r="C174" s="2" t="n">
        <v>0.287210866666667</v>
      </c>
      <c r="D174" s="2" t="n">
        <v>0</v>
      </c>
      <c r="E174" s="2" t="n">
        <v>0.07</v>
      </c>
    </row>
    <row r="175" customFormat="false" ht="13.8" hidden="false" customHeight="false" outlineLevel="0" collapsed="false">
      <c r="B175" s="2" t="n">
        <v>173</v>
      </c>
      <c r="C175" s="2" t="n">
        <v>0.2924808</v>
      </c>
      <c r="D175" s="2" t="n">
        <v>0</v>
      </c>
      <c r="E175" s="2" t="n">
        <v>0.2</v>
      </c>
    </row>
    <row r="176" customFormat="false" ht="13.8" hidden="false" customHeight="false" outlineLevel="0" collapsed="false">
      <c r="B176" s="2" t="n">
        <v>174</v>
      </c>
      <c r="C176" s="2" t="n">
        <v>0.409147666666667</v>
      </c>
      <c r="D176" s="2" t="n">
        <v>0.293333333333333</v>
      </c>
      <c r="E176" s="2" t="n">
        <v>0.07</v>
      </c>
    </row>
    <row r="177" customFormat="false" ht="13.8" hidden="false" customHeight="false" outlineLevel="0" collapsed="false">
      <c r="B177" s="2" t="n">
        <v>175</v>
      </c>
      <c r="C177" s="2" t="n">
        <v>0.302816733333333</v>
      </c>
      <c r="D177" s="2" t="n">
        <v>0.4</v>
      </c>
      <c r="E177" s="2" t="n">
        <v>0.2</v>
      </c>
    </row>
    <row r="178" customFormat="false" ht="13.8" hidden="false" customHeight="false" outlineLevel="0" collapsed="false">
      <c r="B178" s="2" t="n">
        <v>176</v>
      </c>
      <c r="C178" s="2" t="n">
        <v>0.4285474</v>
      </c>
      <c r="D178" s="2" t="n">
        <v>0.4</v>
      </c>
      <c r="E178" s="2" t="n">
        <v>1E-006</v>
      </c>
    </row>
    <row r="179" customFormat="false" ht="13.8" hidden="false" customHeight="false" outlineLevel="0" collapsed="false">
      <c r="B179" s="2" t="n">
        <v>177</v>
      </c>
      <c r="C179" s="2" t="n">
        <v>0.358749666666667</v>
      </c>
      <c r="D179" s="2" t="n">
        <v>0.4</v>
      </c>
      <c r="E179" s="2" t="n">
        <v>0.1340002</v>
      </c>
    </row>
    <row r="180" customFormat="false" ht="13.8" hidden="false" customHeight="false" outlineLevel="0" collapsed="false">
      <c r="B180" s="2" t="n">
        <v>178</v>
      </c>
      <c r="C180" s="2" t="n">
        <v>0.4338178</v>
      </c>
      <c r="D180" s="2" t="n">
        <v>0.4</v>
      </c>
      <c r="E180" s="2" t="n">
        <v>0.005</v>
      </c>
    </row>
    <row r="181" customFormat="false" ht="13.8" hidden="false" customHeight="false" outlineLevel="0" collapsed="false">
      <c r="B181" s="2" t="n">
        <v>179</v>
      </c>
      <c r="C181" s="2" t="n">
        <v>0.348617466666667</v>
      </c>
      <c r="D181" s="2" t="n">
        <v>0.4</v>
      </c>
      <c r="E181" s="2" t="n">
        <v>0.135</v>
      </c>
    </row>
    <row r="182" customFormat="false" ht="13.8" hidden="false" customHeight="false" outlineLevel="0" collapsed="false">
      <c r="B182" s="2" t="n">
        <v>180</v>
      </c>
      <c r="C182" s="2" t="n">
        <v>0.387684333333333</v>
      </c>
      <c r="D182" s="2" t="n">
        <v>0.4</v>
      </c>
      <c r="E182" s="2" t="n">
        <v>0.005</v>
      </c>
    </row>
    <row r="183" customFormat="false" ht="13.8" hidden="false" customHeight="false" outlineLevel="0" collapsed="false">
      <c r="B183" s="2" t="n">
        <v>181</v>
      </c>
      <c r="C183" s="2" t="n">
        <v>0.307949466666667</v>
      </c>
      <c r="D183" s="2" t="n">
        <v>0.4</v>
      </c>
      <c r="E183" s="2" t="n">
        <v>0.135</v>
      </c>
    </row>
    <row r="184" customFormat="false" ht="13.8" hidden="false" customHeight="false" outlineLevel="0" collapsed="false">
      <c r="B184" s="2" t="n">
        <v>182</v>
      </c>
      <c r="C184" s="2" t="n">
        <v>0.302682066666667</v>
      </c>
      <c r="D184" s="2" t="n">
        <v>0.4</v>
      </c>
      <c r="E184" s="2" t="n">
        <v>0.0936671333333334</v>
      </c>
    </row>
    <row r="185" customFormat="false" ht="13.8" hidden="false" customHeight="false" outlineLevel="0" collapsed="false">
      <c r="B185" s="2" t="n">
        <v>183</v>
      </c>
      <c r="C185" s="2" t="n">
        <v>0.251146866666667</v>
      </c>
      <c r="D185" s="2" t="n">
        <v>0.4</v>
      </c>
      <c r="E185" s="2" t="n">
        <v>0.044</v>
      </c>
    </row>
    <row r="186" customFormat="false" ht="13.8" hidden="false" customHeight="false" outlineLevel="0" collapsed="false">
      <c r="B186" s="2" t="n">
        <v>184</v>
      </c>
      <c r="C186" s="2" t="n">
        <v>0.1769492</v>
      </c>
      <c r="D186" s="2" t="n">
        <v>0.4</v>
      </c>
      <c r="E186" s="2" t="n">
        <v>0.0560002</v>
      </c>
    </row>
    <row r="187" customFormat="false" ht="13.8" hidden="false" customHeight="false" outlineLevel="0" collapsed="false">
      <c r="B187" s="2" t="n">
        <v>185</v>
      </c>
      <c r="C187" s="2" t="n">
        <v>0.431882333333333</v>
      </c>
      <c r="D187" s="2" t="n">
        <v>0.4</v>
      </c>
      <c r="E187" s="2" t="n">
        <v>0.1340002</v>
      </c>
    </row>
    <row r="188" customFormat="false" ht="13.8" hidden="false" customHeight="false" outlineLevel="0" collapsed="false">
      <c r="B188" s="2" t="n">
        <v>186</v>
      </c>
      <c r="C188" s="2" t="n">
        <v>0.194150133333333</v>
      </c>
      <c r="D188" s="2" t="n">
        <v>0.4</v>
      </c>
      <c r="E188" s="2" t="n">
        <v>0.005</v>
      </c>
    </row>
    <row r="189" customFormat="false" ht="13.8" hidden="false" customHeight="false" outlineLevel="0" collapsed="false">
      <c r="B189" s="2" t="n">
        <v>187</v>
      </c>
      <c r="C189" s="2" t="n">
        <v>0.2950132</v>
      </c>
      <c r="D189" s="2" t="n">
        <v>0.4</v>
      </c>
      <c r="E189" s="2" t="n">
        <v>0.135</v>
      </c>
    </row>
    <row r="190" customFormat="false" ht="13.8" hidden="false" customHeight="false" outlineLevel="0" collapsed="false">
      <c r="B190" s="2" t="n">
        <v>188</v>
      </c>
      <c r="C190" s="2" t="n">
        <v>0.379345466666667</v>
      </c>
      <c r="D190" s="2" t="n">
        <v>0.4</v>
      </c>
      <c r="E190" s="2" t="n">
        <v>0.005</v>
      </c>
    </row>
    <row r="191" customFormat="false" ht="13.8" hidden="false" customHeight="false" outlineLevel="0" collapsed="false">
      <c r="B191" s="2" t="n">
        <v>189</v>
      </c>
      <c r="C191" s="2" t="n">
        <v>0.274612133333333</v>
      </c>
      <c r="D191" s="2" t="n">
        <v>0.4</v>
      </c>
      <c r="E191" s="2" t="n">
        <v>0.134666733333333</v>
      </c>
    </row>
    <row r="192" customFormat="false" ht="13.8" hidden="false" customHeight="false" outlineLevel="0" collapsed="false">
      <c r="B192" s="2" t="n">
        <v>190</v>
      </c>
      <c r="C192" s="2" t="n">
        <v>0.2364802</v>
      </c>
      <c r="D192" s="2" t="n">
        <v>0.4</v>
      </c>
      <c r="E192" s="2" t="n">
        <v>0.133333666666667</v>
      </c>
    </row>
    <row r="193" customFormat="false" ht="13.8" hidden="false" customHeight="false" outlineLevel="0" collapsed="false">
      <c r="B193" s="2" t="n">
        <v>191</v>
      </c>
      <c r="C193" s="2" t="n">
        <v>0.0742753333333333</v>
      </c>
      <c r="D193" s="2" t="n">
        <v>0.32</v>
      </c>
      <c r="E193" s="2" t="n">
        <v>0.005</v>
      </c>
    </row>
    <row r="194" customFormat="false" ht="13.8" hidden="false" customHeight="false" outlineLevel="0" collapsed="false">
      <c r="B194" s="2" t="n">
        <v>192</v>
      </c>
      <c r="C194" s="2" t="n">
        <v>0.178009933333333</v>
      </c>
      <c r="D194" s="2" t="n">
        <v>0</v>
      </c>
      <c r="E194" s="2" t="n">
        <v>0.0283338666666667</v>
      </c>
    </row>
    <row r="195" customFormat="false" ht="13.8" hidden="false" customHeight="false" outlineLevel="0" collapsed="false">
      <c r="B195" s="2" t="n">
        <v>193</v>
      </c>
      <c r="C195" s="2" t="n">
        <v>0.0370768</v>
      </c>
      <c r="D195" s="2" t="n">
        <v>0</v>
      </c>
      <c r="E195" s="2" t="n">
        <v>0.00433346666666667</v>
      </c>
    </row>
    <row r="196" customFormat="false" ht="13.8" hidden="false" customHeight="false" outlineLevel="0" collapsed="false">
      <c r="B196" s="2" t="n">
        <v>194</v>
      </c>
      <c r="C196" s="2" t="n">
        <v>0.115809533333333</v>
      </c>
      <c r="D196" s="2" t="n">
        <v>0</v>
      </c>
      <c r="E196" s="2" t="n">
        <v>0.109</v>
      </c>
    </row>
    <row r="197" customFormat="false" ht="13.8" hidden="false" customHeight="false" outlineLevel="0" collapsed="false">
      <c r="B197" s="2" t="n">
        <v>195</v>
      </c>
      <c r="C197" s="2" t="n">
        <v>0.3270722</v>
      </c>
      <c r="D197" s="2" t="n">
        <v>0.373333333333333</v>
      </c>
      <c r="E197" s="2" t="n">
        <v>0.031</v>
      </c>
    </row>
    <row r="198" customFormat="false" ht="13.8" hidden="false" customHeight="false" outlineLevel="0" collapsed="false">
      <c r="B198" s="2" t="n">
        <v>196</v>
      </c>
      <c r="C198" s="2" t="n">
        <v>0.0530019333333333</v>
      </c>
      <c r="D198" s="2" t="n">
        <v>0.4</v>
      </c>
      <c r="E198" s="2" t="n">
        <v>0.109</v>
      </c>
    </row>
    <row r="199" customFormat="false" ht="13.8" hidden="false" customHeight="false" outlineLevel="0" collapsed="false">
      <c r="B199" s="2" t="n">
        <v>197</v>
      </c>
      <c r="C199" s="2" t="n">
        <v>0.310467533333333</v>
      </c>
      <c r="D199" s="2" t="n">
        <v>0.4</v>
      </c>
      <c r="E199" s="2" t="n">
        <v>0.031</v>
      </c>
    </row>
    <row r="200" customFormat="false" ht="13.8" hidden="false" customHeight="false" outlineLevel="0" collapsed="false">
      <c r="B200" s="2" t="n">
        <v>198</v>
      </c>
      <c r="C200" s="2" t="n">
        <v>0.0550004666666667</v>
      </c>
      <c r="D200" s="2" t="n">
        <v>0.4</v>
      </c>
      <c r="E200" s="2" t="n">
        <v>0.109</v>
      </c>
    </row>
    <row r="201" customFormat="false" ht="13.8" hidden="false" customHeight="false" outlineLevel="0" collapsed="false">
      <c r="B201" s="2" t="n">
        <v>199</v>
      </c>
      <c r="C201" s="2" t="n">
        <v>0.186334333333333</v>
      </c>
      <c r="D201" s="2" t="n">
        <v>0.4</v>
      </c>
      <c r="E201" s="2" t="n">
        <v>0.031</v>
      </c>
    </row>
    <row r="202" customFormat="false" ht="13.8" hidden="false" customHeight="false" outlineLevel="0" collapsed="false">
      <c r="B202" s="2" t="n">
        <v>200</v>
      </c>
      <c r="C202" s="2" t="n">
        <v>0.061</v>
      </c>
      <c r="D202" s="2" t="n">
        <v>0.4</v>
      </c>
      <c r="E202" s="2" t="n">
        <v>0.109</v>
      </c>
    </row>
    <row r="203" customFormat="false" ht="13.8" hidden="false" customHeight="false" outlineLevel="0" collapsed="false">
      <c r="B203" s="2" t="n">
        <v>201</v>
      </c>
      <c r="C203" s="2" t="n">
        <v>0.319667</v>
      </c>
      <c r="D203" s="2" t="n">
        <v>0.4</v>
      </c>
      <c r="E203" s="2" t="n">
        <v>0.031</v>
      </c>
    </row>
    <row r="204" customFormat="false" ht="13.8" hidden="false" customHeight="false" outlineLevel="0" collapsed="false">
      <c r="B204" s="2" t="n">
        <v>202</v>
      </c>
      <c r="C204" s="2" t="n">
        <v>0.0586009333333333</v>
      </c>
      <c r="D204" s="2" t="n">
        <v>0.4</v>
      </c>
      <c r="E204" s="2" t="n">
        <v>0.005</v>
      </c>
    </row>
    <row r="205" customFormat="false" ht="13.8" hidden="false" customHeight="false" outlineLevel="0" collapsed="false">
      <c r="B205" s="2" t="n">
        <v>203</v>
      </c>
      <c r="C205" s="2" t="n">
        <v>0.0568676666666667</v>
      </c>
      <c r="D205" s="2" t="n">
        <v>0.4</v>
      </c>
      <c r="E205" s="2" t="n">
        <v>0.083</v>
      </c>
    </row>
    <row r="206" customFormat="false" ht="13.8" hidden="false" customHeight="false" outlineLevel="0" collapsed="false">
      <c r="B206" s="2" t="n">
        <v>204</v>
      </c>
      <c r="C206" s="2" t="n">
        <v>0.280000533333333</v>
      </c>
      <c r="D206" s="2" t="n">
        <v>0.4</v>
      </c>
      <c r="E206" s="2" t="n">
        <v>0.057</v>
      </c>
    </row>
    <row r="207" customFormat="false" ht="13.8" hidden="false" customHeight="false" outlineLevel="0" collapsed="false">
      <c r="B207" s="2" t="n">
        <v>205</v>
      </c>
      <c r="C207" s="2" t="n">
        <v>0.0878001333333333</v>
      </c>
      <c r="D207" s="2" t="n">
        <v>0.4</v>
      </c>
      <c r="E207" s="2" t="n">
        <v>0.083</v>
      </c>
    </row>
    <row r="208" customFormat="false" ht="13.8" hidden="false" customHeight="false" outlineLevel="0" collapsed="false">
      <c r="B208" s="2" t="n">
        <v>206</v>
      </c>
      <c r="C208" s="2" t="n">
        <v>0.281000533333333</v>
      </c>
      <c r="D208" s="2" t="n">
        <v>0.4</v>
      </c>
      <c r="E208" s="2" t="n">
        <v>0.057</v>
      </c>
    </row>
    <row r="209" customFormat="false" ht="13.8" hidden="false" customHeight="false" outlineLevel="0" collapsed="false">
      <c r="B209" s="2" t="n">
        <v>207</v>
      </c>
      <c r="C209" s="2" t="n">
        <v>0.0763336</v>
      </c>
      <c r="D209" s="2" t="n">
        <v>0.4</v>
      </c>
      <c r="E209" s="2" t="n">
        <v>0.0163336666666667</v>
      </c>
    </row>
    <row r="210" customFormat="false" ht="13.8" hidden="false" customHeight="false" outlineLevel="0" collapsed="false">
      <c r="B210" s="2" t="n">
        <v>208</v>
      </c>
      <c r="C210" s="2" t="n">
        <v>0.2855336</v>
      </c>
      <c r="D210" s="2" t="n">
        <v>0.4</v>
      </c>
      <c r="E210" s="2" t="n">
        <v>0.000334266666666667</v>
      </c>
    </row>
    <row r="211" customFormat="false" ht="13.8" hidden="false" customHeight="false" outlineLevel="0" collapsed="false">
      <c r="B211" s="2" t="n">
        <v>209</v>
      </c>
      <c r="C211" s="2" t="n">
        <v>0.0741348666666667</v>
      </c>
      <c r="D211" s="2" t="n">
        <v>0.4</v>
      </c>
      <c r="E211" s="2" t="n">
        <v>0.005</v>
      </c>
    </row>
    <row r="212" customFormat="false" ht="13.8" hidden="false" customHeight="false" outlineLevel="0" collapsed="false">
      <c r="B212" s="2" t="n">
        <v>210</v>
      </c>
      <c r="C212" s="2" t="n">
        <v>0.176734333333333</v>
      </c>
      <c r="D212" s="2" t="n">
        <v>0.4</v>
      </c>
      <c r="E212" s="2" t="n">
        <v>0.135</v>
      </c>
    </row>
    <row r="213" customFormat="false" ht="13.8" hidden="false" customHeight="false" outlineLevel="0" collapsed="false">
      <c r="B213" s="2" t="n">
        <v>211</v>
      </c>
      <c r="C213" s="2" t="n">
        <v>0.1640002</v>
      </c>
      <c r="D213" s="2" t="n">
        <v>0.4</v>
      </c>
      <c r="E213" s="2" t="n">
        <v>0.00433346666666667</v>
      </c>
    </row>
    <row r="214" customFormat="false" ht="13.8" hidden="false" customHeight="false" outlineLevel="0" collapsed="false">
      <c r="B214" s="2" t="n">
        <v>212</v>
      </c>
      <c r="C214" s="2" t="n">
        <v>0.268666733333333</v>
      </c>
      <c r="D214" s="2" t="n">
        <v>0.4</v>
      </c>
      <c r="E214" s="2" t="n">
        <v>1E-006</v>
      </c>
    </row>
    <row r="215" customFormat="false" ht="13.8" hidden="false" customHeight="false" outlineLevel="0" collapsed="false">
      <c r="B215" s="2" t="n">
        <v>213</v>
      </c>
      <c r="C215" s="2" t="n">
        <v>0.334</v>
      </c>
      <c r="D215" s="2" t="n">
        <v>0.4</v>
      </c>
      <c r="E215" s="2" t="n">
        <v>0.00166733333333333</v>
      </c>
    </row>
    <row r="216" customFormat="false" ht="13.8" hidden="false" customHeight="false" outlineLevel="0" collapsed="false">
      <c r="B216" s="2" t="n">
        <v>214</v>
      </c>
      <c r="C216" s="2" t="n">
        <v>0.2291336</v>
      </c>
      <c r="D216" s="2" t="n">
        <v>0.4</v>
      </c>
      <c r="E216" s="2" t="n">
        <v>0.135</v>
      </c>
    </row>
    <row r="217" customFormat="false" ht="13.8" hidden="false" customHeight="false" outlineLevel="0" collapsed="false">
      <c r="B217" s="2" t="n">
        <v>215</v>
      </c>
      <c r="C217" s="2" t="n">
        <v>0.306334133333333</v>
      </c>
      <c r="D217" s="2" t="n">
        <v>0.4</v>
      </c>
      <c r="E217" s="2" t="n">
        <v>0.135</v>
      </c>
    </row>
    <row r="218" customFormat="false" ht="13.8" hidden="false" customHeight="false" outlineLevel="0" collapsed="false">
      <c r="B218" s="2" t="n">
        <v>216</v>
      </c>
      <c r="C218" s="2" t="n">
        <v>0.213933466666667</v>
      </c>
      <c r="D218" s="2" t="n">
        <v>0.4</v>
      </c>
      <c r="E218" s="2" t="n">
        <v>0.135</v>
      </c>
    </row>
    <row r="219" customFormat="false" ht="13.8" hidden="false" customHeight="false" outlineLevel="0" collapsed="false">
      <c r="B219" s="2" t="n">
        <v>217</v>
      </c>
      <c r="C219" s="2" t="n">
        <v>0.299267866666667</v>
      </c>
      <c r="D219" s="2" t="n">
        <v>0.4</v>
      </c>
      <c r="E219" s="2" t="n">
        <v>0.135</v>
      </c>
    </row>
    <row r="220" customFormat="false" ht="13.8" hidden="false" customHeight="false" outlineLevel="0" collapsed="false">
      <c r="B220" s="2" t="n">
        <v>218</v>
      </c>
      <c r="C220" s="2" t="n">
        <v>0.194935666666667</v>
      </c>
      <c r="D220" s="2" t="n">
        <v>0.4</v>
      </c>
      <c r="E220" s="2" t="n">
        <v>0.135</v>
      </c>
    </row>
    <row r="221" customFormat="false" ht="13.8" hidden="false" customHeight="false" outlineLevel="0" collapsed="false">
      <c r="B221" s="2" t="n">
        <v>219</v>
      </c>
      <c r="C221" s="2" t="n">
        <v>0.294402933333333</v>
      </c>
      <c r="D221" s="2" t="n">
        <v>0.32</v>
      </c>
      <c r="E221" s="2" t="n">
        <v>0.135</v>
      </c>
    </row>
    <row r="222" customFormat="false" ht="13.8" hidden="false" customHeight="false" outlineLevel="0" collapsed="false">
      <c r="B222" s="2" t="n">
        <v>220</v>
      </c>
      <c r="C222" s="2" t="n">
        <v>0.229537133333333</v>
      </c>
      <c r="D222" s="2" t="n">
        <v>0</v>
      </c>
      <c r="E222" s="2" t="n">
        <v>0.135</v>
      </c>
    </row>
    <row r="223" customFormat="false" ht="13.8" hidden="false" customHeight="false" outlineLevel="0" collapsed="false">
      <c r="B223" s="2" t="n">
        <v>221</v>
      </c>
      <c r="C223" s="2" t="n">
        <v>0.3022062</v>
      </c>
      <c r="D223" s="2" t="n">
        <v>0</v>
      </c>
      <c r="E223" s="2" t="n">
        <v>0.135</v>
      </c>
    </row>
    <row r="224" customFormat="false" ht="13.8" hidden="false" customHeight="false" outlineLevel="0" collapsed="false">
      <c r="B224" s="2" t="n">
        <v>222</v>
      </c>
      <c r="C224" s="2" t="n">
        <v>0.2220054</v>
      </c>
      <c r="D224" s="2" t="n">
        <v>0</v>
      </c>
      <c r="E224" s="2" t="n">
        <v>0.135</v>
      </c>
    </row>
    <row r="225" customFormat="false" ht="13.8" hidden="false" customHeight="false" outlineLevel="0" collapsed="false">
      <c r="B225" s="2" t="n">
        <v>223</v>
      </c>
      <c r="C225" s="2" t="n">
        <v>0.293005133333333</v>
      </c>
      <c r="D225" s="2" t="n">
        <v>0</v>
      </c>
      <c r="E225" s="2" t="n">
        <v>0.135000133333333</v>
      </c>
    </row>
    <row r="226" customFormat="false" ht="13.8" hidden="false" customHeight="false" outlineLevel="0" collapsed="false">
      <c r="B226" s="2" t="n">
        <v>224</v>
      </c>
      <c r="C226" s="2" t="n">
        <v>0.200004933333333</v>
      </c>
      <c r="D226" s="2" t="n">
        <v>0</v>
      </c>
      <c r="E226" s="2" t="n">
        <v>0.135001</v>
      </c>
    </row>
    <row r="227" customFormat="false" ht="13.8" hidden="false" customHeight="false" outlineLevel="0" collapsed="false">
      <c r="B227" s="2" t="n">
        <v>225</v>
      </c>
      <c r="C227" s="2" t="n">
        <v>0.300139533333333</v>
      </c>
      <c r="D227" s="2" t="n">
        <v>0</v>
      </c>
      <c r="E227" s="2" t="n">
        <v>0.135001</v>
      </c>
    </row>
    <row r="228" customFormat="false" ht="13.8" hidden="false" customHeight="false" outlineLevel="0" collapsed="false">
      <c r="B228" s="2" t="n">
        <v>226</v>
      </c>
      <c r="C228" s="2" t="n">
        <v>0.212406733333333</v>
      </c>
      <c r="D228" s="2" t="n">
        <v>0</v>
      </c>
      <c r="E228" s="2" t="n">
        <v>0.335000333333333</v>
      </c>
    </row>
    <row r="229" customFormat="false" ht="13.8" hidden="false" customHeight="false" outlineLevel="0" collapsed="false">
      <c r="B229" s="2" t="n">
        <v>227</v>
      </c>
      <c r="C229" s="2" t="n">
        <v>0.285008866666667</v>
      </c>
      <c r="D229" s="2" t="n">
        <v>0</v>
      </c>
      <c r="E229" s="2" t="n">
        <v>0.335000333333333</v>
      </c>
    </row>
    <row r="230" customFormat="false" ht="13.8" hidden="false" customHeight="false" outlineLevel="0" collapsed="false">
      <c r="B230" s="2" t="n">
        <v>228</v>
      </c>
      <c r="C230" s="2" t="n">
        <v>0.1120094</v>
      </c>
      <c r="D230" s="2" t="n">
        <v>0</v>
      </c>
      <c r="E230" s="2" t="n">
        <v>0.1483342</v>
      </c>
    </row>
    <row r="231" customFormat="false" ht="13.8" hidden="false" customHeight="false" outlineLevel="0" collapsed="false">
      <c r="B231" s="2" t="n">
        <v>229</v>
      </c>
      <c r="C231" s="2" t="n">
        <v>0.200343266666667</v>
      </c>
      <c r="D231" s="2" t="n">
        <v>0</v>
      </c>
      <c r="E231" s="2" t="n">
        <v>0.235</v>
      </c>
    </row>
    <row r="232" customFormat="false" ht="13.8" hidden="false" customHeight="false" outlineLevel="0" collapsed="false">
      <c r="B232" s="2" t="n">
        <v>230</v>
      </c>
      <c r="C232" s="2" t="n">
        <v>0.285675333333333</v>
      </c>
      <c r="D232" s="2" t="n">
        <v>0</v>
      </c>
      <c r="E232" s="2" t="n">
        <v>0.235001266666667</v>
      </c>
    </row>
    <row r="233" customFormat="false" ht="13.8" hidden="false" customHeight="false" outlineLevel="0" collapsed="false">
      <c r="B233" s="2" t="n">
        <v>231</v>
      </c>
      <c r="C233" s="2" t="n">
        <v>0.265008</v>
      </c>
      <c r="D233" s="2" t="n">
        <v>0</v>
      </c>
      <c r="E233" s="2" t="n">
        <v>0.235002</v>
      </c>
    </row>
    <row r="234" customFormat="false" ht="13.8" hidden="false" customHeight="false" outlineLevel="0" collapsed="false">
      <c r="B234" s="2" t="n">
        <v>232</v>
      </c>
      <c r="C234" s="2" t="n">
        <v>0.2935416</v>
      </c>
      <c r="D234" s="2" t="n">
        <v>0</v>
      </c>
      <c r="E234" s="2" t="n">
        <v>0.235002</v>
      </c>
    </row>
    <row r="235" customFormat="false" ht="13.8" hidden="false" customHeight="false" outlineLevel="0" collapsed="false">
      <c r="B235" s="2" t="n">
        <v>233</v>
      </c>
      <c r="C235" s="2" t="n">
        <v>0.2720072</v>
      </c>
      <c r="D235" s="2" t="n">
        <v>0</v>
      </c>
      <c r="E235" s="2" t="n">
        <v>0.241934466666667</v>
      </c>
    </row>
    <row r="236" customFormat="false" ht="13.8" hidden="false" customHeight="false" outlineLevel="0" collapsed="false">
      <c r="B236" s="2" t="n">
        <v>234</v>
      </c>
      <c r="C236" s="2" t="n">
        <v>0.2908072</v>
      </c>
      <c r="D236" s="2" t="n">
        <v>0</v>
      </c>
      <c r="E236" s="2" t="n">
        <v>0.238734866666667</v>
      </c>
    </row>
    <row r="237" customFormat="false" ht="13.8" hidden="false" customHeight="false" outlineLevel="0" collapsed="false">
      <c r="B237" s="2" t="n">
        <v>235</v>
      </c>
      <c r="C237" s="2" t="n">
        <v>0.257007733333333</v>
      </c>
      <c r="D237" s="2" t="n">
        <v>0</v>
      </c>
      <c r="E237" s="2" t="n">
        <v>0.240201133333333</v>
      </c>
    </row>
    <row r="238" customFormat="false" ht="13.8" hidden="false" customHeight="false" outlineLevel="0" collapsed="false">
      <c r="B238" s="2" t="n">
        <v>236</v>
      </c>
      <c r="C238" s="2" t="n">
        <v>0.289939133333333</v>
      </c>
      <c r="D238" s="2" t="n">
        <v>0</v>
      </c>
      <c r="E238" s="2" t="n">
        <v>0.241001</v>
      </c>
    </row>
    <row r="239" customFormat="false" ht="13.8" hidden="false" customHeight="false" outlineLevel="0" collapsed="false">
      <c r="B239" s="2" t="n">
        <v>237</v>
      </c>
      <c r="C239" s="2" t="n">
        <v>0.2612716</v>
      </c>
      <c r="D239" s="2" t="n">
        <v>0</v>
      </c>
      <c r="E239" s="2" t="n">
        <v>0.241001</v>
      </c>
    </row>
    <row r="240" customFormat="false" ht="13.8" hidden="false" customHeight="false" outlineLevel="0" collapsed="false">
      <c r="B240" s="2" t="n">
        <v>238</v>
      </c>
      <c r="C240" s="2" t="n">
        <v>0.287406</v>
      </c>
      <c r="D240" s="2" t="n">
        <v>0</v>
      </c>
      <c r="E240" s="2" t="n">
        <v>0.241001</v>
      </c>
    </row>
    <row r="241" customFormat="false" ht="13.8" hidden="false" customHeight="false" outlineLevel="0" collapsed="false">
      <c r="B241" s="2" t="n">
        <v>239</v>
      </c>
      <c r="C241" s="2" t="n">
        <v>0.265140666666667</v>
      </c>
      <c r="D241" s="2" t="n">
        <v>0</v>
      </c>
      <c r="E241" s="2" t="n">
        <v>0.241001</v>
      </c>
    </row>
    <row r="242" customFormat="false" ht="13.8" hidden="false" customHeight="false" outlineLevel="0" collapsed="false">
      <c r="B242" s="2" t="n">
        <v>240</v>
      </c>
      <c r="C242" s="2" t="n">
        <v>0.1730094</v>
      </c>
      <c r="D242" s="2" t="n">
        <v>0</v>
      </c>
      <c r="E242" s="2" t="n">
        <v>0.1922016</v>
      </c>
    </row>
    <row r="243" customFormat="false" ht="13.8" hidden="false" customHeight="false" outlineLevel="0" collapsed="false">
      <c r="B243" s="2" t="n">
        <v>241</v>
      </c>
      <c r="C243" s="2" t="n">
        <v>0.379874333333333</v>
      </c>
      <c r="D243" s="2" t="n">
        <v>0</v>
      </c>
      <c r="E243" s="2" t="n">
        <v>0.1390016</v>
      </c>
    </row>
    <row r="244" customFormat="false" ht="13.8" hidden="false" customHeight="false" outlineLevel="0" collapsed="false">
      <c r="B244" s="2" t="n">
        <v>242</v>
      </c>
      <c r="C244" s="2" t="n">
        <v>0.141476333333333</v>
      </c>
      <c r="D244" s="2" t="n">
        <v>0</v>
      </c>
      <c r="E244" s="2" t="n">
        <v>0.1371348</v>
      </c>
    </row>
    <row r="245" customFormat="false" ht="13.8" hidden="false" customHeight="false" outlineLevel="0" collapsed="false">
      <c r="B245" s="2" t="n">
        <v>243</v>
      </c>
      <c r="C245" s="2" t="n">
        <v>0.387009</v>
      </c>
      <c r="D245" s="2" t="n">
        <v>0</v>
      </c>
      <c r="E245" s="2" t="n">
        <v>0.135002</v>
      </c>
    </row>
    <row r="246" customFormat="false" ht="13.8" hidden="false" customHeight="false" outlineLevel="0" collapsed="false">
      <c r="B246" s="2" t="n">
        <v>244</v>
      </c>
      <c r="C246" s="2" t="n">
        <v>0.126342466666667</v>
      </c>
      <c r="D246" s="2" t="n">
        <v>0</v>
      </c>
      <c r="E246" s="2" t="n">
        <v>0.135002</v>
      </c>
    </row>
    <row r="247" customFormat="false" ht="13.8" hidden="false" customHeight="false" outlineLevel="0" collapsed="false">
      <c r="B247" s="2" t="n">
        <v>245</v>
      </c>
      <c r="C247" s="2" t="n">
        <v>0.392874333333333</v>
      </c>
      <c r="D247" s="2" t="n">
        <v>0</v>
      </c>
      <c r="E247" s="2" t="n">
        <v>0.135002</v>
      </c>
    </row>
    <row r="248" customFormat="false" ht="13.8" hidden="false" customHeight="false" outlineLevel="0" collapsed="false">
      <c r="B248" s="2" t="n">
        <v>246</v>
      </c>
      <c r="C248" s="2" t="n">
        <v>0.156207133333333</v>
      </c>
      <c r="D248" s="2" t="n">
        <v>0</v>
      </c>
      <c r="E248" s="2" t="n">
        <v>0.135002</v>
      </c>
    </row>
    <row r="249" customFormat="false" ht="13.8" hidden="false" customHeight="false" outlineLevel="0" collapsed="false">
      <c r="B249" s="2" t="n">
        <v>247</v>
      </c>
      <c r="C249" s="2" t="n">
        <v>0.360337733333333</v>
      </c>
      <c r="D249" s="2" t="n">
        <v>0</v>
      </c>
      <c r="E249" s="2" t="n">
        <v>0.135002</v>
      </c>
    </row>
    <row r="250" customFormat="false" ht="13.8" hidden="false" customHeight="false" outlineLevel="0" collapsed="false">
      <c r="B250" s="2" t="n">
        <v>248</v>
      </c>
      <c r="C250" s="2" t="n">
        <v>0.218002466666667</v>
      </c>
      <c r="D250" s="2" t="n">
        <v>0</v>
      </c>
      <c r="E250" s="2" t="n">
        <v>0.135002</v>
      </c>
    </row>
    <row r="251" customFormat="false" ht="13.8" hidden="false" customHeight="false" outlineLevel="0" collapsed="false">
      <c r="B251" s="2" t="n">
        <v>249</v>
      </c>
      <c r="C251" s="2" t="n">
        <v>0.303333533333333</v>
      </c>
      <c r="D251" s="2" t="n">
        <v>0</v>
      </c>
      <c r="E251" s="2" t="n">
        <v>0.138201466666667</v>
      </c>
    </row>
    <row r="252" customFormat="false" ht="13.8" hidden="false" customHeight="false" outlineLevel="0" collapsed="false">
      <c r="B252" s="2" t="n">
        <v>250</v>
      </c>
      <c r="C252" s="2" t="n">
        <v>0.2846008</v>
      </c>
      <c r="D252" s="2" t="n">
        <v>0</v>
      </c>
      <c r="E252" s="2" t="n">
        <v>0.139401266666667</v>
      </c>
    </row>
    <row r="253" customFormat="false" ht="13.8" hidden="false" customHeight="false" outlineLevel="0" collapsed="false">
      <c r="B253" s="2" t="n">
        <v>251</v>
      </c>
      <c r="C253" s="2" t="n">
        <v>0.243667</v>
      </c>
      <c r="D253" s="2" t="n">
        <v>0</v>
      </c>
      <c r="E253" s="2" t="n">
        <v>0.135002466666667</v>
      </c>
    </row>
    <row r="254" customFormat="false" ht="13.8" hidden="false" customHeight="false" outlineLevel="0" collapsed="false">
      <c r="B254" s="2" t="n">
        <v>252</v>
      </c>
      <c r="C254" s="2" t="n">
        <v>0.283</v>
      </c>
      <c r="D254" s="2" t="n">
        <v>0</v>
      </c>
      <c r="E254" s="2" t="n">
        <v>0.143668333333333</v>
      </c>
    </row>
    <row r="255" customFormat="false" ht="13.8" hidden="false" customHeight="false" outlineLevel="0" collapsed="false">
      <c r="B255" s="2" t="n">
        <v>253</v>
      </c>
      <c r="C255" s="2" t="n">
        <v>0.2300002</v>
      </c>
      <c r="D255" s="2" t="n">
        <v>0</v>
      </c>
      <c r="E255" s="2" t="n">
        <v>0.2236674</v>
      </c>
    </row>
    <row r="256" customFormat="false" ht="13.8" hidden="false" customHeight="false" outlineLevel="0" collapsed="false">
      <c r="B256" s="2" t="n">
        <v>254</v>
      </c>
      <c r="C256" s="2" t="n">
        <v>0.2020006</v>
      </c>
      <c r="D256" s="2" t="n">
        <v>0</v>
      </c>
      <c r="E256" s="2" t="n">
        <v>0.300334066666667</v>
      </c>
    </row>
    <row r="257" customFormat="false" ht="13.8" hidden="false" customHeight="false" outlineLevel="0" collapsed="false">
      <c r="B257" s="2" t="n">
        <v>255</v>
      </c>
      <c r="C257" s="2" t="n">
        <v>0.218</v>
      </c>
      <c r="D257" s="2" t="n">
        <v>0</v>
      </c>
      <c r="E257" s="2" t="n">
        <v>0.1370026</v>
      </c>
    </row>
    <row r="258" customFormat="false" ht="13.8" hidden="false" customHeight="false" outlineLevel="0" collapsed="false">
      <c r="B258" s="2" t="n">
        <v>256</v>
      </c>
      <c r="C258" s="2" t="n">
        <v>0.322</v>
      </c>
      <c r="D258" s="2" t="n">
        <v>0</v>
      </c>
      <c r="E258" s="2" t="n">
        <v>0.135003</v>
      </c>
    </row>
    <row r="259" customFormat="false" ht="13.8" hidden="false" customHeight="false" outlineLevel="0" collapsed="false">
      <c r="B259" s="2" t="n">
        <v>257</v>
      </c>
      <c r="C259" s="2" t="n">
        <v>0.218</v>
      </c>
      <c r="D259" s="2" t="n">
        <v>0</v>
      </c>
      <c r="E259" s="2" t="n">
        <v>0.135003</v>
      </c>
    </row>
    <row r="260" customFormat="false" ht="13.8" hidden="false" customHeight="false" outlineLevel="0" collapsed="false">
      <c r="B260" s="2" t="n">
        <v>258</v>
      </c>
      <c r="C260" s="2" t="n">
        <v>0.322000933333333</v>
      </c>
      <c r="D260" s="2" t="n">
        <v>0</v>
      </c>
      <c r="E260" s="2" t="n">
        <v>0.135003</v>
      </c>
    </row>
    <row r="261" customFormat="false" ht="13.8" hidden="false" customHeight="false" outlineLevel="0" collapsed="false">
      <c r="B261" s="2" t="n">
        <v>259</v>
      </c>
      <c r="C261" s="2" t="n">
        <v>0.218001</v>
      </c>
      <c r="D261" s="2" t="n">
        <v>0</v>
      </c>
      <c r="E261" s="2" t="n">
        <v>0.1080032</v>
      </c>
    </row>
    <row r="262" customFormat="false" ht="13.8" hidden="false" customHeight="false" outlineLevel="0" collapsed="false">
      <c r="B262" s="2" t="n">
        <v>260</v>
      </c>
      <c r="C262" s="2" t="n">
        <v>0.294667933333333</v>
      </c>
      <c r="D262" s="2" t="n">
        <v>0</v>
      </c>
      <c r="E262" s="2" t="n">
        <v>0.122002066666667</v>
      </c>
    </row>
    <row r="263" customFormat="false" ht="13.8" hidden="false" customHeight="false" outlineLevel="0" collapsed="false">
      <c r="B263" s="2" t="n">
        <v>261</v>
      </c>
      <c r="C263" s="2" t="n">
        <v>0.192001</v>
      </c>
      <c r="D263" s="2" t="n">
        <v>0</v>
      </c>
      <c r="E263" s="2" t="n">
        <v>0.1544678</v>
      </c>
    </row>
    <row r="264" customFormat="false" ht="13.8" hidden="false" customHeight="false" outlineLevel="0" collapsed="false">
      <c r="B264" s="2" t="n">
        <v>262</v>
      </c>
      <c r="C264" s="2" t="n">
        <v>0.3480016</v>
      </c>
      <c r="D264" s="2" t="n">
        <v>0</v>
      </c>
      <c r="E264" s="2" t="n">
        <v>0.177601</v>
      </c>
    </row>
    <row r="265" customFormat="false" ht="13.8" hidden="false" customHeight="false" outlineLevel="0" collapsed="false">
      <c r="B265" s="2" t="n">
        <v>263</v>
      </c>
      <c r="C265" s="2" t="n">
        <v>0.232001533333333</v>
      </c>
      <c r="D265" s="2" t="n">
        <v>0</v>
      </c>
      <c r="E265" s="2" t="n">
        <v>0.158335133333333</v>
      </c>
    </row>
    <row r="266" customFormat="false" ht="13.8" hidden="false" customHeight="false" outlineLevel="0" collapsed="false">
      <c r="B266" s="2" t="n">
        <v>264</v>
      </c>
      <c r="C266" s="2" t="n">
        <v>0.360535666666667</v>
      </c>
      <c r="D266" s="2" t="n">
        <v>0.266666666666667</v>
      </c>
      <c r="E266" s="2" t="n">
        <v>0.0672021333333333</v>
      </c>
    </row>
    <row r="267" customFormat="false" ht="13.8" hidden="false" customHeight="false" outlineLevel="0" collapsed="false">
      <c r="B267" s="2" t="n">
        <v>265</v>
      </c>
      <c r="C267" s="2" t="n">
        <v>0.200339266666667</v>
      </c>
      <c r="D267" s="2" t="n">
        <v>0.4</v>
      </c>
      <c r="E267" s="2" t="n">
        <v>0.165201666666667</v>
      </c>
    </row>
    <row r="268" customFormat="false" ht="13.8" hidden="false" customHeight="false" outlineLevel="0" collapsed="false">
      <c r="B268" s="2" t="n">
        <v>266</v>
      </c>
      <c r="C268" s="2" t="n">
        <v>0.3715416</v>
      </c>
      <c r="D268" s="2" t="n">
        <v>0.4</v>
      </c>
      <c r="E268" s="2" t="n">
        <v>0.1480014</v>
      </c>
    </row>
    <row r="269" customFormat="false" ht="13.8" hidden="false" customHeight="false" outlineLevel="0" collapsed="false">
      <c r="B269" s="2" t="n">
        <v>267</v>
      </c>
      <c r="C269" s="2" t="n">
        <v>0.2216118</v>
      </c>
      <c r="D269" s="2" t="n">
        <v>0.4</v>
      </c>
      <c r="E269" s="2" t="n">
        <v>0.0553346666666667</v>
      </c>
    </row>
    <row r="270" customFormat="false" ht="13.8" hidden="false" customHeight="false" outlineLevel="0" collapsed="false">
      <c r="B270" s="2" t="n">
        <v>268</v>
      </c>
      <c r="C270" s="2" t="n">
        <v>0.424946266666667</v>
      </c>
      <c r="D270" s="2" t="n">
        <v>0.4</v>
      </c>
      <c r="E270" s="2" t="n">
        <v>0.0433344666666667</v>
      </c>
    </row>
    <row r="271" customFormat="false" ht="13.8" hidden="false" customHeight="false" outlineLevel="0" collapsed="false">
      <c r="B271" s="2" t="n">
        <v>269</v>
      </c>
      <c r="C271" s="2" t="n">
        <v>0.329010933333333</v>
      </c>
      <c r="D271" s="2" t="n">
        <v>0.4</v>
      </c>
      <c r="E271" s="2" t="n">
        <v>0.200001</v>
      </c>
    </row>
    <row r="272" customFormat="false" ht="13.8" hidden="false" customHeight="false" outlineLevel="0" collapsed="false">
      <c r="B272" s="2" t="n">
        <v>270</v>
      </c>
      <c r="C272" s="2" t="n">
        <v>0.542341333333333</v>
      </c>
      <c r="D272" s="2" t="n">
        <v>0.4</v>
      </c>
      <c r="E272" s="2" t="n">
        <v>0.07</v>
      </c>
    </row>
    <row r="273" customFormat="false" ht="13.8" hidden="false" customHeight="false" outlineLevel="0" collapsed="false">
      <c r="B273" s="2" t="n">
        <v>271</v>
      </c>
      <c r="C273" s="2" t="n">
        <v>0.299811933333333</v>
      </c>
      <c r="D273" s="2" t="n">
        <v>0.4</v>
      </c>
      <c r="E273" s="2" t="n">
        <v>0.2</v>
      </c>
    </row>
    <row r="274" customFormat="false" ht="13.8" hidden="false" customHeight="false" outlineLevel="0" collapsed="false">
      <c r="B274" s="2" t="n">
        <v>272</v>
      </c>
      <c r="C274" s="2" t="n">
        <v>0.517081</v>
      </c>
      <c r="D274" s="2" t="n">
        <v>0.4</v>
      </c>
      <c r="E274" s="2" t="n">
        <v>0.07</v>
      </c>
    </row>
    <row r="275" customFormat="false" ht="13.8" hidden="false" customHeight="false" outlineLevel="0" collapsed="false">
      <c r="B275" s="2" t="n">
        <v>273</v>
      </c>
      <c r="C275" s="2" t="n">
        <v>0.392215933333333</v>
      </c>
      <c r="D275" s="2" t="n">
        <v>0.4</v>
      </c>
      <c r="E275" s="2" t="n">
        <v>0.2</v>
      </c>
    </row>
    <row r="276" customFormat="false" ht="13.8" hidden="false" customHeight="false" outlineLevel="0" collapsed="false">
      <c r="B276" s="2" t="n">
        <v>274</v>
      </c>
      <c r="C276" s="2" t="n">
        <v>0.5263478</v>
      </c>
      <c r="D276" s="2" t="n">
        <v>0.4</v>
      </c>
      <c r="E276" s="2" t="n">
        <v>0.07</v>
      </c>
    </row>
    <row r="277" customFormat="false" ht="13.8" hidden="false" customHeight="false" outlineLevel="0" collapsed="false">
      <c r="B277" s="2" t="n">
        <v>275</v>
      </c>
      <c r="C277" s="2" t="n">
        <v>0.334548466666667</v>
      </c>
      <c r="D277" s="2" t="n">
        <v>0.4</v>
      </c>
      <c r="E277" s="2" t="n">
        <v>0.2</v>
      </c>
    </row>
    <row r="278" customFormat="false" ht="13.8" hidden="false" customHeight="false" outlineLevel="0" collapsed="false">
      <c r="B278" s="2" t="n">
        <v>276</v>
      </c>
      <c r="C278" s="2" t="n">
        <v>0.439280866666667</v>
      </c>
      <c r="D278" s="2" t="n">
        <v>0.4</v>
      </c>
      <c r="E278" s="2" t="n">
        <v>0.07</v>
      </c>
    </row>
    <row r="279" customFormat="false" ht="13.8" hidden="false" customHeight="false" outlineLevel="0" collapsed="false">
      <c r="B279" s="2" t="n">
        <v>277</v>
      </c>
      <c r="C279" s="2" t="n">
        <v>0.447682866666667</v>
      </c>
      <c r="D279" s="2" t="n">
        <v>0.4</v>
      </c>
      <c r="E279" s="2" t="n">
        <v>0.0556669333333333</v>
      </c>
    </row>
    <row r="280" customFormat="false" ht="13.8" hidden="false" customHeight="false" outlineLevel="0" collapsed="false">
      <c r="B280" s="2" t="n">
        <v>278</v>
      </c>
      <c r="C280" s="2" t="n">
        <v>0.493147</v>
      </c>
      <c r="D280" s="2" t="n">
        <v>0.4</v>
      </c>
      <c r="E280" s="2" t="n">
        <v>0.031</v>
      </c>
    </row>
    <row r="281" customFormat="false" ht="13.8" hidden="false" customHeight="false" outlineLevel="0" collapsed="false">
      <c r="B281" s="2" t="n">
        <v>279</v>
      </c>
      <c r="C281" s="2" t="n">
        <v>0.502412133333333</v>
      </c>
      <c r="D281" s="2" t="n">
        <v>0.4</v>
      </c>
      <c r="E281" s="2" t="n">
        <v>0.1070004</v>
      </c>
    </row>
    <row r="282" customFormat="false" ht="13.8" hidden="false" customHeight="false" outlineLevel="0" collapsed="false">
      <c r="B282" s="2" t="n">
        <v>280</v>
      </c>
      <c r="C282" s="2" t="n">
        <v>0.510012133333333</v>
      </c>
      <c r="D282" s="2" t="n">
        <v>0.4</v>
      </c>
      <c r="E282" s="2" t="n">
        <v>1E-006</v>
      </c>
    </row>
    <row r="283" customFormat="false" ht="13.8" hidden="false" customHeight="false" outlineLevel="0" collapsed="false">
      <c r="B283" s="2" t="n">
        <v>281</v>
      </c>
      <c r="C283" s="2" t="n">
        <v>0.400948133333333</v>
      </c>
      <c r="D283" s="2" t="n">
        <v>0.4</v>
      </c>
      <c r="E283" s="2" t="n">
        <v>0.00433346666666667</v>
      </c>
    </row>
    <row r="284" customFormat="false" ht="13.8" hidden="false" customHeight="false" outlineLevel="0" collapsed="false">
      <c r="B284" s="2" t="n">
        <v>282</v>
      </c>
      <c r="C284" s="2" t="n">
        <v>0.329883333333333</v>
      </c>
      <c r="D284" s="2" t="n">
        <v>0.4</v>
      </c>
      <c r="E284" s="2" t="n">
        <v>0.109</v>
      </c>
    </row>
    <row r="285" customFormat="false" ht="13.8" hidden="false" customHeight="false" outlineLevel="0" collapsed="false">
      <c r="B285" s="2" t="n">
        <v>283</v>
      </c>
      <c r="C285" s="2" t="n">
        <v>0.117017866666667</v>
      </c>
      <c r="D285" s="2" t="n">
        <v>0.4</v>
      </c>
      <c r="E285" s="2" t="n">
        <v>0.0306667333333333</v>
      </c>
    </row>
    <row r="286" customFormat="false" ht="13.8" hidden="false" customHeight="false" outlineLevel="0" collapsed="false">
      <c r="B286" s="2" t="n">
        <v>284</v>
      </c>
      <c r="C286" s="2" t="n">
        <v>0.165082333333333</v>
      </c>
      <c r="D286" s="2" t="n">
        <v>0.4</v>
      </c>
      <c r="E286" s="2" t="n">
        <v>0.096</v>
      </c>
    </row>
    <row r="287" customFormat="false" ht="13.8" hidden="false" customHeight="false" outlineLevel="0" collapsed="false">
      <c r="B287" s="2" t="n">
        <v>285</v>
      </c>
      <c r="C287" s="2" t="n">
        <v>0.2253482</v>
      </c>
      <c r="D287" s="2" t="n">
        <v>0.4</v>
      </c>
      <c r="E287" s="2" t="n">
        <v>0.044</v>
      </c>
    </row>
    <row r="288" customFormat="false" ht="13.8" hidden="false" customHeight="false" outlineLevel="0" collapsed="false">
      <c r="B288" s="2" t="n">
        <v>286</v>
      </c>
      <c r="C288" s="2" t="n">
        <v>0.205812666666667</v>
      </c>
      <c r="D288" s="2" t="n">
        <v>0.4</v>
      </c>
      <c r="E288" s="2" t="n">
        <v>0.096</v>
      </c>
    </row>
    <row r="289" customFormat="false" ht="13.8" hidden="false" customHeight="false" outlineLevel="0" collapsed="false">
      <c r="B289" s="2" t="n">
        <v>287</v>
      </c>
      <c r="C289" s="2" t="n">
        <v>0.189942266666667</v>
      </c>
      <c r="D289" s="2" t="n">
        <v>0.4</v>
      </c>
      <c r="E289" s="2" t="n">
        <v>0.044</v>
      </c>
    </row>
    <row r="290" customFormat="false" ht="13.8" hidden="false" customHeight="false" outlineLevel="0" collapsed="false">
      <c r="B290" s="2" t="n">
        <v>288</v>
      </c>
      <c r="C290" s="2" t="n">
        <v>0.337078733333333</v>
      </c>
      <c r="D290" s="2" t="n">
        <v>0.4</v>
      </c>
      <c r="E290" s="2" t="n">
        <v>0.00266713333333333</v>
      </c>
    </row>
    <row r="291" customFormat="false" ht="13.8" hidden="false" customHeight="false" outlineLevel="0" collapsed="false">
      <c r="B291" s="2" t="n">
        <v>289</v>
      </c>
      <c r="C291" s="2" t="n">
        <v>0.0575448</v>
      </c>
      <c r="D291" s="2" t="n">
        <v>0</v>
      </c>
      <c r="E291" s="2" t="n">
        <v>0.00333366666666667</v>
      </c>
    </row>
    <row r="292" customFormat="false" ht="13.8" hidden="false" customHeight="false" outlineLevel="0" collapsed="false">
      <c r="B292" s="2" t="n">
        <v>290</v>
      </c>
      <c r="C292" s="2" t="n">
        <v>0.106542</v>
      </c>
      <c r="D292" s="2" t="n">
        <v>0.133333333333333</v>
      </c>
      <c r="E292" s="2" t="n">
        <v>0.07</v>
      </c>
    </row>
    <row r="293" customFormat="false" ht="13.8" hidden="false" customHeight="false" outlineLevel="0" collapsed="false">
      <c r="B293" s="2" t="n">
        <v>291</v>
      </c>
      <c r="C293" s="2" t="n">
        <v>0.1984722</v>
      </c>
      <c r="D293" s="2" t="n">
        <v>0.4</v>
      </c>
      <c r="E293" s="2" t="n">
        <v>0.0686669333333334</v>
      </c>
    </row>
    <row r="294" customFormat="false" ht="13.8" hidden="false" customHeight="false" outlineLevel="0" collapsed="false">
      <c r="B294" s="2" t="n">
        <v>292</v>
      </c>
      <c r="C294" s="2" t="n">
        <v>0.1608686</v>
      </c>
      <c r="D294" s="2" t="n">
        <v>0.4</v>
      </c>
      <c r="E294" s="2" t="n">
        <v>0.018</v>
      </c>
    </row>
    <row r="295" customFormat="false" ht="13.8" hidden="false" customHeight="false" outlineLevel="0" collapsed="false">
      <c r="B295" s="2" t="n">
        <v>293</v>
      </c>
      <c r="C295" s="2" t="n">
        <v>0.167400666666667</v>
      </c>
      <c r="D295" s="2" t="n">
        <v>0.4</v>
      </c>
      <c r="E295" s="2" t="n">
        <v>0.122</v>
      </c>
    </row>
    <row r="296" customFormat="false" ht="13.8" hidden="false" customHeight="false" outlineLevel="0" collapsed="false">
      <c r="B296" s="2" t="n">
        <v>294</v>
      </c>
      <c r="C296" s="2" t="n">
        <v>0.176601</v>
      </c>
      <c r="D296" s="2" t="n">
        <v>0.4</v>
      </c>
      <c r="E296" s="2" t="n">
        <v>0.018</v>
      </c>
    </row>
    <row r="297" customFormat="false" ht="13.8" hidden="false" customHeight="false" outlineLevel="0" collapsed="false">
      <c r="B297" s="2" t="n">
        <v>295</v>
      </c>
      <c r="C297" s="2" t="n">
        <v>0.0984016666666667</v>
      </c>
      <c r="D297" s="2" t="n">
        <v>0.4</v>
      </c>
      <c r="E297" s="2" t="n">
        <v>0.122</v>
      </c>
    </row>
    <row r="298" customFormat="false" ht="13.8" hidden="false" customHeight="false" outlineLevel="0" collapsed="false">
      <c r="B298" s="2" t="n">
        <v>296</v>
      </c>
      <c r="C298" s="2" t="n">
        <v>0.1476014</v>
      </c>
      <c r="D298" s="2" t="n">
        <v>0.4</v>
      </c>
      <c r="E298" s="2" t="n">
        <v>0.018</v>
      </c>
    </row>
    <row r="299" customFormat="false" ht="13.8" hidden="false" customHeight="false" outlineLevel="0" collapsed="false">
      <c r="B299" s="2" t="n">
        <v>297</v>
      </c>
      <c r="C299" s="2" t="n">
        <v>0.0989336</v>
      </c>
      <c r="D299" s="2" t="n">
        <v>0.4</v>
      </c>
      <c r="E299" s="2" t="n">
        <v>0.122</v>
      </c>
    </row>
    <row r="300" customFormat="false" ht="13.8" hidden="false" customHeight="false" outlineLevel="0" collapsed="false">
      <c r="B300" s="2" t="n">
        <v>298</v>
      </c>
      <c r="C300" s="2" t="n">
        <v>0.193200666666667</v>
      </c>
      <c r="D300" s="2" t="n">
        <v>0.4</v>
      </c>
      <c r="E300" s="2" t="n">
        <v>0.018</v>
      </c>
    </row>
    <row r="301" customFormat="false" ht="13.8" hidden="false" customHeight="false" outlineLevel="0" collapsed="false">
      <c r="B301" s="2" t="n">
        <v>299</v>
      </c>
      <c r="C301" s="2" t="n">
        <v>0.0545344</v>
      </c>
      <c r="D301" s="2" t="n">
        <v>0.4</v>
      </c>
      <c r="E301" s="2" t="n">
        <v>0.122</v>
      </c>
    </row>
    <row r="302" customFormat="false" ht="13.8" hidden="false" customHeight="false" outlineLevel="0" collapsed="false">
      <c r="B302" s="2" t="n">
        <v>300</v>
      </c>
      <c r="C302" s="2" t="n">
        <v>0.166735</v>
      </c>
      <c r="D302" s="2" t="n">
        <v>0.4</v>
      </c>
      <c r="E302" s="2" t="n">
        <v>0.018</v>
      </c>
    </row>
    <row r="303" customFormat="false" ht="13.8" hidden="false" customHeight="false" outlineLevel="0" collapsed="false">
      <c r="B303" s="2" t="n">
        <v>301</v>
      </c>
      <c r="C303" s="2" t="n">
        <v>0.0486010666666667</v>
      </c>
      <c r="D303" s="2" t="n">
        <v>0.4</v>
      </c>
      <c r="E303" s="2" t="n">
        <v>0.122</v>
      </c>
    </row>
    <row r="304" customFormat="false" ht="13.8" hidden="false" customHeight="false" outlineLevel="0" collapsed="false">
      <c r="B304" s="2" t="n">
        <v>302</v>
      </c>
      <c r="C304" s="2" t="n">
        <v>0.111667</v>
      </c>
      <c r="D304" s="2" t="n">
        <v>0.4</v>
      </c>
      <c r="E304" s="2" t="n">
        <v>0.018</v>
      </c>
    </row>
    <row r="305" customFormat="false" ht="13.8" hidden="false" customHeight="false" outlineLevel="0" collapsed="false">
      <c r="B305" s="2" t="n">
        <v>303</v>
      </c>
      <c r="C305" s="2" t="n">
        <v>0.1904668</v>
      </c>
      <c r="D305" s="2" t="n">
        <v>0.4</v>
      </c>
      <c r="E305" s="2" t="n">
        <v>0.122</v>
      </c>
    </row>
    <row r="306" customFormat="false" ht="13.8" hidden="false" customHeight="false" outlineLevel="0" collapsed="false">
      <c r="B306" s="2" t="n">
        <v>304</v>
      </c>
      <c r="C306" s="2" t="n">
        <v>0.1529344</v>
      </c>
      <c r="D306" s="2" t="n">
        <v>0.4</v>
      </c>
      <c r="E306" s="2" t="n">
        <v>0.018</v>
      </c>
    </row>
    <row r="307" customFormat="false" ht="13.8" hidden="false" customHeight="false" outlineLevel="0" collapsed="false">
      <c r="B307" s="2" t="n">
        <v>305</v>
      </c>
      <c r="C307" s="2" t="n">
        <v>0.197467</v>
      </c>
      <c r="D307" s="2" t="n">
        <v>0.4</v>
      </c>
      <c r="E307" s="2" t="n">
        <v>0.122</v>
      </c>
    </row>
    <row r="308" customFormat="false" ht="13.8" hidden="false" customHeight="false" outlineLevel="0" collapsed="false">
      <c r="B308" s="2" t="n">
        <v>306</v>
      </c>
      <c r="C308" s="2" t="n">
        <v>0.1543342</v>
      </c>
      <c r="D308" s="2" t="n">
        <v>0.4</v>
      </c>
      <c r="E308" s="2" t="n">
        <v>0.018</v>
      </c>
    </row>
    <row r="309" customFormat="false" ht="13.8" hidden="false" customHeight="false" outlineLevel="0" collapsed="false">
      <c r="B309" s="2" t="n">
        <v>307</v>
      </c>
      <c r="C309" s="2" t="n">
        <v>0.177534133333333</v>
      </c>
      <c r="D309" s="2" t="n">
        <v>0.4</v>
      </c>
      <c r="E309" s="2" t="n">
        <v>0.122</v>
      </c>
    </row>
    <row r="310" customFormat="false" ht="13.8" hidden="false" customHeight="false" outlineLevel="0" collapsed="false">
      <c r="B310" s="2" t="n">
        <v>308</v>
      </c>
      <c r="C310" s="2" t="n">
        <v>0.152</v>
      </c>
      <c r="D310" s="2" t="n">
        <v>0.4</v>
      </c>
      <c r="E310" s="2" t="n">
        <v>0.018</v>
      </c>
    </row>
    <row r="311" customFormat="false" ht="13.8" hidden="false" customHeight="false" outlineLevel="0" collapsed="false">
      <c r="B311" s="2" t="n">
        <v>309</v>
      </c>
      <c r="C311" s="2" t="n">
        <v>0.184067066666667</v>
      </c>
      <c r="D311" s="2" t="n">
        <v>0.266666666666667</v>
      </c>
      <c r="E311" s="2" t="n">
        <v>0.122</v>
      </c>
    </row>
    <row r="312" customFormat="false" ht="13.8" hidden="false" customHeight="false" outlineLevel="0" collapsed="false">
      <c r="B312" s="2" t="n">
        <v>310</v>
      </c>
      <c r="C312" s="2" t="n">
        <v>0.0475351333333333</v>
      </c>
      <c r="D312" s="2" t="n">
        <v>0</v>
      </c>
      <c r="E312" s="2" t="n">
        <v>0.018</v>
      </c>
    </row>
    <row r="313" customFormat="false" ht="13.8" hidden="false" customHeight="false" outlineLevel="0" collapsed="false">
      <c r="B313" s="2" t="n">
        <v>311</v>
      </c>
      <c r="C313" s="2" t="n">
        <v>0.156067666666667</v>
      </c>
      <c r="D313" s="2" t="n">
        <v>0</v>
      </c>
      <c r="E313" s="2" t="n">
        <v>0.122</v>
      </c>
    </row>
    <row r="314" customFormat="false" ht="13.8" hidden="false" customHeight="false" outlineLevel="0" collapsed="false">
      <c r="B314" s="2" t="n">
        <v>312</v>
      </c>
      <c r="C314" s="2" t="n">
        <v>0.1729336</v>
      </c>
      <c r="D314" s="2" t="n">
        <v>0</v>
      </c>
      <c r="E314" s="2" t="n">
        <v>0.00366693333333333</v>
      </c>
    </row>
    <row r="315" customFormat="false" ht="13.8" hidden="false" customHeight="false" outlineLevel="0" collapsed="false">
      <c r="B315" s="2" t="n">
        <v>313</v>
      </c>
      <c r="C315" s="2" t="n">
        <v>0.280000733333333</v>
      </c>
      <c r="D315" s="2" t="n">
        <v>0</v>
      </c>
      <c r="E315" s="2" t="n">
        <v>0.005</v>
      </c>
    </row>
    <row r="316" customFormat="false" ht="13.8" hidden="false" customHeight="false" outlineLevel="0" collapsed="false">
      <c r="B316" s="2" t="n">
        <v>314</v>
      </c>
      <c r="C316" s="2" t="n">
        <v>0.224601333333333</v>
      </c>
      <c r="D316" s="2" t="n">
        <v>0</v>
      </c>
      <c r="E316" s="2" t="n">
        <v>0.135</v>
      </c>
    </row>
    <row r="317" customFormat="false" ht="13.8" hidden="false" customHeight="false" outlineLevel="0" collapsed="false">
      <c r="B317" s="2" t="n">
        <v>315</v>
      </c>
      <c r="C317" s="2" t="n">
        <v>0.292602733333333</v>
      </c>
      <c r="D317" s="2" t="n">
        <v>0</v>
      </c>
      <c r="E317" s="2" t="n">
        <v>0.00233386666666667</v>
      </c>
    </row>
    <row r="318" customFormat="false" ht="13.8" hidden="false" customHeight="false" outlineLevel="0" collapsed="false">
      <c r="B318" s="2" t="n">
        <v>316</v>
      </c>
      <c r="C318" s="2" t="n">
        <v>0.168335933333333</v>
      </c>
      <c r="D318" s="2" t="n">
        <v>0</v>
      </c>
      <c r="E318" s="2" t="n">
        <v>0.005</v>
      </c>
    </row>
    <row r="319" customFormat="false" ht="13.8" hidden="false" customHeight="false" outlineLevel="0" collapsed="false">
      <c r="B319" s="2" t="n">
        <v>317</v>
      </c>
      <c r="C319" s="2" t="n">
        <v>0.268671</v>
      </c>
      <c r="D319" s="2" t="n">
        <v>0</v>
      </c>
      <c r="E319" s="2" t="n">
        <v>0.135</v>
      </c>
    </row>
    <row r="320" customFormat="false" ht="13.8" hidden="false" customHeight="false" outlineLevel="0" collapsed="false">
      <c r="B320" s="2" t="n">
        <v>318</v>
      </c>
      <c r="C320" s="2" t="n">
        <v>0.257003466666667</v>
      </c>
      <c r="D320" s="2" t="n">
        <v>0</v>
      </c>
      <c r="E320" s="2" t="n">
        <v>0.005</v>
      </c>
    </row>
    <row r="321" customFormat="false" ht="13.8" hidden="false" customHeight="false" outlineLevel="0" collapsed="false">
      <c r="B321" s="2" t="n">
        <v>319</v>
      </c>
      <c r="C321" s="2" t="n">
        <v>0.151337066666667</v>
      </c>
      <c r="D321" s="2" t="n">
        <v>0</v>
      </c>
      <c r="E321" s="2" t="n">
        <v>0.0143340666666667</v>
      </c>
    </row>
    <row r="322" customFormat="false" ht="13.8" hidden="false" customHeight="false" outlineLevel="0" collapsed="false">
      <c r="B322" s="2" t="n">
        <v>320</v>
      </c>
      <c r="C322" s="2" t="n">
        <v>0.151204666666667</v>
      </c>
      <c r="D322" s="2" t="n">
        <v>0</v>
      </c>
      <c r="E322" s="2" t="n">
        <v>0.000667533333333333</v>
      </c>
    </row>
    <row r="323" customFormat="false" ht="13.8" hidden="false" customHeight="false" outlineLevel="0" collapsed="false">
      <c r="B323" s="2" t="n">
        <v>321</v>
      </c>
      <c r="C323" s="2" t="n">
        <v>0.263872333333333</v>
      </c>
      <c r="D323" s="2" t="n">
        <v>0</v>
      </c>
      <c r="E323" s="2" t="n">
        <v>0.005</v>
      </c>
    </row>
    <row r="324" customFormat="false" ht="13.8" hidden="false" customHeight="false" outlineLevel="0" collapsed="false">
      <c r="B324" s="2" t="n">
        <v>322</v>
      </c>
      <c r="C324" s="2" t="n">
        <v>0.2830078</v>
      </c>
      <c r="D324" s="2" t="n">
        <v>0</v>
      </c>
      <c r="E324" s="2" t="n">
        <v>0.135</v>
      </c>
    </row>
    <row r="325" customFormat="false" ht="13.8" hidden="false" customHeight="false" outlineLevel="0" collapsed="false">
      <c r="B325" s="2" t="n">
        <v>323</v>
      </c>
      <c r="C325" s="2" t="n">
        <v>0.257008</v>
      </c>
      <c r="D325" s="2" t="n">
        <v>0</v>
      </c>
      <c r="E325" s="2" t="n">
        <v>0.000667533333333333</v>
      </c>
    </row>
    <row r="326" customFormat="false" ht="13.8" hidden="false" customHeight="false" outlineLevel="0" collapsed="false">
      <c r="B326" s="2" t="n">
        <v>324</v>
      </c>
      <c r="C326" s="2" t="n">
        <v>0.241341866666667</v>
      </c>
      <c r="D326" s="2" t="n">
        <v>0</v>
      </c>
      <c r="E326" s="2" t="n">
        <v>0.2</v>
      </c>
    </row>
    <row r="327" customFormat="false" ht="13.8" hidden="false" customHeight="false" outlineLevel="0" collapsed="false">
      <c r="B327" s="2" t="n">
        <v>325</v>
      </c>
      <c r="C327" s="2" t="n">
        <v>0.140675733333333</v>
      </c>
      <c r="D327" s="2" t="n">
        <v>0</v>
      </c>
      <c r="E327" s="2" t="n">
        <v>0.07</v>
      </c>
    </row>
    <row r="328" customFormat="false" ht="13.8" hidden="false" customHeight="false" outlineLevel="0" collapsed="false">
      <c r="B328" s="2" t="n">
        <v>326</v>
      </c>
      <c r="C328" s="2" t="n">
        <v>0.357407733333333</v>
      </c>
      <c r="D328" s="2" t="n">
        <v>0</v>
      </c>
      <c r="E328" s="2" t="n">
        <v>0.2</v>
      </c>
    </row>
    <row r="329" customFormat="false" ht="13.8" hidden="false" customHeight="false" outlineLevel="0" collapsed="false">
      <c r="B329" s="2" t="n">
        <v>327</v>
      </c>
      <c r="C329" s="2" t="n">
        <v>0.197671933333333</v>
      </c>
      <c r="D329" s="2" t="n">
        <v>0</v>
      </c>
      <c r="E329" s="2" t="n">
        <v>0.07</v>
      </c>
    </row>
    <row r="330" customFormat="false" ht="13.8" hidden="false" customHeight="false" outlineLevel="0" collapsed="false">
      <c r="B330" s="2" t="n">
        <v>328</v>
      </c>
      <c r="C330" s="2" t="n">
        <v>0.340738333333333</v>
      </c>
      <c r="D330" s="2" t="n">
        <v>0</v>
      </c>
      <c r="E330" s="2" t="n">
        <v>0.2</v>
      </c>
    </row>
    <row r="331" customFormat="false" ht="13.8" hidden="false" customHeight="false" outlineLevel="0" collapsed="false">
      <c r="B331" s="2" t="n">
        <v>329</v>
      </c>
      <c r="C331" s="2" t="n">
        <v>0.228671066666667</v>
      </c>
      <c r="D331" s="2" t="n">
        <v>0</v>
      </c>
      <c r="E331" s="2" t="n">
        <v>0.07</v>
      </c>
    </row>
    <row r="332" customFormat="false" ht="13.8" hidden="false" customHeight="false" outlineLevel="0" collapsed="false">
      <c r="B332" s="2" t="n">
        <v>330</v>
      </c>
      <c r="C332" s="2" t="n">
        <v>0.3268044</v>
      </c>
      <c r="D332" s="2" t="n">
        <v>0</v>
      </c>
      <c r="E332" s="2" t="n">
        <v>0.2</v>
      </c>
    </row>
    <row r="333" customFormat="false" ht="13.8" hidden="false" customHeight="false" outlineLevel="0" collapsed="false">
      <c r="B333" s="2" t="n">
        <v>331</v>
      </c>
      <c r="C333" s="2" t="n">
        <v>0.218003</v>
      </c>
      <c r="D333" s="2" t="n">
        <v>0</v>
      </c>
      <c r="E333" s="2" t="n">
        <v>0.07</v>
      </c>
    </row>
    <row r="334" customFormat="false" ht="13.8" hidden="false" customHeight="false" outlineLevel="0" collapsed="false">
      <c r="B334" s="2" t="n">
        <v>332</v>
      </c>
      <c r="C334" s="2" t="n">
        <v>0.3220024</v>
      </c>
      <c r="D334" s="2" t="n">
        <v>0</v>
      </c>
      <c r="E334" s="2" t="n">
        <v>0.2</v>
      </c>
    </row>
    <row r="335" customFormat="false" ht="13.8" hidden="false" customHeight="false" outlineLevel="0" collapsed="false">
      <c r="B335" s="2" t="n">
        <v>333</v>
      </c>
      <c r="C335" s="2" t="n">
        <v>0.218001266666667</v>
      </c>
      <c r="D335" s="2" t="n">
        <v>0</v>
      </c>
      <c r="E335" s="2" t="n">
        <v>0.07</v>
      </c>
    </row>
    <row r="336" customFormat="false" ht="13.8" hidden="false" customHeight="false" outlineLevel="0" collapsed="false">
      <c r="B336" s="2" t="n">
        <v>334</v>
      </c>
      <c r="C336" s="2" t="n">
        <v>0.335335466666667</v>
      </c>
      <c r="D336" s="2" t="n">
        <v>0</v>
      </c>
      <c r="E336" s="2" t="n">
        <v>0.2</v>
      </c>
    </row>
    <row r="337" customFormat="false" ht="13.8" hidden="false" customHeight="false" outlineLevel="0" collapsed="false">
      <c r="B337" s="2" t="n">
        <v>335</v>
      </c>
      <c r="C337" s="2" t="n">
        <v>0.2453386</v>
      </c>
      <c r="D337" s="2" t="n">
        <v>0</v>
      </c>
      <c r="E337" s="2" t="n">
        <v>0.07</v>
      </c>
    </row>
    <row r="338" customFormat="false" ht="13.8" hidden="false" customHeight="false" outlineLevel="0" collapsed="false">
      <c r="B338" s="2" t="n">
        <v>336</v>
      </c>
      <c r="C338" s="2" t="n">
        <v>0.371337866666667</v>
      </c>
      <c r="D338" s="2" t="n">
        <v>0</v>
      </c>
      <c r="E338" s="2" t="n">
        <v>0.2</v>
      </c>
    </row>
    <row r="339" customFormat="false" ht="13.8" hidden="false" customHeight="false" outlineLevel="0" collapsed="false">
      <c r="B339" s="2" t="n">
        <v>337</v>
      </c>
      <c r="C339" s="2" t="n">
        <v>0.198005133333333</v>
      </c>
      <c r="D339" s="2" t="n">
        <v>0</v>
      </c>
      <c r="E339" s="2" t="n">
        <v>0.07</v>
      </c>
    </row>
    <row r="340" customFormat="false" ht="13.8" hidden="false" customHeight="false" outlineLevel="0" collapsed="false">
      <c r="B340" s="2" t="n">
        <v>338</v>
      </c>
      <c r="C340" s="2" t="n">
        <v>0.2946734</v>
      </c>
      <c r="D340" s="2" t="n">
        <v>0</v>
      </c>
      <c r="E340" s="2" t="n">
        <v>0.2</v>
      </c>
    </row>
    <row r="341" customFormat="false" ht="13.8" hidden="false" customHeight="false" outlineLevel="0" collapsed="false">
      <c r="B341" s="2" t="n">
        <v>339</v>
      </c>
      <c r="C341" s="2" t="n">
        <v>0.0700094666666667</v>
      </c>
      <c r="D341" s="2" t="n">
        <v>0</v>
      </c>
      <c r="E341" s="2" t="n">
        <v>0.07</v>
      </c>
    </row>
    <row r="342" customFormat="false" ht="13.8" hidden="false" customHeight="false" outlineLevel="0" collapsed="false">
      <c r="B342" s="2" t="n">
        <v>340</v>
      </c>
      <c r="C342" s="2" t="n">
        <v>0.2776084</v>
      </c>
      <c r="D342" s="2" t="n">
        <v>0</v>
      </c>
      <c r="E342" s="2" t="n">
        <v>0.2</v>
      </c>
    </row>
    <row r="343" customFormat="false" ht="13.8" hidden="false" customHeight="false" outlineLevel="0" collapsed="false">
      <c r="B343" s="2" t="n">
        <v>341</v>
      </c>
      <c r="C343" s="2" t="n">
        <v>0.295140066666667</v>
      </c>
      <c r="D343" s="2" t="n">
        <v>0</v>
      </c>
      <c r="E343" s="2" t="n">
        <v>0.07</v>
      </c>
    </row>
    <row r="344" customFormat="false" ht="13.8" hidden="false" customHeight="false" outlineLevel="0" collapsed="false">
      <c r="B344" s="2" t="n">
        <v>342</v>
      </c>
      <c r="C344" s="2" t="n">
        <v>0.293006266666667</v>
      </c>
      <c r="D344" s="2" t="n">
        <v>0</v>
      </c>
      <c r="E344" s="2" t="n">
        <v>0.2</v>
      </c>
    </row>
    <row r="345" customFormat="false" ht="13.8" hidden="false" customHeight="false" outlineLevel="0" collapsed="false">
      <c r="B345" s="2" t="n">
        <v>343</v>
      </c>
      <c r="C345" s="2" t="n">
        <v>0.288738533333333</v>
      </c>
      <c r="D345" s="2" t="n">
        <v>0</v>
      </c>
      <c r="E345" s="2" t="n">
        <v>0.07</v>
      </c>
    </row>
    <row r="346" customFormat="false" ht="13.8" hidden="false" customHeight="false" outlineLevel="0" collapsed="false">
      <c r="B346" s="2" t="n">
        <v>344</v>
      </c>
      <c r="C346" s="2" t="n">
        <v>0.270005133333333</v>
      </c>
      <c r="D346" s="2" t="n">
        <v>0</v>
      </c>
      <c r="E346" s="2" t="n">
        <v>0.2</v>
      </c>
    </row>
    <row r="347" customFormat="false" ht="13.8" hidden="false" customHeight="false" outlineLevel="0" collapsed="false">
      <c r="B347" s="2" t="n">
        <v>345</v>
      </c>
      <c r="C347" s="2" t="n">
        <v>0.2700048</v>
      </c>
      <c r="D347" s="2" t="n">
        <v>0</v>
      </c>
      <c r="E347" s="2" t="n">
        <v>0.07</v>
      </c>
    </row>
    <row r="348" customFormat="false" ht="13.8" hidden="false" customHeight="false" outlineLevel="0" collapsed="false">
      <c r="B348" s="2" t="n">
        <v>346</v>
      </c>
      <c r="C348" s="2" t="n">
        <v>0.271602533333333</v>
      </c>
      <c r="D348" s="2" t="n">
        <v>0</v>
      </c>
      <c r="E348" s="2" t="n">
        <v>0.2</v>
      </c>
    </row>
    <row r="349" customFormat="false" ht="13.8" hidden="false" customHeight="false" outlineLevel="0" collapsed="false">
      <c r="B349" s="2" t="n">
        <v>347</v>
      </c>
      <c r="C349" s="2" t="n">
        <v>0.2710674</v>
      </c>
      <c r="D349" s="2" t="n">
        <v>0</v>
      </c>
      <c r="E349" s="2" t="n">
        <v>0.07</v>
      </c>
    </row>
    <row r="350" customFormat="false" ht="13.8" hidden="false" customHeight="false" outlineLevel="0" collapsed="false">
      <c r="B350" s="2" t="n">
        <v>348</v>
      </c>
      <c r="C350" s="2" t="n">
        <v>0.27</v>
      </c>
      <c r="D350" s="2" t="n">
        <v>0</v>
      </c>
      <c r="E350" s="2" t="n">
        <v>0.2</v>
      </c>
    </row>
    <row r="351" customFormat="false" ht="13.8" hidden="false" customHeight="false" outlineLevel="0" collapsed="false">
      <c r="B351" s="2" t="n">
        <v>349</v>
      </c>
      <c r="C351" s="2" t="n">
        <v>0.27</v>
      </c>
      <c r="D351" s="2" t="n">
        <v>0</v>
      </c>
      <c r="E351" s="2" t="n">
        <v>0.07</v>
      </c>
    </row>
    <row r="352" customFormat="false" ht="13.8" hidden="false" customHeight="false" outlineLevel="0" collapsed="false">
      <c r="B352" s="2" t="n">
        <v>350</v>
      </c>
      <c r="C352" s="2" t="n">
        <v>0.2300002</v>
      </c>
      <c r="D352" s="2" t="n">
        <v>0</v>
      </c>
      <c r="E352" s="2" t="n">
        <v>0.2</v>
      </c>
    </row>
    <row r="353" customFormat="false" ht="13.8" hidden="false" customHeight="false" outlineLevel="0" collapsed="false">
      <c r="B353" s="2" t="n">
        <v>351</v>
      </c>
      <c r="C353" s="2" t="n">
        <v>0.27</v>
      </c>
      <c r="D353" s="2" t="n">
        <v>0</v>
      </c>
      <c r="E353" s="2" t="n">
        <v>0.07</v>
      </c>
    </row>
    <row r="354" customFormat="false" ht="13.8" hidden="false" customHeight="false" outlineLevel="0" collapsed="false">
      <c r="B354" s="2" t="n">
        <v>352</v>
      </c>
      <c r="C354" s="2" t="n">
        <v>0.27</v>
      </c>
      <c r="D354" s="2" t="n">
        <v>0</v>
      </c>
      <c r="E354" s="2" t="n">
        <v>0.2</v>
      </c>
    </row>
    <row r="355" customFormat="false" ht="13.8" hidden="false" customHeight="false" outlineLevel="0" collapsed="false">
      <c r="B355" s="2" t="n">
        <v>353</v>
      </c>
      <c r="C355" s="2" t="n">
        <v>0.270000133333333</v>
      </c>
      <c r="D355" s="2" t="n">
        <v>0</v>
      </c>
      <c r="E355" s="2" t="n">
        <v>0.07</v>
      </c>
    </row>
    <row r="356" customFormat="false" ht="13.8" hidden="false" customHeight="false" outlineLevel="0" collapsed="false">
      <c r="B356" s="2" t="n">
        <v>354</v>
      </c>
      <c r="C356" s="2" t="n">
        <v>0.276333866666667</v>
      </c>
      <c r="D356" s="2" t="n">
        <v>0</v>
      </c>
      <c r="E356" s="2" t="n">
        <v>0.2</v>
      </c>
    </row>
    <row r="357" customFormat="false" ht="13.8" hidden="false" customHeight="false" outlineLevel="0" collapsed="false">
      <c r="B357" s="2" t="n">
        <v>355</v>
      </c>
      <c r="C357" s="2" t="n">
        <v>0.218001</v>
      </c>
      <c r="D357" s="2" t="n">
        <v>0</v>
      </c>
      <c r="E357" s="2" t="n">
        <v>0.07</v>
      </c>
    </row>
    <row r="358" customFormat="false" ht="13.8" hidden="false" customHeight="false" outlineLevel="0" collapsed="false">
      <c r="B358" s="2" t="n">
        <v>356</v>
      </c>
      <c r="C358" s="2" t="n">
        <v>0.321334466666667</v>
      </c>
      <c r="D358" s="2" t="n">
        <v>0</v>
      </c>
      <c r="E358" s="2" t="n">
        <v>0.2</v>
      </c>
    </row>
    <row r="359" customFormat="false" ht="13.8" hidden="false" customHeight="false" outlineLevel="0" collapsed="false">
      <c r="B359" s="2" t="n">
        <v>357</v>
      </c>
      <c r="C359" s="2" t="n">
        <v>0.192801133333333</v>
      </c>
      <c r="D359" s="2" t="n">
        <v>0</v>
      </c>
      <c r="E359" s="2" t="n">
        <v>0.07</v>
      </c>
    </row>
    <row r="360" customFormat="false" ht="13.8" hidden="false" customHeight="false" outlineLevel="0" collapsed="false">
      <c r="B360" s="2" t="n">
        <v>358</v>
      </c>
      <c r="C360" s="2" t="n">
        <v>0.350668</v>
      </c>
      <c r="D360" s="2" t="n">
        <v>0</v>
      </c>
      <c r="E360" s="2" t="n">
        <v>0.224266666666667</v>
      </c>
    </row>
    <row r="361" customFormat="false" ht="13.8" hidden="false" customHeight="false" outlineLevel="0" collapsed="false">
      <c r="B361" s="2" t="n">
        <v>359</v>
      </c>
      <c r="C361" s="2" t="n">
        <v>0.218000866666667</v>
      </c>
      <c r="D361" s="2" t="n">
        <v>0</v>
      </c>
      <c r="E361" s="2" t="n">
        <v>0.122</v>
      </c>
    </row>
    <row r="362" customFormat="false" ht="13.8" hidden="false" customHeight="false" outlineLevel="0" collapsed="false">
      <c r="B362" s="2" t="n">
        <v>360</v>
      </c>
      <c r="C362" s="2" t="n">
        <v>0.373334333333333</v>
      </c>
      <c r="D362" s="2" t="n">
        <v>0</v>
      </c>
      <c r="E362" s="2" t="n">
        <v>0.224267066666667</v>
      </c>
    </row>
    <row r="363" customFormat="false" ht="13.8" hidden="false" customHeight="false" outlineLevel="0" collapsed="false">
      <c r="B363" s="2" t="n">
        <v>361</v>
      </c>
      <c r="C363" s="2" t="n">
        <v>0.2040028</v>
      </c>
      <c r="D363" s="2" t="n">
        <v>0</v>
      </c>
      <c r="E363" s="2" t="n">
        <v>0.07</v>
      </c>
    </row>
    <row r="364" customFormat="false" ht="13.8" hidden="false" customHeight="false" outlineLevel="0" collapsed="false">
      <c r="B364" s="2" t="n">
        <v>362</v>
      </c>
      <c r="C364" s="2" t="n">
        <v>0.3600048</v>
      </c>
      <c r="D364" s="2" t="n">
        <v>0</v>
      </c>
      <c r="E364" s="2" t="n">
        <v>0.2</v>
      </c>
    </row>
    <row r="365" customFormat="false" ht="13.8" hidden="false" customHeight="false" outlineLevel="0" collapsed="false">
      <c r="B365" s="2" t="n">
        <v>363</v>
      </c>
      <c r="C365" s="2" t="n">
        <v>0.2520726</v>
      </c>
      <c r="D365" s="2" t="n">
        <v>0</v>
      </c>
      <c r="E365" s="2" t="n">
        <v>0.07</v>
      </c>
    </row>
    <row r="366" customFormat="false" ht="13.8" hidden="false" customHeight="false" outlineLevel="0" collapsed="false">
      <c r="B366" s="2" t="n">
        <v>364</v>
      </c>
      <c r="C366" s="2" t="n">
        <v>0.468608266666667</v>
      </c>
      <c r="D366" s="2" t="n">
        <v>0</v>
      </c>
      <c r="E366" s="2" t="n">
        <v>0.2</v>
      </c>
    </row>
    <row r="367" customFormat="false" ht="13.8" hidden="false" customHeight="false" outlineLevel="0" collapsed="false">
      <c r="B367" s="2" t="n">
        <v>365</v>
      </c>
      <c r="C367" s="2" t="n">
        <v>0.3649454</v>
      </c>
      <c r="D367" s="2" t="n">
        <v>0.4</v>
      </c>
      <c r="E367" s="2" t="n">
        <v>0.0933338666666667</v>
      </c>
    </row>
    <row r="368" customFormat="false" ht="13.8" hidden="false" customHeight="false" outlineLevel="0" collapsed="false">
      <c r="B368" s="2" t="n">
        <v>366</v>
      </c>
      <c r="C368" s="2" t="n">
        <v>0.4950166</v>
      </c>
      <c r="D368" s="2" t="n">
        <v>0.4</v>
      </c>
      <c r="E368" s="2" t="n">
        <v>0.2</v>
      </c>
    </row>
    <row r="369" customFormat="false" ht="13.8" hidden="false" customHeight="false" outlineLevel="0" collapsed="false">
      <c r="B369" s="2" t="n">
        <v>367</v>
      </c>
      <c r="C369" s="2" t="n">
        <v>0.364082866666667</v>
      </c>
      <c r="D369" s="2" t="n">
        <v>0.4</v>
      </c>
      <c r="E369" s="2" t="n">
        <v>0.00333366666666667</v>
      </c>
    </row>
    <row r="370" customFormat="false" ht="13.8" hidden="false" customHeight="false" outlineLevel="0" collapsed="false">
      <c r="B370" s="2" t="n">
        <v>368</v>
      </c>
      <c r="C370" s="2" t="n">
        <v>0.530083533333333</v>
      </c>
      <c r="D370" s="2" t="n">
        <v>0.4</v>
      </c>
      <c r="E370" s="2" t="n">
        <v>0.0040002</v>
      </c>
    </row>
    <row r="371" customFormat="false" ht="13.8" hidden="false" customHeight="false" outlineLevel="0" collapsed="false">
      <c r="B371" s="2" t="n">
        <v>369</v>
      </c>
      <c r="C371" s="2" t="n">
        <v>0.428015466666667</v>
      </c>
      <c r="D371" s="2" t="n">
        <v>0.4</v>
      </c>
      <c r="E371" s="2" t="n">
        <v>0.096</v>
      </c>
    </row>
    <row r="372" customFormat="false" ht="13.8" hidden="false" customHeight="false" outlineLevel="0" collapsed="false">
      <c r="B372" s="2" t="n">
        <v>370</v>
      </c>
      <c r="C372" s="2" t="n">
        <v>0.600813133333333</v>
      </c>
      <c r="D372" s="2" t="n">
        <v>0.4</v>
      </c>
      <c r="E372" s="2" t="n">
        <v>0.044</v>
      </c>
    </row>
    <row r="373" customFormat="false" ht="13.8" hidden="false" customHeight="false" outlineLevel="0" collapsed="false">
      <c r="B373" s="2" t="n">
        <v>371</v>
      </c>
      <c r="C373" s="2" t="n">
        <v>0.442946533333333</v>
      </c>
      <c r="D373" s="2" t="n">
        <v>0.4</v>
      </c>
      <c r="E373" s="2" t="n">
        <v>0.005</v>
      </c>
    </row>
    <row r="374" customFormat="false" ht="13.8" hidden="false" customHeight="false" outlineLevel="0" collapsed="false">
      <c r="B374" s="2" t="n">
        <v>372</v>
      </c>
      <c r="C374" s="2" t="n">
        <v>0.582949133333333</v>
      </c>
      <c r="D374" s="2" t="n">
        <v>0.4</v>
      </c>
      <c r="E374" s="2" t="n">
        <v>0.109</v>
      </c>
    </row>
    <row r="375" customFormat="false" ht="13.8" hidden="false" customHeight="false" outlineLevel="0" collapsed="false">
      <c r="B375" s="2" t="n">
        <v>373</v>
      </c>
      <c r="C375" s="2" t="n">
        <v>0.357817666666667</v>
      </c>
      <c r="D375" s="2" t="n">
        <v>0.4</v>
      </c>
      <c r="E375" s="2" t="n">
        <v>0.031</v>
      </c>
    </row>
    <row r="376" customFormat="false" ht="13.8" hidden="false" customHeight="false" outlineLevel="0" collapsed="false">
      <c r="B376" s="2" t="n">
        <v>374</v>
      </c>
      <c r="C376" s="2" t="n">
        <v>0.316953066666667</v>
      </c>
      <c r="D376" s="2" t="n">
        <v>0.4</v>
      </c>
      <c r="E376" s="2" t="n">
        <v>0.109</v>
      </c>
    </row>
    <row r="377" customFormat="false" ht="13.8" hidden="false" customHeight="false" outlineLevel="0" collapsed="false">
      <c r="B377" s="2" t="n">
        <v>375</v>
      </c>
      <c r="C377" s="2" t="n">
        <v>0.333016733333333</v>
      </c>
      <c r="D377" s="2" t="n">
        <v>0.4</v>
      </c>
      <c r="E377" s="2" t="n">
        <v>0.031</v>
      </c>
    </row>
    <row r="378" customFormat="false" ht="13.8" hidden="false" customHeight="false" outlineLevel="0" collapsed="false">
      <c r="B378" s="2" t="n">
        <v>376</v>
      </c>
      <c r="C378" s="2" t="n">
        <v>0.270283133333333</v>
      </c>
      <c r="D378" s="2" t="n">
        <v>0.4</v>
      </c>
      <c r="E378" s="2" t="n">
        <v>0.0423336666666667</v>
      </c>
    </row>
    <row r="379" customFormat="false" ht="13.8" hidden="false" customHeight="false" outlineLevel="0" collapsed="false">
      <c r="B379" s="2" t="n">
        <v>377</v>
      </c>
      <c r="C379" s="2" t="n">
        <v>0.186284666666667</v>
      </c>
      <c r="D379" s="2" t="n">
        <v>0.4</v>
      </c>
      <c r="E379" s="2" t="n">
        <v>0.00166733333333333</v>
      </c>
    </row>
    <row r="380" customFormat="false" ht="13.8" hidden="false" customHeight="false" outlineLevel="0" collapsed="false">
      <c r="B380" s="2" t="n">
        <v>378</v>
      </c>
      <c r="C380" s="2" t="n">
        <v>0.175416333333333</v>
      </c>
      <c r="D380" s="2" t="n">
        <v>0.4</v>
      </c>
      <c r="E380" s="2" t="n">
        <v>0.005</v>
      </c>
    </row>
    <row r="381" customFormat="false" ht="13.8" hidden="false" customHeight="false" outlineLevel="0" collapsed="false">
      <c r="B381" s="2" t="n">
        <v>379</v>
      </c>
      <c r="C381" s="2" t="n">
        <v>0.318348133333333</v>
      </c>
      <c r="D381" s="2" t="n">
        <v>0.4</v>
      </c>
      <c r="E381" s="2" t="n">
        <v>0.135</v>
      </c>
    </row>
    <row r="382" customFormat="false" ht="13.8" hidden="false" customHeight="false" outlineLevel="0" collapsed="false">
      <c r="B382" s="2" t="n">
        <v>380</v>
      </c>
      <c r="C382" s="2" t="n">
        <v>0.2867452</v>
      </c>
      <c r="D382" s="2" t="n">
        <v>0.4</v>
      </c>
      <c r="E382" s="2" t="n">
        <v>0.005</v>
      </c>
    </row>
    <row r="383" customFormat="false" ht="13.8" hidden="false" customHeight="false" outlineLevel="0" collapsed="false">
      <c r="B383" s="2" t="n">
        <v>381</v>
      </c>
      <c r="C383" s="2" t="n">
        <v>0.311012866666667</v>
      </c>
      <c r="D383" s="2" t="n">
        <v>0.4</v>
      </c>
      <c r="E383" s="2" t="n">
        <v>0.109</v>
      </c>
    </row>
    <row r="384" customFormat="false" ht="13.8" hidden="false" customHeight="false" outlineLevel="0" collapsed="false">
      <c r="B384" s="2" t="n">
        <v>382</v>
      </c>
      <c r="C384" s="2" t="n">
        <v>0.238349</v>
      </c>
      <c r="D384" s="2" t="n">
        <v>0.0533333333333333</v>
      </c>
      <c r="E384" s="2" t="n">
        <v>0.0306667333333333</v>
      </c>
    </row>
    <row r="385" customFormat="false" ht="13.8" hidden="false" customHeight="false" outlineLevel="0" collapsed="false">
      <c r="B385" s="2" t="n">
        <v>383</v>
      </c>
      <c r="C385" s="2" t="n">
        <v>0.114677066666667</v>
      </c>
      <c r="D385" s="2" t="n">
        <v>0</v>
      </c>
      <c r="E385" s="2" t="n">
        <v>0.083</v>
      </c>
    </row>
    <row r="386" customFormat="false" ht="13.8" hidden="false" customHeight="false" outlineLevel="0" collapsed="false">
      <c r="B386" s="2" t="n">
        <v>384</v>
      </c>
      <c r="C386" s="2" t="n">
        <v>0.305544866666667</v>
      </c>
      <c r="D386" s="2" t="n">
        <v>0</v>
      </c>
      <c r="E386" s="2" t="n">
        <v>0.0566667333333333</v>
      </c>
    </row>
    <row r="387" customFormat="false" ht="13.8" hidden="false" customHeight="false" outlineLevel="0" collapsed="false">
      <c r="B387" s="2" t="n">
        <v>385</v>
      </c>
      <c r="C387" s="2" t="n">
        <v>0.300745466666667</v>
      </c>
      <c r="D387" s="2" t="n">
        <v>0</v>
      </c>
      <c r="E387" s="2" t="n">
        <v>1E-006</v>
      </c>
    </row>
    <row r="388" customFormat="false" ht="13.8" hidden="false" customHeight="false" outlineLevel="0" collapsed="false">
      <c r="B388" s="2" t="n">
        <v>386</v>
      </c>
      <c r="C388" s="2" t="n">
        <v>0.0537436666666667</v>
      </c>
      <c r="D388" s="2" t="n">
        <v>0.266666666666667</v>
      </c>
      <c r="E388" s="2" t="n">
        <v>0.1340002</v>
      </c>
    </row>
    <row r="389" customFormat="false" ht="13.8" hidden="false" customHeight="false" outlineLevel="0" collapsed="false">
      <c r="B389" s="2" t="n">
        <v>387</v>
      </c>
      <c r="C389" s="2" t="n">
        <v>0.3622722</v>
      </c>
      <c r="D389" s="2" t="n">
        <v>0.4</v>
      </c>
      <c r="E389" s="2" t="n">
        <v>0.005</v>
      </c>
    </row>
    <row r="390" customFormat="false" ht="13.8" hidden="false" customHeight="false" outlineLevel="0" collapsed="false">
      <c r="B390" s="2" t="n">
        <v>388</v>
      </c>
      <c r="C390" s="2" t="n">
        <v>0.0966038</v>
      </c>
      <c r="D390" s="2" t="n">
        <v>0.4</v>
      </c>
      <c r="E390" s="2" t="n">
        <v>0.135</v>
      </c>
    </row>
    <row r="391" customFormat="false" ht="13.8" hidden="false" customHeight="false" outlineLevel="0" collapsed="false">
      <c r="B391" s="2" t="n">
        <v>389</v>
      </c>
      <c r="C391" s="2" t="n">
        <v>0.282867933333333</v>
      </c>
      <c r="D391" s="2" t="n">
        <v>0.4</v>
      </c>
      <c r="E391" s="2" t="n">
        <v>0.134333466666667</v>
      </c>
    </row>
    <row r="392" customFormat="false" ht="13.8" hidden="false" customHeight="false" outlineLevel="0" collapsed="false">
      <c r="B392" s="2" t="n">
        <v>390</v>
      </c>
      <c r="C392" s="2" t="n">
        <v>0.0920005333333333</v>
      </c>
      <c r="D392" s="2" t="n">
        <v>0.4</v>
      </c>
      <c r="E392" s="2" t="n">
        <v>0.005</v>
      </c>
    </row>
    <row r="393" customFormat="false" ht="13.8" hidden="false" customHeight="false" outlineLevel="0" collapsed="false">
      <c r="B393" s="2" t="n">
        <v>391</v>
      </c>
      <c r="C393" s="2" t="n">
        <v>0.1740008</v>
      </c>
      <c r="D393" s="2" t="n">
        <v>0.4</v>
      </c>
      <c r="E393" s="2" t="n">
        <v>0.0950002</v>
      </c>
    </row>
    <row r="394" customFormat="false" ht="13.8" hidden="false" customHeight="false" outlineLevel="0" collapsed="false">
      <c r="B394" s="2" t="n">
        <v>392</v>
      </c>
      <c r="C394" s="2" t="n">
        <v>0.218067866666667</v>
      </c>
      <c r="D394" s="2" t="n">
        <v>0.4</v>
      </c>
      <c r="E394" s="2" t="n">
        <v>0.0666673333333333</v>
      </c>
    </row>
    <row r="395" customFormat="false" ht="13.8" hidden="false" customHeight="false" outlineLevel="0" collapsed="false">
      <c r="B395" s="2" t="n">
        <v>393</v>
      </c>
      <c r="C395" s="2" t="n">
        <v>0.1353338</v>
      </c>
      <c r="D395" s="2" t="n">
        <v>0.4</v>
      </c>
      <c r="E395" s="2" t="n">
        <v>0.07</v>
      </c>
    </row>
    <row r="396" customFormat="false" ht="13.8" hidden="false" customHeight="false" outlineLevel="0" collapsed="false">
      <c r="B396" s="2" t="n">
        <v>394</v>
      </c>
      <c r="C396" s="2" t="n">
        <v>0.207601</v>
      </c>
      <c r="D396" s="2" t="n">
        <v>0.4</v>
      </c>
      <c r="E396" s="2" t="n">
        <v>0.07</v>
      </c>
    </row>
    <row r="397" customFormat="false" ht="13.8" hidden="false" customHeight="false" outlineLevel="0" collapsed="false">
      <c r="B397" s="2" t="n">
        <v>395</v>
      </c>
      <c r="C397" s="2" t="n">
        <v>0.133734066666667</v>
      </c>
      <c r="D397" s="2" t="n">
        <v>0.4</v>
      </c>
      <c r="E397" s="2" t="n">
        <v>0.07</v>
      </c>
    </row>
    <row r="398" customFormat="false" ht="13.8" hidden="false" customHeight="false" outlineLevel="0" collapsed="false">
      <c r="B398" s="2" t="n">
        <v>396</v>
      </c>
      <c r="C398" s="2" t="n">
        <v>0.0904036</v>
      </c>
      <c r="D398" s="2" t="n">
        <v>0.4</v>
      </c>
      <c r="E398" s="2" t="n">
        <v>0.07</v>
      </c>
    </row>
    <row r="399" customFormat="false" ht="13.8" hidden="false" customHeight="false" outlineLevel="0" collapsed="false">
      <c r="B399" s="2" t="n">
        <v>397</v>
      </c>
      <c r="C399" s="2" t="n">
        <v>0.2734682</v>
      </c>
      <c r="D399" s="2" t="n">
        <v>0.4</v>
      </c>
      <c r="E399" s="2" t="n">
        <v>0.07</v>
      </c>
    </row>
    <row r="400" customFormat="false" ht="13.8" hidden="false" customHeight="false" outlineLevel="0" collapsed="false">
      <c r="B400" s="2" t="n">
        <v>398</v>
      </c>
      <c r="C400" s="2" t="n">
        <v>0.0682672</v>
      </c>
      <c r="D400" s="2" t="n">
        <v>0.4</v>
      </c>
      <c r="E400" s="2" t="n">
        <v>0.07</v>
      </c>
    </row>
    <row r="401" customFormat="false" ht="13.8" hidden="false" customHeight="false" outlineLevel="0" collapsed="false">
      <c r="B401" s="2" t="n">
        <v>399</v>
      </c>
      <c r="C401" s="2" t="n">
        <v>0.264467733333333</v>
      </c>
      <c r="D401" s="2" t="n">
        <v>0.4</v>
      </c>
      <c r="E401" s="2" t="n">
        <v>0.07</v>
      </c>
    </row>
    <row r="402" customFormat="false" ht="13.8" hidden="false" customHeight="false" outlineLevel="0" collapsed="false">
      <c r="B402" s="2" t="n">
        <v>400</v>
      </c>
      <c r="C402" s="2" t="n">
        <v>0.020669</v>
      </c>
      <c r="D402" s="2" t="n">
        <v>0.4</v>
      </c>
      <c r="E402" s="2" t="n">
        <v>0.07</v>
      </c>
    </row>
    <row r="403" customFormat="false" ht="13.8" hidden="false" customHeight="false" outlineLevel="0" collapsed="false">
      <c r="B403" s="2" t="n">
        <v>401</v>
      </c>
      <c r="C403" s="2" t="n">
        <v>0.247867733333333</v>
      </c>
      <c r="D403" s="2" t="n">
        <v>0.4</v>
      </c>
      <c r="E403" s="2" t="n">
        <v>0.07</v>
      </c>
    </row>
    <row r="404" customFormat="false" ht="13.8" hidden="false" customHeight="false" outlineLevel="0" collapsed="false">
      <c r="B404" s="2" t="n">
        <v>402</v>
      </c>
      <c r="C404" s="2" t="n">
        <v>0.0879336666666667</v>
      </c>
      <c r="D404" s="2" t="n">
        <v>0.4</v>
      </c>
      <c r="E404" s="2" t="n">
        <v>0.07</v>
      </c>
    </row>
    <row r="405" customFormat="false" ht="13.8" hidden="false" customHeight="false" outlineLevel="0" collapsed="false">
      <c r="B405" s="2" t="n">
        <v>403</v>
      </c>
      <c r="C405" s="2" t="n">
        <v>0.2364016</v>
      </c>
      <c r="D405" s="2" t="n">
        <v>0.4</v>
      </c>
      <c r="E405" s="2" t="n">
        <v>0.07</v>
      </c>
    </row>
    <row r="406" customFormat="false" ht="13.8" hidden="false" customHeight="false" outlineLevel="0" collapsed="false">
      <c r="B406" s="2" t="n">
        <v>404</v>
      </c>
      <c r="C406" s="2" t="n">
        <v>0.0844677333333333</v>
      </c>
      <c r="D406" s="2" t="n">
        <v>0.4</v>
      </c>
      <c r="E406" s="2" t="n">
        <v>0.07</v>
      </c>
    </row>
    <row r="407" customFormat="false" ht="13.8" hidden="false" customHeight="false" outlineLevel="0" collapsed="false">
      <c r="B407" s="2" t="n">
        <v>405</v>
      </c>
      <c r="C407" s="2" t="n">
        <v>0.193667266666667</v>
      </c>
      <c r="D407" s="2" t="n">
        <v>0.08</v>
      </c>
      <c r="E407" s="2" t="n">
        <v>0.07</v>
      </c>
    </row>
    <row r="408" customFormat="false" ht="13.8" hidden="false" customHeight="false" outlineLevel="0" collapsed="false">
      <c r="B408" s="2" t="n">
        <v>406</v>
      </c>
      <c r="C408" s="2" t="n">
        <v>0.183468733333333</v>
      </c>
      <c r="D408" s="2" t="n">
        <v>0</v>
      </c>
      <c r="E408" s="2" t="n">
        <v>0.07</v>
      </c>
    </row>
    <row r="409" customFormat="false" ht="13.8" hidden="false" customHeight="false" outlineLevel="0" collapsed="false">
      <c r="B409" s="2" t="n">
        <v>407</v>
      </c>
      <c r="C409" s="2" t="n">
        <v>0.280266933333333</v>
      </c>
      <c r="D409" s="2" t="n">
        <v>0</v>
      </c>
      <c r="E409" s="2" t="n">
        <v>0.07</v>
      </c>
    </row>
    <row r="410" customFormat="false" ht="13.8" hidden="false" customHeight="false" outlineLevel="0" collapsed="false">
      <c r="B410" s="2" t="n">
        <v>408</v>
      </c>
      <c r="C410" s="2" t="n">
        <v>0.2021338</v>
      </c>
      <c r="D410" s="2" t="n">
        <v>0</v>
      </c>
      <c r="E410" s="2" t="n">
        <v>0.07</v>
      </c>
    </row>
    <row r="411" customFormat="false" ht="13.8" hidden="false" customHeight="false" outlineLevel="0" collapsed="false">
      <c r="B411" s="2" t="n">
        <v>409</v>
      </c>
      <c r="C411" s="2" t="n">
        <v>0.233268466666667</v>
      </c>
      <c r="D411" s="2" t="n">
        <v>0</v>
      </c>
      <c r="E411" s="2" t="n">
        <v>0.07</v>
      </c>
    </row>
    <row r="412" customFormat="false" ht="13.8" hidden="false" customHeight="false" outlineLevel="0" collapsed="false">
      <c r="B412" s="2" t="n">
        <v>410</v>
      </c>
      <c r="C412" s="2" t="n">
        <v>0.178271066666667</v>
      </c>
      <c r="D412" s="2" t="n">
        <v>0</v>
      </c>
      <c r="E412" s="2" t="n">
        <v>0.07</v>
      </c>
    </row>
    <row r="413" customFormat="false" ht="13.8" hidden="false" customHeight="false" outlineLevel="0" collapsed="false">
      <c r="B413" s="2" t="n">
        <v>411</v>
      </c>
      <c r="C413" s="2" t="n">
        <v>0.2714038</v>
      </c>
      <c r="D413" s="2" t="n">
        <v>0</v>
      </c>
      <c r="E413" s="2" t="n">
        <v>0.07</v>
      </c>
    </row>
    <row r="414" customFormat="false" ht="13.8" hidden="false" customHeight="false" outlineLevel="0" collapsed="false">
      <c r="B414" s="2" t="n">
        <v>412</v>
      </c>
      <c r="C414" s="2" t="n">
        <v>0.163939066666667</v>
      </c>
      <c r="D414" s="2" t="n">
        <v>0</v>
      </c>
      <c r="E414" s="2" t="n">
        <v>0.07</v>
      </c>
    </row>
    <row r="415" customFormat="false" ht="13.8" hidden="false" customHeight="false" outlineLevel="0" collapsed="false">
      <c r="B415" s="2" t="n">
        <v>413</v>
      </c>
      <c r="C415" s="2" t="n">
        <v>0.3156074</v>
      </c>
      <c r="D415" s="2" t="n">
        <v>0</v>
      </c>
      <c r="E415" s="2" t="n">
        <v>0.07</v>
      </c>
    </row>
    <row r="416" customFormat="false" ht="13.8" hidden="false" customHeight="false" outlineLevel="0" collapsed="false">
      <c r="B416" s="2" t="n">
        <v>414</v>
      </c>
      <c r="C416" s="2" t="n">
        <v>0.1314082</v>
      </c>
      <c r="D416" s="2" t="n">
        <v>0</v>
      </c>
      <c r="E416" s="2" t="n">
        <v>0.07</v>
      </c>
    </row>
    <row r="417" customFormat="false" ht="13.8" hidden="false" customHeight="false" outlineLevel="0" collapsed="false">
      <c r="B417" s="2" t="n">
        <v>415</v>
      </c>
      <c r="C417" s="2" t="n">
        <v>0.3553376</v>
      </c>
      <c r="D417" s="2" t="n">
        <v>0</v>
      </c>
      <c r="E417" s="2" t="n">
        <v>0.07</v>
      </c>
    </row>
    <row r="418" customFormat="false" ht="13.8" hidden="false" customHeight="false" outlineLevel="0" collapsed="false">
      <c r="B418" s="2" t="n">
        <v>416</v>
      </c>
      <c r="C418" s="2" t="n">
        <v>0.113672133333333</v>
      </c>
      <c r="D418" s="2" t="n">
        <v>0</v>
      </c>
      <c r="E418" s="2" t="n">
        <v>0.07</v>
      </c>
    </row>
    <row r="419" customFormat="false" ht="13.8" hidden="false" customHeight="false" outlineLevel="0" collapsed="false">
      <c r="B419" s="2" t="n">
        <v>417</v>
      </c>
      <c r="C419" s="2" t="n">
        <v>0.325340466666667</v>
      </c>
      <c r="D419" s="2" t="n">
        <v>0</v>
      </c>
      <c r="E419" s="2" t="n">
        <v>0.07</v>
      </c>
    </row>
    <row r="420" customFormat="false" ht="13.8" hidden="false" customHeight="false" outlineLevel="0" collapsed="false">
      <c r="B420" s="2" t="n">
        <v>418</v>
      </c>
      <c r="C420" s="2" t="n">
        <v>0.1970078</v>
      </c>
      <c r="D420" s="2" t="n">
        <v>0</v>
      </c>
      <c r="E420" s="2" t="n">
        <v>0.07</v>
      </c>
    </row>
    <row r="421" customFormat="false" ht="13.8" hidden="false" customHeight="false" outlineLevel="0" collapsed="false">
      <c r="B421" s="2" t="n">
        <v>419</v>
      </c>
      <c r="C421" s="2" t="n">
        <v>0.205475733333333</v>
      </c>
      <c r="D421" s="2" t="n">
        <v>0</v>
      </c>
      <c r="E421" s="2" t="n">
        <v>0.07</v>
      </c>
    </row>
    <row r="422" customFormat="false" ht="13.8" hidden="false" customHeight="false" outlineLevel="0" collapsed="false">
      <c r="B422" s="2" t="n">
        <v>420</v>
      </c>
      <c r="C422" s="2" t="n">
        <v>0.381474733333333</v>
      </c>
      <c r="D422" s="2" t="n">
        <v>0</v>
      </c>
      <c r="E422" s="2" t="n">
        <v>0.07</v>
      </c>
    </row>
    <row r="423" customFormat="false" ht="13.8" hidden="false" customHeight="false" outlineLevel="0" collapsed="false">
      <c r="B423" s="2" t="n">
        <v>421</v>
      </c>
      <c r="C423" s="2" t="n">
        <v>0.0803418666666667</v>
      </c>
      <c r="D423" s="2" t="n">
        <v>0</v>
      </c>
      <c r="E423" s="2" t="n">
        <v>0.07</v>
      </c>
    </row>
    <row r="424" customFormat="false" ht="13.8" hidden="false" customHeight="false" outlineLevel="0" collapsed="false">
      <c r="B424" s="2" t="n">
        <v>422</v>
      </c>
      <c r="C424" s="2" t="n">
        <v>0.317541266666667</v>
      </c>
      <c r="D424" s="2" t="n">
        <v>0</v>
      </c>
      <c r="E424" s="2" t="n">
        <v>0.07</v>
      </c>
    </row>
    <row r="425" customFormat="false" ht="13.8" hidden="false" customHeight="false" outlineLevel="0" collapsed="false">
      <c r="B425" s="2" t="n">
        <v>423</v>
      </c>
      <c r="C425" s="2" t="n">
        <v>0.252206933333333</v>
      </c>
      <c r="D425" s="2" t="n">
        <v>0</v>
      </c>
      <c r="E425" s="2" t="n">
        <v>0.07</v>
      </c>
    </row>
    <row r="426" customFormat="false" ht="13.8" hidden="false" customHeight="false" outlineLevel="0" collapsed="false">
      <c r="B426" s="2" t="n">
        <v>424</v>
      </c>
      <c r="C426" s="2" t="n">
        <v>0.329007666666667</v>
      </c>
      <c r="D426" s="2" t="n">
        <v>0</v>
      </c>
      <c r="E426" s="2" t="n">
        <v>0.07</v>
      </c>
    </row>
    <row r="427" customFormat="false" ht="13.8" hidden="false" customHeight="false" outlineLevel="0" collapsed="false">
      <c r="B427" s="2" t="n">
        <v>425</v>
      </c>
      <c r="C427" s="2" t="n">
        <v>0.235008266666667</v>
      </c>
      <c r="D427" s="2" t="n">
        <v>0</v>
      </c>
      <c r="E427" s="2" t="n">
        <v>0.07</v>
      </c>
    </row>
    <row r="428" customFormat="false" ht="13.8" hidden="false" customHeight="false" outlineLevel="0" collapsed="false">
      <c r="B428" s="2" t="n">
        <v>426</v>
      </c>
      <c r="C428" s="2" t="n">
        <v>0.109009</v>
      </c>
      <c r="D428" s="2" t="n">
        <v>0</v>
      </c>
      <c r="E428" s="2" t="n">
        <v>0.0040002</v>
      </c>
    </row>
    <row r="429" customFormat="false" ht="13.8" hidden="false" customHeight="false" outlineLevel="0" collapsed="false">
      <c r="B429" s="2" t="n">
        <v>427</v>
      </c>
      <c r="C429" s="2" t="n">
        <v>0.347674333333333</v>
      </c>
      <c r="D429" s="2" t="n">
        <v>0</v>
      </c>
      <c r="E429" s="2" t="n">
        <v>0.135</v>
      </c>
    </row>
    <row r="430" customFormat="false" ht="13.8" hidden="false" customHeight="false" outlineLevel="0" collapsed="false">
      <c r="B430" s="2" t="n">
        <v>428</v>
      </c>
      <c r="C430" s="2" t="n">
        <v>0.192005666666667</v>
      </c>
      <c r="D430" s="2" t="n">
        <v>0</v>
      </c>
      <c r="E430" s="2" t="n">
        <v>0.135</v>
      </c>
    </row>
    <row r="431" customFormat="false" ht="13.8" hidden="false" customHeight="false" outlineLevel="0" collapsed="false">
      <c r="B431" s="2" t="n">
        <v>429</v>
      </c>
      <c r="C431" s="2" t="n">
        <v>0.353870933333333</v>
      </c>
      <c r="D431" s="2" t="n">
        <v>0</v>
      </c>
      <c r="E431" s="2" t="n">
        <v>0.135</v>
      </c>
    </row>
    <row r="432" customFormat="false" ht="13.8" hidden="false" customHeight="false" outlineLevel="0" collapsed="false">
      <c r="B432" s="2" t="n">
        <v>430</v>
      </c>
      <c r="C432" s="2" t="n">
        <v>0.199471133333333</v>
      </c>
      <c r="D432" s="2" t="n">
        <v>0</v>
      </c>
      <c r="E432" s="2" t="n">
        <v>0.135</v>
      </c>
    </row>
    <row r="433" customFormat="false" ht="13.8" hidden="false" customHeight="false" outlineLevel="0" collapsed="false">
      <c r="B433" s="2" t="n">
        <v>431</v>
      </c>
      <c r="C433" s="2" t="n">
        <v>0.3480038</v>
      </c>
      <c r="D433" s="2" t="n">
        <v>0</v>
      </c>
      <c r="E433" s="2" t="n">
        <v>0.000667533333333333</v>
      </c>
    </row>
    <row r="434" customFormat="false" ht="13.8" hidden="false" customHeight="false" outlineLevel="0" collapsed="false">
      <c r="B434" s="2" t="n">
        <v>432</v>
      </c>
      <c r="C434" s="2" t="n">
        <v>0.193004</v>
      </c>
      <c r="D434" s="2" t="n">
        <v>0</v>
      </c>
      <c r="E434" s="2" t="n">
        <v>0.0010008</v>
      </c>
    </row>
    <row r="435" customFormat="false" ht="13.8" hidden="false" customHeight="false" outlineLevel="0" collapsed="false">
      <c r="B435" s="2" t="n">
        <v>433</v>
      </c>
      <c r="C435" s="2" t="n">
        <v>0.250472466666667</v>
      </c>
      <c r="D435" s="2" t="n">
        <v>0</v>
      </c>
      <c r="E435" s="2" t="n">
        <v>0.109</v>
      </c>
    </row>
    <row r="436" customFormat="false" ht="13.8" hidden="false" customHeight="false" outlineLevel="0" collapsed="false">
      <c r="B436" s="2" t="n">
        <v>434</v>
      </c>
      <c r="C436" s="2" t="n">
        <v>0.281006666666667</v>
      </c>
      <c r="D436" s="2" t="n">
        <v>0</v>
      </c>
      <c r="E436" s="2" t="n">
        <v>0.161</v>
      </c>
    </row>
    <row r="437" customFormat="false" ht="13.8" hidden="false" customHeight="false" outlineLevel="0" collapsed="false">
      <c r="B437" s="2" t="n">
        <v>435</v>
      </c>
      <c r="C437" s="2" t="n">
        <v>0.300808333333333</v>
      </c>
      <c r="D437" s="2" t="n">
        <v>0</v>
      </c>
      <c r="E437" s="2" t="n">
        <v>0.109</v>
      </c>
    </row>
    <row r="438" customFormat="false" ht="13.8" hidden="false" customHeight="false" outlineLevel="0" collapsed="false">
      <c r="B438" s="2" t="n">
        <v>436</v>
      </c>
      <c r="C438" s="2" t="n">
        <v>0.244009</v>
      </c>
      <c r="D438" s="2" t="n">
        <v>0</v>
      </c>
      <c r="E438" s="2" t="n">
        <v>0.161</v>
      </c>
    </row>
    <row r="439" customFormat="false" ht="13.8" hidden="false" customHeight="false" outlineLevel="0" collapsed="false">
      <c r="B439" s="2" t="n">
        <v>437</v>
      </c>
      <c r="C439" s="2" t="n">
        <v>0.296009</v>
      </c>
      <c r="D439" s="2" t="n">
        <v>0</v>
      </c>
      <c r="E439" s="2" t="n">
        <v>0.109</v>
      </c>
    </row>
    <row r="440" customFormat="false" ht="13.8" hidden="false" customHeight="false" outlineLevel="0" collapsed="false">
      <c r="B440" s="2" t="n">
        <v>438</v>
      </c>
      <c r="C440" s="2" t="n">
        <v>0.2466752</v>
      </c>
      <c r="D440" s="2" t="n">
        <v>0</v>
      </c>
      <c r="E440" s="2" t="n">
        <v>0.0140008</v>
      </c>
    </row>
    <row r="441" customFormat="false" ht="13.8" hidden="false" customHeight="false" outlineLevel="0" collapsed="false">
      <c r="B441" s="2" t="n">
        <v>439</v>
      </c>
      <c r="C441" s="2" t="n">
        <v>0.302404466666667</v>
      </c>
      <c r="D441" s="2" t="n">
        <v>0</v>
      </c>
      <c r="E441" s="2" t="n">
        <v>0.096</v>
      </c>
    </row>
    <row r="442" customFormat="false" ht="13.8" hidden="false" customHeight="false" outlineLevel="0" collapsed="false">
      <c r="B442" s="2" t="n">
        <v>440</v>
      </c>
      <c r="C442" s="2" t="n">
        <v>0.2440048</v>
      </c>
      <c r="D442" s="2" t="n">
        <v>0</v>
      </c>
      <c r="E442" s="2" t="n">
        <v>0.173666733333333</v>
      </c>
    </row>
    <row r="443" customFormat="false" ht="13.8" hidden="false" customHeight="false" outlineLevel="0" collapsed="false">
      <c r="B443" s="2" t="n">
        <v>441</v>
      </c>
      <c r="C443" s="2" t="n">
        <v>0.303003533333333</v>
      </c>
      <c r="D443" s="2" t="n">
        <v>0</v>
      </c>
      <c r="E443" s="2" t="n">
        <v>0.07</v>
      </c>
    </row>
    <row r="444" customFormat="false" ht="13.8" hidden="false" customHeight="false" outlineLevel="0" collapsed="false">
      <c r="B444" s="2" t="n">
        <v>442</v>
      </c>
      <c r="C444" s="2" t="n">
        <v>0.251070133333333</v>
      </c>
      <c r="D444" s="2" t="n">
        <v>0</v>
      </c>
      <c r="E444" s="2" t="n">
        <v>0.2</v>
      </c>
    </row>
    <row r="445" customFormat="false" ht="13.8" hidden="false" customHeight="false" outlineLevel="0" collapsed="false">
      <c r="B445" s="2" t="n">
        <v>443</v>
      </c>
      <c r="C445" s="2" t="n">
        <v>0.269269866666667</v>
      </c>
      <c r="D445" s="2" t="n">
        <v>0</v>
      </c>
      <c r="E445" s="2" t="n">
        <v>0.00233386666666667</v>
      </c>
    </row>
    <row r="446" customFormat="false" ht="13.8" hidden="false" customHeight="false" outlineLevel="0" collapsed="false">
      <c r="B446" s="2" t="n">
        <v>444</v>
      </c>
      <c r="C446" s="2" t="n">
        <v>0.162335866666667</v>
      </c>
      <c r="D446" s="2" t="n">
        <v>0</v>
      </c>
      <c r="E446" s="2" t="n">
        <v>0.0433334666666667</v>
      </c>
    </row>
    <row r="447" customFormat="false" ht="13.8" hidden="false" customHeight="false" outlineLevel="0" collapsed="false">
      <c r="B447" s="2" t="n">
        <v>445</v>
      </c>
      <c r="C447" s="2" t="n">
        <v>0.362667333333333</v>
      </c>
      <c r="D447" s="2" t="n">
        <v>0</v>
      </c>
      <c r="E447" s="2" t="n">
        <v>0.2</v>
      </c>
    </row>
    <row r="448" customFormat="false" ht="13.8" hidden="false" customHeight="false" outlineLevel="0" collapsed="false">
      <c r="B448" s="2" t="n">
        <v>446</v>
      </c>
      <c r="C448" s="2" t="n">
        <v>0.179001</v>
      </c>
      <c r="D448" s="2" t="n">
        <v>0</v>
      </c>
      <c r="E448" s="2" t="n">
        <v>0.07</v>
      </c>
    </row>
    <row r="449" customFormat="false" ht="13.8" hidden="false" customHeight="false" outlineLevel="0" collapsed="false">
      <c r="B449" s="2" t="n">
        <v>447</v>
      </c>
      <c r="C449" s="2" t="n">
        <v>0.364333666666667</v>
      </c>
      <c r="D449" s="2" t="n">
        <v>0</v>
      </c>
      <c r="E449" s="2" t="n">
        <v>0.2</v>
      </c>
    </row>
    <row r="450" customFormat="false" ht="13.8" hidden="false" customHeight="false" outlineLevel="0" collapsed="false">
      <c r="B450" s="2" t="n">
        <v>448</v>
      </c>
      <c r="C450" s="2" t="n">
        <v>0.128334066666667</v>
      </c>
      <c r="D450" s="2" t="n">
        <v>0</v>
      </c>
      <c r="E450" s="2" t="n">
        <v>0.07</v>
      </c>
    </row>
    <row r="451" customFormat="false" ht="13.8" hidden="false" customHeight="false" outlineLevel="0" collapsed="false">
      <c r="B451" s="2" t="n">
        <v>449</v>
      </c>
      <c r="C451" s="2" t="n">
        <v>0.3650002</v>
      </c>
      <c r="D451" s="2" t="n">
        <v>0</v>
      </c>
      <c r="E451" s="2" t="n">
        <v>0.2</v>
      </c>
    </row>
    <row r="452" customFormat="false" ht="13.8" hidden="false" customHeight="false" outlineLevel="0" collapsed="false">
      <c r="B452" s="2" t="n">
        <v>450</v>
      </c>
      <c r="C452" s="2" t="n">
        <v>0.209001266666667</v>
      </c>
      <c r="D452" s="2" t="n">
        <v>0</v>
      </c>
      <c r="E452" s="2" t="n">
        <v>0.07</v>
      </c>
    </row>
    <row r="453" customFormat="false" ht="13.8" hidden="false" customHeight="false" outlineLevel="0" collapsed="false">
      <c r="B453" s="2" t="n">
        <v>451</v>
      </c>
      <c r="C453" s="2" t="n">
        <v>0.4010012</v>
      </c>
      <c r="D453" s="2" t="n">
        <v>0</v>
      </c>
      <c r="E453" s="2" t="n">
        <v>0.2</v>
      </c>
    </row>
    <row r="454" customFormat="false" ht="13.8" hidden="false" customHeight="false" outlineLevel="0" collapsed="false">
      <c r="B454" s="2" t="n">
        <v>452</v>
      </c>
      <c r="C454" s="2" t="n">
        <v>0.179002</v>
      </c>
      <c r="D454" s="2" t="n">
        <v>0</v>
      </c>
      <c r="E454" s="2" t="n">
        <v>0.07</v>
      </c>
    </row>
    <row r="455" customFormat="false" ht="13.8" hidden="false" customHeight="false" outlineLevel="0" collapsed="false">
      <c r="B455" s="2" t="n">
        <v>453</v>
      </c>
      <c r="C455" s="2" t="n">
        <v>0.361002</v>
      </c>
      <c r="D455" s="2" t="n">
        <v>0</v>
      </c>
      <c r="E455" s="2" t="n">
        <v>0.200000266666667</v>
      </c>
    </row>
    <row r="456" customFormat="false" ht="13.8" hidden="false" customHeight="false" outlineLevel="0" collapsed="false">
      <c r="B456" s="2" t="n">
        <v>454</v>
      </c>
      <c r="C456" s="2" t="n">
        <v>0.188334866666667</v>
      </c>
      <c r="D456" s="2" t="n">
        <v>0</v>
      </c>
      <c r="E456" s="2" t="n">
        <v>0.0908002</v>
      </c>
    </row>
    <row r="457" customFormat="false" ht="13.8" hidden="false" customHeight="false" outlineLevel="0" collapsed="false">
      <c r="B457" s="2" t="n">
        <v>455</v>
      </c>
      <c r="C457" s="2" t="n">
        <v>0.354335</v>
      </c>
      <c r="D457" s="2" t="n">
        <v>0</v>
      </c>
      <c r="E457" s="2" t="n">
        <v>0.2520002</v>
      </c>
    </row>
    <row r="458" customFormat="false" ht="13.8" hidden="false" customHeight="false" outlineLevel="0" collapsed="false">
      <c r="B458" s="2" t="n">
        <v>456</v>
      </c>
      <c r="C458" s="2" t="n">
        <v>0.193803133333333</v>
      </c>
      <c r="D458" s="2" t="n">
        <v>0</v>
      </c>
      <c r="E458" s="2" t="n">
        <v>0.0700004666666667</v>
      </c>
    </row>
    <row r="459" customFormat="false" ht="13.8" hidden="false" customHeight="false" outlineLevel="0" collapsed="false">
      <c r="B459" s="2" t="n">
        <v>457</v>
      </c>
      <c r="C459" s="2" t="n">
        <v>0.235006066666667</v>
      </c>
      <c r="D459" s="2" t="n">
        <v>0.32</v>
      </c>
      <c r="E459" s="2" t="n">
        <v>0.2</v>
      </c>
    </row>
    <row r="460" customFormat="false" ht="13.8" hidden="false" customHeight="false" outlineLevel="0" collapsed="false">
      <c r="B460" s="2" t="n">
        <v>458</v>
      </c>
      <c r="C460" s="2" t="n">
        <v>0.197942</v>
      </c>
      <c r="D460" s="2" t="n">
        <v>0.4</v>
      </c>
      <c r="E460" s="2" t="n">
        <v>0.07</v>
      </c>
    </row>
    <row r="461" customFormat="false" ht="13.8" hidden="false" customHeight="false" outlineLevel="0" collapsed="false">
      <c r="B461" s="2" t="n">
        <v>459</v>
      </c>
      <c r="C461" s="2" t="n">
        <v>0.316074733333333</v>
      </c>
      <c r="D461" s="2" t="n">
        <v>0.4</v>
      </c>
      <c r="E461" s="2" t="n">
        <v>0.2</v>
      </c>
    </row>
    <row r="462" customFormat="false" ht="13.8" hidden="false" customHeight="false" outlineLevel="0" collapsed="false">
      <c r="B462" s="2" t="n">
        <v>460</v>
      </c>
      <c r="C462" s="2" t="n">
        <v>0.2840106</v>
      </c>
      <c r="D462" s="2" t="n">
        <v>0.4</v>
      </c>
      <c r="E462" s="2" t="n">
        <v>0.07</v>
      </c>
    </row>
    <row r="463" customFormat="false" ht="13.8" hidden="false" customHeight="false" outlineLevel="0" collapsed="false">
      <c r="B463" s="2" t="n">
        <v>461</v>
      </c>
      <c r="C463" s="2" t="n">
        <v>0.344210133333333</v>
      </c>
      <c r="D463" s="2" t="n">
        <v>0.4</v>
      </c>
      <c r="E463" s="2" t="n">
        <v>0.2</v>
      </c>
    </row>
    <row r="464" customFormat="false" ht="13.8" hidden="false" customHeight="false" outlineLevel="0" collapsed="false">
      <c r="B464" s="2" t="n">
        <v>462</v>
      </c>
      <c r="C464" s="2" t="n">
        <v>0.284479533333333</v>
      </c>
      <c r="D464" s="2" t="n">
        <v>0.4</v>
      </c>
      <c r="E464" s="2" t="n">
        <v>0.07</v>
      </c>
    </row>
    <row r="465" customFormat="false" ht="13.8" hidden="false" customHeight="false" outlineLevel="0" collapsed="false">
      <c r="B465" s="2" t="n">
        <v>463</v>
      </c>
      <c r="C465" s="2" t="n">
        <v>0.4180786</v>
      </c>
      <c r="D465" s="2" t="n">
        <v>0.4</v>
      </c>
      <c r="E465" s="2" t="n">
        <v>0.2</v>
      </c>
    </row>
    <row r="466" customFormat="false" ht="13.8" hidden="false" customHeight="false" outlineLevel="0" collapsed="false">
      <c r="B466" s="2" t="n">
        <v>464</v>
      </c>
      <c r="C466" s="2" t="n">
        <v>0.410611533333333</v>
      </c>
      <c r="D466" s="2" t="n">
        <v>0.4</v>
      </c>
      <c r="E466" s="2" t="n">
        <v>0.07</v>
      </c>
    </row>
    <row r="467" customFormat="false" ht="13.8" hidden="false" customHeight="false" outlineLevel="0" collapsed="false">
      <c r="B467" s="2" t="n">
        <v>465</v>
      </c>
      <c r="C467" s="2" t="n">
        <v>0.4696804</v>
      </c>
      <c r="D467" s="2" t="n">
        <v>0.4</v>
      </c>
      <c r="E467" s="2" t="n">
        <v>0.2</v>
      </c>
    </row>
    <row r="468" customFormat="false" ht="13.8" hidden="false" customHeight="false" outlineLevel="0" collapsed="false">
      <c r="B468" s="2" t="n">
        <v>466</v>
      </c>
      <c r="C468" s="2" t="n">
        <v>0.309616733333333</v>
      </c>
      <c r="D468" s="2" t="n">
        <v>0.4</v>
      </c>
      <c r="E468" s="2" t="n">
        <v>0.0276673333333333</v>
      </c>
    </row>
    <row r="469" customFormat="false" ht="13.8" hidden="false" customHeight="false" outlineLevel="0" collapsed="false">
      <c r="B469" s="2" t="n">
        <v>467</v>
      </c>
      <c r="C469" s="2" t="n">
        <v>0.4038838</v>
      </c>
      <c r="D469" s="2" t="n">
        <v>0.4</v>
      </c>
      <c r="E469" s="2" t="n">
        <v>0.0266675333333333</v>
      </c>
    </row>
    <row r="470" customFormat="false" ht="13.8" hidden="false" customHeight="false" outlineLevel="0" collapsed="false">
      <c r="B470" s="2" t="n">
        <v>468</v>
      </c>
      <c r="C470" s="2" t="n">
        <v>0.3110816</v>
      </c>
      <c r="D470" s="2" t="n">
        <v>0.4</v>
      </c>
      <c r="E470" s="2" t="n">
        <v>0.109</v>
      </c>
    </row>
    <row r="471" customFormat="false" ht="13.8" hidden="false" customHeight="false" outlineLevel="0" collapsed="false">
      <c r="B471" s="2" t="n">
        <v>469</v>
      </c>
      <c r="C471" s="2" t="n">
        <v>0.3575508</v>
      </c>
      <c r="D471" s="2" t="n">
        <v>0.4</v>
      </c>
      <c r="E471" s="2" t="n">
        <v>0.031</v>
      </c>
    </row>
    <row r="472" customFormat="false" ht="13.8" hidden="false" customHeight="false" outlineLevel="0" collapsed="false">
      <c r="B472" s="2" t="n">
        <v>470</v>
      </c>
      <c r="C472" s="2" t="n">
        <v>0.3988148</v>
      </c>
      <c r="D472" s="2" t="n">
        <v>0.4</v>
      </c>
      <c r="E472" s="2" t="n">
        <v>0.109</v>
      </c>
    </row>
    <row r="473" customFormat="false" ht="13.8" hidden="false" customHeight="false" outlineLevel="0" collapsed="false">
      <c r="B473" s="2" t="n">
        <v>471</v>
      </c>
      <c r="C473" s="2" t="n">
        <v>0.251016533333333</v>
      </c>
      <c r="D473" s="2" t="n">
        <v>0.4</v>
      </c>
      <c r="E473" s="2" t="n">
        <v>0.031</v>
      </c>
    </row>
    <row r="474" customFormat="false" ht="13.8" hidden="false" customHeight="false" outlineLevel="0" collapsed="false">
      <c r="B474" s="2" t="n">
        <v>472</v>
      </c>
      <c r="C474" s="2" t="n">
        <v>0.3660162</v>
      </c>
      <c r="D474" s="2" t="n">
        <v>0.4</v>
      </c>
      <c r="E474" s="2" t="n">
        <v>0.109</v>
      </c>
    </row>
    <row r="475" customFormat="false" ht="13.8" hidden="false" customHeight="false" outlineLevel="0" collapsed="false">
      <c r="B475" s="2" t="n">
        <v>473</v>
      </c>
      <c r="C475" s="2" t="n">
        <v>0.264415266666667</v>
      </c>
      <c r="D475" s="2" t="n">
        <v>0.4</v>
      </c>
      <c r="E475" s="2" t="n">
        <v>0.031</v>
      </c>
    </row>
    <row r="476" customFormat="false" ht="13.8" hidden="false" customHeight="false" outlineLevel="0" collapsed="false">
      <c r="B476" s="2" t="n">
        <v>474</v>
      </c>
      <c r="C476" s="2" t="n">
        <v>0.368682066666667</v>
      </c>
      <c r="D476" s="2" t="n">
        <v>0.4</v>
      </c>
      <c r="E476" s="2" t="n">
        <v>0.109</v>
      </c>
    </row>
    <row r="477" customFormat="false" ht="13.8" hidden="false" customHeight="false" outlineLevel="0" collapsed="false">
      <c r="B477" s="2" t="n">
        <v>475</v>
      </c>
      <c r="C477" s="2" t="n">
        <v>0.217681466666667</v>
      </c>
      <c r="D477" s="2" t="n">
        <v>0.4</v>
      </c>
      <c r="E477" s="2" t="n">
        <v>0.0176667333333333</v>
      </c>
    </row>
    <row r="478" customFormat="false" ht="13.8" hidden="false" customHeight="false" outlineLevel="0" collapsed="false">
      <c r="B478" s="2" t="n">
        <v>476</v>
      </c>
      <c r="C478" s="2" t="n">
        <v>0.222816733333333</v>
      </c>
      <c r="D478" s="2" t="n">
        <v>0.4</v>
      </c>
      <c r="E478" s="2" t="n">
        <v>1E-006</v>
      </c>
    </row>
    <row r="479" customFormat="false" ht="13.8" hidden="false" customHeight="false" outlineLevel="0" collapsed="false">
      <c r="B479" s="2" t="n">
        <v>477</v>
      </c>
      <c r="C479" s="2" t="n">
        <v>0.1213446</v>
      </c>
      <c r="D479" s="2" t="n">
        <v>0.4</v>
      </c>
      <c r="E479" s="2" t="n">
        <v>0.133666933333333</v>
      </c>
    </row>
    <row r="480" customFormat="false" ht="13.8" hidden="false" customHeight="false" outlineLevel="0" collapsed="false">
      <c r="B480" s="2" t="n">
        <v>478</v>
      </c>
      <c r="C480" s="2" t="n">
        <v>0.212876466666667</v>
      </c>
      <c r="D480" s="2" t="n">
        <v>0.4</v>
      </c>
      <c r="E480" s="2" t="n">
        <v>0.005</v>
      </c>
    </row>
    <row r="481" customFormat="false" ht="13.8" hidden="false" customHeight="false" outlineLevel="0" collapsed="false">
      <c r="B481" s="2" t="n">
        <v>479</v>
      </c>
      <c r="C481" s="2" t="n">
        <v>0.181276066666667</v>
      </c>
      <c r="D481" s="2" t="n">
        <v>0.4</v>
      </c>
      <c r="E481" s="2" t="n">
        <v>0.135</v>
      </c>
    </row>
    <row r="482" customFormat="false" ht="13.8" hidden="false" customHeight="false" outlineLevel="0" collapsed="false">
      <c r="B482" s="2" t="n">
        <v>480</v>
      </c>
      <c r="C482" s="2" t="n">
        <v>0.06048</v>
      </c>
      <c r="D482" s="2" t="n">
        <v>0.4</v>
      </c>
      <c r="E482" s="2" t="n">
        <v>0.0040002</v>
      </c>
    </row>
    <row r="483" customFormat="false" ht="13.8" hidden="false" customHeight="false" outlineLevel="0" collapsed="false">
      <c r="B483" s="2" t="n">
        <v>481</v>
      </c>
      <c r="C483" s="2" t="n">
        <v>0.0340778</v>
      </c>
      <c r="D483" s="2" t="n">
        <v>0.266666666666667</v>
      </c>
      <c r="E483" s="2" t="n">
        <v>1E-006</v>
      </c>
    </row>
    <row r="484" customFormat="false" ht="13.8" hidden="false" customHeight="false" outlineLevel="0" collapsed="false">
      <c r="B484" s="2" t="n">
        <v>482</v>
      </c>
      <c r="C484" s="2" t="n">
        <v>0.153077266666667</v>
      </c>
      <c r="D484" s="2" t="n">
        <v>0.4</v>
      </c>
      <c r="E484" s="2" t="n">
        <v>0.00333366666666667</v>
      </c>
    </row>
    <row r="485" customFormat="false" ht="13.8" hidden="false" customHeight="false" outlineLevel="0" collapsed="false">
      <c r="B485" s="2" t="n">
        <v>483</v>
      </c>
      <c r="C485" s="2" t="n">
        <v>0.2802726</v>
      </c>
      <c r="D485" s="2" t="n">
        <v>0.4</v>
      </c>
      <c r="E485" s="2" t="n">
        <v>0.07</v>
      </c>
    </row>
    <row r="486" customFormat="false" ht="13.8" hidden="false" customHeight="false" outlineLevel="0" collapsed="false">
      <c r="B486" s="2" t="n">
        <v>484</v>
      </c>
      <c r="C486" s="2" t="n">
        <v>0.1638712</v>
      </c>
      <c r="D486" s="2" t="n">
        <v>0.4</v>
      </c>
      <c r="E486" s="2" t="n">
        <v>0.0696667333333333</v>
      </c>
    </row>
    <row r="487" customFormat="false" ht="13.8" hidden="false" customHeight="false" outlineLevel="0" collapsed="false">
      <c r="B487" s="2" t="n">
        <v>485</v>
      </c>
      <c r="C487" s="2" t="n">
        <v>0.2079348</v>
      </c>
      <c r="D487" s="2" t="n">
        <v>0.4</v>
      </c>
      <c r="E487" s="2" t="n">
        <v>0.057</v>
      </c>
    </row>
    <row r="488" customFormat="false" ht="13.8" hidden="false" customHeight="false" outlineLevel="0" collapsed="false">
      <c r="B488" s="2" t="n">
        <v>486</v>
      </c>
      <c r="C488" s="2" t="n">
        <v>0.0634012</v>
      </c>
      <c r="D488" s="2" t="n">
        <v>0.4</v>
      </c>
      <c r="E488" s="2" t="n">
        <v>0.083</v>
      </c>
    </row>
    <row r="489" customFormat="false" ht="13.8" hidden="false" customHeight="false" outlineLevel="0" collapsed="false">
      <c r="B489" s="2" t="n">
        <v>487</v>
      </c>
      <c r="C489" s="2" t="n">
        <v>0.0840020666666667</v>
      </c>
      <c r="D489" s="2" t="n">
        <v>0.4</v>
      </c>
      <c r="E489" s="2" t="n">
        <v>0.057</v>
      </c>
    </row>
    <row r="490" customFormat="false" ht="13.8" hidden="false" customHeight="false" outlineLevel="0" collapsed="false">
      <c r="B490" s="2" t="n">
        <v>488</v>
      </c>
      <c r="C490" s="2" t="n">
        <v>0.0494002</v>
      </c>
      <c r="D490" s="2" t="n">
        <v>0.4</v>
      </c>
      <c r="E490" s="2" t="n">
        <v>0.083</v>
      </c>
    </row>
    <row r="491" customFormat="false" ht="13.8" hidden="false" customHeight="false" outlineLevel="0" collapsed="false">
      <c r="B491" s="2" t="n">
        <v>489</v>
      </c>
      <c r="C491" s="2" t="n">
        <v>0.3761334</v>
      </c>
      <c r="D491" s="2" t="n">
        <v>0.4</v>
      </c>
      <c r="E491" s="2" t="n">
        <v>0.057</v>
      </c>
    </row>
    <row r="492" customFormat="false" ht="13.8" hidden="false" customHeight="false" outlineLevel="0" collapsed="false">
      <c r="B492" s="2" t="n">
        <v>490</v>
      </c>
      <c r="C492" s="2" t="n">
        <v>0.0479334666666667</v>
      </c>
      <c r="D492" s="2" t="n">
        <v>0.4</v>
      </c>
      <c r="E492" s="2" t="n">
        <v>0.083</v>
      </c>
    </row>
    <row r="493" customFormat="false" ht="13.8" hidden="false" customHeight="false" outlineLevel="0" collapsed="false">
      <c r="B493" s="2" t="n">
        <v>491</v>
      </c>
      <c r="C493" s="2" t="n">
        <v>0.3594668</v>
      </c>
      <c r="D493" s="2" t="n">
        <v>0.4</v>
      </c>
      <c r="E493" s="2" t="n">
        <v>0.057</v>
      </c>
    </row>
    <row r="494" customFormat="false" ht="13.8" hidden="false" customHeight="false" outlineLevel="0" collapsed="false">
      <c r="B494" s="2" t="n">
        <v>492</v>
      </c>
      <c r="C494" s="2" t="n">
        <v>0.0564006666666667</v>
      </c>
      <c r="D494" s="2" t="n">
        <v>0.4</v>
      </c>
      <c r="E494" s="2" t="n">
        <v>0.083</v>
      </c>
    </row>
    <row r="495" customFormat="false" ht="13.8" hidden="false" customHeight="false" outlineLevel="0" collapsed="false">
      <c r="B495" s="2" t="n">
        <v>493</v>
      </c>
      <c r="C495" s="2" t="n">
        <v>0.403467333333333</v>
      </c>
      <c r="D495" s="2" t="n">
        <v>0.4</v>
      </c>
      <c r="E495" s="2" t="n">
        <v>0.057</v>
      </c>
    </row>
    <row r="496" customFormat="false" ht="13.8" hidden="false" customHeight="false" outlineLevel="0" collapsed="false">
      <c r="B496" s="2" t="n">
        <v>494</v>
      </c>
      <c r="C496" s="2" t="n">
        <v>0.172733933333333</v>
      </c>
      <c r="D496" s="2" t="n">
        <v>0.4</v>
      </c>
      <c r="E496" s="2" t="n">
        <v>0.083</v>
      </c>
    </row>
    <row r="497" customFormat="false" ht="13.8" hidden="false" customHeight="false" outlineLevel="0" collapsed="false">
      <c r="B497" s="2" t="n">
        <v>495</v>
      </c>
      <c r="C497" s="2" t="n">
        <v>0.414000333333333</v>
      </c>
      <c r="D497" s="2" t="n">
        <v>0.4</v>
      </c>
      <c r="E497" s="2" t="n">
        <v>0.057</v>
      </c>
    </row>
    <row r="498" customFormat="false" ht="13.8" hidden="false" customHeight="false" outlineLevel="0" collapsed="false">
      <c r="B498" s="2" t="n">
        <v>496</v>
      </c>
      <c r="C498" s="2" t="n">
        <v>0.152000933333333</v>
      </c>
      <c r="D498" s="2" t="n">
        <v>0.4</v>
      </c>
      <c r="E498" s="2" t="n">
        <v>0.083</v>
      </c>
    </row>
    <row r="499" customFormat="false" ht="13.8" hidden="false" customHeight="false" outlineLevel="0" collapsed="false">
      <c r="B499" s="2" t="n">
        <v>497</v>
      </c>
      <c r="C499" s="2" t="n">
        <v>0.395267133333333</v>
      </c>
      <c r="D499" s="2" t="n">
        <v>0.4</v>
      </c>
      <c r="E499" s="2" t="n">
        <v>0.057</v>
      </c>
    </row>
    <row r="500" customFormat="false" ht="13.8" hidden="false" customHeight="false" outlineLevel="0" collapsed="false">
      <c r="B500" s="2" t="n">
        <v>498</v>
      </c>
      <c r="C500" s="2" t="n">
        <v>0.127334066666667</v>
      </c>
      <c r="D500" s="2" t="n">
        <v>0.4</v>
      </c>
      <c r="E500" s="2" t="n">
        <v>0.083</v>
      </c>
    </row>
    <row r="501" customFormat="false" ht="13.8" hidden="false" customHeight="false" outlineLevel="0" collapsed="false">
      <c r="B501" s="2" t="n">
        <v>499</v>
      </c>
      <c r="C501" s="2" t="n">
        <v>0.3684668</v>
      </c>
      <c r="D501" s="2" t="n">
        <v>0.4</v>
      </c>
      <c r="E501" s="2" t="n">
        <v>0.057</v>
      </c>
    </row>
    <row r="502" customFormat="false" ht="13.8" hidden="false" customHeight="false" outlineLevel="0" collapsed="false">
      <c r="B502" s="2" t="n">
        <v>500</v>
      </c>
      <c r="C502" s="2" t="n">
        <v>0.122</v>
      </c>
      <c r="D502" s="2" t="n">
        <v>0.4</v>
      </c>
      <c r="E502" s="2" t="n">
        <v>0.083</v>
      </c>
    </row>
    <row r="503" customFormat="false" ht="13.8" hidden="false" customHeight="false" outlineLevel="0" collapsed="false">
      <c r="B503" s="2" t="n">
        <v>501</v>
      </c>
      <c r="C503" s="2" t="n">
        <v>0.368200533333333</v>
      </c>
      <c r="D503" s="2" t="n">
        <v>0.4</v>
      </c>
      <c r="E503" s="2" t="n">
        <v>0.057</v>
      </c>
    </row>
    <row r="504" customFormat="false" ht="13.8" hidden="false" customHeight="false" outlineLevel="0" collapsed="false">
      <c r="B504" s="2" t="n">
        <v>502</v>
      </c>
      <c r="C504" s="2" t="n">
        <v>0.1252002</v>
      </c>
      <c r="D504" s="2" t="n">
        <v>0.4</v>
      </c>
      <c r="E504" s="2" t="n">
        <v>0.083</v>
      </c>
    </row>
    <row r="505" customFormat="false" ht="13.8" hidden="false" customHeight="false" outlineLevel="0" collapsed="false">
      <c r="B505" s="2" t="n">
        <v>503</v>
      </c>
      <c r="C505" s="2" t="n">
        <v>0.3684674</v>
      </c>
      <c r="D505" s="2" t="n">
        <v>0.346666666666667</v>
      </c>
      <c r="E505" s="2" t="n">
        <v>0.00266713333333333</v>
      </c>
    </row>
    <row r="506" customFormat="false" ht="13.8" hidden="false" customHeight="false" outlineLevel="0" collapsed="false">
      <c r="B506" s="2" t="n">
        <v>504</v>
      </c>
      <c r="C506" s="2" t="n">
        <v>0.120400066666667</v>
      </c>
      <c r="D506" s="2" t="n">
        <v>0</v>
      </c>
      <c r="E506" s="2" t="n">
        <v>0.00133406666666667</v>
      </c>
    </row>
    <row r="507" customFormat="false" ht="13.8" hidden="false" customHeight="false" outlineLevel="0" collapsed="false">
      <c r="B507" s="2" t="n">
        <v>505</v>
      </c>
      <c r="C507" s="2" t="n">
        <v>0.365</v>
      </c>
      <c r="D507" s="2" t="n">
        <v>0</v>
      </c>
      <c r="E507" s="2" t="n">
        <v>0.005</v>
      </c>
    </row>
    <row r="508" customFormat="false" ht="13.8" hidden="false" customHeight="false" outlineLevel="0" collapsed="false">
      <c r="B508" s="2" t="n">
        <v>506</v>
      </c>
      <c r="C508" s="2" t="n">
        <v>0.116134</v>
      </c>
      <c r="D508" s="2" t="n">
        <v>0</v>
      </c>
      <c r="E508" s="2" t="n">
        <v>0.135</v>
      </c>
    </row>
    <row r="509" customFormat="false" ht="13.8" hidden="false" customHeight="false" outlineLevel="0" collapsed="false">
      <c r="B509" s="2" t="n">
        <v>507</v>
      </c>
      <c r="C509" s="2" t="n">
        <v>0.367935133333333</v>
      </c>
      <c r="D509" s="2" t="n">
        <v>0</v>
      </c>
      <c r="E509" s="2" t="n">
        <v>0.005</v>
      </c>
    </row>
    <row r="510" customFormat="false" ht="13.8" hidden="false" customHeight="false" outlineLevel="0" collapsed="false">
      <c r="B510" s="2" t="n">
        <v>508</v>
      </c>
      <c r="C510" s="2" t="n">
        <v>0.1220024</v>
      </c>
      <c r="D510" s="2" t="n">
        <v>0</v>
      </c>
      <c r="E510" s="2" t="n">
        <v>0.134666733333333</v>
      </c>
    </row>
    <row r="511" customFormat="false" ht="13.8" hidden="false" customHeight="false" outlineLevel="0" collapsed="false">
      <c r="B511" s="2" t="n">
        <v>509</v>
      </c>
      <c r="C511" s="2" t="n">
        <v>0.395403133333333</v>
      </c>
      <c r="D511" s="2" t="n">
        <v>0</v>
      </c>
      <c r="E511" s="2" t="n">
        <v>0.044</v>
      </c>
    </row>
    <row r="512" customFormat="false" ht="13.8" hidden="false" customHeight="false" outlineLevel="0" collapsed="false">
      <c r="B512" s="2" t="n">
        <v>510</v>
      </c>
      <c r="C512" s="2" t="n">
        <v>0.1678706</v>
      </c>
      <c r="D512" s="2" t="n">
        <v>0</v>
      </c>
      <c r="E512" s="2" t="n">
        <v>0.161</v>
      </c>
    </row>
    <row r="513" customFormat="false" ht="13.8" hidden="false" customHeight="false" outlineLevel="0" collapsed="false">
      <c r="B513" s="2" t="n">
        <v>511</v>
      </c>
      <c r="C513" s="2" t="n">
        <v>0.4014026</v>
      </c>
      <c r="D513" s="2" t="n">
        <v>0</v>
      </c>
      <c r="E513" s="2" t="n">
        <v>0.044</v>
      </c>
    </row>
    <row r="514" customFormat="false" ht="13.8" hidden="false" customHeight="false" outlineLevel="0" collapsed="false">
      <c r="B514" s="2" t="n">
        <v>512</v>
      </c>
      <c r="C514" s="2" t="n">
        <v>0.137534466666667</v>
      </c>
      <c r="D514" s="2" t="n">
        <v>0</v>
      </c>
      <c r="E514" s="2" t="n">
        <v>0.161001866666667</v>
      </c>
    </row>
    <row r="515" customFormat="false" ht="13.8" hidden="false" customHeight="false" outlineLevel="0" collapsed="false">
      <c r="B515" s="2" t="n">
        <v>513</v>
      </c>
      <c r="C515" s="2" t="n">
        <v>0.378669333333333</v>
      </c>
      <c r="D515" s="2" t="n">
        <v>0</v>
      </c>
      <c r="E515" s="2" t="n">
        <v>0.0452014</v>
      </c>
    </row>
    <row r="516" customFormat="false" ht="13.8" hidden="false" customHeight="false" outlineLevel="0" collapsed="false">
      <c r="B516" s="2" t="n">
        <v>514</v>
      </c>
      <c r="C516" s="2" t="n">
        <v>0.129003733333333</v>
      </c>
      <c r="D516" s="2" t="n">
        <v>0</v>
      </c>
      <c r="E516" s="2" t="n">
        <v>0.163001</v>
      </c>
    </row>
    <row r="517" customFormat="false" ht="13.8" hidden="false" customHeight="false" outlineLevel="0" collapsed="false">
      <c r="B517" s="2" t="n">
        <v>515</v>
      </c>
      <c r="C517" s="2" t="n">
        <v>0.369006333333333</v>
      </c>
      <c r="D517" s="2" t="n">
        <v>0</v>
      </c>
      <c r="E517" s="2" t="n">
        <v>0.046001</v>
      </c>
    </row>
    <row r="518" customFormat="false" ht="13.8" hidden="false" customHeight="false" outlineLevel="0" collapsed="false">
      <c r="B518" s="2" t="n">
        <v>516</v>
      </c>
      <c r="C518" s="2" t="n">
        <v>0.114008466666667</v>
      </c>
      <c r="D518" s="2" t="n">
        <v>0</v>
      </c>
      <c r="E518" s="2" t="n">
        <v>0.163001</v>
      </c>
    </row>
    <row r="519" customFormat="false" ht="13.8" hidden="false" customHeight="false" outlineLevel="0" collapsed="false">
      <c r="B519" s="2" t="n">
        <v>517</v>
      </c>
      <c r="C519" s="2" t="n">
        <v>0.179274133333333</v>
      </c>
      <c r="D519" s="2" t="n">
        <v>0</v>
      </c>
      <c r="E519" s="2" t="n">
        <v>0.046001</v>
      </c>
    </row>
    <row r="520" customFormat="false" ht="13.8" hidden="false" customHeight="false" outlineLevel="0" collapsed="false">
      <c r="B520" s="2" t="n">
        <v>518</v>
      </c>
      <c r="C520" s="2" t="n">
        <v>0.3186078</v>
      </c>
      <c r="D520" s="2" t="n">
        <v>0</v>
      </c>
      <c r="E520" s="2" t="n">
        <v>0.163001</v>
      </c>
    </row>
    <row r="521" customFormat="false" ht="13.8" hidden="false" customHeight="false" outlineLevel="0" collapsed="false">
      <c r="B521" s="2" t="n">
        <v>519</v>
      </c>
      <c r="C521" s="2" t="n">
        <v>0.235141866666667</v>
      </c>
      <c r="D521" s="2" t="n">
        <v>0</v>
      </c>
      <c r="E521" s="2" t="n">
        <v>0.046001</v>
      </c>
    </row>
    <row r="522" customFormat="false" ht="13.8" hidden="false" customHeight="false" outlineLevel="0" collapsed="false">
      <c r="B522" s="2" t="n">
        <v>520</v>
      </c>
      <c r="C522" s="2" t="n">
        <v>0.283009</v>
      </c>
      <c r="D522" s="2" t="n">
        <v>0</v>
      </c>
      <c r="E522" s="2" t="n">
        <v>0.163001</v>
      </c>
    </row>
    <row r="523" customFormat="false" ht="13.8" hidden="false" customHeight="false" outlineLevel="0" collapsed="false">
      <c r="B523" s="2" t="n">
        <v>521</v>
      </c>
      <c r="C523" s="2" t="n">
        <v>0.257008133333333</v>
      </c>
      <c r="D523" s="2" t="n">
        <v>0</v>
      </c>
      <c r="E523" s="2" t="n">
        <v>0.0652011333333333</v>
      </c>
    </row>
    <row r="524" customFormat="false" ht="13.8" hidden="false" customHeight="false" outlineLevel="0" collapsed="false">
      <c r="B524" s="2" t="n">
        <v>522</v>
      </c>
      <c r="C524" s="2" t="n">
        <v>0.283008</v>
      </c>
      <c r="D524" s="2" t="n">
        <v>0</v>
      </c>
      <c r="E524" s="2" t="n">
        <v>0.500001</v>
      </c>
    </row>
    <row r="525" customFormat="false" ht="13.8" hidden="false" customHeight="false" outlineLevel="0" collapsed="false">
      <c r="B525" s="2" t="n">
        <v>523</v>
      </c>
      <c r="C525" s="2" t="n">
        <v>0.2570072</v>
      </c>
      <c r="D525" s="2" t="n">
        <v>0</v>
      </c>
      <c r="E525" s="2" t="n">
        <v>0.0766686666666667</v>
      </c>
    </row>
    <row r="526" customFormat="false" ht="13.8" hidden="false" customHeight="false" outlineLevel="0" collapsed="false">
      <c r="B526" s="2" t="n">
        <v>524</v>
      </c>
      <c r="C526" s="2" t="n">
        <v>0.2920062</v>
      </c>
      <c r="D526" s="2" t="n">
        <v>0</v>
      </c>
      <c r="E526" s="2" t="n">
        <v>0.186668733333333</v>
      </c>
    </row>
    <row r="527" customFormat="false" ht="13.8" hidden="false" customHeight="false" outlineLevel="0" collapsed="false">
      <c r="B527" s="2" t="n">
        <v>525</v>
      </c>
      <c r="C527" s="2" t="n">
        <v>0.2720044</v>
      </c>
      <c r="D527" s="2" t="n">
        <v>0</v>
      </c>
      <c r="E527" s="2" t="n">
        <v>0.413001266666667</v>
      </c>
    </row>
    <row r="528" customFormat="false" ht="13.8" hidden="false" customHeight="false" outlineLevel="0" collapsed="false">
      <c r="B528" s="2" t="n">
        <v>526</v>
      </c>
      <c r="C528" s="2" t="n">
        <v>0.296004933333333</v>
      </c>
      <c r="D528" s="2" t="n">
        <v>0</v>
      </c>
      <c r="E528" s="2" t="n">
        <v>0.5470012</v>
      </c>
    </row>
    <row r="529" customFormat="false" ht="13.8" hidden="false" customHeight="false" outlineLevel="0" collapsed="false">
      <c r="B529" s="2" t="n">
        <v>527</v>
      </c>
      <c r="C529" s="2" t="n">
        <v>0.272005866666667</v>
      </c>
      <c r="D529" s="2" t="n">
        <v>0</v>
      </c>
      <c r="E529" s="2" t="n">
        <v>0.0820022</v>
      </c>
    </row>
    <row r="530" customFormat="false" ht="13.8" hidden="false" customHeight="false" outlineLevel="0" collapsed="false">
      <c r="B530" s="2" t="n">
        <v>528</v>
      </c>
      <c r="C530" s="2" t="n">
        <v>0.3180076</v>
      </c>
      <c r="D530" s="2" t="n">
        <v>0</v>
      </c>
      <c r="E530" s="2" t="n">
        <v>0.00106913333333333</v>
      </c>
    </row>
    <row r="531" customFormat="false" ht="13.8" hidden="false" customHeight="false" outlineLevel="0" collapsed="false">
      <c r="B531" s="2" t="n">
        <v>529</v>
      </c>
      <c r="C531" s="2" t="n">
        <v>0.271342666666667</v>
      </c>
      <c r="D531" s="2" t="n">
        <v>0</v>
      </c>
      <c r="E531" s="2" t="n">
        <v>0.107868333333333</v>
      </c>
    </row>
    <row r="532" customFormat="false" ht="13.8" hidden="false" customHeight="false" outlineLevel="0" collapsed="false">
      <c r="B532" s="2" t="n">
        <v>530</v>
      </c>
      <c r="C532" s="2" t="n">
        <v>0.141276133333333</v>
      </c>
      <c r="D532" s="2" t="n">
        <v>0</v>
      </c>
      <c r="E532" s="2" t="n">
        <v>0.2476668</v>
      </c>
    </row>
    <row r="533" customFormat="false" ht="13.8" hidden="false" customHeight="false" outlineLevel="0" collapsed="false">
      <c r="B533" s="2" t="n">
        <v>531</v>
      </c>
      <c r="C533" s="2" t="n">
        <v>0.3786082</v>
      </c>
      <c r="D533" s="2" t="n">
        <v>0</v>
      </c>
      <c r="E533" s="2" t="n">
        <v>0.315667133333333</v>
      </c>
    </row>
    <row r="534" customFormat="false" ht="13.8" hidden="false" customHeight="false" outlineLevel="0" collapsed="false">
      <c r="B534" s="2" t="n">
        <v>532</v>
      </c>
      <c r="C534" s="2" t="n">
        <v>0.1780088</v>
      </c>
      <c r="D534" s="2" t="n">
        <v>0</v>
      </c>
      <c r="E534" s="2" t="n">
        <v>0.400001</v>
      </c>
    </row>
    <row r="535" customFormat="false" ht="13.8" hidden="false" customHeight="false" outlineLevel="0" collapsed="false">
      <c r="B535" s="2" t="n">
        <v>533</v>
      </c>
      <c r="C535" s="2" t="n">
        <v>0.2820092</v>
      </c>
      <c r="D535" s="2" t="n">
        <v>0</v>
      </c>
      <c r="E535" s="2" t="n">
        <v>0.546666933333333</v>
      </c>
    </row>
    <row r="536" customFormat="false" ht="13.8" hidden="false" customHeight="false" outlineLevel="0" collapsed="false">
      <c r="B536" s="2" t="n">
        <v>534</v>
      </c>
      <c r="C536" s="2" t="n">
        <v>0.311008</v>
      </c>
      <c r="D536" s="2" t="n">
        <v>0</v>
      </c>
      <c r="E536" s="2" t="n">
        <v>0.522</v>
      </c>
    </row>
    <row r="537" customFormat="false" ht="13.8" hidden="false" customHeight="false" outlineLevel="0" collapsed="false">
      <c r="B537" s="2" t="n">
        <v>535</v>
      </c>
      <c r="C537" s="2" t="n">
        <v>0.0780078666666667</v>
      </c>
      <c r="D537" s="2" t="n">
        <v>0</v>
      </c>
      <c r="E537" s="2" t="n">
        <v>0.548</v>
      </c>
    </row>
    <row r="538" customFormat="false" ht="13.8" hidden="false" customHeight="false" outlineLevel="0" collapsed="false">
      <c r="B538" s="2" t="n">
        <v>536</v>
      </c>
      <c r="C538" s="2" t="n">
        <v>0.283005266666667</v>
      </c>
      <c r="D538" s="2" t="n">
        <v>0</v>
      </c>
      <c r="E538" s="2" t="n">
        <v>0.2020004</v>
      </c>
    </row>
    <row r="539" customFormat="false" ht="13.8" hidden="false" customHeight="false" outlineLevel="0" collapsed="false">
      <c r="B539" s="2" t="n">
        <v>537</v>
      </c>
      <c r="C539" s="2" t="n">
        <v>0.257538266666667</v>
      </c>
      <c r="D539" s="2" t="n">
        <v>0</v>
      </c>
      <c r="E539" s="2" t="n">
        <v>0.148000466666667</v>
      </c>
    </row>
    <row r="540" customFormat="false" ht="13.8" hidden="false" customHeight="false" outlineLevel="0" collapsed="false">
      <c r="B540" s="2" t="n">
        <v>538</v>
      </c>
      <c r="C540" s="2" t="n">
        <v>0.286737133333333</v>
      </c>
      <c r="D540" s="2" t="n">
        <v>0</v>
      </c>
      <c r="E540" s="2" t="n">
        <v>0.127866933333333</v>
      </c>
    </row>
    <row r="541" customFormat="false" ht="13.8" hidden="false" customHeight="false" outlineLevel="0" collapsed="false">
      <c r="B541" s="2" t="n">
        <v>539</v>
      </c>
      <c r="C541" s="2" t="n">
        <v>0.2570024</v>
      </c>
      <c r="D541" s="2" t="n">
        <v>0</v>
      </c>
      <c r="E541" s="2" t="n">
        <v>0.156</v>
      </c>
    </row>
    <row r="542" customFormat="false" ht="13.8" hidden="false" customHeight="false" outlineLevel="0" collapsed="false">
      <c r="B542" s="2" t="n">
        <v>540</v>
      </c>
      <c r="C542" s="2" t="n">
        <v>0.176334133333333</v>
      </c>
      <c r="D542" s="2" t="n">
        <v>0</v>
      </c>
      <c r="E542" s="2" t="n">
        <v>0.130000133333333</v>
      </c>
    </row>
    <row r="543" customFormat="false" ht="13.8" hidden="false" customHeight="false" outlineLevel="0" collapsed="false">
      <c r="B543" s="2" t="n">
        <v>541</v>
      </c>
      <c r="C543" s="2" t="n">
        <v>0.1230008</v>
      </c>
      <c r="D543" s="2" t="n">
        <v>0</v>
      </c>
      <c r="E543" s="2" t="n">
        <v>0.153867933333333</v>
      </c>
    </row>
    <row r="544" customFormat="false" ht="13.8" hidden="false" customHeight="false" outlineLevel="0" collapsed="false">
      <c r="B544" s="2" t="n">
        <v>542</v>
      </c>
      <c r="C544" s="2" t="n">
        <v>0.2570004</v>
      </c>
      <c r="D544" s="2" t="n">
        <v>0</v>
      </c>
      <c r="E544" s="2" t="n">
        <v>0.173335466666667</v>
      </c>
    </row>
    <row r="545" customFormat="false" ht="13.8" hidden="false" customHeight="false" outlineLevel="0" collapsed="false">
      <c r="B545" s="2" t="n">
        <v>543</v>
      </c>
      <c r="C545" s="2" t="n">
        <v>0.282334466666667</v>
      </c>
      <c r="D545" s="2" t="n">
        <v>0</v>
      </c>
      <c r="E545" s="2" t="n">
        <v>0.101201133333333</v>
      </c>
    </row>
    <row r="546" customFormat="false" ht="13.8" hidden="false" customHeight="false" outlineLevel="0" collapsed="false">
      <c r="B546" s="2" t="n">
        <v>544</v>
      </c>
      <c r="C546" s="2" t="n">
        <v>0.149668333333333</v>
      </c>
      <c r="D546" s="2" t="n">
        <v>0</v>
      </c>
      <c r="E546" s="2" t="n">
        <v>0.267334866666667</v>
      </c>
    </row>
    <row r="547" customFormat="false" ht="13.8" hidden="false" customHeight="false" outlineLevel="0" collapsed="false">
      <c r="B547" s="2" t="n">
        <v>545</v>
      </c>
      <c r="C547" s="2" t="n">
        <v>0.259667133333333</v>
      </c>
      <c r="D547" s="2" t="n">
        <v>0</v>
      </c>
      <c r="E547" s="2" t="n">
        <v>0.296001</v>
      </c>
    </row>
    <row r="548" customFormat="false" ht="13.8" hidden="false" customHeight="false" outlineLevel="0" collapsed="false">
      <c r="B548" s="2" t="n">
        <v>546</v>
      </c>
      <c r="C548" s="2" t="n">
        <v>0.288</v>
      </c>
      <c r="D548" s="2" t="n">
        <v>0</v>
      </c>
      <c r="E548" s="2" t="n">
        <v>0.374001</v>
      </c>
    </row>
    <row r="549" customFormat="false" ht="13.8" hidden="false" customHeight="false" outlineLevel="0" collapsed="false">
      <c r="B549" s="2" t="n">
        <v>547</v>
      </c>
      <c r="C549" s="2" t="n">
        <v>0.257334266666667</v>
      </c>
      <c r="D549" s="2" t="n">
        <v>0</v>
      </c>
      <c r="E549" s="2" t="n">
        <v>0.250002</v>
      </c>
    </row>
    <row r="550" customFormat="false" ht="13.8" hidden="false" customHeight="false" outlineLevel="0" collapsed="false">
      <c r="B550" s="2" t="n">
        <v>548</v>
      </c>
      <c r="C550" s="2" t="n">
        <v>0.287666733333333</v>
      </c>
      <c r="D550" s="2" t="n">
        <v>0</v>
      </c>
      <c r="E550" s="2" t="n">
        <v>0.6500012</v>
      </c>
    </row>
    <row r="551" customFormat="false" ht="13.8" hidden="false" customHeight="false" outlineLevel="0" collapsed="false">
      <c r="B551" s="2" t="n">
        <v>549</v>
      </c>
      <c r="C551" s="2" t="n">
        <v>0.2620002</v>
      </c>
      <c r="D551" s="2" t="n">
        <v>0</v>
      </c>
      <c r="E551" s="2" t="n">
        <v>0.5723344</v>
      </c>
    </row>
    <row r="552" customFormat="false" ht="13.8" hidden="false" customHeight="false" outlineLevel="0" collapsed="false">
      <c r="B552" s="2" t="n">
        <v>550</v>
      </c>
      <c r="C552" s="2" t="n">
        <v>0.2992002</v>
      </c>
      <c r="D552" s="2" t="n">
        <v>0</v>
      </c>
      <c r="E552" s="2" t="n">
        <v>0.323002733333333</v>
      </c>
    </row>
    <row r="553" customFormat="false" ht="13.8" hidden="false" customHeight="false" outlineLevel="0" collapsed="false">
      <c r="B553" s="2" t="n">
        <v>551</v>
      </c>
      <c r="C553" s="2" t="n">
        <v>0.269401066666667</v>
      </c>
      <c r="D553" s="2" t="n">
        <v>0</v>
      </c>
      <c r="E553" s="2" t="n">
        <v>0.261402266666667</v>
      </c>
    </row>
    <row r="554" customFormat="false" ht="13.8" hidden="false" customHeight="false" outlineLevel="0" collapsed="false">
      <c r="B554" s="2" t="n">
        <v>552</v>
      </c>
      <c r="C554" s="2" t="n">
        <v>0.301334466666667</v>
      </c>
      <c r="D554" s="2" t="n">
        <v>0.0533333333333333</v>
      </c>
      <c r="E554" s="2" t="n">
        <v>0.169401533333333</v>
      </c>
    </row>
    <row r="555" customFormat="false" ht="13.8" hidden="false" customHeight="false" outlineLevel="0" collapsed="false">
      <c r="B555" s="2" t="n">
        <v>553</v>
      </c>
      <c r="C555" s="2" t="n">
        <v>0.2738034</v>
      </c>
      <c r="D555" s="2" t="n">
        <v>0.4</v>
      </c>
      <c r="E555" s="2" t="n">
        <v>0.187001133333333</v>
      </c>
    </row>
    <row r="556" customFormat="false" ht="13.8" hidden="false" customHeight="false" outlineLevel="0" collapsed="false">
      <c r="B556" s="2" t="n">
        <v>554</v>
      </c>
      <c r="C556" s="2" t="n">
        <v>0.389602866666667</v>
      </c>
      <c r="D556" s="2" t="n">
        <v>0.4</v>
      </c>
      <c r="E556" s="2" t="n">
        <v>0.083001</v>
      </c>
    </row>
    <row r="557" customFormat="false" ht="13.8" hidden="false" customHeight="false" outlineLevel="0" collapsed="false">
      <c r="B557" s="2" t="n">
        <v>555</v>
      </c>
      <c r="C557" s="2" t="n">
        <v>0.381805266666667</v>
      </c>
      <c r="D557" s="2" t="n">
        <v>0.4</v>
      </c>
      <c r="E557" s="2" t="n">
        <v>0.187001</v>
      </c>
    </row>
    <row r="558" customFormat="false" ht="13.8" hidden="false" customHeight="false" outlineLevel="0" collapsed="false">
      <c r="B558" s="2" t="n">
        <v>556</v>
      </c>
      <c r="C558" s="2" t="n">
        <v>0.440475533333333</v>
      </c>
      <c r="D558" s="2" t="n">
        <v>0.4</v>
      </c>
      <c r="E558" s="2" t="n">
        <v>0.083001</v>
      </c>
    </row>
    <row r="559" customFormat="false" ht="13.8" hidden="false" customHeight="false" outlineLevel="0" collapsed="false">
      <c r="B559" s="2" t="n">
        <v>557</v>
      </c>
      <c r="C559" s="2" t="n">
        <v>0.459276733333333</v>
      </c>
      <c r="D559" s="2" t="n">
        <v>0.4</v>
      </c>
      <c r="E559" s="2" t="n">
        <v>0.187001</v>
      </c>
    </row>
    <row r="560" customFormat="false" ht="13.8" hidden="false" customHeight="false" outlineLevel="0" collapsed="false">
      <c r="B560" s="2" t="n">
        <v>558</v>
      </c>
      <c r="C560" s="2" t="n">
        <v>0.435545866666667</v>
      </c>
      <c r="D560" s="2" t="n">
        <v>0.4</v>
      </c>
      <c r="E560" s="2" t="n">
        <v>0.0830002666666667</v>
      </c>
    </row>
    <row r="561" customFormat="false" ht="13.8" hidden="false" customHeight="false" outlineLevel="0" collapsed="false">
      <c r="B561" s="2" t="n">
        <v>559</v>
      </c>
      <c r="C561" s="2" t="n">
        <v>0.224882533333333</v>
      </c>
      <c r="D561" s="2" t="n">
        <v>0.4</v>
      </c>
      <c r="E561" s="2" t="n">
        <v>0.120333666666667</v>
      </c>
    </row>
    <row r="562" customFormat="false" ht="13.8" hidden="false" customHeight="false" outlineLevel="0" collapsed="false">
      <c r="B562" s="2" t="n">
        <v>560</v>
      </c>
      <c r="C562" s="2" t="n">
        <v>0.3197488</v>
      </c>
      <c r="D562" s="2" t="n">
        <v>0.4</v>
      </c>
      <c r="E562" s="2" t="n">
        <v>0.2</v>
      </c>
    </row>
    <row r="563" customFormat="false" ht="13.8" hidden="false" customHeight="false" outlineLevel="0" collapsed="false">
      <c r="B563" s="2" t="n">
        <v>561</v>
      </c>
      <c r="C563" s="2" t="n">
        <v>0.403482666666667</v>
      </c>
      <c r="D563" s="2" t="n">
        <v>0.4</v>
      </c>
      <c r="E563" s="2" t="n">
        <v>0.0566667333333333</v>
      </c>
    </row>
    <row r="564" customFormat="false" ht="13.8" hidden="false" customHeight="false" outlineLevel="0" collapsed="false">
      <c r="B564" s="2" t="n">
        <v>562</v>
      </c>
      <c r="C564" s="2" t="n">
        <v>0.279552866666667</v>
      </c>
      <c r="D564" s="2" t="n">
        <v>0.4</v>
      </c>
      <c r="E564" s="2" t="n">
        <v>0.00433346666666667</v>
      </c>
    </row>
    <row r="565" customFormat="false" ht="13.8" hidden="false" customHeight="false" outlineLevel="0" collapsed="false">
      <c r="B565" s="2" t="n">
        <v>563</v>
      </c>
      <c r="C565" s="2" t="n">
        <v>0.298816533333333</v>
      </c>
      <c r="D565" s="2" t="n">
        <v>0.4</v>
      </c>
      <c r="E565" s="2" t="n">
        <v>0.109</v>
      </c>
    </row>
    <row r="566" customFormat="false" ht="13.8" hidden="false" customHeight="false" outlineLevel="0" collapsed="false">
      <c r="B566" s="2" t="n">
        <v>564</v>
      </c>
      <c r="C566" s="2" t="n">
        <v>0.439747133333333</v>
      </c>
      <c r="D566" s="2" t="n">
        <v>0.4</v>
      </c>
      <c r="E566" s="2" t="n">
        <v>0.031</v>
      </c>
    </row>
    <row r="567" customFormat="false" ht="13.8" hidden="false" customHeight="false" outlineLevel="0" collapsed="false">
      <c r="B567" s="2" t="n">
        <v>565</v>
      </c>
      <c r="C567" s="2" t="n">
        <v>0.479147733333333</v>
      </c>
      <c r="D567" s="2" t="n">
        <v>0.4</v>
      </c>
      <c r="E567" s="2" t="n">
        <v>0.0956667333333333</v>
      </c>
    </row>
    <row r="568" customFormat="false" ht="13.8" hidden="false" customHeight="false" outlineLevel="0" collapsed="false">
      <c r="B568" s="2" t="n">
        <v>566</v>
      </c>
      <c r="C568" s="2" t="n">
        <v>0.372281866666667</v>
      </c>
      <c r="D568" s="2" t="n">
        <v>0.4</v>
      </c>
      <c r="E568" s="2" t="n">
        <v>0.0030004</v>
      </c>
    </row>
    <row r="569" customFormat="false" ht="13.8" hidden="false" customHeight="false" outlineLevel="0" collapsed="false">
      <c r="B569" s="2" t="n">
        <v>567</v>
      </c>
      <c r="C569" s="2" t="n">
        <v>0.3308806</v>
      </c>
      <c r="D569" s="2" t="n">
        <v>0.4</v>
      </c>
      <c r="E569" s="2" t="n">
        <v>0.057</v>
      </c>
    </row>
    <row r="570" customFormat="false" ht="13.8" hidden="false" customHeight="false" outlineLevel="0" collapsed="false">
      <c r="B570" s="2" t="n">
        <v>568</v>
      </c>
      <c r="C570" s="2" t="n">
        <v>0.364351066666667</v>
      </c>
      <c r="D570" s="2" t="n">
        <v>0.4</v>
      </c>
      <c r="E570" s="2" t="n">
        <v>0.083</v>
      </c>
    </row>
    <row r="571" customFormat="false" ht="13.8" hidden="false" customHeight="false" outlineLevel="0" collapsed="false">
      <c r="B571" s="2" t="n">
        <v>569</v>
      </c>
      <c r="C571" s="2" t="n">
        <v>0.251151533333333</v>
      </c>
      <c r="D571" s="2" t="n">
        <v>0.4</v>
      </c>
      <c r="E571" s="2" t="n">
        <v>0.057</v>
      </c>
    </row>
    <row r="572" customFormat="false" ht="13.8" hidden="false" customHeight="false" outlineLevel="0" collapsed="false">
      <c r="B572" s="2" t="n">
        <v>570</v>
      </c>
      <c r="C572" s="2" t="n">
        <v>0.344151466666667</v>
      </c>
      <c r="D572" s="2" t="n">
        <v>0.4</v>
      </c>
      <c r="E572" s="2" t="n">
        <v>0.083</v>
      </c>
    </row>
    <row r="573" customFormat="false" ht="13.8" hidden="false" customHeight="false" outlineLevel="0" collapsed="false">
      <c r="B573" s="2" t="n">
        <v>571</v>
      </c>
      <c r="C573" s="2" t="n">
        <v>0.382083933333333</v>
      </c>
      <c r="D573" s="2" t="n">
        <v>0.4</v>
      </c>
      <c r="E573" s="2" t="n">
        <v>0.00266713333333333</v>
      </c>
    </row>
    <row r="574" customFormat="false" ht="13.8" hidden="false" customHeight="false" outlineLevel="0" collapsed="false">
      <c r="B574" s="2" t="n">
        <v>572</v>
      </c>
      <c r="C574" s="2" t="n">
        <v>0.292548333333333</v>
      </c>
      <c r="D574" s="2" t="n">
        <v>0.4</v>
      </c>
      <c r="E574" s="2" t="n">
        <v>0.00366693333333333</v>
      </c>
    </row>
    <row r="575" customFormat="false" ht="13.8" hidden="false" customHeight="false" outlineLevel="0" collapsed="false">
      <c r="B575" s="2" t="n">
        <v>573</v>
      </c>
      <c r="C575" s="2" t="n">
        <v>0.237416666666667</v>
      </c>
      <c r="D575" s="2" t="n">
        <v>0.4</v>
      </c>
      <c r="E575" s="2" t="n">
        <v>0.083</v>
      </c>
    </row>
    <row r="576" customFormat="false" ht="13.8" hidden="false" customHeight="false" outlineLevel="0" collapsed="false">
      <c r="B576" s="2" t="n">
        <v>574</v>
      </c>
      <c r="C576" s="2" t="n">
        <v>0.2004808</v>
      </c>
      <c r="D576" s="2" t="n">
        <v>0.4</v>
      </c>
      <c r="E576" s="2" t="n">
        <v>0.057</v>
      </c>
    </row>
    <row r="577" customFormat="false" ht="13.8" hidden="false" customHeight="false" outlineLevel="0" collapsed="false">
      <c r="B577" s="2" t="n">
        <v>575</v>
      </c>
      <c r="C577" s="2" t="n">
        <v>0.1816118</v>
      </c>
      <c r="D577" s="2" t="n">
        <v>0.4</v>
      </c>
      <c r="E577" s="2" t="n">
        <v>0.0563334666666667</v>
      </c>
    </row>
    <row r="578" customFormat="false" ht="13.8" hidden="false" customHeight="false" outlineLevel="0" collapsed="false">
      <c r="B578" s="2" t="n">
        <v>576</v>
      </c>
      <c r="C578" s="2" t="n">
        <v>0.208013733333333</v>
      </c>
      <c r="D578" s="2" t="n">
        <v>0.4</v>
      </c>
      <c r="E578" s="2" t="n">
        <v>1E-006</v>
      </c>
    </row>
    <row r="579" customFormat="false" ht="13.8" hidden="false" customHeight="false" outlineLevel="0" collapsed="false">
      <c r="B579" s="2" t="n">
        <v>577</v>
      </c>
      <c r="C579" s="2" t="n">
        <v>0.1819426</v>
      </c>
      <c r="D579" s="2" t="n">
        <v>0</v>
      </c>
      <c r="E579" s="2" t="n">
        <v>1E-006</v>
      </c>
    </row>
    <row r="580" customFormat="false" ht="13.8" hidden="false" customHeight="false" outlineLevel="0" collapsed="false">
      <c r="B580" s="2" t="n">
        <v>578</v>
      </c>
      <c r="C580" s="2" t="n">
        <v>0.1132758</v>
      </c>
      <c r="D580" s="2" t="n">
        <v>0</v>
      </c>
      <c r="E580" s="2" t="n">
        <v>0.00166733333333333</v>
      </c>
    </row>
    <row r="581" customFormat="false" ht="13.8" hidden="false" customHeight="false" outlineLevel="0" collapsed="false">
      <c r="B581" s="2" t="n">
        <v>579</v>
      </c>
      <c r="C581" s="2" t="n">
        <v>0.337672266666667</v>
      </c>
      <c r="D581" s="2" t="n">
        <v>0</v>
      </c>
      <c r="E581" s="2" t="n">
        <v>0.005</v>
      </c>
    </row>
    <row r="582" customFormat="false" ht="13.8" hidden="false" customHeight="false" outlineLevel="0" collapsed="false">
      <c r="B582" s="2" t="n">
        <v>580</v>
      </c>
      <c r="C582" s="2" t="n">
        <v>0.0563373333333333</v>
      </c>
      <c r="D582" s="2" t="n">
        <v>0.0533333333333333</v>
      </c>
      <c r="E582" s="2" t="n">
        <v>0.135</v>
      </c>
    </row>
    <row r="583" customFormat="false" ht="13.8" hidden="false" customHeight="false" outlineLevel="0" collapsed="false">
      <c r="B583" s="2" t="n">
        <v>581</v>
      </c>
      <c r="C583" s="2" t="n">
        <v>0.307868266666667</v>
      </c>
      <c r="D583" s="2" t="n">
        <v>0.4</v>
      </c>
      <c r="E583" s="2" t="n">
        <v>0.00466673333333333</v>
      </c>
    </row>
    <row r="584" customFormat="false" ht="13.8" hidden="false" customHeight="false" outlineLevel="0" collapsed="false">
      <c r="B584" s="2" t="n">
        <v>582</v>
      </c>
      <c r="C584" s="2" t="n">
        <v>0.107667266666667</v>
      </c>
      <c r="D584" s="2" t="n">
        <v>0.4</v>
      </c>
      <c r="E584" s="2" t="n">
        <v>0.057</v>
      </c>
    </row>
    <row r="585" customFormat="false" ht="13.8" hidden="false" customHeight="false" outlineLevel="0" collapsed="false">
      <c r="B585" s="2" t="n">
        <v>583</v>
      </c>
      <c r="C585" s="2" t="n">
        <v>0.166800533333333</v>
      </c>
      <c r="D585" s="2" t="n">
        <v>0.4</v>
      </c>
      <c r="E585" s="2" t="n">
        <v>0.083</v>
      </c>
    </row>
    <row r="586" customFormat="false" ht="13.8" hidden="false" customHeight="false" outlineLevel="0" collapsed="false">
      <c r="B586" s="2" t="n">
        <v>584</v>
      </c>
      <c r="C586" s="2" t="n">
        <v>0.2666012</v>
      </c>
      <c r="D586" s="2" t="n">
        <v>0.4</v>
      </c>
      <c r="E586" s="2" t="n">
        <v>0.057</v>
      </c>
    </row>
    <row r="587" customFormat="false" ht="13.8" hidden="false" customHeight="false" outlineLevel="0" collapsed="false">
      <c r="B587" s="2" t="n">
        <v>585</v>
      </c>
      <c r="C587" s="2" t="n">
        <v>0.1110676</v>
      </c>
      <c r="D587" s="2" t="n">
        <v>0.4</v>
      </c>
      <c r="E587" s="2" t="n">
        <v>0.0170002</v>
      </c>
    </row>
    <row r="588" customFormat="false" ht="13.8" hidden="false" customHeight="false" outlineLevel="0" collapsed="false">
      <c r="B588" s="2" t="n">
        <v>586</v>
      </c>
      <c r="C588" s="2" t="n">
        <v>0.125934</v>
      </c>
      <c r="D588" s="2" t="n">
        <v>0.4</v>
      </c>
      <c r="E588" s="2" t="n">
        <v>0.083</v>
      </c>
    </row>
    <row r="589" customFormat="false" ht="13.8" hidden="false" customHeight="false" outlineLevel="0" collapsed="false">
      <c r="B589" s="2" t="n">
        <v>587</v>
      </c>
      <c r="C589" s="2" t="n">
        <v>0.284800266666667</v>
      </c>
      <c r="D589" s="2" t="n">
        <v>0.4</v>
      </c>
      <c r="E589" s="2" t="n">
        <v>0.0563334666666667</v>
      </c>
    </row>
    <row r="590" customFormat="false" ht="13.8" hidden="false" customHeight="false" outlineLevel="0" collapsed="false">
      <c r="B590" s="2" t="n">
        <v>588</v>
      </c>
      <c r="C590" s="2" t="n">
        <v>0.0774001333333333</v>
      </c>
      <c r="D590" s="2" t="n">
        <v>0.4</v>
      </c>
      <c r="E590" s="2" t="n">
        <v>0.044</v>
      </c>
    </row>
    <row r="591" customFormat="false" ht="13.8" hidden="false" customHeight="false" outlineLevel="0" collapsed="false">
      <c r="B591" s="2" t="n">
        <v>589</v>
      </c>
      <c r="C591" s="2" t="n">
        <v>0.205333866666667</v>
      </c>
      <c r="D591" s="2" t="n">
        <v>0.4</v>
      </c>
      <c r="E591" s="2" t="n">
        <v>0.0943336666666667</v>
      </c>
    </row>
    <row r="592" customFormat="false" ht="13.8" hidden="false" customHeight="false" outlineLevel="0" collapsed="false">
      <c r="B592" s="2" t="n">
        <v>590</v>
      </c>
      <c r="C592" s="2" t="n">
        <v>0.169</v>
      </c>
      <c r="D592" s="2" t="n">
        <v>0.4</v>
      </c>
      <c r="E592" s="2" t="n">
        <v>0.0030004</v>
      </c>
    </row>
    <row r="593" customFormat="false" ht="13.8" hidden="false" customHeight="false" outlineLevel="0" collapsed="false">
      <c r="B593" s="2" t="n">
        <v>591</v>
      </c>
      <c r="C593" s="2" t="n">
        <v>0.1939336</v>
      </c>
      <c r="D593" s="2" t="n">
        <v>0.4</v>
      </c>
      <c r="E593" s="2" t="n">
        <v>0.057</v>
      </c>
    </row>
    <row r="594" customFormat="false" ht="13.8" hidden="false" customHeight="false" outlineLevel="0" collapsed="false">
      <c r="B594" s="2" t="n">
        <v>592</v>
      </c>
      <c r="C594" s="2" t="n">
        <v>0.1672668</v>
      </c>
      <c r="D594" s="2" t="n">
        <v>0.4</v>
      </c>
      <c r="E594" s="2" t="n">
        <v>0.0820002</v>
      </c>
    </row>
    <row r="595" customFormat="false" ht="13.8" hidden="false" customHeight="false" outlineLevel="0" collapsed="false">
      <c r="B595" s="2" t="n">
        <v>593</v>
      </c>
      <c r="C595" s="2" t="n">
        <v>0.0994009333333333</v>
      </c>
      <c r="D595" s="2" t="n">
        <v>0.4</v>
      </c>
      <c r="E595" s="2" t="n">
        <v>0.00266713333333333</v>
      </c>
    </row>
    <row r="596" customFormat="false" ht="13.8" hidden="false" customHeight="false" outlineLevel="0" collapsed="false">
      <c r="B596" s="2" t="n">
        <v>594</v>
      </c>
      <c r="C596" s="2" t="n">
        <v>0.186733733333333</v>
      </c>
      <c r="D596" s="2" t="n">
        <v>0.4</v>
      </c>
      <c r="E596" s="2" t="n">
        <v>0.044</v>
      </c>
    </row>
    <row r="597" customFormat="false" ht="13.8" hidden="false" customHeight="false" outlineLevel="0" collapsed="false">
      <c r="B597" s="2" t="n">
        <v>595</v>
      </c>
      <c r="C597" s="2" t="n">
        <v>0.154867333333333</v>
      </c>
      <c r="D597" s="2" t="n">
        <v>0.4</v>
      </c>
      <c r="E597" s="2" t="n">
        <v>0.096</v>
      </c>
    </row>
    <row r="598" customFormat="false" ht="13.8" hidden="false" customHeight="false" outlineLevel="0" collapsed="false">
      <c r="B598" s="2" t="n">
        <v>596</v>
      </c>
      <c r="C598" s="2" t="n">
        <v>0.0986678666666667</v>
      </c>
      <c r="D598" s="2" t="n">
        <v>0.4</v>
      </c>
      <c r="E598" s="2" t="n">
        <v>0.044</v>
      </c>
    </row>
    <row r="599" customFormat="false" ht="13.8" hidden="false" customHeight="false" outlineLevel="0" collapsed="false">
      <c r="B599" s="2" t="n">
        <v>597</v>
      </c>
      <c r="C599" s="2" t="n">
        <v>0.204067333333333</v>
      </c>
      <c r="D599" s="2" t="n">
        <v>0.4</v>
      </c>
      <c r="E599" s="2" t="n">
        <v>0.096</v>
      </c>
    </row>
    <row r="600" customFormat="false" ht="13.8" hidden="false" customHeight="false" outlineLevel="0" collapsed="false">
      <c r="B600" s="2" t="n">
        <v>598</v>
      </c>
      <c r="C600" s="2" t="n">
        <v>0.102135333333333</v>
      </c>
      <c r="D600" s="2" t="n">
        <v>0.346666666666667</v>
      </c>
      <c r="E600" s="2" t="n">
        <v>0.044</v>
      </c>
    </row>
    <row r="601" customFormat="false" ht="13.8" hidden="false" customHeight="false" outlineLevel="0" collapsed="false">
      <c r="B601" s="2" t="n">
        <v>599</v>
      </c>
      <c r="C601" s="2" t="n">
        <v>0.248</v>
      </c>
      <c r="D601" s="2" t="n">
        <v>0</v>
      </c>
      <c r="E601" s="2" t="n">
        <v>0.096</v>
      </c>
    </row>
    <row r="602" customFormat="false" ht="13.8" hidden="false" customHeight="false" outlineLevel="0" collapsed="false">
      <c r="B602" s="2" t="n">
        <v>600</v>
      </c>
      <c r="C602" s="2" t="n">
        <v>0.261000133333333</v>
      </c>
      <c r="D602" s="2" t="n">
        <v>0</v>
      </c>
      <c r="E602" s="2" t="n">
        <v>0.044</v>
      </c>
    </row>
    <row r="603" customFormat="false" ht="13.8" hidden="false" customHeight="false" outlineLevel="0" collapsed="false">
      <c r="B603" s="2" t="n">
        <v>601</v>
      </c>
      <c r="C603" s="2" t="n">
        <v>0.163068733333333</v>
      </c>
      <c r="D603" s="2" t="n">
        <v>0</v>
      </c>
      <c r="E603" s="2" t="n">
        <v>0.096</v>
      </c>
    </row>
    <row r="604" customFormat="false" ht="13.8" hidden="false" customHeight="false" outlineLevel="0" collapsed="false">
      <c r="B604" s="2" t="n">
        <v>602</v>
      </c>
      <c r="C604" s="2" t="n">
        <v>0.1920028</v>
      </c>
      <c r="D604" s="2" t="n">
        <v>0</v>
      </c>
      <c r="E604" s="2" t="n">
        <v>0.044</v>
      </c>
    </row>
    <row r="605" customFormat="false" ht="13.8" hidden="false" customHeight="false" outlineLevel="0" collapsed="false">
      <c r="B605" s="2" t="n">
        <v>603</v>
      </c>
      <c r="C605" s="2" t="n">
        <v>0.2851368</v>
      </c>
      <c r="D605" s="2" t="n">
        <v>0</v>
      </c>
      <c r="E605" s="2" t="n">
        <v>0.096</v>
      </c>
    </row>
    <row r="606" customFormat="false" ht="13.8" hidden="false" customHeight="false" outlineLevel="0" collapsed="false">
      <c r="B606" s="2" t="n">
        <v>604</v>
      </c>
      <c r="C606" s="2" t="n">
        <v>0.234137466666667</v>
      </c>
      <c r="D606" s="2" t="n">
        <v>0</v>
      </c>
      <c r="E606" s="2" t="n">
        <v>0.044</v>
      </c>
    </row>
    <row r="607" customFormat="false" ht="13.8" hidden="false" customHeight="false" outlineLevel="0" collapsed="false">
      <c r="B607" s="2" t="n">
        <v>605</v>
      </c>
      <c r="C607" s="2" t="n">
        <v>0.292207866666667</v>
      </c>
      <c r="D607" s="2" t="n">
        <v>0</v>
      </c>
      <c r="E607" s="2" t="n">
        <v>0.005</v>
      </c>
    </row>
    <row r="608" customFormat="false" ht="13.8" hidden="false" customHeight="false" outlineLevel="0" collapsed="false">
      <c r="B608" s="2" t="n">
        <v>606</v>
      </c>
      <c r="C608" s="2" t="n">
        <v>0.269341533333333</v>
      </c>
      <c r="D608" s="2" t="n">
        <v>0</v>
      </c>
      <c r="E608" s="2" t="n">
        <v>0.1350014</v>
      </c>
    </row>
    <row r="609" customFormat="false" ht="13.8" hidden="false" customHeight="false" outlineLevel="0" collapsed="false">
      <c r="B609" s="2" t="n">
        <v>607</v>
      </c>
      <c r="C609" s="2" t="n">
        <v>0.2180078</v>
      </c>
      <c r="D609" s="2" t="n">
        <v>0</v>
      </c>
      <c r="E609" s="2" t="n">
        <v>0.0050022</v>
      </c>
    </row>
    <row r="610" customFormat="false" ht="13.8" hidden="false" customHeight="false" outlineLevel="0" collapsed="false">
      <c r="B610" s="2" t="n">
        <v>608</v>
      </c>
      <c r="C610" s="2" t="n">
        <v>0.2090072</v>
      </c>
      <c r="D610" s="2" t="n">
        <v>0</v>
      </c>
      <c r="E610" s="2" t="n">
        <v>0.200003</v>
      </c>
    </row>
    <row r="611" customFormat="false" ht="13.8" hidden="false" customHeight="false" outlineLevel="0" collapsed="false">
      <c r="B611" s="2" t="n">
        <v>609</v>
      </c>
      <c r="C611" s="2" t="n">
        <v>0.2120062</v>
      </c>
      <c r="D611" s="2" t="n">
        <v>0</v>
      </c>
      <c r="E611" s="2" t="n">
        <v>0.0082026</v>
      </c>
    </row>
    <row r="612" customFormat="false" ht="13.8" hidden="false" customHeight="false" outlineLevel="0" collapsed="false">
      <c r="B612" s="2" t="n">
        <v>610</v>
      </c>
      <c r="C612" s="2" t="n">
        <v>0.371006</v>
      </c>
      <c r="D612" s="2" t="n">
        <v>0</v>
      </c>
      <c r="E612" s="2" t="n">
        <v>0.200536733333333</v>
      </c>
    </row>
    <row r="613" customFormat="false" ht="13.8" hidden="false" customHeight="false" outlineLevel="0" collapsed="false">
      <c r="B613" s="2" t="n">
        <v>611</v>
      </c>
      <c r="C613" s="2" t="n">
        <v>0.211273333333333</v>
      </c>
      <c r="D613" s="2" t="n">
        <v>0</v>
      </c>
      <c r="E613" s="2" t="n">
        <v>0.114335866666667</v>
      </c>
    </row>
    <row r="614" customFormat="false" ht="13.8" hidden="false" customHeight="false" outlineLevel="0" collapsed="false">
      <c r="B614" s="2" t="n">
        <v>612</v>
      </c>
      <c r="C614" s="2" t="n">
        <v>0.173007866666667</v>
      </c>
      <c r="D614" s="2" t="n">
        <v>0</v>
      </c>
      <c r="E614" s="2" t="n">
        <v>0.2560028</v>
      </c>
    </row>
    <row r="615" customFormat="false" ht="13.8" hidden="false" customHeight="false" outlineLevel="0" collapsed="false">
      <c r="B615" s="2" t="n">
        <v>613</v>
      </c>
      <c r="C615" s="2" t="n">
        <v>0.174273</v>
      </c>
      <c r="D615" s="2" t="n">
        <v>0</v>
      </c>
      <c r="E615" s="2" t="n">
        <v>0.0183372666666667</v>
      </c>
    </row>
    <row r="616" customFormat="false" ht="13.8" hidden="false" customHeight="false" outlineLevel="0" collapsed="false">
      <c r="B616" s="2" t="n">
        <v>614</v>
      </c>
      <c r="C616" s="2" t="n">
        <v>0.374007266666667</v>
      </c>
      <c r="D616" s="2" t="n">
        <v>0</v>
      </c>
      <c r="E616" s="2" t="n">
        <v>0.550535066666667</v>
      </c>
    </row>
    <row r="617" customFormat="false" ht="13.8" hidden="false" customHeight="false" outlineLevel="0" collapsed="false">
      <c r="B617" s="2" t="n">
        <v>615</v>
      </c>
      <c r="C617" s="2" t="n">
        <v>0.226006266666667</v>
      </c>
      <c r="D617" s="2" t="n">
        <v>0</v>
      </c>
      <c r="E617" s="2" t="n">
        <v>0.357001</v>
      </c>
    </row>
    <row r="618" customFormat="false" ht="13.8" hidden="false" customHeight="false" outlineLevel="0" collapsed="false">
      <c r="B618" s="2" t="n">
        <v>616</v>
      </c>
      <c r="C618" s="2" t="n">
        <v>0.382271933333333</v>
      </c>
      <c r="D618" s="2" t="n">
        <v>0</v>
      </c>
      <c r="E618" s="2" t="n">
        <v>0.552001666666667</v>
      </c>
    </row>
    <row r="619" customFormat="false" ht="13.8" hidden="false" customHeight="false" outlineLevel="0" collapsed="false">
      <c r="B619" s="2" t="n">
        <v>617</v>
      </c>
      <c r="C619" s="2" t="n">
        <v>0.2069386</v>
      </c>
      <c r="D619" s="2" t="n">
        <v>0</v>
      </c>
      <c r="E619" s="2" t="n">
        <v>0.356535466666667</v>
      </c>
    </row>
    <row r="620" customFormat="false" ht="13.8" hidden="false" customHeight="false" outlineLevel="0" collapsed="false">
      <c r="B620" s="2" t="n">
        <v>618</v>
      </c>
      <c r="C620" s="2" t="n">
        <v>0.348540266666667</v>
      </c>
      <c r="D620" s="2" t="n">
        <v>0</v>
      </c>
      <c r="E620" s="2" t="n">
        <v>0.323337466666667</v>
      </c>
    </row>
    <row r="621" customFormat="false" ht="13.8" hidden="false" customHeight="false" outlineLevel="0" collapsed="false">
      <c r="B621" s="2" t="n">
        <v>619</v>
      </c>
      <c r="C621" s="2" t="n">
        <v>0.192007</v>
      </c>
      <c r="D621" s="2" t="n">
        <v>0</v>
      </c>
      <c r="E621" s="2" t="n">
        <v>0.1906042</v>
      </c>
    </row>
    <row r="622" customFormat="false" ht="13.8" hidden="false" customHeight="false" outlineLevel="0" collapsed="false">
      <c r="B622" s="2" t="n">
        <v>620</v>
      </c>
      <c r="C622" s="2" t="n">
        <v>0.3333408</v>
      </c>
      <c r="D622" s="2" t="n">
        <v>0</v>
      </c>
      <c r="E622" s="2" t="n">
        <v>0.193670466666667</v>
      </c>
    </row>
    <row r="623" customFormat="false" ht="13.8" hidden="false" customHeight="false" outlineLevel="0" collapsed="false">
      <c r="B623" s="2" t="n">
        <v>621</v>
      </c>
      <c r="C623" s="2" t="n">
        <v>0.1206744</v>
      </c>
      <c r="D623" s="2" t="n">
        <v>0</v>
      </c>
      <c r="E623" s="2" t="n">
        <v>0.128004</v>
      </c>
    </row>
    <row r="624" customFormat="false" ht="13.8" hidden="false" customHeight="false" outlineLevel="0" collapsed="false">
      <c r="B624" s="2" t="n">
        <v>622</v>
      </c>
      <c r="C624" s="2" t="n">
        <v>0.492672866666667</v>
      </c>
      <c r="D624" s="2" t="n">
        <v>0</v>
      </c>
      <c r="E624" s="2" t="n">
        <v>0.180669933333333</v>
      </c>
    </row>
    <row r="625" customFormat="false" ht="13.8" hidden="false" customHeight="false" outlineLevel="0" collapsed="false">
      <c r="B625" s="2" t="n">
        <v>623</v>
      </c>
      <c r="C625" s="2" t="n">
        <v>0.146540866666667</v>
      </c>
      <c r="D625" s="2" t="n">
        <v>0</v>
      </c>
      <c r="E625" s="2" t="n">
        <v>0.5244026</v>
      </c>
    </row>
    <row r="626" customFormat="false" ht="13.8" hidden="false" customHeight="false" outlineLevel="0" collapsed="false">
      <c r="B626" s="2" t="n">
        <v>624</v>
      </c>
      <c r="C626" s="2" t="n">
        <v>0.444673266666667</v>
      </c>
      <c r="D626" s="2" t="n">
        <v>0</v>
      </c>
      <c r="E626" s="2" t="n">
        <v>0.548003</v>
      </c>
    </row>
    <row r="627" customFormat="false" ht="13.8" hidden="false" customHeight="false" outlineLevel="0" collapsed="false">
      <c r="B627" s="2" t="n">
        <v>625</v>
      </c>
      <c r="C627" s="2" t="n">
        <v>0.1437406</v>
      </c>
      <c r="D627" s="2" t="n">
        <v>0</v>
      </c>
      <c r="E627" s="2" t="n">
        <v>0.522003</v>
      </c>
    </row>
    <row r="628" customFormat="false" ht="13.8" hidden="false" customHeight="false" outlineLevel="0" collapsed="false">
      <c r="B628" s="2" t="n">
        <v>626</v>
      </c>
      <c r="C628" s="2" t="n">
        <v>0.400540466666667</v>
      </c>
      <c r="D628" s="2" t="n">
        <v>0</v>
      </c>
      <c r="E628" s="2" t="n">
        <v>0.255070333333333</v>
      </c>
    </row>
    <row r="629" customFormat="false" ht="13.8" hidden="false" customHeight="false" outlineLevel="0" collapsed="false">
      <c r="B629" s="2" t="n">
        <v>627</v>
      </c>
      <c r="C629" s="2" t="n">
        <v>0.151008666666667</v>
      </c>
      <c r="D629" s="2" t="n">
        <v>0</v>
      </c>
      <c r="E629" s="2" t="n">
        <v>0.1244694</v>
      </c>
    </row>
    <row r="630" customFormat="false" ht="13.8" hidden="false" customHeight="false" outlineLevel="0" collapsed="false">
      <c r="B630" s="2" t="n">
        <v>628</v>
      </c>
      <c r="C630" s="2" t="n">
        <v>0.4076084</v>
      </c>
      <c r="D630" s="2" t="n">
        <v>0</v>
      </c>
      <c r="E630" s="2" t="n">
        <v>0.0400043333333333</v>
      </c>
    </row>
    <row r="631" customFormat="false" ht="13.8" hidden="false" customHeight="false" outlineLevel="0" collapsed="false">
      <c r="B631" s="2" t="n">
        <v>629</v>
      </c>
      <c r="C631" s="2" t="n">
        <v>0.1400084</v>
      </c>
      <c r="D631" s="2" t="n">
        <v>0</v>
      </c>
      <c r="E631" s="2" t="n">
        <v>0.260002666666667</v>
      </c>
    </row>
    <row r="632" customFormat="false" ht="13.8" hidden="false" customHeight="false" outlineLevel="0" collapsed="false">
      <c r="B632" s="2" t="n">
        <v>630</v>
      </c>
      <c r="C632" s="2" t="n">
        <v>0.4032076</v>
      </c>
      <c r="D632" s="2" t="n">
        <v>0</v>
      </c>
      <c r="E632" s="2" t="n">
        <v>0.130002</v>
      </c>
    </row>
    <row r="633" customFormat="false" ht="13.8" hidden="false" customHeight="false" outlineLevel="0" collapsed="false">
      <c r="B633" s="2" t="n">
        <v>631</v>
      </c>
      <c r="C633" s="2" t="n">
        <v>0.101074</v>
      </c>
      <c r="D633" s="2" t="n">
        <v>0</v>
      </c>
      <c r="E633" s="2" t="n">
        <v>0.260002</v>
      </c>
    </row>
    <row r="634" customFormat="false" ht="13.8" hidden="false" customHeight="false" outlineLevel="0" collapsed="false">
      <c r="B634" s="2" t="n">
        <v>632</v>
      </c>
      <c r="C634" s="2" t="n">
        <v>0.204271133333333</v>
      </c>
      <c r="D634" s="2" t="n">
        <v>0</v>
      </c>
      <c r="E634" s="2" t="n">
        <v>0.135335466666667</v>
      </c>
    </row>
    <row r="635" customFormat="false" ht="13.8" hidden="false" customHeight="false" outlineLevel="0" collapsed="false">
      <c r="B635" s="2" t="n">
        <v>633</v>
      </c>
      <c r="C635" s="2" t="n">
        <v>0.126670466666667</v>
      </c>
      <c r="D635" s="2" t="n">
        <v>0</v>
      </c>
      <c r="E635" s="2" t="n">
        <v>0.214670333333333</v>
      </c>
    </row>
    <row r="636" customFormat="false" ht="13.8" hidden="false" customHeight="false" outlineLevel="0" collapsed="false">
      <c r="B636" s="2" t="n">
        <v>634</v>
      </c>
      <c r="C636" s="2" t="n">
        <v>0.400002133333333</v>
      </c>
      <c r="D636" s="2" t="n">
        <v>0</v>
      </c>
      <c r="E636" s="2" t="n">
        <v>0.0737368666666667</v>
      </c>
    </row>
    <row r="637" customFormat="false" ht="13.8" hidden="false" customHeight="false" outlineLevel="0" collapsed="false">
      <c r="B637" s="2" t="n">
        <v>635</v>
      </c>
      <c r="C637" s="2" t="n">
        <v>0.1400016</v>
      </c>
      <c r="D637" s="2" t="n">
        <v>0</v>
      </c>
      <c r="E637" s="2" t="n">
        <v>0.206936466666667</v>
      </c>
    </row>
    <row r="638" customFormat="false" ht="13.8" hidden="false" customHeight="false" outlineLevel="0" collapsed="false">
      <c r="B638" s="2" t="n">
        <v>636</v>
      </c>
      <c r="C638" s="2" t="n">
        <v>0.400000066666667</v>
      </c>
      <c r="D638" s="2" t="n">
        <v>0</v>
      </c>
      <c r="E638" s="2" t="n">
        <v>0.1900046</v>
      </c>
    </row>
    <row r="639" customFormat="false" ht="13.8" hidden="false" customHeight="false" outlineLevel="0" collapsed="false">
      <c r="B639" s="2" t="n">
        <v>637</v>
      </c>
      <c r="C639" s="2" t="n">
        <v>0.14</v>
      </c>
      <c r="D639" s="2" t="n">
        <v>0</v>
      </c>
      <c r="E639" s="2" t="n">
        <v>0.500004333333333</v>
      </c>
    </row>
    <row r="640" customFormat="false" ht="13.8" hidden="false" customHeight="false" outlineLevel="0" collapsed="false">
      <c r="B640" s="2" t="n">
        <v>638</v>
      </c>
      <c r="C640" s="2" t="n">
        <v>0.318000066666667</v>
      </c>
      <c r="D640" s="2" t="n">
        <v>0</v>
      </c>
      <c r="E640" s="2" t="n">
        <v>0.0740049333333333</v>
      </c>
    </row>
    <row r="641" customFormat="false" ht="13.8" hidden="false" customHeight="false" outlineLevel="0" collapsed="false">
      <c r="B641" s="2" t="n">
        <v>639</v>
      </c>
      <c r="C641" s="2" t="n">
        <v>0.238</v>
      </c>
      <c r="D641" s="2" t="n">
        <v>0</v>
      </c>
      <c r="E641" s="2" t="n">
        <v>0.720670333333333</v>
      </c>
    </row>
    <row r="642" customFormat="false" ht="13.8" hidden="false" customHeight="false" outlineLevel="0" collapsed="false">
      <c r="B642" s="2" t="n">
        <v>640</v>
      </c>
      <c r="C642" s="2" t="n">
        <v>0.342</v>
      </c>
      <c r="D642" s="2" t="n">
        <v>0</v>
      </c>
      <c r="E642" s="2" t="n">
        <v>0.580003933333333</v>
      </c>
    </row>
    <row r="643" customFormat="false" ht="13.8" hidden="false" customHeight="false" outlineLevel="0" collapsed="false">
      <c r="B643" s="2" t="n">
        <v>641</v>
      </c>
      <c r="C643" s="2" t="n">
        <v>0.238</v>
      </c>
      <c r="D643" s="2" t="n">
        <v>0</v>
      </c>
      <c r="E643" s="2" t="n">
        <v>0.701869733333333</v>
      </c>
    </row>
    <row r="644" customFormat="false" ht="13.8" hidden="false" customHeight="false" outlineLevel="0" collapsed="false">
      <c r="B644" s="2" t="n">
        <v>642</v>
      </c>
      <c r="C644" s="2" t="n">
        <v>0.144667133333333</v>
      </c>
      <c r="D644" s="2" t="n">
        <v>0</v>
      </c>
      <c r="E644" s="2" t="n">
        <v>0.529004133333333</v>
      </c>
    </row>
    <row r="645" customFormat="false" ht="13.8" hidden="false" customHeight="false" outlineLevel="0" collapsed="false">
      <c r="B645" s="2" t="n">
        <v>643</v>
      </c>
      <c r="C645" s="2" t="n">
        <v>0.342</v>
      </c>
      <c r="D645" s="2" t="n">
        <v>0</v>
      </c>
      <c r="E645" s="2" t="n">
        <v>0.107471933333333</v>
      </c>
    </row>
    <row r="646" customFormat="false" ht="13.8" hidden="false" customHeight="false" outlineLevel="0" collapsed="false">
      <c r="B646" s="2" t="n">
        <v>644</v>
      </c>
      <c r="C646" s="2" t="n">
        <v>0.2380006</v>
      </c>
      <c r="D646" s="2" t="n">
        <v>0</v>
      </c>
      <c r="E646" s="2" t="n">
        <v>0.180404866666667</v>
      </c>
    </row>
    <row r="647" customFormat="false" ht="13.8" hidden="false" customHeight="false" outlineLevel="0" collapsed="false">
      <c r="B647" s="2" t="n">
        <v>645</v>
      </c>
      <c r="C647" s="2" t="n">
        <v>0.360666733333333</v>
      </c>
      <c r="D647" s="2" t="n">
        <v>0</v>
      </c>
      <c r="E647" s="2" t="n">
        <v>0.2076054</v>
      </c>
    </row>
    <row r="648" customFormat="false" ht="13.8" hidden="false" customHeight="false" outlineLevel="0" collapsed="false">
      <c r="B648" s="2" t="n">
        <v>646</v>
      </c>
      <c r="C648" s="2" t="n">
        <v>0.258</v>
      </c>
      <c r="D648" s="2" t="n">
        <v>0</v>
      </c>
      <c r="E648" s="2" t="n">
        <v>0.0964060666666667</v>
      </c>
    </row>
    <row r="649" customFormat="false" ht="13.8" hidden="false" customHeight="false" outlineLevel="0" collapsed="false">
      <c r="B649" s="2" t="n">
        <v>647</v>
      </c>
      <c r="C649" s="2" t="n">
        <v>0.3513354</v>
      </c>
      <c r="D649" s="2" t="n">
        <v>0</v>
      </c>
      <c r="E649" s="2" t="n">
        <v>0.200937866666667</v>
      </c>
    </row>
    <row r="650" customFormat="false" ht="13.8" hidden="false" customHeight="false" outlineLevel="0" collapsed="false">
      <c r="B650" s="2" t="n">
        <v>648</v>
      </c>
      <c r="C650" s="2" t="n">
        <v>0.280335133333333</v>
      </c>
      <c r="D650" s="2" t="n">
        <v>0</v>
      </c>
      <c r="E650" s="2" t="n">
        <v>0.182003733333333</v>
      </c>
    </row>
    <row r="651" customFormat="false" ht="13.8" hidden="false" customHeight="false" outlineLevel="0" collapsed="false">
      <c r="B651" s="2" t="n">
        <v>649</v>
      </c>
      <c r="C651" s="2" t="n">
        <v>0.3798706</v>
      </c>
      <c r="D651" s="2" t="n">
        <v>0</v>
      </c>
      <c r="E651" s="2" t="n">
        <v>0.096004</v>
      </c>
    </row>
    <row r="652" customFormat="false" ht="13.8" hidden="false" customHeight="false" outlineLevel="0" collapsed="false">
      <c r="B652" s="2" t="n">
        <v>650</v>
      </c>
      <c r="C652" s="2" t="n">
        <v>0.297871866666667</v>
      </c>
      <c r="D652" s="2" t="n">
        <v>0</v>
      </c>
      <c r="E652" s="2" t="n">
        <v>0.206002933333333</v>
      </c>
    </row>
    <row r="653" customFormat="false" ht="13.8" hidden="false" customHeight="false" outlineLevel="0" collapsed="false">
      <c r="B653" s="2" t="n">
        <v>651</v>
      </c>
      <c r="C653" s="2" t="n">
        <v>0.430605266666667</v>
      </c>
      <c r="D653" s="2" t="n">
        <v>0.373333333333333</v>
      </c>
      <c r="E653" s="2" t="n">
        <v>0.156001866666667</v>
      </c>
    </row>
    <row r="654" customFormat="false" ht="13.8" hidden="false" customHeight="false" outlineLevel="0" collapsed="false">
      <c r="B654" s="2" t="n">
        <v>652</v>
      </c>
      <c r="C654" s="2" t="n">
        <v>0.311676266666667</v>
      </c>
      <c r="D654" s="2" t="n">
        <v>0.4</v>
      </c>
      <c r="E654" s="2" t="n">
        <v>0.234001</v>
      </c>
    </row>
    <row r="655" customFormat="false" ht="13.8" hidden="false" customHeight="false" outlineLevel="0" collapsed="false">
      <c r="B655" s="2" t="n">
        <v>653</v>
      </c>
      <c r="C655" s="2" t="n">
        <v>0.330612733333333</v>
      </c>
      <c r="D655" s="2" t="n">
        <v>0.4</v>
      </c>
      <c r="E655" s="2" t="n">
        <v>0.0586678666666667</v>
      </c>
    </row>
    <row r="656" customFormat="false" ht="13.8" hidden="false" customHeight="false" outlineLevel="0" collapsed="false">
      <c r="B656" s="2" t="n">
        <v>654</v>
      </c>
      <c r="C656" s="2" t="n">
        <v>0.447745066666667</v>
      </c>
      <c r="D656" s="2" t="n">
        <v>0.4</v>
      </c>
      <c r="E656" s="2" t="n">
        <v>0.0133342666666667</v>
      </c>
    </row>
    <row r="657" customFormat="false" ht="13.8" hidden="false" customHeight="false" outlineLevel="0" collapsed="false">
      <c r="B657" s="2" t="n">
        <v>655</v>
      </c>
      <c r="C657" s="2" t="n">
        <v>0.470410066666667</v>
      </c>
      <c r="D657" s="2" t="n">
        <v>0.4</v>
      </c>
      <c r="E657" s="2" t="n">
        <v>0.2</v>
      </c>
    </row>
    <row r="658" customFormat="false" ht="13.8" hidden="false" customHeight="false" outlineLevel="0" collapsed="false">
      <c r="B658" s="2" t="n">
        <v>656</v>
      </c>
      <c r="C658" s="2" t="n">
        <v>0.493013</v>
      </c>
      <c r="D658" s="2" t="n">
        <v>0.4</v>
      </c>
      <c r="E658" s="2" t="n">
        <v>0.057</v>
      </c>
    </row>
    <row r="659" customFormat="false" ht="13.8" hidden="false" customHeight="false" outlineLevel="0" collapsed="false">
      <c r="B659" s="2" t="n">
        <v>657</v>
      </c>
      <c r="C659" s="2" t="n">
        <v>0.377214533333333</v>
      </c>
      <c r="D659" s="2" t="n">
        <v>0.4</v>
      </c>
      <c r="E659" s="2" t="n">
        <v>0.005</v>
      </c>
    </row>
    <row r="660" customFormat="false" ht="13.8" hidden="false" customHeight="false" outlineLevel="0" collapsed="false">
      <c r="B660" s="2" t="n">
        <v>658</v>
      </c>
      <c r="C660" s="2" t="n">
        <v>0.469613933333333</v>
      </c>
      <c r="D660" s="2" t="n">
        <v>0.4</v>
      </c>
      <c r="E660" s="2" t="n">
        <v>0.135</v>
      </c>
    </row>
    <row r="661" customFormat="false" ht="13.8" hidden="false" customHeight="false" outlineLevel="0" collapsed="false">
      <c r="B661" s="2" t="n">
        <v>659</v>
      </c>
      <c r="C661" s="2" t="n">
        <v>0.357280933333333</v>
      </c>
      <c r="D661" s="2" t="n">
        <v>0.4</v>
      </c>
      <c r="E661" s="2" t="n">
        <v>0.005</v>
      </c>
    </row>
    <row r="662" customFormat="false" ht="13.8" hidden="false" customHeight="false" outlineLevel="0" collapsed="false">
      <c r="B662" s="2" t="n">
        <v>660</v>
      </c>
      <c r="C662" s="2" t="n">
        <v>0.4450808</v>
      </c>
      <c r="D662" s="2" t="n">
        <v>0.4</v>
      </c>
      <c r="E662" s="2" t="n">
        <v>0.135</v>
      </c>
    </row>
    <row r="663" customFormat="false" ht="13.8" hidden="false" customHeight="false" outlineLevel="0" collapsed="false">
      <c r="B663" s="2" t="n">
        <v>661</v>
      </c>
      <c r="C663" s="2" t="n">
        <v>0.4316812</v>
      </c>
      <c r="D663" s="2" t="n">
        <v>0.4</v>
      </c>
      <c r="E663" s="2" t="n">
        <v>1E-006</v>
      </c>
    </row>
    <row r="664" customFormat="false" ht="13.8" hidden="false" customHeight="false" outlineLevel="0" collapsed="false">
      <c r="B664" s="2" t="n">
        <v>662</v>
      </c>
      <c r="C664" s="2" t="n">
        <v>0.506548533333333</v>
      </c>
      <c r="D664" s="2" t="n">
        <v>0.4</v>
      </c>
      <c r="E664" s="2" t="n">
        <v>0.00433346666666667</v>
      </c>
    </row>
    <row r="665" customFormat="false" ht="13.8" hidden="false" customHeight="false" outlineLevel="0" collapsed="false">
      <c r="B665" s="2" t="n">
        <v>663</v>
      </c>
      <c r="C665" s="2" t="n">
        <v>0.305884933333333</v>
      </c>
      <c r="D665" s="2" t="n">
        <v>0.4</v>
      </c>
      <c r="E665" s="2" t="n">
        <v>0.109</v>
      </c>
    </row>
    <row r="666" customFormat="false" ht="13.8" hidden="false" customHeight="false" outlineLevel="0" collapsed="false">
      <c r="B666" s="2" t="n">
        <v>664</v>
      </c>
      <c r="C666" s="2" t="n">
        <v>0.410817533333333</v>
      </c>
      <c r="D666" s="2" t="n">
        <v>0.4</v>
      </c>
      <c r="E666" s="2" t="n">
        <v>0.031</v>
      </c>
    </row>
    <row r="667" customFormat="false" ht="13.8" hidden="false" customHeight="false" outlineLevel="0" collapsed="false">
      <c r="B667" s="2" t="n">
        <v>665</v>
      </c>
      <c r="C667" s="2" t="n">
        <v>0.268885</v>
      </c>
      <c r="D667" s="2" t="n">
        <v>0.4</v>
      </c>
      <c r="E667" s="2" t="n">
        <v>0.109</v>
      </c>
    </row>
    <row r="668" customFormat="false" ht="13.8" hidden="false" customHeight="false" outlineLevel="0" collapsed="false">
      <c r="B668" s="2" t="n">
        <v>666</v>
      </c>
      <c r="C668" s="2" t="n">
        <v>0.381418466666667</v>
      </c>
      <c r="D668" s="2" t="n">
        <v>0.4</v>
      </c>
      <c r="E668" s="2" t="n">
        <v>0.0286671333333333</v>
      </c>
    </row>
    <row r="669" customFormat="false" ht="13.8" hidden="false" customHeight="false" outlineLevel="0" collapsed="false">
      <c r="B669" s="2" t="n">
        <v>667</v>
      </c>
      <c r="C669" s="2" t="n">
        <v>0.313282533333333</v>
      </c>
      <c r="D669" s="2" t="n">
        <v>0.4</v>
      </c>
      <c r="E669" s="2" t="n">
        <v>0.0040002</v>
      </c>
    </row>
    <row r="670" customFormat="false" ht="13.8" hidden="false" customHeight="false" outlineLevel="0" collapsed="false">
      <c r="B670" s="2" t="n">
        <v>668</v>
      </c>
      <c r="C670" s="2" t="n">
        <v>0.422281466666667</v>
      </c>
      <c r="D670" s="2" t="n">
        <v>0.4</v>
      </c>
      <c r="E670" s="2" t="n">
        <v>0.096</v>
      </c>
    </row>
    <row r="671" customFormat="false" ht="13.8" hidden="false" customHeight="false" outlineLevel="0" collapsed="false">
      <c r="B671" s="2" t="n">
        <v>669</v>
      </c>
      <c r="C671" s="2" t="n">
        <v>0.260016533333333</v>
      </c>
      <c r="D671" s="2" t="n">
        <v>0.4</v>
      </c>
      <c r="E671" s="2" t="n">
        <v>0.0436667333333333</v>
      </c>
    </row>
    <row r="672" customFormat="false" ht="13.8" hidden="false" customHeight="false" outlineLevel="0" collapsed="false">
      <c r="B672" s="2" t="n">
        <v>670</v>
      </c>
      <c r="C672" s="2" t="n">
        <v>0.344015533333333</v>
      </c>
      <c r="D672" s="2" t="n">
        <v>0.4</v>
      </c>
      <c r="E672" s="2" t="n">
        <v>0.083</v>
      </c>
    </row>
    <row r="673" customFormat="false" ht="13.8" hidden="false" customHeight="false" outlineLevel="0" collapsed="false">
      <c r="B673" s="2" t="n">
        <v>671</v>
      </c>
      <c r="C673" s="2" t="n">
        <v>0.302281666666667</v>
      </c>
      <c r="D673" s="2" t="n">
        <v>0.4</v>
      </c>
      <c r="E673" s="2" t="n">
        <v>0.0566667333333333</v>
      </c>
    </row>
    <row r="674" customFormat="false" ht="13.8" hidden="false" customHeight="false" outlineLevel="0" collapsed="false">
      <c r="B674" s="2" t="n">
        <v>672</v>
      </c>
      <c r="C674" s="2" t="n">
        <v>0.215016666666667</v>
      </c>
      <c r="D674" s="2" t="n">
        <v>0.373333333333333</v>
      </c>
      <c r="E674" s="2" t="n">
        <v>1E-006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3" t="s">
        <v>0</v>
      </c>
      <c r="C2" s="2" t="n">
        <v>0.635348561350958</v>
      </c>
      <c r="E2" s="2" t="n">
        <v>0.184607930260947</v>
      </c>
    </row>
    <row r="3" customFormat="false" ht="13.8" hidden="false" customHeight="false" outlineLevel="0" collapsed="false">
      <c r="B3" s="3" t="s">
        <v>1</v>
      </c>
      <c r="C3" s="2" t="n">
        <v>0.614823595881608</v>
      </c>
      <c r="E3" s="2" t="n">
        <v>2.29562858680554</v>
      </c>
    </row>
    <row r="4" customFormat="false" ht="13.8" hidden="false" customHeight="false" outlineLevel="0" collapsed="false">
      <c r="B4" s="3" t="s">
        <v>2</v>
      </c>
      <c r="C4" s="2" t="n">
        <v>4.52792284225552</v>
      </c>
      <c r="E4" s="2" t="n">
        <v>7.924293992757</v>
      </c>
    </row>
    <row r="8" customFormat="false" ht="13.8" hidden="false" customHeight="false" outlineLevel="0" collapsed="false">
      <c r="C8" s="2" t="n">
        <f aca="false">0.518*SUM(C2:C4)+0.384*SUM(E2:E4)</f>
        <v>6.98839292550705</v>
      </c>
    </row>
    <row r="9" customFormat="false" ht="13.8" hidden="false" customHeight="false" outlineLevel="0" collapsed="false">
      <c r="C9" s="2" t="n">
        <f aca="false">profit!F2-C8</f>
        <v>0.0731879607067629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I4" activeCellId="0" sqref="I4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2" t="n">
        <v>-0.00430672117810749</v>
      </c>
      <c r="D2" s="3" t="s">
        <v>0</v>
      </c>
      <c r="E2" s="2" t="n">
        <v>-1.22871655374749</v>
      </c>
      <c r="F2" s="2" t="n">
        <v>7.06158088621381</v>
      </c>
      <c r="H2" s="3" t="s">
        <v>0</v>
      </c>
      <c r="I2" s="2" t="n">
        <v>0.404150299493041</v>
      </c>
    </row>
    <row r="3" customFormat="false" ht="13.8" hidden="false" customHeight="false" outlineLevel="0" collapsed="false">
      <c r="D3" s="3" t="s">
        <v>1</v>
      </c>
      <c r="E3" s="2" t="n">
        <v>-0.848156898495608</v>
      </c>
      <c r="H3" s="3" t="s">
        <v>1</v>
      </c>
      <c r="I3" s="2" t="n">
        <v>1.21786819745528</v>
      </c>
    </row>
    <row r="4" customFormat="false" ht="13.8" hidden="false" customHeight="false" outlineLevel="0" collapsed="false">
      <c r="D4" s="3" t="s">
        <v>2</v>
      </c>
      <c r="E4" s="2" t="n">
        <v>2.072566731065</v>
      </c>
      <c r="H4" s="3" t="s">
        <v>2</v>
      </c>
      <c r="I4" s="2" t="n">
        <v>5.43956238926549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4.56656778471001E-005</v>
      </c>
      <c r="D24" s="2" t="n">
        <v>4.41904459539906E-005</v>
      </c>
      <c r="E24" s="2" t="n">
        <v>0.000325444454287115</v>
      </c>
    </row>
    <row r="25" customFormat="false" ht="13.8" hidden="false" customHeight="false" outlineLevel="0" collapsed="false">
      <c r="B25" s="2" t="n">
        <v>23</v>
      </c>
      <c r="C25" s="2" t="n">
        <v>9.13313556942002E-005</v>
      </c>
      <c r="D25" s="2" t="n">
        <v>8.83808919079812E-005</v>
      </c>
      <c r="E25" s="2" t="n">
        <v>0.000650888908574231</v>
      </c>
    </row>
    <row r="26" customFormat="false" ht="13.8" hidden="false" customHeight="false" outlineLevel="0" collapsed="false">
      <c r="B26" s="2" t="n">
        <v>24</v>
      </c>
      <c r="C26" s="2" t="n">
        <v>0.000136997033541299</v>
      </c>
      <c r="D26" s="2" t="n">
        <v>0.000132571337861972</v>
      </c>
      <c r="E26" s="2" t="n">
        <v>0.000976333362861346</v>
      </c>
    </row>
    <row r="27" customFormat="false" ht="13.8" hidden="false" customHeight="false" outlineLevel="0" collapsed="false">
      <c r="B27" s="2" t="n">
        <v>25</v>
      </c>
      <c r="C27" s="2" t="n">
        <v>0.0001826627113884</v>
      </c>
      <c r="D27" s="2" t="n">
        <v>0.000176761783815962</v>
      </c>
      <c r="E27" s="2" t="n">
        <v>0.00130177781714846</v>
      </c>
    </row>
    <row r="28" customFormat="false" ht="13.8" hidden="false" customHeight="false" outlineLevel="0" collapsed="false">
      <c r="B28" s="2" t="n">
        <v>26</v>
      </c>
      <c r="C28" s="2" t="n">
        <v>0.00165587718802093</v>
      </c>
      <c r="D28" s="2" t="n">
        <v>0.00160238399676644</v>
      </c>
      <c r="E28" s="2" t="n">
        <v>0.0118008989076284</v>
      </c>
    </row>
    <row r="29" customFormat="false" ht="13.8" hidden="false" customHeight="false" outlineLevel="0" collapsed="false">
      <c r="B29" s="2" t="n">
        <v>27</v>
      </c>
      <c r="C29" s="2" t="n">
        <v>0.00312909166465347</v>
      </c>
      <c r="D29" s="2" t="n">
        <v>0.00302800620971692</v>
      </c>
      <c r="E29" s="2" t="n">
        <v>0.0223000199981084</v>
      </c>
    </row>
    <row r="30" customFormat="false" ht="13.8" hidden="false" customHeight="false" outlineLevel="0" collapsed="false">
      <c r="B30" s="2" t="n">
        <v>28</v>
      </c>
      <c r="C30" s="2" t="n">
        <v>0.004602306141286</v>
      </c>
      <c r="D30" s="2" t="n">
        <v>0.0044536284226674</v>
      </c>
      <c r="E30" s="2" t="n">
        <v>0.0327991410885884</v>
      </c>
    </row>
    <row r="31" customFormat="false" ht="13.8" hidden="false" customHeight="false" outlineLevel="0" collapsed="false">
      <c r="B31" s="2" t="n">
        <v>29</v>
      </c>
      <c r="C31" s="2" t="n">
        <v>0.00607552061791854</v>
      </c>
      <c r="D31" s="2" t="n">
        <v>0.00587925063561788</v>
      </c>
      <c r="E31" s="2" t="n">
        <v>0.0432982621790684</v>
      </c>
    </row>
    <row r="32" customFormat="false" ht="13.8" hidden="false" customHeight="false" outlineLevel="0" collapsed="false">
      <c r="B32" s="2" t="n">
        <v>30</v>
      </c>
      <c r="C32" s="2" t="n">
        <v>0.0124830108591429</v>
      </c>
      <c r="D32" s="2" t="n">
        <v>0.0120797466000839</v>
      </c>
      <c r="E32" s="2" t="n">
        <v>0.0889623640432153</v>
      </c>
    </row>
    <row r="33" customFormat="false" ht="13.8" hidden="false" customHeight="false" outlineLevel="0" collapsed="false">
      <c r="B33" s="2" t="n">
        <v>31</v>
      </c>
      <c r="C33" s="2" t="n">
        <v>0.0188905011003674</v>
      </c>
      <c r="D33" s="2" t="n">
        <v>0.0182802425645499</v>
      </c>
      <c r="E33" s="2" t="n">
        <v>0.043610782232966</v>
      </c>
    </row>
    <row r="34" customFormat="false" ht="13.8" hidden="false" customHeight="false" outlineLevel="0" collapsed="false">
      <c r="B34" s="2" t="n">
        <v>32</v>
      </c>
      <c r="C34" s="2" t="n">
        <v>0.0252979913415918</v>
      </c>
      <c r="D34" s="2" t="n">
        <v>0.0244807385290159</v>
      </c>
      <c r="E34" s="2" t="n">
        <v>0.0531205253250749</v>
      </c>
    </row>
    <row r="35" customFormat="false" ht="13.8" hidden="false" customHeight="false" outlineLevel="0" collapsed="false">
      <c r="B35" s="2" t="n">
        <v>33</v>
      </c>
      <c r="C35" s="2" t="n">
        <v>0.0317054815828162</v>
      </c>
      <c r="D35" s="2" t="n">
        <v>0.0306812344934819</v>
      </c>
      <c r="E35" s="2" t="n">
        <v>0.0275466184171838</v>
      </c>
    </row>
    <row r="36" customFormat="false" ht="13.8" hidden="false" customHeight="false" outlineLevel="0" collapsed="false">
      <c r="B36" s="2" t="n">
        <v>34</v>
      </c>
      <c r="C36" s="2" t="n">
        <v>0.0336734737516008</v>
      </c>
      <c r="D36" s="2" t="n">
        <v>0.0325856505817252</v>
      </c>
      <c r="E36" s="2" t="n">
        <v>0.0663285262483992</v>
      </c>
    </row>
    <row r="37" customFormat="false" ht="13.8" hidden="false" customHeight="false" outlineLevel="0" collapsed="false">
      <c r="B37" s="2" t="n">
        <v>35</v>
      </c>
      <c r="C37" s="2" t="n">
        <v>0.0356414659203854</v>
      </c>
      <c r="D37" s="2" t="n">
        <v>0.0344900666699685</v>
      </c>
      <c r="E37" s="2" t="n">
        <v>0.0371606840796146</v>
      </c>
    </row>
    <row r="38" customFormat="false" ht="13.8" hidden="false" customHeight="false" outlineLevel="0" collapsed="false">
      <c r="B38" s="2" t="n">
        <v>36</v>
      </c>
      <c r="C38" s="2" t="n">
        <v>0.03760945808917</v>
      </c>
      <c r="D38" s="2" t="n">
        <v>0.0363944827582118</v>
      </c>
      <c r="E38" s="2" t="n">
        <v>0.0428928752441634</v>
      </c>
    </row>
    <row r="39" customFormat="false" ht="13.8" hidden="false" customHeight="false" outlineLevel="0" collapsed="false">
      <c r="B39" s="2" t="n">
        <v>37</v>
      </c>
      <c r="C39" s="2" t="n">
        <v>0.0395774502579546</v>
      </c>
      <c r="D39" s="2" t="n">
        <v>0.0382988988464551</v>
      </c>
      <c r="E39" s="2" t="n">
        <v>0.0621747997420454</v>
      </c>
    </row>
    <row r="40" customFormat="false" ht="13.8" hidden="false" customHeight="false" outlineLevel="0" collapsed="false">
      <c r="B40" s="2" t="n">
        <v>38</v>
      </c>
      <c r="C40" s="2" t="n">
        <v>0.0531139484503876</v>
      </c>
      <c r="D40" s="2" t="n">
        <v>0.0513980998214602</v>
      </c>
      <c r="E40" s="2" t="n">
        <v>0.0153050848829458</v>
      </c>
    </row>
    <row r="41" customFormat="false" ht="13.8" hidden="false" customHeight="false" outlineLevel="0" collapsed="false">
      <c r="B41" s="2" t="n">
        <v>39</v>
      </c>
      <c r="C41" s="2" t="n">
        <v>0.0666504466428206</v>
      </c>
      <c r="D41" s="2" t="n">
        <v>0.0644973007964652</v>
      </c>
      <c r="E41" s="2" t="n">
        <v>0.0227684366905128</v>
      </c>
    </row>
    <row r="42" customFormat="false" ht="13.8" hidden="false" customHeight="false" outlineLevel="0" collapsed="false">
      <c r="B42" s="2" t="n">
        <v>40</v>
      </c>
      <c r="C42" s="2" t="n">
        <v>0.066252</v>
      </c>
      <c r="D42" s="2" t="n">
        <v>0.0775965017714703</v>
      </c>
      <c r="E42" s="2" t="n">
        <v>0.0501338</v>
      </c>
    </row>
    <row r="43" customFormat="false" ht="13.8" hidden="false" customHeight="false" outlineLevel="0" collapsed="false">
      <c r="B43" s="2" t="n">
        <v>41</v>
      </c>
      <c r="C43" s="2" t="n">
        <v>0.0460854666666667</v>
      </c>
      <c r="D43" s="2" t="n">
        <v>0.0906957027464754</v>
      </c>
      <c r="E43" s="2" t="n">
        <v>0.01850025</v>
      </c>
    </row>
    <row r="44" customFormat="false" ht="13.8" hidden="false" customHeight="false" outlineLevel="0" collapsed="false">
      <c r="B44" s="2" t="n">
        <v>42</v>
      </c>
      <c r="C44" s="2" t="n">
        <v>0.0414521</v>
      </c>
      <c r="D44" s="2" t="n">
        <v>0.0925786000088628</v>
      </c>
      <c r="E44" s="2" t="n">
        <v>0.05086695</v>
      </c>
    </row>
    <row r="45" customFormat="false" ht="13.8" hidden="false" customHeight="false" outlineLevel="0" collapsed="false">
      <c r="B45" s="2" t="n">
        <v>43</v>
      </c>
      <c r="C45" s="2" t="n">
        <v>0.0777852333333333</v>
      </c>
      <c r="D45" s="2" t="n">
        <v>0.0944614972712503</v>
      </c>
      <c r="E45" s="2" t="n">
        <v>0.0375004</v>
      </c>
    </row>
    <row r="46" customFormat="false" ht="13.8" hidden="false" customHeight="false" outlineLevel="0" collapsed="false">
      <c r="B46" s="2" t="n">
        <v>44</v>
      </c>
      <c r="C46" s="2" t="n">
        <v>0.0611849166666667</v>
      </c>
      <c r="D46" s="2" t="n">
        <v>0.0963443945336377</v>
      </c>
      <c r="E46" s="2" t="n">
        <v>0.10000025</v>
      </c>
    </row>
    <row r="47" customFormat="false" ht="13.8" hidden="false" customHeight="false" outlineLevel="0" collapsed="false">
      <c r="B47" s="2" t="n">
        <v>45</v>
      </c>
      <c r="C47" s="2" t="n">
        <v>0.0917511833333334</v>
      </c>
      <c r="D47" s="2" t="n">
        <v>0.0982272917960251</v>
      </c>
      <c r="E47" s="2" t="n">
        <v>0.0410003666666667</v>
      </c>
    </row>
    <row r="48" customFormat="false" ht="13.8" hidden="false" customHeight="false" outlineLevel="0" collapsed="false">
      <c r="B48" s="2" t="n">
        <v>46</v>
      </c>
      <c r="C48" s="2" t="n">
        <v>0.06525135</v>
      </c>
      <c r="D48" s="2" t="n">
        <v>0.098588884923353</v>
      </c>
      <c r="E48" s="2" t="n">
        <v>0.726066577514554</v>
      </c>
    </row>
    <row r="49" customFormat="false" ht="13.8" hidden="false" customHeight="false" outlineLevel="0" collapsed="false">
      <c r="B49" s="2" t="n">
        <v>47</v>
      </c>
      <c r="C49" s="2" t="n">
        <v>0.0490016333333333</v>
      </c>
      <c r="D49" s="2" t="n">
        <v>0.0989504780506808</v>
      </c>
      <c r="E49" s="2" t="n">
        <v>0.728729562136156</v>
      </c>
    </row>
    <row r="50" customFormat="false" ht="13.8" hidden="false" customHeight="false" outlineLevel="0" collapsed="false">
      <c r="B50" s="2" t="n">
        <v>48</v>
      </c>
      <c r="C50" s="2" t="n">
        <v>0.0415517</v>
      </c>
      <c r="D50" s="2" t="n">
        <v>0.0993120711780087</v>
      </c>
      <c r="E50" s="2" t="n">
        <v>0.0510004</v>
      </c>
    </row>
    <row r="51" customFormat="false" ht="13.8" hidden="false" customHeight="false" outlineLevel="0" collapsed="false">
      <c r="B51" s="2" t="n">
        <v>49</v>
      </c>
      <c r="C51" s="2" t="n">
        <v>0.0705851</v>
      </c>
      <c r="D51" s="2" t="n">
        <v>0.0996736643053366</v>
      </c>
      <c r="E51" s="2" t="n">
        <v>0.0175002666666667</v>
      </c>
    </row>
    <row r="52" customFormat="false" ht="13.8" hidden="false" customHeight="false" outlineLevel="0" collapsed="false">
      <c r="B52" s="2" t="n">
        <v>50</v>
      </c>
      <c r="C52" s="2" t="n">
        <v>0.0642518</v>
      </c>
      <c r="D52" s="2" t="n">
        <v>0.100408378502415</v>
      </c>
      <c r="E52" s="2" t="n">
        <v>0.05000025</v>
      </c>
    </row>
    <row r="53" customFormat="false" ht="13.8" hidden="false" customHeight="false" outlineLevel="0" collapsed="false">
      <c r="B53" s="2" t="n">
        <v>51</v>
      </c>
      <c r="C53" s="2" t="n">
        <v>0.0739185833333333</v>
      </c>
      <c r="D53" s="2" t="n">
        <v>0.101143092699494</v>
      </c>
      <c r="E53" s="2" t="n">
        <v>0.01750025</v>
      </c>
    </row>
    <row r="54" customFormat="false" ht="13.8" hidden="false" customHeight="false" outlineLevel="0" collapsed="false">
      <c r="B54" s="2" t="n">
        <v>52</v>
      </c>
      <c r="C54" s="2" t="n">
        <v>0.0909658813900013</v>
      </c>
      <c r="D54" s="2" t="n">
        <v>0.101877806896572</v>
      </c>
      <c r="E54" s="2" t="n">
        <v>0.05000025</v>
      </c>
    </row>
    <row r="55" customFormat="false" ht="13.8" hidden="false" customHeight="false" outlineLevel="0" collapsed="false">
      <c r="B55" s="2" t="n">
        <v>53</v>
      </c>
      <c r="C55" s="2" t="n">
        <v>0.106038086518072</v>
      </c>
      <c r="D55" s="2" t="n">
        <v>0.102612521093651</v>
      </c>
      <c r="E55" s="2" t="n">
        <v>0.01750025</v>
      </c>
    </row>
    <row r="56" customFormat="false" ht="13.8" hidden="false" customHeight="false" outlineLevel="0" collapsed="false">
      <c r="B56" s="2" t="n">
        <v>54</v>
      </c>
      <c r="C56" s="2" t="n">
        <v>0.102522226416696</v>
      </c>
      <c r="D56" s="2" t="n">
        <v>0.0992102410199408</v>
      </c>
      <c r="E56" s="2" t="n">
        <v>0.730642609537009</v>
      </c>
    </row>
    <row r="57" customFormat="false" ht="13.8" hidden="false" customHeight="false" outlineLevel="0" collapsed="false">
      <c r="B57" s="2" t="n">
        <v>55</v>
      </c>
      <c r="C57" s="2" t="n">
        <v>0.0990063663153198</v>
      </c>
      <c r="D57" s="2" t="n">
        <v>0.095807960946231</v>
      </c>
      <c r="E57" s="2" t="n">
        <v>0.00025045</v>
      </c>
    </row>
    <row r="58" customFormat="false" ht="13.8" hidden="false" customHeight="false" outlineLevel="0" collapsed="false">
      <c r="B58" s="2" t="n">
        <v>56</v>
      </c>
      <c r="C58" s="2" t="n">
        <v>0.0954905062139439</v>
      </c>
      <c r="D58" s="2" t="n">
        <v>0.0924056808725211</v>
      </c>
      <c r="E58" s="2" t="n">
        <v>0.680529823480346</v>
      </c>
    </row>
    <row r="59" customFormat="false" ht="13.8" hidden="false" customHeight="false" outlineLevel="0" collapsed="false">
      <c r="B59" s="2" t="n">
        <v>57</v>
      </c>
      <c r="C59" s="2" t="n">
        <v>0.0919746461125681</v>
      </c>
      <c r="D59" s="2" t="n">
        <v>0.0890034007988113</v>
      </c>
      <c r="E59" s="2" t="n">
        <v>0.04085015</v>
      </c>
    </row>
    <row r="60" customFormat="false" ht="13.8" hidden="false" customHeight="false" outlineLevel="0" collapsed="false">
      <c r="B60" s="2" t="n">
        <v>58</v>
      </c>
      <c r="C60" s="2" t="n">
        <v>0.0822772416020982</v>
      </c>
      <c r="D60" s="2" t="n">
        <v>0.0796192714019208</v>
      </c>
      <c r="E60" s="2" t="n">
        <v>0.586363178120315</v>
      </c>
    </row>
    <row r="61" customFormat="false" ht="13.8" hidden="false" customHeight="false" outlineLevel="0" collapsed="false">
      <c r="B61" s="2" t="n">
        <v>59</v>
      </c>
      <c r="C61" s="2" t="n">
        <v>0.0725798370916284</v>
      </c>
      <c r="D61" s="2" t="n">
        <v>0.0702351420050304</v>
      </c>
      <c r="E61" s="2" t="n">
        <v>0.517252925788611</v>
      </c>
    </row>
    <row r="62" customFormat="false" ht="13.8" hidden="false" customHeight="false" outlineLevel="0" collapsed="false">
      <c r="B62" s="2" t="n">
        <v>60</v>
      </c>
      <c r="C62" s="2" t="n">
        <v>0.0628824325811585</v>
      </c>
      <c r="D62" s="2" t="n">
        <v>0.0608510126081399</v>
      </c>
      <c r="E62" s="2" t="n">
        <v>0.448142673456911</v>
      </c>
    </row>
    <row r="63" customFormat="false" ht="13.8" hidden="false" customHeight="false" outlineLevel="0" collapsed="false">
      <c r="B63" s="2" t="n">
        <v>61</v>
      </c>
      <c r="C63" s="2" t="n">
        <v>0.0531850280706887</v>
      </c>
      <c r="D63" s="2" t="n">
        <v>0.0514668832112494</v>
      </c>
      <c r="E63" s="2" t="n">
        <v>0.37903242112521</v>
      </c>
    </row>
    <row r="64" customFormat="false" ht="13.8" hidden="false" customHeight="false" outlineLevel="0" collapsed="false">
      <c r="B64" s="2" t="n">
        <v>62</v>
      </c>
      <c r="C64" s="2" t="n">
        <v>0.048234868592063</v>
      </c>
      <c r="D64" s="2" t="n">
        <v>0.0466766388698368</v>
      </c>
      <c r="E64" s="2" t="n">
        <v>0.308966177838721</v>
      </c>
    </row>
    <row r="65" customFormat="false" ht="13.8" hidden="false" customHeight="false" outlineLevel="0" collapsed="false">
      <c r="B65" s="2" t="n">
        <v>63</v>
      </c>
      <c r="C65" s="2" t="n">
        <v>0.0432847091134374</v>
      </c>
      <c r="D65" s="2" t="n">
        <v>0.0418863945284243</v>
      </c>
      <c r="E65" s="2" t="n">
        <v>0.139631974219896</v>
      </c>
    </row>
    <row r="66" customFormat="false" ht="13.8" hidden="false" customHeight="false" outlineLevel="0" collapsed="false">
      <c r="B66" s="2" t="n">
        <v>64</v>
      </c>
      <c r="C66" s="2" t="n">
        <v>0.0383345496348117</v>
      </c>
      <c r="D66" s="2" t="n">
        <v>0.0370961501870117</v>
      </c>
      <c r="E66" s="2" t="n">
        <v>0.156915450365188</v>
      </c>
    </row>
    <row r="67" customFormat="false" ht="13.8" hidden="false" customHeight="false" outlineLevel="0" collapsed="false">
      <c r="B67" s="2" t="n">
        <v>65</v>
      </c>
      <c r="C67" s="2" t="n">
        <v>0.0333843901561861</v>
      </c>
      <c r="D67" s="2" t="n">
        <v>0.0323059058455991</v>
      </c>
      <c r="E67" s="2" t="n">
        <v>0.155365609843814</v>
      </c>
    </row>
    <row r="68" customFormat="false" ht="13.8" hidden="false" customHeight="false" outlineLevel="0" collapsed="false">
      <c r="B68" s="2" t="n">
        <v>66</v>
      </c>
      <c r="C68" s="2" t="n">
        <v>0.0283425022290154</v>
      </c>
      <c r="D68" s="2" t="n">
        <v>0.0274268963475311</v>
      </c>
      <c r="E68" s="2" t="n">
        <v>0.089824631104318</v>
      </c>
    </row>
    <row r="69" customFormat="false" ht="13.8" hidden="false" customHeight="false" outlineLevel="0" collapsed="false">
      <c r="B69" s="2" t="n">
        <v>67</v>
      </c>
      <c r="C69" s="2" t="n">
        <v>0.0233006143018447</v>
      </c>
      <c r="D69" s="2" t="n">
        <v>0.0225478868494631</v>
      </c>
      <c r="E69" s="2" t="n">
        <v>0.0397001356981553</v>
      </c>
    </row>
    <row r="70" customFormat="false" ht="13.8" hidden="false" customHeight="false" outlineLevel="0" collapsed="false">
      <c r="B70" s="2" t="n">
        <v>68</v>
      </c>
      <c r="C70" s="2" t="n">
        <v>0.018258726374674</v>
      </c>
      <c r="D70" s="2" t="n">
        <v>0.0176688773513951</v>
      </c>
      <c r="E70" s="2" t="n">
        <v>0.130124012631094</v>
      </c>
    </row>
    <row r="71" customFormat="false" ht="13.8" hidden="false" customHeight="false" outlineLevel="0" collapsed="false">
      <c r="B71" s="2" t="n">
        <v>69</v>
      </c>
      <c r="C71" s="2" t="n">
        <v>0.0132168384475033</v>
      </c>
      <c r="D71" s="2" t="n">
        <v>0.0127898678533272</v>
      </c>
      <c r="E71" s="2" t="n">
        <v>0.0941921149260204</v>
      </c>
    </row>
    <row r="72" customFormat="false" ht="13.8" hidden="false" customHeight="false" outlineLevel="0" collapsed="false">
      <c r="B72" s="2" t="n">
        <v>70</v>
      </c>
      <c r="C72" s="2" t="n">
        <v>0.00991262883562748</v>
      </c>
      <c r="D72" s="2" t="n">
        <v>0.00959240088999536</v>
      </c>
      <c r="E72" s="2" t="n">
        <v>0.0706440861945153</v>
      </c>
    </row>
    <row r="73" customFormat="false" ht="13.8" hidden="false" customHeight="false" outlineLevel="0" collapsed="false">
      <c r="B73" s="2" t="n">
        <v>71</v>
      </c>
      <c r="C73" s="2" t="n">
        <v>0.00660841922375165</v>
      </c>
      <c r="D73" s="2" t="n">
        <v>0.00639493392666358</v>
      </c>
      <c r="E73" s="2" t="n">
        <v>0.0470960574630102</v>
      </c>
    </row>
    <row r="74" customFormat="false" ht="13.8" hidden="false" customHeight="false" outlineLevel="0" collapsed="false">
      <c r="B74" s="2" t="n">
        <v>72</v>
      </c>
      <c r="C74" s="2" t="n">
        <v>0.00330420961187583</v>
      </c>
      <c r="D74" s="2" t="n">
        <v>0.00319746696333179</v>
      </c>
      <c r="E74" s="2" t="n">
        <v>0.0235480287315051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0.00115434891740452</v>
      </c>
      <c r="D120" s="2" t="n">
        <v>0.0011170576207674</v>
      </c>
      <c r="E120" s="2" t="n">
        <v>0.008226669814023</v>
      </c>
    </row>
    <row r="121" customFormat="false" ht="13.8" hidden="false" customHeight="false" outlineLevel="0" collapsed="false">
      <c r="B121" s="2" t="n">
        <v>119</v>
      </c>
      <c r="C121" s="2" t="n">
        <v>0.00230869783480904</v>
      </c>
      <c r="D121" s="2" t="n">
        <v>0.00223411524153479</v>
      </c>
      <c r="E121" s="2" t="n">
        <v>0.016453339628046</v>
      </c>
    </row>
    <row r="122" customFormat="false" ht="13.8" hidden="false" customHeight="false" outlineLevel="0" collapsed="false">
      <c r="B122" s="2" t="n">
        <v>120</v>
      </c>
      <c r="C122" s="2" t="n">
        <v>0.00346304675221357</v>
      </c>
      <c r="D122" s="2" t="n">
        <v>0.00335117286230219</v>
      </c>
      <c r="E122" s="2" t="n">
        <v>0.024680009442069</v>
      </c>
    </row>
    <row r="123" customFormat="false" ht="13.8" hidden="false" customHeight="false" outlineLevel="0" collapsed="false">
      <c r="B123" s="2" t="n">
        <v>121</v>
      </c>
      <c r="C123" s="2" t="n">
        <v>0.00461739566961809</v>
      </c>
      <c r="D123" s="2" t="n">
        <v>0.00446823048306959</v>
      </c>
      <c r="E123" s="2" t="n">
        <v>0.032906679256092</v>
      </c>
    </row>
    <row r="124" customFormat="false" ht="13.8" hidden="false" customHeight="false" outlineLevel="0" collapsed="false">
      <c r="B124" s="2" t="n">
        <v>122</v>
      </c>
      <c r="C124" s="2" t="n">
        <v>0.00915060765485717</v>
      </c>
      <c r="D124" s="2" t="n">
        <v>0.00885499683968486</v>
      </c>
      <c r="E124" s="2" t="n">
        <v>0.0652134087355851</v>
      </c>
    </row>
    <row r="125" customFormat="false" ht="13.8" hidden="false" customHeight="false" outlineLevel="0" collapsed="false">
      <c r="B125" s="2" t="n">
        <v>123</v>
      </c>
      <c r="C125" s="2" t="n">
        <v>0.00541768333333333</v>
      </c>
      <c r="D125" s="2" t="n">
        <v>0</v>
      </c>
      <c r="E125" s="2" t="n">
        <v>0.00125</v>
      </c>
    </row>
    <row r="126" customFormat="false" ht="13.8" hidden="false" customHeight="false" outlineLevel="0" collapsed="false">
      <c r="B126" s="2" t="n">
        <v>124</v>
      </c>
      <c r="C126" s="2" t="n">
        <v>0.0182170316253353</v>
      </c>
      <c r="D126" s="2" t="n">
        <v>0.0176285295529154</v>
      </c>
      <c r="E126" s="2" t="n">
        <v>0.0879054721550826</v>
      </c>
    </row>
    <row r="127" customFormat="false" ht="13.8" hidden="false" customHeight="false" outlineLevel="0" collapsed="false">
      <c r="B127" s="2" t="n">
        <v>125</v>
      </c>
      <c r="C127" s="2" t="n">
        <v>0.0227502436105744</v>
      </c>
      <c r="D127" s="2" t="n">
        <v>0.00250100638942557</v>
      </c>
      <c r="E127" s="2" t="n">
        <v>0.0045</v>
      </c>
    </row>
    <row r="128" customFormat="false" ht="13.8" hidden="false" customHeight="false" outlineLevel="0" collapsed="false">
      <c r="B128" s="2" t="n">
        <v>126</v>
      </c>
      <c r="C128" s="2" t="n">
        <v>0.0314052793875779</v>
      </c>
      <c r="D128" s="2" t="n">
        <v>0.0303907303444279</v>
      </c>
      <c r="E128" s="2" t="n">
        <v>0.0477555569346609</v>
      </c>
    </row>
    <row r="129" customFormat="false" ht="13.8" hidden="false" customHeight="false" outlineLevel="0" collapsed="false">
      <c r="B129" s="2" t="n">
        <v>127</v>
      </c>
      <c r="C129" s="2" t="n">
        <v>0.0314182166666667</v>
      </c>
      <c r="D129" s="2" t="n">
        <v>0</v>
      </c>
      <c r="E129" s="2" t="n">
        <v>0.0335007</v>
      </c>
    </row>
    <row r="130" customFormat="false" ht="13.8" hidden="false" customHeight="false" outlineLevel="0" collapsed="false">
      <c r="B130" s="2" t="n">
        <v>128</v>
      </c>
      <c r="C130" s="2" t="n">
        <v>0.0487153509415847</v>
      </c>
      <c r="D130" s="2" t="n">
        <v>0.00208661572508197</v>
      </c>
      <c r="E130" s="2" t="n">
        <v>0.00125075</v>
      </c>
    </row>
    <row r="131" customFormat="false" ht="13.8" hidden="false" customHeight="false" outlineLevel="0" collapsed="false">
      <c r="B131" s="2" t="n">
        <v>129</v>
      </c>
      <c r="C131" s="2" t="n">
        <v>0.0573703867185881</v>
      </c>
      <c r="D131" s="2" t="n">
        <v>0.0178314632814119</v>
      </c>
      <c r="E131" s="2" t="n">
        <v>0.03375075</v>
      </c>
    </row>
    <row r="132" customFormat="false" ht="13.8" hidden="false" customHeight="false" outlineLevel="0" collapsed="false">
      <c r="B132" s="2" t="n">
        <v>130</v>
      </c>
      <c r="C132" s="2" t="n">
        <v>0.0611353166666667</v>
      </c>
      <c r="D132" s="2" t="n">
        <v>0</v>
      </c>
      <c r="E132" s="2" t="n">
        <v>0.07658415</v>
      </c>
    </row>
    <row r="133" customFormat="false" ht="13.8" hidden="false" customHeight="false" outlineLevel="0" collapsed="false">
      <c r="B133" s="2" t="n">
        <v>131</v>
      </c>
      <c r="C133" s="2" t="n">
        <v>0.0393353166666667</v>
      </c>
      <c r="D133" s="2" t="n">
        <v>0</v>
      </c>
      <c r="E133" s="2" t="n">
        <v>0.0885008</v>
      </c>
    </row>
    <row r="134" customFormat="false" ht="13.8" hidden="false" customHeight="false" outlineLevel="0" collapsed="false">
      <c r="B134" s="2" t="n">
        <v>132</v>
      </c>
      <c r="C134" s="2" t="n">
        <v>0.0772659298244425</v>
      </c>
      <c r="D134" s="2" t="n">
        <v>0.0177028035088908</v>
      </c>
      <c r="E134" s="2" t="n">
        <v>0.128417333333333</v>
      </c>
    </row>
    <row r="135" customFormat="false" ht="13.8" hidden="false" customHeight="false" outlineLevel="0" collapsed="false">
      <c r="B135" s="2" t="n">
        <v>133</v>
      </c>
      <c r="C135" s="2" t="n">
        <v>0.04150225</v>
      </c>
      <c r="D135" s="2" t="n">
        <v>0</v>
      </c>
      <c r="E135" s="2" t="n">
        <v>0.100167383333333</v>
      </c>
    </row>
    <row r="136" customFormat="false" ht="13.8" hidden="false" customHeight="false" outlineLevel="0" collapsed="false">
      <c r="B136" s="2" t="n">
        <v>134</v>
      </c>
      <c r="C136" s="2" t="n">
        <v>0.0885112022675036</v>
      </c>
      <c r="D136" s="2" t="n">
        <v>0.0856518436717617</v>
      </c>
      <c r="E136" s="2" t="n">
        <v>0.0972417977324963</v>
      </c>
    </row>
    <row r="137" customFormat="false" ht="13.8" hidden="false" customHeight="false" outlineLevel="0" collapsed="false">
      <c r="B137" s="2" t="n">
        <v>135</v>
      </c>
      <c r="C137" s="2" t="n">
        <v>0.04150225</v>
      </c>
      <c r="D137" s="2" t="n">
        <v>0.090116231507357</v>
      </c>
      <c r="E137" s="2" t="n">
        <v>0.0584174333333333</v>
      </c>
    </row>
    <row r="138" customFormat="false" ht="13.8" hidden="false" customHeight="false" outlineLevel="0" collapsed="false">
      <c r="B138" s="2" t="n">
        <v>136</v>
      </c>
      <c r="C138" s="2" t="n">
        <v>0.09350225</v>
      </c>
      <c r="D138" s="2" t="n">
        <v>0.0945806193429523</v>
      </c>
      <c r="E138" s="2" t="n">
        <v>0.04735085</v>
      </c>
    </row>
    <row r="139" customFormat="false" ht="13.8" hidden="false" customHeight="false" outlineLevel="0" collapsed="false">
      <c r="B139" s="2" t="n">
        <v>137</v>
      </c>
      <c r="C139" s="2" t="n">
        <v>0.0429687333333333</v>
      </c>
      <c r="D139" s="2" t="n">
        <v>0.0990450071785477</v>
      </c>
      <c r="E139" s="2" t="n">
        <v>0.02175075</v>
      </c>
    </row>
    <row r="140" customFormat="false" ht="13.8" hidden="false" customHeight="false" outlineLevel="0" collapsed="false">
      <c r="B140" s="2" t="n">
        <v>138</v>
      </c>
      <c r="C140" s="2" t="n">
        <v>0.09550175</v>
      </c>
      <c r="D140" s="2" t="n">
        <v>0.0576435178150471</v>
      </c>
      <c r="E140" s="2" t="n">
        <v>0.11775055</v>
      </c>
    </row>
    <row r="141" customFormat="false" ht="13.8" hidden="false" customHeight="false" outlineLevel="0" collapsed="false">
      <c r="B141" s="2" t="n">
        <v>139</v>
      </c>
      <c r="C141" s="2" t="n">
        <v>0.03946845</v>
      </c>
      <c r="D141" s="2" t="n">
        <v>0.103001397018046</v>
      </c>
      <c r="E141" s="2" t="n">
        <v>0.102583866666667</v>
      </c>
    </row>
    <row r="142" customFormat="false" ht="13.8" hidden="false" customHeight="false" outlineLevel="0" collapsed="false">
      <c r="B142" s="2" t="n">
        <v>140</v>
      </c>
      <c r="C142" s="2" t="n">
        <v>0.10375125</v>
      </c>
      <c r="D142" s="2" t="n">
        <v>0.104979591937795</v>
      </c>
      <c r="E142" s="2" t="n">
        <v>0.0886674166666667</v>
      </c>
    </row>
    <row r="143" customFormat="false" ht="13.8" hidden="false" customHeight="false" outlineLevel="0" collapsed="false">
      <c r="B143" s="2" t="n">
        <v>141</v>
      </c>
      <c r="C143" s="2" t="n">
        <v>0.03941795</v>
      </c>
      <c r="D143" s="2" t="n">
        <v>0.106957786857544</v>
      </c>
      <c r="E143" s="2" t="n">
        <v>0.0362009</v>
      </c>
    </row>
    <row r="144" customFormat="false" ht="13.8" hidden="false" customHeight="false" outlineLevel="0" collapsed="false">
      <c r="B144" s="2" t="n">
        <v>142</v>
      </c>
      <c r="C144" s="2" t="n">
        <v>0.0916680833333333</v>
      </c>
      <c r="D144" s="2" t="n">
        <v>0.108346903919489</v>
      </c>
      <c r="E144" s="2" t="n">
        <v>0.0435008</v>
      </c>
    </row>
    <row r="145" customFormat="false" ht="13.8" hidden="false" customHeight="false" outlineLevel="0" collapsed="false">
      <c r="B145" s="2" t="n">
        <v>143</v>
      </c>
      <c r="C145" s="2" t="n">
        <v>0.09300125</v>
      </c>
      <c r="D145" s="2" t="n">
        <v>0.109736020981434</v>
      </c>
      <c r="E145" s="2" t="n">
        <v>0.808160648596424</v>
      </c>
    </row>
    <row r="146" customFormat="false" ht="13.8" hidden="false" customHeight="false" outlineLevel="0" collapsed="false">
      <c r="B146" s="2" t="n">
        <v>144</v>
      </c>
      <c r="C146" s="2" t="n">
        <v>0.0586682666666667</v>
      </c>
      <c r="D146" s="2" t="n">
        <v>0.111125138043379</v>
      </c>
      <c r="E146" s="2" t="n">
        <v>0.04390065</v>
      </c>
    </row>
    <row r="147" customFormat="false" ht="13.8" hidden="false" customHeight="false" outlineLevel="0" collapsed="false">
      <c r="B147" s="2" t="n">
        <v>145</v>
      </c>
      <c r="C147" s="2" t="n">
        <v>0.0505022</v>
      </c>
      <c r="D147" s="2" t="n">
        <v>0.112514255105324</v>
      </c>
      <c r="E147" s="2" t="n">
        <v>0.00158396666666667</v>
      </c>
    </row>
    <row r="148" customFormat="false" ht="13.8" hidden="false" customHeight="false" outlineLevel="0" collapsed="false">
      <c r="B148" s="2" t="n">
        <v>146</v>
      </c>
      <c r="C148" s="2" t="n">
        <v>0.04110225</v>
      </c>
      <c r="D148" s="2" t="n">
        <v>0.110665941670205</v>
      </c>
      <c r="E148" s="2" t="n">
        <v>0.09038395</v>
      </c>
    </row>
    <row r="149" customFormat="false" ht="13.8" hidden="false" customHeight="false" outlineLevel="0" collapsed="false">
      <c r="B149" s="2" t="n">
        <v>147</v>
      </c>
      <c r="C149" s="2" t="n">
        <v>0.0441524</v>
      </c>
      <c r="D149" s="2" t="n">
        <v>0.108817628235086</v>
      </c>
      <c r="E149" s="2" t="n">
        <v>0.152917083333333</v>
      </c>
    </row>
    <row r="150" customFormat="false" ht="13.8" hidden="false" customHeight="false" outlineLevel="0" collapsed="false">
      <c r="B150" s="2" t="n">
        <v>148</v>
      </c>
      <c r="C150" s="2" t="n">
        <v>0.0967182833333333</v>
      </c>
      <c r="D150" s="2" t="n">
        <v>0.106969314799967</v>
      </c>
      <c r="E150" s="2" t="n">
        <v>0.156917183333333</v>
      </c>
    </row>
    <row r="151" customFormat="false" ht="13.8" hidden="false" customHeight="false" outlineLevel="0" collapsed="false">
      <c r="B151" s="2" t="n">
        <v>149</v>
      </c>
      <c r="C151" s="2" t="n">
        <v>0.096114578485759</v>
      </c>
      <c r="D151" s="2" t="n">
        <v>0.105121001364848</v>
      </c>
      <c r="E151" s="2" t="n">
        <v>0.774172927761743</v>
      </c>
    </row>
    <row r="152" customFormat="false" ht="13.8" hidden="false" customHeight="false" outlineLevel="0" collapsed="false">
      <c r="B152" s="2" t="n">
        <v>150</v>
      </c>
      <c r="C152" s="2" t="n">
        <v>0.10465461502573</v>
      </c>
      <c r="D152" s="2" t="n">
        <v>0.101273742713618</v>
      </c>
      <c r="E152" s="2" t="n">
        <v>0.74583945057633</v>
      </c>
    </row>
    <row r="153" customFormat="false" ht="13.8" hidden="false" customHeight="false" outlineLevel="0" collapsed="false">
      <c r="B153" s="2" t="n">
        <v>151</v>
      </c>
      <c r="C153" s="2" t="n">
        <v>0.100678921403076</v>
      </c>
      <c r="D153" s="2" t="n">
        <v>0.0974264840623893</v>
      </c>
      <c r="E153" s="2" t="n">
        <v>0.717505973390915</v>
      </c>
    </row>
    <row r="154" customFormat="false" ht="13.8" hidden="false" customHeight="false" outlineLevel="0" collapsed="false">
      <c r="B154" s="2" t="n">
        <v>152</v>
      </c>
      <c r="C154" s="2" t="n">
        <v>0.0967032277804226</v>
      </c>
      <c r="D154" s="2" t="n">
        <v>0.0935792254111602</v>
      </c>
      <c r="E154" s="2" t="n">
        <v>0.689172496205502</v>
      </c>
    </row>
    <row r="155" customFormat="false" ht="13.8" hidden="false" customHeight="false" outlineLevel="0" collapsed="false">
      <c r="B155" s="2" t="n">
        <v>153</v>
      </c>
      <c r="C155" s="2" t="n">
        <v>0.0927275341577689</v>
      </c>
      <c r="D155" s="2" t="n">
        <v>0.089731966759931</v>
      </c>
      <c r="E155" s="2" t="n">
        <v>0.660839019020088</v>
      </c>
    </row>
    <row r="156" customFormat="false" ht="13.8" hidden="false" customHeight="false" outlineLevel="0" collapsed="false">
      <c r="B156" s="2" t="n">
        <v>154</v>
      </c>
      <c r="C156" s="2" t="n">
        <v>0.0853932292026738</v>
      </c>
      <c r="D156" s="2" t="n">
        <v>0.0826345968749727</v>
      </c>
      <c r="E156" s="2" t="n">
        <v>0.608569809709801</v>
      </c>
    </row>
    <row r="157" customFormat="false" ht="13.8" hidden="false" customHeight="false" outlineLevel="0" collapsed="false">
      <c r="B157" s="2" t="n">
        <v>155</v>
      </c>
      <c r="C157" s="2" t="n">
        <v>0.0780589242475787</v>
      </c>
      <c r="D157" s="2" t="n">
        <v>0.0755372269900144</v>
      </c>
      <c r="E157" s="2" t="n">
        <v>0.556300600399513</v>
      </c>
    </row>
    <row r="158" customFormat="false" ht="13.8" hidden="false" customHeight="false" outlineLevel="0" collapsed="false">
      <c r="B158" s="2" t="n">
        <v>156</v>
      </c>
      <c r="C158" s="2" t="n">
        <v>0.0707246192924836</v>
      </c>
      <c r="D158" s="2" t="n">
        <v>0.0684398571050561</v>
      </c>
      <c r="E158" s="2" t="n">
        <v>0.504031391089227</v>
      </c>
    </row>
    <row r="159" customFormat="false" ht="13.8" hidden="false" customHeight="false" outlineLevel="0" collapsed="false">
      <c r="B159" s="2" t="n">
        <v>157</v>
      </c>
      <c r="C159" s="2" t="n">
        <v>0.0633903143373885</v>
      </c>
      <c r="D159" s="2" t="n">
        <v>0.0613424872200977</v>
      </c>
      <c r="E159" s="2" t="n">
        <v>0.451762181778939</v>
      </c>
    </row>
    <row r="160" customFormat="false" ht="13.8" hidden="false" customHeight="false" outlineLevel="0" collapsed="false">
      <c r="B160" s="2" t="n">
        <v>158</v>
      </c>
      <c r="C160" s="2" t="n">
        <v>0.0582618601687337</v>
      </c>
      <c r="D160" s="2" t="n">
        <v>0.0563797080070909</v>
      </c>
      <c r="E160" s="2" t="n">
        <v>0.415213354586608</v>
      </c>
    </row>
    <row r="161" customFormat="false" ht="13.8" hidden="false" customHeight="false" outlineLevel="0" collapsed="false">
      <c r="B161" s="2" t="n">
        <v>159</v>
      </c>
      <c r="C161" s="2" t="n">
        <v>0.0531334060000789</v>
      </c>
      <c r="D161" s="2" t="n">
        <v>0.051416928794084</v>
      </c>
      <c r="E161" s="2" t="n">
        <v>0.378664527394276</v>
      </c>
    </row>
    <row r="162" customFormat="false" ht="13.8" hidden="false" customHeight="false" outlineLevel="0" collapsed="false">
      <c r="B162" s="2" t="n">
        <v>160</v>
      </c>
      <c r="C162" s="2" t="n">
        <v>0.0480049518314242</v>
      </c>
      <c r="D162" s="2" t="n">
        <v>0.0464541495810772</v>
      </c>
      <c r="E162" s="2" t="n">
        <v>0.342115700201945</v>
      </c>
    </row>
    <row r="163" customFormat="false" ht="13.8" hidden="false" customHeight="false" outlineLevel="0" collapsed="false">
      <c r="B163" s="2" t="n">
        <v>161</v>
      </c>
      <c r="C163" s="2" t="n">
        <v>0.0428764976627694</v>
      </c>
      <c r="D163" s="2" t="n">
        <v>0.0414913703680703</v>
      </c>
      <c r="E163" s="2" t="n">
        <v>0.0548851390051443</v>
      </c>
    </row>
    <row r="164" customFormat="false" ht="13.8" hidden="false" customHeight="false" outlineLevel="0" collapsed="false">
      <c r="B164" s="2" t="n">
        <v>162</v>
      </c>
      <c r="C164" s="2" t="n">
        <v>0.0365162614707955</v>
      </c>
      <c r="D164" s="2" t="n">
        <v>0.035336601908548</v>
      </c>
      <c r="E164" s="2" t="n">
        <v>0.192050888529205</v>
      </c>
    </row>
    <row r="165" customFormat="false" ht="13.8" hidden="false" customHeight="false" outlineLevel="0" collapsed="false">
      <c r="B165" s="2" t="n">
        <v>163</v>
      </c>
      <c r="C165" s="2" t="n">
        <v>0.0301560252788215</v>
      </c>
      <c r="D165" s="2" t="n">
        <v>0.0291818334490257</v>
      </c>
      <c r="E165" s="2" t="n">
        <v>0.189344524721178</v>
      </c>
    </row>
    <row r="166" customFormat="false" ht="13.8" hidden="false" customHeight="false" outlineLevel="0" collapsed="false">
      <c r="B166" s="2" t="n">
        <v>164</v>
      </c>
      <c r="C166" s="2" t="n">
        <v>0.0237957890868476</v>
      </c>
      <c r="D166" s="2" t="n">
        <v>0.0230270649895034</v>
      </c>
      <c r="E166" s="2" t="n">
        <v>0.169584860201351</v>
      </c>
    </row>
    <row r="167" customFormat="false" ht="13.8" hidden="false" customHeight="false" outlineLevel="0" collapsed="false">
      <c r="B167" s="2" t="n">
        <v>165</v>
      </c>
      <c r="C167" s="2" t="n">
        <v>0.0174355528948737</v>
      </c>
      <c r="D167" s="2" t="n">
        <v>0.016872296529981</v>
      </c>
      <c r="E167" s="2" t="n">
        <v>0.116432063771793</v>
      </c>
    </row>
    <row r="168" customFormat="false" ht="13.8" hidden="false" customHeight="false" outlineLevel="0" collapsed="false">
      <c r="B168" s="2" t="n">
        <v>166</v>
      </c>
      <c r="C168" s="2" t="n">
        <v>0.0130778559497078</v>
      </c>
      <c r="D168" s="2" t="n">
        <v>0.012655375191728</v>
      </c>
      <c r="E168" s="2" t="n">
        <v>0.093201631804277</v>
      </c>
    </row>
    <row r="169" customFormat="false" ht="13.8" hidden="false" customHeight="false" outlineLevel="0" collapsed="false">
      <c r="B169" s="2" t="n">
        <v>167</v>
      </c>
      <c r="C169" s="2" t="n">
        <v>0.0087201590045419</v>
      </c>
      <c r="D169" s="2" t="n">
        <v>0.00843845385347507</v>
      </c>
      <c r="E169" s="2" t="n">
        <v>0.062145741009957</v>
      </c>
    </row>
    <row r="170" customFormat="false" ht="13.8" hidden="false" customHeight="false" outlineLevel="0" collapsed="false">
      <c r="B170" s="2" t="n">
        <v>168</v>
      </c>
      <c r="C170" s="2" t="n">
        <v>0.00436246205937601</v>
      </c>
      <c r="D170" s="2" t="n">
        <v>0.00422153251522209</v>
      </c>
      <c r="E170" s="2" t="n">
        <v>0.0310898502156369</v>
      </c>
    </row>
    <row r="171" customFormat="false" ht="13.8" hidden="false" customHeight="false" outlineLevel="0" collapsed="false">
      <c r="B171" s="2" t="n">
        <v>169</v>
      </c>
      <c r="C171" s="2" t="n">
        <v>4.76511421013219E-006</v>
      </c>
      <c r="D171" s="2" t="n">
        <v>4.61117696911206E-006</v>
      </c>
      <c r="E171" s="2" t="n">
        <v>3.39594213169164E-005</v>
      </c>
    </row>
    <row r="172" customFormat="false" ht="13.8" hidden="false" customHeight="false" outlineLevel="0" collapsed="false">
      <c r="B172" s="2" t="n">
        <v>170</v>
      </c>
      <c r="C172" s="2" t="n">
        <v>3.57383565759914E-006</v>
      </c>
      <c r="D172" s="2" t="n">
        <v>3.45838272683405E-006</v>
      </c>
      <c r="E172" s="2" t="n">
        <v>2.54695659876875E-005</v>
      </c>
    </row>
    <row r="173" customFormat="false" ht="13.8" hidden="false" customHeight="false" outlineLevel="0" collapsed="false">
      <c r="B173" s="2" t="n">
        <v>171</v>
      </c>
      <c r="C173" s="2" t="n">
        <v>2.38255710506609E-006</v>
      </c>
      <c r="D173" s="2" t="n">
        <v>2.30558848455603E-006</v>
      </c>
      <c r="E173" s="2" t="n">
        <v>1.69797106584578E-005</v>
      </c>
    </row>
    <row r="174" customFormat="false" ht="13.8" hidden="false" customHeight="false" outlineLevel="0" collapsed="false">
      <c r="B174" s="2" t="n">
        <v>172</v>
      </c>
      <c r="C174" s="2" t="n">
        <v>1.19127855253305E-006</v>
      </c>
      <c r="D174" s="2" t="n">
        <v>1.15279424227802E-006</v>
      </c>
      <c r="E174" s="2" t="n">
        <v>8.48985532923005E-006</v>
      </c>
    </row>
    <row r="175" customFormat="false" ht="13.8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0.000952625749175592</v>
      </c>
      <c r="D216" s="2" t="n">
        <v>0.000921851129074986</v>
      </c>
      <c r="E216" s="2" t="n">
        <v>0.00678905431160687</v>
      </c>
    </row>
    <row r="217" customFormat="false" ht="13.8" hidden="false" customHeight="false" outlineLevel="0" collapsed="false">
      <c r="B217" s="2" t="n">
        <v>215</v>
      </c>
      <c r="C217" s="2" t="n">
        <v>0.00190525149835118</v>
      </c>
      <c r="D217" s="2" t="n">
        <v>0.00184370225814997</v>
      </c>
      <c r="E217" s="2" t="n">
        <v>0.0135781086232137</v>
      </c>
    </row>
    <row r="218" customFormat="false" ht="13.8" hidden="false" customHeight="false" outlineLevel="0" collapsed="false">
      <c r="B218" s="2" t="n">
        <v>216</v>
      </c>
      <c r="C218" s="2" t="n">
        <v>0.00285787724752678</v>
      </c>
      <c r="D218" s="2" t="n">
        <v>0.00276555338722496</v>
      </c>
      <c r="E218" s="2" t="n">
        <v>0.0203671629348206</v>
      </c>
    </row>
    <row r="219" customFormat="false" ht="13.8" hidden="false" customHeight="false" outlineLevel="0" collapsed="false">
      <c r="B219" s="2" t="n">
        <v>217</v>
      </c>
      <c r="C219" s="2" t="n">
        <v>0.00381050299670237</v>
      </c>
      <c r="D219" s="2" t="n">
        <v>0.00368740451629994</v>
      </c>
      <c r="E219" s="2" t="n">
        <v>0.0271562172464275</v>
      </c>
    </row>
    <row r="220" customFormat="false" ht="13.8" hidden="false" customHeight="false" outlineLevel="0" collapsed="false">
      <c r="B220" s="2" t="n">
        <v>218</v>
      </c>
      <c r="C220" s="2" t="n">
        <v>0.00862287125608503</v>
      </c>
      <c r="D220" s="2" t="n">
        <v>0.0083443089903557</v>
      </c>
      <c r="E220" s="2" t="n">
        <v>0.0614524028247366</v>
      </c>
    </row>
    <row r="221" customFormat="false" ht="13.8" hidden="false" customHeight="false" outlineLevel="0" collapsed="false">
      <c r="B221" s="2" t="n">
        <v>219</v>
      </c>
      <c r="C221" s="2" t="n">
        <v>0.0134352395154677</v>
      </c>
      <c r="D221" s="2" t="n">
        <v>0.0130012134644115</v>
      </c>
      <c r="E221" s="2" t="n">
        <v>0.0957485884030458</v>
      </c>
    </row>
    <row r="222" customFormat="false" ht="13.8" hidden="false" customHeight="false" outlineLevel="0" collapsed="false">
      <c r="B222" s="2" t="n">
        <v>220</v>
      </c>
      <c r="C222" s="2" t="n">
        <v>0.0182476077748504</v>
      </c>
      <c r="D222" s="2" t="n">
        <v>0.0176581179384672</v>
      </c>
      <c r="E222" s="2" t="n">
        <v>0.0552285576200158</v>
      </c>
    </row>
    <row r="223" customFormat="false" ht="13.8" hidden="false" customHeight="false" outlineLevel="0" collapsed="false">
      <c r="B223" s="2" t="n">
        <v>221</v>
      </c>
      <c r="C223" s="2" t="n">
        <v>0.023059976034233</v>
      </c>
      <c r="D223" s="2" t="n">
        <v>0.022315022412523</v>
      </c>
      <c r="E223" s="2" t="n">
        <v>0.063926551553244</v>
      </c>
    </row>
    <row r="224" customFormat="false" ht="13.8" hidden="false" customHeight="false" outlineLevel="0" collapsed="false">
      <c r="B224" s="2" t="n">
        <v>222</v>
      </c>
      <c r="C224" s="2" t="n">
        <v>0.0309740365515609</v>
      </c>
      <c r="D224" s="2" t="n">
        <v>0</v>
      </c>
      <c r="E224" s="2" t="n">
        <v>0.0582773134484391</v>
      </c>
    </row>
    <row r="225" customFormat="false" ht="13.8" hidden="false" customHeight="false" outlineLevel="0" collapsed="false">
      <c r="B225" s="2" t="n">
        <v>223</v>
      </c>
      <c r="C225" s="2" t="n">
        <v>0.0388880970688888</v>
      </c>
      <c r="D225" s="2" t="n">
        <v>0</v>
      </c>
      <c r="E225" s="2" t="n">
        <v>0.0681132195977779</v>
      </c>
    </row>
    <row r="226" customFormat="false" ht="13.8" hidden="false" customHeight="false" outlineLevel="0" collapsed="false">
      <c r="B226" s="2" t="n">
        <v>224</v>
      </c>
      <c r="C226" s="2" t="n">
        <v>0.0468021575862166</v>
      </c>
      <c r="D226" s="2" t="n">
        <v>0.0031990757471167</v>
      </c>
      <c r="E226" s="2" t="n">
        <v>0.03375025</v>
      </c>
    </row>
    <row r="227" customFormat="false" ht="13.8" hidden="false" customHeight="false" outlineLevel="0" collapsed="false">
      <c r="B227" s="2" t="n">
        <v>225</v>
      </c>
      <c r="C227" s="2" t="n">
        <v>0.0547162181035445</v>
      </c>
      <c r="D227" s="2" t="n">
        <v>0.0203186652297888</v>
      </c>
      <c r="E227" s="2" t="n">
        <v>0.03375025</v>
      </c>
    </row>
    <row r="228" customFormat="false" ht="13.8" hidden="false" customHeight="false" outlineLevel="0" collapsed="false">
      <c r="B228" s="2" t="n">
        <v>226</v>
      </c>
      <c r="C228" s="2" t="n">
        <v>0.0531016833333333</v>
      </c>
      <c r="D228" s="2" t="n">
        <v>0</v>
      </c>
      <c r="E228" s="2" t="n">
        <v>0.0837500833333333</v>
      </c>
    </row>
    <row r="229" customFormat="false" ht="13.8" hidden="false" customHeight="false" outlineLevel="0" collapsed="false">
      <c r="B229" s="2" t="n">
        <v>227</v>
      </c>
      <c r="C229" s="2" t="n">
        <v>0.0689853526057853</v>
      </c>
      <c r="D229" s="2" t="n">
        <v>0.00226686406088135</v>
      </c>
      <c r="E229" s="2" t="n">
        <v>0.0837500833333333</v>
      </c>
    </row>
    <row r="230" customFormat="false" ht="13.8" hidden="false" customHeight="false" outlineLevel="0" collapsed="false">
      <c r="B230" s="2" t="n">
        <v>228</v>
      </c>
      <c r="C230" s="2" t="n">
        <v>0.02800235</v>
      </c>
      <c r="D230" s="2" t="n">
        <v>0</v>
      </c>
      <c r="E230" s="2" t="n">
        <v>0.03708355</v>
      </c>
    </row>
    <row r="231" customFormat="false" ht="13.8" hidden="false" customHeight="false" outlineLevel="0" collapsed="false">
      <c r="B231" s="2" t="n">
        <v>229</v>
      </c>
      <c r="C231" s="2" t="n">
        <v>0.0500858166666667</v>
      </c>
      <c r="D231" s="2" t="n">
        <v>0.0805649469453362</v>
      </c>
      <c r="E231" s="2" t="n">
        <v>0.05875</v>
      </c>
    </row>
    <row r="232" customFormat="false" ht="13.8" hidden="false" customHeight="false" outlineLevel="0" collapsed="false">
      <c r="B232" s="2" t="n">
        <v>230</v>
      </c>
      <c r="C232" s="2" t="n">
        <v>0.0714188333333334</v>
      </c>
      <c r="D232" s="2" t="n">
        <v>0.0851596005303089</v>
      </c>
      <c r="E232" s="2" t="n">
        <v>0.0587503166666667</v>
      </c>
    </row>
    <row r="233" customFormat="false" ht="13.8" hidden="false" customHeight="false" outlineLevel="0" collapsed="false">
      <c r="B233" s="2" t="n">
        <v>231</v>
      </c>
      <c r="C233" s="2" t="n">
        <v>0.066252</v>
      </c>
      <c r="D233" s="2" t="n">
        <v>0.0897542541152817</v>
      </c>
      <c r="E233" s="2" t="n">
        <v>0.0587505</v>
      </c>
    </row>
    <row r="234" customFormat="false" ht="13.8" hidden="false" customHeight="false" outlineLevel="0" collapsed="false">
      <c r="B234" s="2" t="n">
        <v>232</v>
      </c>
      <c r="C234" s="2" t="n">
        <v>0.0733854</v>
      </c>
      <c r="D234" s="2" t="n">
        <v>0.0943489077002545</v>
      </c>
      <c r="E234" s="2" t="n">
        <v>0.0587505</v>
      </c>
    </row>
    <row r="235" customFormat="false" ht="13.8" hidden="false" customHeight="false" outlineLevel="0" collapsed="false">
      <c r="B235" s="2" t="n">
        <v>233</v>
      </c>
      <c r="C235" s="2" t="n">
        <v>0.0680018</v>
      </c>
      <c r="D235" s="2" t="n">
        <v>0.0989435612852271</v>
      </c>
      <c r="E235" s="2" t="n">
        <v>0.0604836166666667</v>
      </c>
    </row>
    <row r="236" customFormat="false" ht="13.8" hidden="false" customHeight="false" outlineLevel="0" collapsed="false">
      <c r="B236" s="2" t="n">
        <v>234</v>
      </c>
      <c r="C236" s="2" t="n">
        <v>0.0727018</v>
      </c>
      <c r="D236" s="2" t="n">
        <v>0.10157654333459</v>
      </c>
      <c r="E236" s="2" t="n">
        <v>0.0596837166666667</v>
      </c>
    </row>
    <row r="237" customFormat="false" ht="13.8" hidden="false" customHeight="false" outlineLevel="0" collapsed="false">
      <c r="B237" s="2" t="n">
        <v>235</v>
      </c>
      <c r="C237" s="2" t="n">
        <v>0.0642519333333333</v>
      </c>
      <c r="D237" s="2" t="n">
        <v>0.104209525383953</v>
      </c>
      <c r="E237" s="2" t="n">
        <v>0.0600502833333333</v>
      </c>
    </row>
    <row r="238" customFormat="false" ht="13.8" hidden="false" customHeight="false" outlineLevel="0" collapsed="false">
      <c r="B238" s="2" t="n">
        <v>236</v>
      </c>
      <c r="C238" s="2" t="n">
        <v>0.0724847833333333</v>
      </c>
      <c r="D238" s="2" t="n">
        <v>0.106842507433316</v>
      </c>
      <c r="E238" s="2" t="n">
        <v>0.06025025</v>
      </c>
    </row>
    <row r="239" customFormat="false" ht="13.8" hidden="false" customHeight="false" outlineLevel="0" collapsed="false">
      <c r="B239" s="2" t="n">
        <v>237</v>
      </c>
      <c r="C239" s="2" t="n">
        <v>0.0653179</v>
      </c>
      <c r="D239" s="2" t="n">
        <v>0.109475489482679</v>
      </c>
      <c r="E239" s="2" t="n">
        <v>0.06025025</v>
      </c>
    </row>
    <row r="240" customFormat="false" ht="13.8" hidden="false" customHeight="false" outlineLevel="0" collapsed="false">
      <c r="B240" s="2" t="n">
        <v>238</v>
      </c>
      <c r="C240" s="2" t="n">
        <v>0.0718515</v>
      </c>
      <c r="D240" s="2" t="n">
        <v>0.109954283357972</v>
      </c>
      <c r="E240" s="2" t="n">
        <v>0.06025025</v>
      </c>
    </row>
    <row r="241" customFormat="false" ht="13.8" hidden="false" customHeight="false" outlineLevel="0" collapsed="false">
      <c r="B241" s="2" t="n">
        <v>239</v>
      </c>
      <c r="C241" s="2" t="n">
        <v>0.0662851666666667</v>
      </c>
      <c r="D241" s="2" t="n">
        <v>0.110433077233265</v>
      </c>
      <c r="E241" s="2" t="n">
        <v>0.06025025</v>
      </c>
    </row>
    <row r="242" customFormat="false" ht="13.8" hidden="false" customHeight="false" outlineLevel="0" collapsed="false">
      <c r="B242" s="2" t="n">
        <v>240</v>
      </c>
      <c r="C242" s="2" t="n">
        <v>0.04325235</v>
      </c>
      <c r="D242" s="2" t="n">
        <v>0.110911871108557</v>
      </c>
      <c r="E242" s="2" t="n">
        <v>0.0480504</v>
      </c>
    </row>
    <row r="243" customFormat="false" ht="13.8" hidden="false" customHeight="false" outlineLevel="0" collapsed="false">
      <c r="B243" s="2" t="n">
        <v>241</v>
      </c>
      <c r="C243" s="2" t="n">
        <v>0.0949685833333333</v>
      </c>
      <c r="D243" s="2" t="n">
        <v>0.11139066498385</v>
      </c>
      <c r="E243" s="2" t="n">
        <v>0.0347504</v>
      </c>
    </row>
    <row r="244" customFormat="false" ht="13.8" hidden="false" customHeight="false" outlineLevel="0" collapsed="false">
      <c r="B244" s="2" t="n">
        <v>242</v>
      </c>
      <c r="C244" s="2" t="n">
        <v>0.0353690833333333</v>
      </c>
      <c r="D244" s="2" t="n">
        <v>0.109997705274431</v>
      </c>
      <c r="E244" s="2" t="n">
        <v>0.810087845756159</v>
      </c>
    </row>
    <row r="245" customFormat="false" ht="13.8" hidden="false" customHeight="false" outlineLevel="0" collapsed="false">
      <c r="B245" s="2" t="n">
        <v>243</v>
      </c>
      <c r="C245" s="2" t="n">
        <v>0.09675225</v>
      </c>
      <c r="D245" s="2" t="n">
        <v>0.0849795480518307</v>
      </c>
      <c r="E245" s="2" t="n">
        <v>0.799829270566673</v>
      </c>
    </row>
    <row r="246" customFormat="false" ht="13.8" hidden="false" customHeight="false" outlineLevel="0" collapsed="false">
      <c r="B246" s="2" t="n">
        <v>244</v>
      </c>
      <c r="C246" s="2" t="n">
        <v>0.0315856166666667</v>
      </c>
      <c r="D246" s="2" t="n">
        <v>0.107211785855593</v>
      </c>
      <c r="E246" s="2" t="n">
        <v>0.789570695377189</v>
      </c>
    </row>
    <row r="247" customFormat="false" ht="13.8" hidden="false" customHeight="false" outlineLevel="0" collapsed="false">
      <c r="B247" s="2" t="n">
        <v>245</v>
      </c>
      <c r="C247" s="2" t="n">
        <v>0.0982185833333333</v>
      </c>
      <c r="D247" s="2" t="n">
        <v>0.105818826146173</v>
      </c>
      <c r="E247" s="2" t="n">
        <v>0.779312120187703</v>
      </c>
    </row>
    <row r="248" customFormat="false" ht="13.8" hidden="false" customHeight="false" outlineLevel="0" collapsed="false">
      <c r="B248" s="2" t="n">
        <v>246</v>
      </c>
      <c r="C248" s="2" t="n">
        <v>0.0912309010968892</v>
      </c>
      <c r="D248" s="2" t="n">
        <v>0.102674387717986</v>
      </c>
      <c r="E248" s="2" t="n">
        <v>0.756154624801343</v>
      </c>
    </row>
    <row r="249" customFormat="false" ht="13.8" hidden="false" customHeight="false" outlineLevel="0" collapsed="false">
      <c r="B249" s="2" t="n">
        <v>247</v>
      </c>
      <c r="C249" s="2" t="n">
        <v>0.102852607668598</v>
      </c>
      <c r="D249" s="2" t="n">
        <v>0.0995299492897993</v>
      </c>
      <c r="E249" s="2" t="n">
        <v>0.0433783961414191</v>
      </c>
    </row>
    <row r="250" customFormat="false" ht="13.8" hidden="false" customHeight="false" outlineLevel="0" collapsed="false">
      <c r="B250" s="2" t="n">
        <v>248</v>
      </c>
      <c r="C250" s="2" t="n">
        <v>0.0996031968701388</v>
      </c>
      <c r="D250" s="2" t="n">
        <v>0.0963855108616123</v>
      </c>
      <c r="E250" s="2" t="n">
        <v>0.709839634028621</v>
      </c>
    </row>
    <row r="251" customFormat="false" ht="13.8" hidden="false" customHeight="false" outlineLevel="0" collapsed="false">
      <c r="B251" s="2" t="n">
        <v>249</v>
      </c>
      <c r="C251" s="2" t="n">
        <v>0.0963537860716796</v>
      </c>
      <c r="D251" s="2" t="n">
        <v>0.0932410724334253</v>
      </c>
      <c r="E251" s="2" t="n">
        <v>0.686682138642261</v>
      </c>
    </row>
    <row r="252" customFormat="false" ht="13.8" hidden="false" customHeight="false" outlineLevel="0" collapsed="false">
      <c r="B252" s="2" t="n">
        <v>250</v>
      </c>
      <c r="C252" s="2" t="n">
        <v>0.0906094408913652</v>
      </c>
      <c r="D252" s="2" t="n">
        <v>0.0876822985971607</v>
      </c>
      <c r="E252" s="2" t="n">
        <v>0.645744056244718</v>
      </c>
    </row>
    <row r="253" customFormat="false" ht="13.8" hidden="false" customHeight="false" outlineLevel="0" collapsed="false">
      <c r="B253" s="2" t="n">
        <v>251</v>
      </c>
      <c r="C253" s="2" t="n">
        <v>0.0848650957110508</v>
      </c>
      <c r="D253" s="2" t="n">
        <v>0.0821235247608961</v>
      </c>
      <c r="E253" s="2" t="n">
        <v>0.604805973847175</v>
      </c>
    </row>
    <row r="254" customFormat="false" ht="13.8" hidden="false" customHeight="false" outlineLevel="0" collapsed="false">
      <c r="B254" s="2" t="n">
        <v>252</v>
      </c>
      <c r="C254" s="2" t="n">
        <v>0.0791207505307365</v>
      </c>
      <c r="D254" s="2" t="n">
        <v>0.0765647509246315</v>
      </c>
      <c r="E254" s="2" t="n">
        <v>0.563867891449633</v>
      </c>
    </row>
    <row r="255" customFormat="false" ht="13.8" hidden="false" customHeight="false" outlineLevel="0" collapsed="false">
      <c r="B255" s="2" t="n">
        <v>253</v>
      </c>
      <c r="C255" s="2" t="n">
        <v>0.0733764053504221</v>
      </c>
      <c r="D255" s="2" t="n">
        <v>0.0710059770883669</v>
      </c>
      <c r="E255" s="2" t="n">
        <v>0.52292980905209</v>
      </c>
    </row>
    <row r="256" customFormat="false" ht="13.8" hidden="false" customHeight="false" outlineLevel="0" collapsed="false">
      <c r="B256" s="2" t="n">
        <v>254</v>
      </c>
      <c r="C256" s="2" t="n">
        <v>0.0574057279823133</v>
      </c>
      <c r="D256" s="2" t="n">
        <v>0.0555512332116404</v>
      </c>
      <c r="E256" s="2" t="n">
        <v>0.409111978556668</v>
      </c>
    </row>
    <row r="257" customFormat="false" ht="13.8" hidden="false" customHeight="false" outlineLevel="0" collapsed="false">
      <c r="B257" s="2" t="n">
        <v>255</v>
      </c>
      <c r="C257" s="2" t="n">
        <v>0.0414350506142044</v>
      </c>
      <c r="D257" s="2" t="n">
        <v>0.0400964893349139</v>
      </c>
      <c r="E257" s="2" t="n">
        <v>0.295294148061247</v>
      </c>
    </row>
    <row r="258" customFormat="false" ht="13.8" hidden="false" customHeight="false" outlineLevel="0" collapsed="false">
      <c r="B258" s="2" t="n">
        <v>256</v>
      </c>
      <c r="C258" s="2" t="n">
        <v>0.0254643732460956</v>
      </c>
      <c r="D258" s="2" t="n">
        <v>0.0246417454581874</v>
      </c>
      <c r="E258" s="2" t="n">
        <v>0.181476317565825</v>
      </c>
    </row>
    <row r="259" customFormat="false" ht="13.8" hidden="false" customHeight="false" outlineLevel="0" collapsed="false">
      <c r="B259" s="2" t="n">
        <v>257</v>
      </c>
      <c r="C259" s="2" t="n">
        <v>0.00949369587798669</v>
      </c>
      <c r="D259" s="2" t="n">
        <v>0.00918700158146093</v>
      </c>
      <c r="E259" s="2" t="n">
        <v>0.0676584870704031</v>
      </c>
    </row>
    <row r="260" customFormat="false" ht="13.8" hidden="false" customHeight="false" outlineLevel="0" collapsed="false">
      <c r="B260" s="2" t="n">
        <v>258</v>
      </c>
      <c r="C260" s="2" t="n">
        <v>0.00810307671432978</v>
      </c>
      <c r="D260" s="2" t="n">
        <v>0.00784130643597506</v>
      </c>
      <c r="E260" s="2" t="n">
        <v>0.0577479959494163</v>
      </c>
    </row>
    <row r="261" customFormat="false" ht="13.8" hidden="false" customHeight="false" outlineLevel="0" collapsed="false">
      <c r="B261" s="2" t="n">
        <v>259</v>
      </c>
      <c r="C261" s="2" t="n">
        <v>0.00671245755067287</v>
      </c>
      <c r="D261" s="2" t="n">
        <v>0.00649561129048919</v>
      </c>
      <c r="E261" s="2" t="n">
        <v>0.0478375048284296</v>
      </c>
    </row>
    <row r="262" customFormat="false" ht="13.8" hidden="false" customHeight="false" outlineLevel="0" collapsed="false">
      <c r="B262" s="2" t="n">
        <v>260</v>
      </c>
      <c r="C262" s="2" t="n">
        <v>0.00532183838701596</v>
      </c>
      <c r="D262" s="2" t="n">
        <v>0.00514991614500332</v>
      </c>
      <c r="E262" s="2" t="n">
        <v>0.0379270137074428</v>
      </c>
    </row>
    <row r="263" customFormat="false" ht="13.8" hidden="false" customHeight="false" outlineLevel="0" collapsed="false">
      <c r="B263" s="2" t="n">
        <v>261</v>
      </c>
      <c r="C263" s="2" t="n">
        <v>0.00393121922335905</v>
      </c>
      <c r="D263" s="2" t="n">
        <v>0.00380422099951745</v>
      </c>
      <c r="E263" s="2" t="n">
        <v>0.028016522586456</v>
      </c>
    </row>
    <row r="264" customFormat="false" ht="13.8" hidden="false" customHeight="false" outlineLevel="0" collapsed="false">
      <c r="B264" s="2" t="n">
        <v>262</v>
      </c>
      <c r="C264" s="2" t="n">
        <v>0.00294841441751929</v>
      </c>
      <c r="D264" s="2" t="n">
        <v>0.00285316574963809</v>
      </c>
      <c r="E264" s="2" t="n">
        <v>0.021012391939842</v>
      </c>
    </row>
    <row r="265" customFormat="false" ht="13.8" hidden="false" customHeight="false" outlineLevel="0" collapsed="false">
      <c r="B265" s="2" t="n">
        <v>263</v>
      </c>
      <c r="C265" s="2" t="n">
        <v>0.00196560961167953</v>
      </c>
      <c r="D265" s="2" t="n">
        <v>0.00190211049975873</v>
      </c>
      <c r="E265" s="2" t="n">
        <v>0.014008261293228</v>
      </c>
    </row>
    <row r="266" customFormat="false" ht="13.8" hidden="false" customHeight="false" outlineLevel="0" collapsed="false">
      <c r="B266" s="2" t="n">
        <v>264</v>
      </c>
      <c r="C266" s="2" t="n">
        <v>0.000982804805839763</v>
      </c>
      <c r="D266" s="2" t="n">
        <v>0.000951055249879362</v>
      </c>
      <c r="E266" s="2" t="n">
        <v>0.00700413064661401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0.00124210643744112</v>
      </c>
      <c r="D312" s="2" t="n">
        <v>0.00120198012994854</v>
      </c>
      <c r="E312" s="2" t="n">
        <v>0.00885208915660954</v>
      </c>
    </row>
    <row r="313" customFormat="false" ht="13.8" hidden="false" customHeight="false" outlineLevel="0" collapsed="false">
      <c r="B313" s="2" t="n">
        <v>311</v>
      </c>
      <c r="C313" s="2" t="n">
        <v>0.00248421287488225</v>
      </c>
      <c r="D313" s="2" t="n">
        <v>0.00240396025989709</v>
      </c>
      <c r="E313" s="2" t="n">
        <v>0.0177041783132191</v>
      </c>
    </row>
    <row r="314" customFormat="false" ht="13.8" hidden="false" customHeight="false" outlineLevel="0" collapsed="false">
      <c r="B314" s="2" t="n">
        <v>312</v>
      </c>
      <c r="C314" s="2" t="n">
        <v>0.00372631931232337</v>
      </c>
      <c r="D314" s="2" t="n">
        <v>0.00360594038984563</v>
      </c>
      <c r="E314" s="2" t="n">
        <v>0.0265562674698286</v>
      </c>
    </row>
    <row r="315" customFormat="false" ht="13.8" hidden="false" customHeight="false" outlineLevel="0" collapsed="false">
      <c r="B315" s="2" t="n">
        <v>313</v>
      </c>
      <c r="C315" s="2" t="n">
        <v>0.00496842574976449</v>
      </c>
      <c r="D315" s="2" t="n">
        <v>0.00480792051979418</v>
      </c>
      <c r="E315" s="2" t="n">
        <v>0.0354083566264382</v>
      </c>
    </row>
    <row r="316" customFormat="false" ht="13.8" hidden="false" customHeight="false" outlineLevel="0" collapsed="false">
      <c r="B316" s="2" t="n">
        <v>314</v>
      </c>
      <c r="C316" s="2" t="n">
        <v>0.00904140712087498</v>
      </c>
      <c r="D316" s="2" t="n">
        <v>0.00874932403414271</v>
      </c>
      <c r="E316" s="2" t="n">
        <v>0.0644351719970724</v>
      </c>
    </row>
    <row r="317" customFormat="false" ht="13.8" hidden="false" customHeight="false" outlineLevel="0" collapsed="false">
      <c r="B317" s="2" t="n">
        <v>315</v>
      </c>
      <c r="C317" s="2" t="n">
        <v>0.0131143884919855</v>
      </c>
      <c r="D317" s="2" t="n">
        <v>0.0126907275484912</v>
      </c>
      <c r="E317" s="2" t="n">
        <v>0.0606197615080145</v>
      </c>
    </row>
    <row r="318" customFormat="false" ht="13.8" hidden="false" customHeight="false" outlineLevel="0" collapsed="false">
      <c r="B318" s="2" t="n">
        <v>316</v>
      </c>
      <c r="C318" s="2" t="n">
        <v>0.0171873698630959</v>
      </c>
      <c r="D318" s="2" t="n">
        <v>0.0166321310628398</v>
      </c>
      <c r="E318" s="2" t="n">
        <v>0.0261466134702374</v>
      </c>
    </row>
    <row r="319" customFormat="false" ht="13.8" hidden="false" customHeight="false" outlineLevel="0" collapsed="false">
      <c r="B319" s="2" t="n">
        <v>317</v>
      </c>
      <c r="C319" s="2" t="n">
        <v>0.0212603512342064</v>
      </c>
      <c r="D319" s="2" t="n">
        <v>0.0205735345771883</v>
      </c>
      <c r="E319" s="2" t="n">
        <v>0.0796573987657936</v>
      </c>
    </row>
    <row r="320" customFormat="false" ht="13.8" hidden="false" customHeight="false" outlineLevel="0" collapsed="false">
      <c r="B320" s="2" t="n">
        <v>318</v>
      </c>
      <c r="C320" s="2" t="n">
        <v>0.0296747487435982</v>
      </c>
      <c r="D320" s="2" t="n">
        <v>0.0287161045751453</v>
      </c>
      <c r="E320" s="2" t="n">
        <v>0.0358261179230685</v>
      </c>
    </row>
    <row r="321" customFormat="false" ht="13.8" hidden="false" customHeight="false" outlineLevel="0" collapsed="false">
      <c r="B321" s="2" t="n">
        <v>319</v>
      </c>
      <c r="C321" s="2" t="n">
        <v>0.0378342666666667</v>
      </c>
      <c r="D321" s="2" t="n">
        <v>0.0368586745731024</v>
      </c>
      <c r="E321" s="2" t="n">
        <v>0.00358351666666667</v>
      </c>
    </row>
    <row r="322" customFormat="false" ht="13.8" hidden="false" customHeight="false" outlineLevel="0" collapsed="false">
      <c r="B322" s="2" t="n">
        <v>320</v>
      </c>
      <c r="C322" s="2" t="n">
        <v>0.0378011666666667</v>
      </c>
      <c r="D322" s="2" t="n">
        <v>0.0450012445710594</v>
      </c>
      <c r="E322" s="2" t="n">
        <v>0.000166883333333333</v>
      </c>
    </row>
    <row r="323" customFormat="false" ht="13.8" hidden="false" customHeight="false" outlineLevel="0" collapsed="false">
      <c r="B323" s="2" t="n">
        <v>321</v>
      </c>
      <c r="C323" s="2" t="n">
        <v>0.0549179412717734</v>
      </c>
      <c r="D323" s="2" t="n">
        <v>0.0531438145690165</v>
      </c>
      <c r="E323" s="2" t="n">
        <v>0.0123001420615599</v>
      </c>
    </row>
    <row r="324" customFormat="false" ht="13.8" hidden="false" customHeight="false" outlineLevel="0" collapsed="false">
      <c r="B324" s="2" t="n">
        <v>322</v>
      </c>
      <c r="C324" s="2" t="n">
        <v>0.0603859098279001</v>
      </c>
      <c r="D324" s="2" t="n">
        <v>0.0584351401410726</v>
      </c>
      <c r="E324" s="2" t="n">
        <v>0.0441160401720999</v>
      </c>
    </row>
    <row r="325" customFormat="false" ht="13.8" hidden="false" customHeight="false" outlineLevel="0" collapsed="false">
      <c r="B325" s="2" t="n">
        <v>323</v>
      </c>
      <c r="C325" s="2" t="n">
        <v>0.064252</v>
      </c>
      <c r="D325" s="2" t="n">
        <v>0.0637264657131287</v>
      </c>
      <c r="E325" s="2" t="n">
        <v>0.000166883333333333</v>
      </c>
    </row>
    <row r="326" customFormat="false" ht="13.8" hidden="false" customHeight="false" outlineLevel="0" collapsed="false">
      <c r="B326" s="2" t="n">
        <v>324</v>
      </c>
      <c r="C326" s="2" t="n">
        <v>0.0603354666666667</v>
      </c>
      <c r="D326" s="2" t="n">
        <v>0.0690177912851847</v>
      </c>
      <c r="E326" s="2" t="n">
        <v>0.05</v>
      </c>
    </row>
    <row r="327" customFormat="false" ht="13.8" hidden="false" customHeight="false" outlineLevel="0" collapsed="false">
      <c r="B327" s="2" t="n">
        <v>325</v>
      </c>
      <c r="C327" s="2" t="n">
        <v>0.0351689333333333</v>
      </c>
      <c r="D327" s="2" t="n">
        <v>0.0743091168572409</v>
      </c>
      <c r="E327" s="2" t="n">
        <v>0.0175</v>
      </c>
    </row>
    <row r="328" customFormat="false" ht="13.8" hidden="false" customHeight="false" outlineLevel="0" collapsed="false">
      <c r="B328" s="2" t="n">
        <v>326</v>
      </c>
      <c r="C328" s="2" t="n">
        <v>0.0826584507389088</v>
      </c>
      <c r="D328" s="2" t="n">
        <v>0.0799881655594498</v>
      </c>
      <c r="E328" s="2" t="n">
        <v>0.0566934825944246</v>
      </c>
    </row>
    <row r="329" customFormat="false" ht="13.8" hidden="false" customHeight="false" outlineLevel="0" collapsed="false">
      <c r="B329" s="2" t="n">
        <v>327</v>
      </c>
      <c r="C329" s="2" t="n">
        <v>0.0494179833333333</v>
      </c>
      <c r="D329" s="2" t="n">
        <v>0.0856672142616587</v>
      </c>
      <c r="E329" s="2" t="n">
        <v>0.0175</v>
      </c>
    </row>
    <row r="330" customFormat="false" ht="13.8" hidden="false" customHeight="false" outlineLevel="0" collapsed="false">
      <c r="B330" s="2" t="n">
        <v>328</v>
      </c>
      <c r="C330" s="2" t="n">
        <v>0.0851845833333333</v>
      </c>
      <c r="D330" s="2" t="n">
        <v>0.0913462629638675</v>
      </c>
      <c r="E330" s="2" t="n">
        <v>0.05</v>
      </c>
    </row>
    <row r="331" customFormat="false" ht="13.8" hidden="false" customHeight="false" outlineLevel="0" collapsed="false">
      <c r="B331" s="2" t="n">
        <v>329</v>
      </c>
      <c r="C331" s="2" t="n">
        <v>0.0571677666666667</v>
      </c>
      <c r="D331" s="2" t="n">
        <v>0.0970253116660766</v>
      </c>
      <c r="E331" s="2" t="n">
        <v>0.0175</v>
      </c>
    </row>
    <row r="332" customFormat="false" ht="13.8" hidden="false" customHeight="false" outlineLevel="0" collapsed="false">
      <c r="B332" s="2" t="n">
        <v>330</v>
      </c>
      <c r="C332" s="2" t="n">
        <v>0.0817011</v>
      </c>
      <c r="D332" s="2" t="n">
        <v>0.083692506281597</v>
      </c>
      <c r="E332" s="2" t="n">
        <v>0.05</v>
      </c>
    </row>
    <row r="333" customFormat="false" ht="13.8" hidden="false" customHeight="false" outlineLevel="0" collapsed="false">
      <c r="B333" s="2" t="n">
        <v>331</v>
      </c>
      <c r="C333" s="2" t="n">
        <v>0.05450075</v>
      </c>
      <c r="D333" s="2" t="n">
        <v>0.0989489409916912</v>
      </c>
      <c r="E333" s="2" t="n">
        <v>0.0175</v>
      </c>
    </row>
    <row r="334" customFormat="false" ht="13.8" hidden="false" customHeight="false" outlineLevel="0" collapsed="false">
      <c r="B334" s="2" t="n">
        <v>332</v>
      </c>
      <c r="C334" s="2" t="n">
        <v>0.0805006</v>
      </c>
      <c r="D334" s="2" t="n">
        <v>0.0999107556544985</v>
      </c>
      <c r="E334" s="2" t="n">
        <v>0.05</v>
      </c>
    </row>
    <row r="335" customFormat="false" ht="13.8" hidden="false" customHeight="false" outlineLevel="0" collapsed="false">
      <c r="B335" s="2" t="n">
        <v>333</v>
      </c>
      <c r="C335" s="2" t="n">
        <v>0.0545003166666667</v>
      </c>
      <c r="D335" s="2" t="n">
        <v>0.100872570317306</v>
      </c>
      <c r="E335" s="2" t="n">
        <v>0.0175</v>
      </c>
    </row>
    <row r="336" customFormat="false" ht="13.8" hidden="false" customHeight="false" outlineLevel="0" collapsed="false">
      <c r="B336" s="2" t="n">
        <v>334</v>
      </c>
      <c r="C336" s="2" t="n">
        <v>0.0838338666666667</v>
      </c>
      <c r="D336" s="2" t="n">
        <v>0.101348290074619</v>
      </c>
      <c r="E336" s="2" t="n">
        <v>0.05</v>
      </c>
    </row>
    <row r="337" customFormat="false" ht="13.8" hidden="false" customHeight="false" outlineLevel="0" collapsed="false">
      <c r="B337" s="2" t="n">
        <v>335</v>
      </c>
      <c r="C337" s="2" t="n">
        <v>0.06133465</v>
      </c>
      <c r="D337" s="2" t="n">
        <v>0.101824009831933</v>
      </c>
      <c r="E337" s="2" t="n">
        <v>0.749891941520148</v>
      </c>
    </row>
    <row r="338" customFormat="false" ht="13.8" hidden="false" customHeight="false" outlineLevel="0" collapsed="false">
      <c r="B338" s="2" t="n">
        <v>336</v>
      </c>
      <c r="C338" s="2" t="n">
        <v>0.0928344666666667</v>
      </c>
      <c r="D338" s="2" t="n">
        <v>0.102299729589246</v>
      </c>
      <c r="E338" s="2" t="n">
        <v>0.753395421819343</v>
      </c>
    </row>
    <row r="339" customFormat="false" ht="13.8" hidden="false" customHeight="false" outlineLevel="0" collapsed="false">
      <c r="B339" s="2" t="n">
        <v>337</v>
      </c>
      <c r="C339" s="2" t="n">
        <v>0.0555282105578661</v>
      </c>
      <c r="D339" s="2" t="n">
        <v>0.102775449346559</v>
      </c>
      <c r="E339" s="2" t="n">
        <v>0.756898902118539</v>
      </c>
    </row>
    <row r="340" customFormat="false" ht="13.8" hidden="false" customHeight="false" outlineLevel="0" collapsed="false">
      <c r="B340" s="2" t="n">
        <v>338</v>
      </c>
      <c r="C340" s="2" t="n">
        <v>0.104477511614253</v>
      </c>
      <c r="D340" s="2" t="n">
        <v>0.101102360636266</v>
      </c>
      <c r="E340" s="2" t="n">
        <v>0.744577292084051</v>
      </c>
    </row>
    <row r="341" customFormat="false" ht="13.8" hidden="false" customHeight="false" outlineLevel="0" collapsed="false">
      <c r="B341" s="2" t="n">
        <v>339</v>
      </c>
      <c r="C341" s="2" t="n">
        <v>0.102748569341677</v>
      </c>
      <c r="D341" s="2" t="n">
        <v>0.0994292719259736</v>
      </c>
      <c r="E341" s="2" t="n">
        <v>0.0175</v>
      </c>
    </row>
    <row r="342" customFormat="false" ht="13.8" hidden="false" customHeight="false" outlineLevel="0" collapsed="false">
      <c r="B342" s="2" t="n">
        <v>340</v>
      </c>
      <c r="C342" s="2" t="n">
        <v>0.101019627069101</v>
      </c>
      <c r="D342" s="2" t="n">
        <v>0.0977561832156808</v>
      </c>
      <c r="E342" s="2" t="n">
        <v>0.235434248733223</v>
      </c>
    </row>
    <row r="343" customFormat="false" ht="13.8" hidden="false" customHeight="false" outlineLevel="0" collapsed="false">
      <c r="B343" s="2" t="n">
        <v>341</v>
      </c>
      <c r="C343" s="2" t="n">
        <v>0.0992906847965243</v>
      </c>
      <c r="D343" s="2" t="n">
        <v>0.096083094505388</v>
      </c>
      <c r="E343" s="2" t="n">
        <v>0.707612461980587</v>
      </c>
    </row>
    <row r="344" customFormat="false" ht="13.8" hidden="false" customHeight="false" outlineLevel="0" collapsed="false">
      <c r="B344" s="2" t="n">
        <v>342</v>
      </c>
      <c r="C344" s="2" t="n">
        <v>0.0894554890668115</v>
      </c>
      <c r="D344" s="2" t="n">
        <v>0.0865656252411407</v>
      </c>
      <c r="E344" s="2" t="n">
        <v>0.637520216382472</v>
      </c>
    </row>
    <row r="345" customFormat="false" ht="13.8" hidden="false" customHeight="false" outlineLevel="0" collapsed="false">
      <c r="B345" s="2" t="n">
        <v>343</v>
      </c>
      <c r="C345" s="2" t="n">
        <v>0.0796202933370987</v>
      </c>
      <c r="D345" s="2" t="n">
        <v>0.0770481559768934</v>
      </c>
      <c r="E345" s="2" t="n">
        <v>0.567427970784356</v>
      </c>
    </row>
    <row r="346" customFormat="false" ht="13.8" hidden="false" customHeight="false" outlineLevel="0" collapsed="false">
      <c r="B346" s="2" t="n">
        <v>344</v>
      </c>
      <c r="C346" s="2" t="n">
        <v>0.0697850976073859</v>
      </c>
      <c r="D346" s="2" t="n">
        <v>0.0675306867126461</v>
      </c>
      <c r="E346" s="2" t="n">
        <v>0.497335725186241</v>
      </c>
    </row>
    <row r="347" customFormat="false" ht="13.8" hidden="false" customHeight="false" outlineLevel="0" collapsed="false">
      <c r="B347" s="2" t="n">
        <v>345</v>
      </c>
      <c r="C347" s="2" t="n">
        <v>0.059949901877673</v>
      </c>
      <c r="D347" s="2" t="n">
        <v>0.0580132174483988</v>
      </c>
      <c r="E347" s="2" t="n">
        <v>0.427243479588125</v>
      </c>
    </row>
    <row r="348" customFormat="false" ht="13.8" hidden="false" customHeight="false" outlineLevel="0" collapsed="false">
      <c r="B348" s="2" t="n">
        <v>346</v>
      </c>
      <c r="C348" s="2" t="n">
        <v>0.055299150408584</v>
      </c>
      <c r="D348" s="2" t="n">
        <v>0.0535127087265455</v>
      </c>
      <c r="E348" s="2" t="n">
        <v>0.394099084382815</v>
      </c>
    </row>
    <row r="349" customFormat="false" ht="13.8" hidden="false" customHeight="false" outlineLevel="0" collapsed="false">
      <c r="B349" s="2" t="n">
        <v>347</v>
      </c>
      <c r="C349" s="2" t="n">
        <v>0.050648398939495</v>
      </c>
      <c r="D349" s="2" t="n">
        <v>0.0490122000046921</v>
      </c>
      <c r="E349" s="2" t="n">
        <v>0.360954689177504</v>
      </c>
    </row>
    <row r="350" customFormat="false" ht="13.8" hidden="false" customHeight="false" outlineLevel="0" collapsed="false">
      <c r="B350" s="2" t="n">
        <v>348</v>
      </c>
      <c r="C350" s="2" t="n">
        <v>0.045997647470406</v>
      </c>
      <c r="D350" s="2" t="n">
        <v>0.0445116912828387</v>
      </c>
      <c r="E350" s="2" t="n">
        <v>0.327810293972194</v>
      </c>
    </row>
    <row r="351" customFormat="false" ht="13.8" hidden="false" customHeight="false" outlineLevel="0" collapsed="false">
      <c r="B351" s="2" t="n">
        <v>349</v>
      </c>
      <c r="C351" s="2" t="n">
        <v>0.041346896001317</v>
      </c>
      <c r="D351" s="2" t="n">
        <v>0.0400111825609854</v>
      </c>
      <c r="E351" s="2" t="n">
        <v>0.294665898766884</v>
      </c>
    </row>
    <row r="352" customFormat="false" ht="13.8" hidden="false" customHeight="false" outlineLevel="0" collapsed="false">
      <c r="B352" s="2" t="n">
        <v>350</v>
      </c>
      <c r="C352" s="2" t="n">
        <v>0.0334030535201758</v>
      </c>
      <c r="D352" s="2" t="n">
        <v>0.0323239662887281</v>
      </c>
      <c r="E352" s="2" t="n">
        <v>0.238052713479808</v>
      </c>
    </row>
    <row r="353" customFormat="false" ht="13.8" hidden="false" customHeight="false" outlineLevel="0" collapsed="false">
      <c r="B353" s="2" t="n">
        <v>351</v>
      </c>
      <c r="C353" s="2" t="n">
        <v>0.0254592110390346</v>
      </c>
      <c r="D353" s="2" t="n">
        <v>0.0246367500164709</v>
      </c>
      <c r="E353" s="2" t="n">
        <v>0.181439528192732</v>
      </c>
    </row>
    <row r="354" customFormat="false" ht="13.8" hidden="false" customHeight="false" outlineLevel="0" collapsed="false">
      <c r="B354" s="2" t="n">
        <v>352</v>
      </c>
      <c r="C354" s="2" t="n">
        <v>0.0175153685578934</v>
      </c>
      <c r="D354" s="2" t="n">
        <v>0.0169495337442137</v>
      </c>
      <c r="E354" s="2" t="n">
        <v>0.124826342905655</v>
      </c>
    </row>
    <row r="355" customFormat="false" ht="13.8" hidden="false" customHeight="false" outlineLevel="0" collapsed="false">
      <c r="B355" s="2" t="n">
        <v>353</v>
      </c>
      <c r="C355" s="2" t="n">
        <v>0.00957152607675218</v>
      </c>
      <c r="D355" s="2" t="n">
        <v>0.00926231747195643</v>
      </c>
      <c r="E355" s="2" t="n">
        <v>0.0682131576185794</v>
      </c>
    </row>
    <row r="356" customFormat="false" ht="13.8" hidden="false" customHeight="false" outlineLevel="0" collapsed="false">
      <c r="B356" s="2" t="n">
        <v>354</v>
      </c>
      <c r="C356" s="2" t="n">
        <v>0.00811141566419751</v>
      </c>
      <c r="D356" s="2" t="n">
        <v>0.007849375995671</v>
      </c>
      <c r="E356" s="2" t="n">
        <v>0.0578074249367209</v>
      </c>
    </row>
    <row r="357" customFormat="false" ht="13.8" hidden="false" customHeight="false" outlineLevel="0" collapsed="false">
      <c r="B357" s="2" t="n">
        <v>355</v>
      </c>
      <c r="C357" s="2" t="n">
        <v>0.00665130525164284</v>
      </c>
      <c r="D357" s="2" t="n">
        <v>0.00643643451938558</v>
      </c>
      <c r="E357" s="2" t="n">
        <v>0.0474016922548625</v>
      </c>
    </row>
    <row r="358" customFormat="false" ht="13.8" hidden="false" customHeight="false" outlineLevel="0" collapsed="false">
      <c r="B358" s="2" t="n">
        <v>356</v>
      </c>
      <c r="C358" s="2" t="n">
        <v>0.00519119483908817</v>
      </c>
      <c r="D358" s="2" t="n">
        <v>0.00502349304310016</v>
      </c>
      <c r="E358" s="2" t="n">
        <v>0.036995959573004</v>
      </c>
    </row>
    <row r="359" customFormat="false" ht="13.8" hidden="false" customHeight="false" outlineLevel="0" collapsed="false">
      <c r="B359" s="2" t="n">
        <v>357</v>
      </c>
      <c r="C359" s="2" t="n">
        <v>0.0037310844265335</v>
      </c>
      <c r="D359" s="2" t="n">
        <v>0.00361055156681474</v>
      </c>
      <c r="E359" s="2" t="n">
        <v>0.0265902268911455</v>
      </c>
    </row>
    <row r="360" customFormat="false" ht="13.8" hidden="false" customHeight="false" outlineLevel="0" collapsed="false">
      <c r="B360" s="2" t="n">
        <v>358</v>
      </c>
      <c r="C360" s="2" t="n">
        <v>0.00279831331990013</v>
      </c>
      <c r="D360" s="2" t="n">
        <v>0.00270791367511106</v>
      </c>
      <c r="E360" s="2" t="n">
        <v>0.0199426701683592</v>
      </c>
    </row>
    <row r="361" customFormat="false" ht="13.8" hidden="false" customHeight="false" outlineLevel="0" collapsed="false">
      <c r="B361" s="2" t="n">
        <v>359</v>
      </c>
      <c r="C361" s="2" t="n">
        <v>0.00186554221326675</v>
      </c>
      <c r="D361" s="2" t="n">
        <v>0.00180527578340737</v>
      </c>
      <c r="E361" s="2" t="n">
        <v>0.0132951134455728</v>
      </c>
    </row>
    <row r="362" customFormat="false" ht="13.8" hidden="false" customHeight="false" outlineLevel="0" collapsed="false">
      <c r="B362" s="2" t="n">
        <v>360</v>
      </c>
      <c r="C362" s="2" t="n">
        <v>0.000932771106633375</v>
      </c>
      <c r="D362" s="2" t="n">
        <v>0.000902637891703686</v>
      </c>
      <c r="E362" s="2" t="n">
        <v>0.00664755672278638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0.0010717536044289</v>
      </c>
      <c r="D408" s="2" t="n">
        <v>0.00103713055330279</v>
      </c>
      <c r="E408" s="2" t="n">
        <v>0.00763803984452978</v>
      </c>
    </row>
    <row r="409" customFormat="false" ht="13.8" hidden="false" customHeight="false" outlineLevel="0" collapsed="false">
      <c r="B409" s="2" t="n">
        <v>407</v>
      </c>
      <c r="C409" s="2" t="n">
        <v>0.00214350720885779</v>
      </c>
      <c r="D409" s="2" t="n">
        <v>0.00207426110660558</v>
      </c>
      <c r="E409" s="2" t="n">
        <v>0.0152760796890596</v>
      </c>
    </row>
    <row r="410" customFormat="false" ht="13.8" hidden="false" customHeight="false" outlineLevel="0" collapsed="false">
      <c r="B410" s="2" t="n">
        <v>408</v>
      </c>
      <c r="C410" s="2" t="n">
        <v>0.00321526081328669</v>
      </c>
      <c r="D410" s="2" t="n">
        <v>0.00311139165990836</v>
      </c>
      <c r="E410" s="2" t="n">
        <v>0.0229141195335893</v>
      </c>
    </row>
    <row r="411" customFormat="false" ht="13.8" hidden="false" customHeight="false" outlineLevel="0" collapsed="false">
      <c r="B411" s="2" t="n">
        <v>409</v>
      </c>
      <c r="C411" s="2" t="n">
        <v>0.00428701441771559</v>
      </c>
      <c r="D411" s="2" t="n">
        <v>0.00414852221321115</v>
      </c>
      <c r="E411" s="2" t="n">
        <v>0.0305521593781191</v>
      </c>
    </row>
    <row r="412" customFormat="false" ht="13.8" hidden="false" customHeight="false" outlineLevel="0" collapsed="false">
      <c r="B412" s="2" t="n">
        <v>410</v>
      </c>
      <c r="C412" s="2" t="n">
        <v>0.0087273066758571</v>
      </c>
      <c r="D412" s="2" t="n">
        <v>0.00844537061892874</v>
      </c>
      <c r="E412" s="2" t="n">
        <v>0.0448950893718808</v>
      </c>
    </row>
    <row r="413" customFormat="false" ht="13.8" hidden="false" customHeight="false" outlineLevel="0" collapsed="false">
      <c r="B413" s="2" t="n">
        <v>411</v>
      </c>
      <c r="C413" s="2" t="n">
        <v>0.0131675989339986</v>
      </c>
      <c r="D413" s="2" t="n">
        <v>0</v>
      </c>
      <c r="E413" s="2" t="n">
        <v>0.0721833510660014</v>
      </c>
    </row>
    <row r="414" customFormat="false" ht="13.8" hidden="false" customHeight="false" outlineLevel="0" collapsed="false">
      <c r="B414" s="2" t="n">
        <v>412</v>
      </c>
      <c r="C414" s="2" t="n">
        <v>0.0176078911921401</v>
      </c>
      <c r="D414" s="2" t="n">
        <v>0.0170390674303639</v>
      </c>
      <c r="E414" s="2" t="n">
        <v>0.0238378080441626</v>
      </c>
    </row>
    <row r="415" customFormat="false" ht="13.8" hidden="false" customHeight="false" outlineLevel="0" collapsed="false">
      <c r="B415" s="2" t="n">
        <v>413</v>
      </c>
      <c r="C415" s="2" t="n">
        <v>0.0220481834502816</v>
      </c>
      <c r="D415" s="2" t="n">
        <v>0</v>
      </c>
      <c r="E415" s="2" t="n">
        <v>0.0743536665497184</v>
      </c>
    </row>
    <row r="416" customFormat="false" ht="13.8" hidden="false" customHeight="false" outlineLevel="0" collapsed="false">
      <c r="B416" s="2" t="n">
        <v>414</v>
      </c>
      <c r="C416" s="2" t="n">
        <v>0.0305292925586152</v>
      </c>
      <c r="D416" s="2" t="n">
        <v>0</v>
      </c>
      <c r="E416" s="2" t="n">
        <v>0.0198227574413848</v>
      </c>
    </row>
    <row r="417" customFormat="false" ht="13.8" hidden="false" customHeight="false" outlineLevel="0" collapsed="false">
      <c r="B417" s="2" t="n">
        <v>415</v>
      </c>
      <c r="C417" s="2" t="n">
        <v>0.0390104016669488</v>
      </c>
      <c r="D417" s="2" t="n">
        <v>0.0377501687871307</v>
      </c>
      <c r="E417" s="2" t="n">
        <v>0.0673239983330512</v>
      </c>
    </row>
    <row r="418" customFormat="false" ht="13.8" hidden="false" customHeight="false" outlineLevel="0" collapsed="false">
      <c r="B418" s="2" t="n">
        <v>416</v>
      </c>
      <c r="C418" s="2" t="n">
        <v>0.0284180333333333</v>
      </c>
      <c r="D418" s="2" t="n">
        <v>0</v>
      </c>
      <c r="E418" s="2" t="n">
        <v>0.0175</v>
      </c>
    </row>
    <row r="419" customFormat="false" ht="13.8" hidden="false" customHeight="false" outlineLevel="0" collapsed="false">
      <c r="B419" s="2" t="n">
        <v>417</v>
      </c>
      <c r="C419" s="2" t="n">
        <v>0.055972619883616</v>
      </c>
      <c r="D419" s="2" t="n">
        <v>0.05416442173818</v>
      </c>
      <c r="E419" s="2" t="n">
        <v>0.0175</v>
      </c>
    </row>
    <row r="420" customFormat="false" ht="13.8" hidden="false" customHeight="false" outlineLevel="0" collapsed="false">
      <c r="B420" s="2" t="n">
        <v>418</v>
      </c>
      <c r="C420" s="2" t="n">
        <v>0.04925195</v>
      </c>
      <c r="D420" s="2" t="n">
        <v>0.0601316690009584</v>
      </c>
      <c r="E420" s="2" t="n">
        <v>0.0175</v>
      </c>
    </row>
    <row r="421" customFormat="false" ht="13.8" hidden="false" customHeight="false" outlineLevel="0" collapsed="false">
      <c r="B421" s="2" t="n">
        <v>419</v>
      </c>
      <c r="C421" s="2" t="n">
        <v>0.0513689333333333</v>
      </c>
      <c r="D421" s="2" t="n">
        <v>0.0660989162637368</v>
      </c>
      <c r="E421" s="2" t="n">
        <v>0.0175</v>
      </c>
    </row>
    <row r="422" customFormat="false" ht="13.8" hidden="false" customHeight="false" outlineLevel="0" collapsed="false">
      <c r="B422" s="2" t="n">
        <v>420</v>
      </c>
      <c r="C422" s="2" t="n">
        <v>0.0744719845259017</v>
      </c>
      <c r="D422" s="2" t="n">
        <v>0.0720661635265153</v>
      </c>
      <c r="E422" s="2" t="n">
        <v>0.0383966988074316</v>
      </c>
    </row>
    <row r="423" customFormat="false" ht="13.8" hidden="false" customHeight="false" outlineLevel="0" collapsed="false">
      <c r="B423" s="2" t="n">
        <v>421</v>
      </c>
      <c r="C423" s="2" t="n">
        <v>0.0200854666666667</v>
      </c>
      <c r="D423" s="2" t="n">
        <v>0.0780334107892937</v>
      </c>
      <c r="E423" s="2" t="n">
        <v>0.0175</v>
      </c>
    </row>
    <row r="424" customFormat="false" ht="13.8" hidden="false" customHeight="false" outlineLevel="0" collapsed="false">
      <c r="B424" s="2" t="n">
        <v>422</v>
      </c>
      <c r="C424" s="2" t="n">
        <v>0.0793853166666667</v>
      </c>
      <c r="D424" s="2" t="n">
        <v>0.0820589682833284</v>
      </c>
      <c r="E424" s="2" t="n">
        <v>0.0175</v>
      </c>
    </row>
    <row r="425" customFormat="false" ht="13.8" hidden="false" customHeight="false" outlineLevel="0" collapsed="false">
      <c r="B425" s="2" t="n">
        <v>423</v>
      </c>
      <c r="C425" s="2" t="n">
        <v>0.0630517333333333</v>
      </c>
      <c r="D425" s="2" t="n">
        <v>0.0860845257773631</v>
      </c>
      <c r="E425" s="2" t="n">
        <v>0.0175</v>
      </c>
    </row>
    <row r="426" customFormat="false" ht="13.8" hidden="false" customHeight="false" outlineLevel="0" collapsed="false">
      <c r="B426" s="2" t="n">
        <v>424</v>
      </c>
      <c r="C426" s="2" t="n">
        <v>0.0822519166666667</v>
      </c>
      <c r="D426" s="2" t="n">
        <v>0.0901100832713982</v>
      </c>
      <c r="E426" s="2" t="n">
        <v>0.0175</v>
      </c>
    </row>
    <row r="427" customFormat="false" ht="13.8" hidden="false" customHeight="false" outlineLevel="0" collapsed="false">
      <c r="B427" s="2" t="n">
        <v>425</v>
      </c>
      <c r="C427" s="2" t="n">
        <v>0.0587520666666667</v>
      </c>
      <c r="D427" s="2" t="n">
        <v>0.094135640765433</v>
      </c>
      <c r="E427" s="2" t="n">
        <v>0.0175</v>
      </c>
    </row>
    <row r="428" customFormat="false" ht="13.8" hidden="false" customHeight="false" outlineLevel="0" collapsed="false">
      <c r="B428" s="2" t="n">
        <v>426</v>
      </c>
      <c r="C428" s="2" t="n">
        <v>0.02725225</v>
      </c>
      <c r="D428" s="2" t="n">
        <v>0.095872901688546</v>
      </c>
      <c r="E428" s="2" t="n">
        <v>0.00100005</v>
      </c>
    </row>
    <row r="429" customFormat="false" ht="13.8" hidden="false" customHeight="false" outlineLevel="0" collapsed="false">
      <c r="B429" s="2" t="n">
        <v>427</v>
      </c>
      <c r="C429" s="2" t="n">
        <v>0.0869185833333333</v>
      </c>
      <c r="D429" s="2" t="n">
        <v>0.097610162611659</v>
      </c>
      <c r="E429" s="2" t="n">
        <v>0.03375</v>
      </c>
    </row>
    <row r="430" customFormat="false" ht="13.8" hidden="false" customHeight="false" outlineLevel="0" collapsed="false">
      <c r="B430" s="2" t="n">
        <v>428</v>
      </c>
      <c r="C430" s="2" t="n">
        <v>0.0480014166666667</v>
      </c>
      <c r="D430" s="2" t="n">
        <v>0.0993474235347719</v>
      </c>
      <c r="E430" s="2" t="n">
        <v>0.03375</v>
      </c>
    </row>
    <row r="431" customFormat="false" ht="13.8" hidden="false" customHeight="false" outlineLevel="0" collapsed="false">
      <c r="B431" s="2" t="n">
        <v>429</v>
      </c>
      <c r="C431" s="2" t="n">
        <v>0.0884677333333333</v>
      </c>
      <c r="D431" s="2" t="n">
        <v>0.101084684457885</v>
      </c>
      <c r="E431" s="2" t="n">
        <v>0.744447114302335</v>
      </c>
    </row>
    <row r="432" customFormat="false" ht="13.8" hidden="false" customHeight="false" outlineLevel="0" collapsed="false">
      <c r="B432" s="2" t="n">
        <v>430</v>
      </c>
      <c r="C432" s="2" t="n">
        <v>0.0498677833333333</v>
      </c>
      <c r="D432" s="2" t="n">
        <v>0.103588553552113</v>
      </c>
      <c r="E432" s="2" t="n">
        <v>0.762887080077421</v>
      </c>
    </row>
    <row r="433" customFormat="false" ht="13.8" hidden="false" customHeight="false" outlineLevel="0" collapsed="false">
      <c r="B433" s="2" t="n">
        <v>431</v>
      </c>
      <c r="C433" s="2" t="n">
        <v>0.08700095</v>
      </c>
      <c r="D433" s="2" t="n">
        <v>0.106092422646341</v>
      </c>
      <c r="E433" s="2" t="n">
        <v>0.781327045852506</v>
      </c>
    </row>
    <row r="434" customFormat="false" ht="13.8" hidden="false" customHeight="false" outlineLevel="0" collapsed="false">
      <c r="B434" s="2" t="n">
        <v>432</v>
      </c>
      <c r="C434" s="2" t="n">
        <v>0.048251</v>
      </c>
      <c r="D434" s="2" t="n">
        <v>0.108596291740568</v>
      </c>
      <c r="E434" s="2" t="n">
        <v>0.799767011627592</v>
      </c>
    </row>
    <row r="435" customFormat="false" ht="13.8" hidden="false" customHeight="false" outlineLevel="0" collapsed="false">
      <c r="B435" s="2" t="n">
        <v>433</v>
      </c>
      <c r="C435" s="2" t="n">
        <v>0.0666942466382114</v>
      </c>
      <c r="D435" s="2" t="n">
        <v>0.111100160834796</v>
      </c>
      <c r="E435" s="2" t="n">
        <v>0.02725</v>
      </c>
    </row>
    <row r="436" customFormat="false" ht="13.8" hidden="false" customHeight="false" outlineLevel="0" collapsed="false">
      <c r="B436" s="2" t="n">
        <v>434</v>
      </c>
      <c r="C436" s="2" t="n">
        <v>0.11392911565005</v>
      </c>
      <c r="D436" s="2" t="n">
        <v>0.110248630154499</v>
      </c>
      <c r="E436" s="2" t="n">
        <v>0.04025</v>
      </c>
    </row>
    <row r="437" customFormat="false" ht="13.8" hidden="false" customHeight="false" outlineLevel="0" collapsed="false">
      <c r="B437" s="2" t="n">
        <v>435</v>
      </c>
      <c r="C437" s="2" t="n">
        <v>0.113049157892579</v>
      </c>
      <c r="D437" s="2" t="n">
        <v>0.109397099474204</v>
      </c>
      <c r="E437" s="2" t="n">
        <v>0.80566463112963</v>
      </c>
    </row>
    <row r="438" customFormat="false" ht="13.8" hidden="false" customHeight="false" outlineLevel="0" collapsed="false">
      <c r="B438" s="2" t="n">
        <v>436</v>
      </c>
      <c r="C438" s="2" t="n">
        <v>0.112169200135108</v>
      </c>
      <c r="D438" s="2" t="n">
        <v>0.108545568793909</v>
      </c>
      <c r="E438" s="2" t="n">
        <v>0.799393457993106</v>
      </c>
    </row>
    <row r="439" customFormat="false" ht="13.8" hidden="false" customHeight="false" outlineLevel="0" collapsed="false">
      <c r="B439" s="2" t="n">
        <v>437</v>
      </c>
      <c r="C439" s="2" t="n">
        <v>0.111289242377637</v>
      </c>
      <c r="D439" s="2" t="n">
        <v>0.107694038113612</v>
      </c>
      <c r="E439" s="2" t="n">
        <v>0.793122284856583</v>
      </c>
    </row>
    <row r="440" customFormat="false" ht="13.8" hidden="false" customHeight="false" outlineLevel="0" collapsed="false">
      <c r="B440" s="2" t="n">
        <v>438</v>
      </c>
      <c r="C440" s="2" t="n">
        <v>0.0913885370647218</v>
      </c>
      <c r="D440" s="2" t="n">
        <v>0.0884362260316105</v>
      </c>
      <c r="E440" s="2" t="n">
        <v>0.651296421630034</v>
      </c>
    </row>
    <row r="441" customFormat="false" ht="13.8" hidden="false" customHeight="false" outlineLevel="0" collapsed="false">
      <c r="B441" s="2" t="n">
        <v>439</v>
      </c>
      <c r="C441" s="2" t="n">
        <v>0.0714878317518064</v>
      </c>
      <c r="D441" s="2" t="n">
        <v>0.0691784139496088</v>
      </c>
      <c r="E441" s="2" t="n">
        <v>0.509470558403486</v>
      </c>
    </row>
    <row r="442" customFormat="false" ht="13.8" hidden="false" customHeight="false" outlineLevel="0" collapsed="false">
      <c r="B442" s="2" t="n">
        <v>440</v>
      </c>
      <c r="C442" s="2" t="n">
        <v>0.051587126438891</v>
      </c>
      <c r="D442" s="2" t="n">
        <v>0.0499206018676072</v>
      </c>
      <c r="E442" s="2" t="n">
        <v>0.367644695176937</v>
      </c>
    </row>
    <row r="443" customFormat="false" ht="13.8" hidden="false" customHeight="false" outlineLevel="0" collapsed="false">
      <c r="B443" s="2" t="n">
        <v>441</v>
      </c>
      <c r="C443" s="2" t="n">
        <v>0.0316864211259757</v>
      </c>
      <c r="D443" s="2" t="n">
        <v>0.0306627897856055</v>
      </c>
      <c r="E443" s="2" t="n">
        <v>0.225818831950389</v>
      </c>
    </row>
    <row r="444" customFormat="false" ht="13.8" hidden="false" customHeight="false" outlineLevel="0" collapsed="false">
      <c r="B444" s="2" t="n">
        <v>442</v>
      </c>
      <c r="C444" s="2" t="n">
        <v>0.0349084325177267</v>
      </c>
      <c r="D444" s="2" t="n">
        <v>0.0337807139462208</v>
      </c>
      <c r="E444" s="2" t="n">
        <v>0.248781060664177</v>
      </c>
    </row>
    <row r="445" customFormat="false" ht="13.8" hidden="false" customHeight="false" outlineLevel="0" collapsed="false">
      <c r="B445" s="2" t="n">
        <v>443</v>
      </c>
      <c r="C445" s="2" t="n">
        <v>0.0381304439094777</v>
      </c>
      <c r="D445" s="2" t="n">
        <v>0.0368986381068347</v>
      </c>
      <c r="E445" s="2" t="n">
        <v>0.271743289377965</v>
      </c>
    </row>
    <row r="446" customFormat="false" ht="13.8" hidden="false" customHeight="false" outlineLevel="0" collapsed="false">
      <c r="B446" s="2" t="n">
        <v>444</v>
      </c>
      <c r="C446" s="2" t="n">
        <v>0.0413524553012288</v>
      </c>
      <c r="D446" s="2" t="n">
        <v>0.0400165622674493</v>
      </c>
      <c r="E446" s="2" t="n">
        <v>0.294705518091753</v>
      </c>
    </row>
    <row r="447" customFormat="false" ht="13.8" hidden="false" customHeight="false" outlineLevel="0" collapsed="false">
      <c r="B447" s="2" t="n">
        <v>445</v>
      </c>
      <c r="C447" s="2" t="n">
        <v>0.0445744666929798</v>
      </c>
      <c r="D447" s="2" t="n">
        <v>0.0431344864280639</v>
      </c>
      <c r="E447" s="2" t="n">
        <v>0.317667746805542</v>
      </c>
    </row>
    <row r="448" customFormat="false" ht="13.8" hidden="false" customHeight="false" outlineLevel="0" collapsed="false">
      <c r="B448" s="2" t="n">
        <v>446</v>
      </c>
      <c r="C448" s="2" t="n">
        <v>0.0406114800415532</v>
      </c>
      <c r="D448" s="2" t="n">
        <v>0.0392995242487524</v>
      </c>
      <c r="E448" s="2" t="n">
        <v>0.289424828076973</v>
      </c>
    </row>
    <row r="449" customFormat="false" ht="13.8" hidden="false" customHeight="false" outlineLevel="0" collapsed="false">
      <c r="B449" s="2" t="n">
        <v>447</v>
      </c>
      <c r="C449" s="2" t="n">
        <v>0.0366484933901266</v>
      </c>
      <c r="D449" s="2" t="n">
        <v>0.0354645620694409</v>
      </c>
      <c r="E449" s="2" t="n">
        <v>0.261181909348404</v>
      </c>
    </row>
    <row r="450" customFormat="false" ht="13.8" hidden="false" customHeight="false" outlineLevel="0" collapsed="false">
      <c r="B450" s="2" t="n">
        <v>448</v>
      </c>
      <c r="C450" s="2" t="n">
        <v>0.0326855067387</v>
      </c>
      <c r="D450" s="2" t="n">
        <v>0.0316295998901293</v>
      </c>
      <c r="E450" s="2" t="n">
        <v>0.232938990619835</v>
      </c>
    </row>
    <row r="451" customFormat="false" ht="13.8" hidden="false" customHeight="false" outlineLevel="0" collapsed="false">
      <c r="B451" s="2" t="n">
        <v>449</v>
      </c>
      <c r="C451" s="2" t="n">
        <v>0.0287225200872734</v>
      </c>
      <c r="D451" s="2" t="n">
        <v>0.027794637710818</v>
      </c>
      <c r="E451" s="2" t="n">
        <v>0.204696071891267</v>
      </c>
    </row>
    <row r="452" customFormat="false" ht="13.8" hidden="false" customHeight="false" outlineLevel="0" collapsed="false">
      <c r="B452" s="2" t="n">
        <v>450</v>
      </c>
      <c r="C452" s="2" t="n">
        <v>0.025190379179013</v>
      </c>
      <c r="D452" s="2" t="n">
        <v>0.0243766027824632</v>
      </c>
      <c r="E452" s="2" t="n">
        <v>0.179523650840102</v>
      </c>
    </row>
    <row r="453" customFormat="false" ht="13.8" hidden="false" customHeight="false" outlineLevel="0" collapsed="false">
      <c r="B453" s="2" t="n">
        <v>451</v>
      </c>
      <c r="C453" s="2" t="n">
        <v>0.0216582382707525</v>
      </c>
      <c r="D453" s="2" t="n">
        <v>0.020958567854109</v>
      </c>
      <c r="E453" s="2" t="n">
        <v>0.154351229788938</v>
      </c>
    </row>
    <row r="454" customFormat="false" ht="13.8" hidden="false" customHeight="false" outlineLevel="0" collapsed="false">
      <c r="B454" s="2" t="n">
        <v>452</v>
      </c>
      <c r="C454" s="2" t="n">
        <v>0.018126097362492</v>
      </c>
      <c r="D454" s="2" t="n">
        <v>0.0175405329257549</v>
      </c>
      <c r="E454" s="2" t="n">
        <v>0.10398270834852</v>
      </c>
    </row>
    <row r="455" customFormat="false" ht="13.8" hidden="false" customHeight="false" outlineLevel="0" collapsed="false">
      <c r="B455" s="2" t="n">
        <v>453</v>
      </c>
      <c r="C455" s="2" t="n">
        <v>0.0145939564542315</v>
      </c>
      <c r="D455" s="2" t="n">
        <v>0.0141224979974005</v>
      </c>
      <c r="E455" s="2" t="n">
        <v>0.104006387686609</v>
      </c>
    </row>
    <row r="456" customFormat="false" ht="13.8" hidden="false" customHeight="false" outlineLevel="0" collapsed="false">
      <c r="B456" s="2" t="n">
        <v>454</v>
      </c>
      <c r="C456" s="2" t="n">
        <v>0.010975249304487</v>
      </c>
      <c r="D456" s="2" t="n">
        <v>0.0106206933541074</v>
      </c>
      <c r="E456" s="2" t="n">
        <v>0.068282108418961</v>
      </c>
    </row>
    <row r="457" customFormat="false" ht="13.8" hidden="false" customHeight="false" outlineLevel="0" collapsed="false">
      <c r="B457" s="2" t="n">
        <v>455</v>
      </c>
      <c r="C457" s="2" t="n">
        <v>0.00735654215474228</v>
      </c>
      <c r="D457" s="2" t="n">
        <v>0.00711888871081417</v>
      </c>
      <c r="E457" s="2" t="n">
        <v>0.0524276866097661</v>
      </c>
    </row>
    <row r="458" customFormat="false" ht="13.8" hidden="false" customHeight="false" outlineLevel="0" collapsed="false">
      <c r="B458" s="2" t="n">
        <v>456</v>
      </c>
      <c r="C458" s="2" t="n">
        <v>0.00373783500499785</v>
      </c>
      <c r="D458" s="2" t="n">
        <v>0.00361708406752099</v>
      </c>
      <c r="E458" s="2" t="n">
        <v>0.0266383360713445</v>
      </c>
    </row>
    <row r="459" customFormat="false" ht="13.8" hidden="false" customHeight="false" outlineLevel="0" collapsed="false">
      <c r="B459" s="2" t="n">
        <v>457</v>
      </c>
      <c r="C459" s="2" t="n">
        <v>0.000119127855253305</v>
      </c>
      <c r="D459" s="2" t="n">
        <v>0.000115279424227802</v>
      </c>
      <c r="E459" s="2" t="n">
        <v>0.000848985532922911</v>
      </c>
    </row>
    <row r="460" customFormat="false" ht="13.8" hidden="false" customHeight="false" outlineLevel="0" collapsed="false">
      <c r="B460" s="2" t="n">
        <v>458</v>
      </c>
      <c r="C460" s="2" t="n">
        <v>8.93458914399785E-005</v>
      </c>
      <c r="D460" s="2" t="n">
        <v>8.64595681708511E-005</v>
      </c>
      <c r="E460" s="2" t="n">
        <v>0.000636739149692183</v>
      </c>
    </row>
    <row r="461" customFormat="false" ht="13.8" hidden="false" customHeight="false" outlineLevel="0" collapsed="false">
      <c r="B461" s="2" t="n">
        <v>459</v>
      </c>
      <c r="C461" s="2" t="n">
        <v>5.95639276266523E-005</v>
      </c>
      <c r="D461" s="2" t="n">
        <v>5.76397121138956E-005</v>
      </c>
      <c r="E461" s="2" t="n">
        <v>0.000424492766461456</v>
      </c>
    </row>
    <row r="462" customFormat="false" ht="13.8" hidden="false" customHeight="false" outlineLevel="0" collapsed="false">
      <c r="B462" s="2" t="n">
        <v>460</v>
      </c>
      <c r="C462" s="2" t="n">
        <v>2.97819638133261E-005</v>
      </c>
      <c r="D462" s="2" t="n">
        <v>2.88198560569478E-005</v>
      </c>
      <c r="E462" s="2" t="n">
        <v>0.000212246383230727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0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0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0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0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0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0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0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0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0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0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0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0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0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0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0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0</v>
      </c>
    </row>
    <row r="487" customFormat="false" ht="13.8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0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0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0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0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0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4.56656778471001E-005</v>
      </c>
      <c r="D504" s="2" t="n">
        <v>4.41904459539942E-005</v>
      </c>
      <c r="E504" s="2" t="n">
        <v>0.000325444454287116</v>
      </c>
    </row>
    <row r="505" customFormat="false" ht="13.8" hidden="false" customHeight="false" outlineLevel="0" collapsed="false">
      <c r="B505" s="2" t="n">
        <v>503</v>
      </c>
      <c r="C505" s="2" t="n">
        <v>9.13313556941966E-005</v>
      </c>
      <c r="D505" s="2" t="n">
        <v>8.83808919079812E-005</v>
      </c>
      <c r="E505" s="2" t="n">
        <v>0.000650888908574232</v>
      </c>
    </row>
    <row r="506" customFormat="false" ht="13.8" hidden="false" customHeight="false" outlineLevel="0" collapsed="false">
      <c r="B506" s="2" t="n">
        <v>504</v>
      </c>
      <c r="C506" s="2" t="n">
        <v>0.000136997033541301</v>
      </c>
      <c r="D506" s="2" t="n">
        <v>0.000132571337861972</v>
      </c>
      <c r="E506" s="2" t="n">
        <v>0.000976333362861346</v>
      </c>
    </row>
    <row r="507" customFormat="false" ht="13.8" hidden="false" customHeight="false" outlineLevel="0" collapsed="false">
      <c r="B507" s="2" t="n">
        <v>505</v>
      </c>
      <c r="C507" s="2" t="n">
        <v>0.000182662711388402</v>
      </c>
      <c r="D507" s="2" t="n">
        <v>0.000176761783815962</v>
      </c>
      <c r="E507" s="2" t="n">
        <v>0.00130177781714846</v>
      </c>
    </row>
    <row r="508" customFormat="false" ht="13.8" hidden="false" customHeight="false" outlineLevel="0" collapsed="false">
      <c r="B508" s="2" t="n">
        <v>506</v>
      </c>
      <c r="C508" s="2" t="n">
        <v>0.000663542153760907</v>
      </c>
      <c r="D508" s="2" t="n">
        <v>0.000642106392948854</v>
      </c>
      <c r="E508" s="2" t="n">
        <v>0.00472884941838061</v>
      </c>
    </row>
    <row r="509" customFormat="false" ht="13.8" hidden="false" customHeight="false" outlineLevel="0" collapsed="false">
      <c r="B509" s="2" t="n">
        <v>507</v>
      </c>
      <c r="C509" s="2" t="n">
        <v>0.00114442159613341</v>
      </c>
      <c r="D509" s="2" t="n">
        <v>0.00110745100208175</v>
      </c>
      <c r="E509" s="2" t="n">
        <v>0.00815592101961275</v>
      </c>
    </row>
    <row r="510" customFormat="false" ht="13.8" hidden="false" customHeight="false" outlineLevel="0" collapsed="false">
      <c r="B510" s="2" t="n">
        <v>508</v>
      </c>
      <c r="C510" s="2" t="n">
        <v>0.00162530103850592</v>
      </c>
      <c r="D510" s="2" t="n">
        <v>0.00157279561121464</v>
      </c>
      <c r="E510" s="2" t="n">
        <v>0.0115829926208449</v>
      </c>
    </row>
    <row r="511" customFormat="false" ht="13.8" hidden="false" customHeight="false" outlineLevel="0" collapsed="false">
      <c r="B511" s="2" t="n">
        <v>509</v>
      </c>
      <c r="C511" s="2" t="n">
        <v>0.00210618048087842</v>
      </c>
      <c r="D511" s="2" t="n">
        <v>0.00203814022034753</v>
      </c>
      <c r="E511" s="2" t="n">
        <v>0.015010064222077</v>
      </c>
    </row>
    <row r="512" customFormat="false" ht="13.8" hidden="false" customHeight="false" outlineLevel="0" collapsed="false">
      <c r="B512" s="2" t="n">
        <v>510</v>
      </c>
      <c r="C512" s="2" t="n">
        <v>0.00880315141036837</v>
      </c>
      <c r="D512" s="2" t="n">
        <v>0.00851876518568711</v>
      </c>
      <c r="E512" s="2" t="n">
        <v>0.0627372009312266</v>
      </c>
    </row>
    <row r="513" customFormat="false" ht="13.8" hidden="false" customHeight="false" outlineLevel="0" collapsed="false">
      <c r="B513" s="2" t="n">
        <v>511</v>
      </c>
      <c r="C513" s="2" t="n">
        <v>0.0155001223398583</v>
      </c>
      <c r="D513" s="2" t="n">
        <v>0.0149993901510267</v>
      </c>
      <c r="E513" s="2" t="n">
        <v>0.110464337640376</v>
      </c>
    </row>
    <row r="514" customFormat="false" ht="13.8" hidden="false" customHeight="false" outlineLevel="0" collapsed="false">
      <c r="B514" s="2" t="n">
        <v>512</v>
      </c>
      <c r="C514" s="2" t="n">
        <v>0.0221970932693483</v>
      </c>
      <c r="D514" s="2" t="n">
        <v>0.0214800151163663</v>
      </c>
      <c r="E514" s="2" t="n">
        <v>0.158191474349526</v>
      </c>
    </row>
    <row r="515" customFormat="false" ht="13.8" hidden="false" customHeight="false" outlineLevel="0" collapsed="false">
      <c r="B515" s="2" t="n">
        <v>513</v>
      </c>
      <c r="C515" s="2" t="n">
        <v>0.0288940641988382</v>
      </c>
      <c r="D515" s="2" t="n">
        <v>0.0279606400817058</v>
      </c>
      <c r="E515" s="2" t="n">
        <v>0.205918611058675</v>
      </c>
    </row>
    <row r="516" customFormat="false" ht="13.8" hidden="false" customHeight="false" outlineLevel="0" collapsed="false">
      <c r="B516" s="2" t="n">
        <v>514</v>
      </c>
      <c r="C516" s="2" t="n">
        <v>0.0346503221646779</v>
      </c>
      <c r="D516" s="2" t="n">
        <v>0.0335309418603932</v>
      </c>
      <c r="E516" s="2" t="n">
        <v>0.24694159200951</v>
      </c>
    </row>
    <row r="517" customFormat="false" ht="13.8" hidden="false" customHeight="false" outlineLevel="0" collapsed="false">
      <c r="B517" s="2" t="n">
        <v>515</v>
      </c>
      <c r="C517" s="2" t="n">
        <v>0.0404065801305176</v>
      </c>
      <c r="D517" s="2" t="n">
        <v>0.0391012436390806</v>
      </c>
      <c r="E517" s="2" t="n">
        <v>0.287964572960345</v>
      </c>
    </row>
    <row r="518" customFormat="false" ht="13.8" hidden="false" customHeight="false" outlineLevel="0" collapsed="false">
      <c r="B518" s="2" t="n">
        <v>516</v>
      </c>
      <c r="C518" s="2" t="n">
        <v>0.0461628380963572</v>
      </c>
      <c r="D518" s="2" t="n">
        <v>0.0446715454177679</v>
      </c>
      <c r="E518" s="2" t="n">
        <v>0.32898755391118</v>
      </c>
    </row>
    <row r="519" customFormat="false" ht="13.8" hidden="false" customHeight="false" outlineLevel="0" collapsed="false">
      <c r="B519" s="2" t="n">
        <v>517</v>
      </c>
      <c r="C519" s="2" t="n">
        <v>0.0519190960621969</v>
      </c>
      <c r="D519" s="2" t="n">
        <v>0.0502418471964553</v>
      </c>
      <c r="E519" s="2" t="n">
        <v>0.370010534862015</v>
      </c>
    </row>
    <row r="520" customFormat="false" ht="13.8" hidden="false" customHeight="false" outlineLevel="0" collapsed="false">
      <c r="B520" s="2" t="n">
        <v>518</v>
      </c>
      <c r="C520" s="2" t="n">
        <v>0.054217469482884</v>
      </c>
      <c r="D520" s="2" t="n">
        <v>0.052465971554557</v>
      </c>
      <c r="E520" s="2" t="n">
        <v>0.386390295743875</v>
      </c>
    </row>
    <row r="521" customFormat="false" ht="13.8" hidden="false" customHeight="false" outlineLevel="0" collapsed="false">
      <c r="B521" s="2" t="n">
        <v>519</v>
      </c>
      <c r="C521" s="2" t="n">
        <v>0.0565158429035711</v>
      </c>
      <c r="D521" s="2" t="n">
        <v>0.0546900959126587</v>
      </c>
      <c r="E521" s="2" t="n">
        <v>0.402770056625734</v>
      </c>
    </row>
    <row r="522" customFormat="false" ht="13.8" hidden="false" customHeight="false" outlineLevel="0" collapsed="false">
      <c r="B522" s="2" t="n">
        <v>520</v>
      </c>
      <c r="C522" s="2" t="n">
        <v>0.0588142163242582</v>
      </c>
      <c r="D522" s="2" t="n">
        <v>0.0569142202707605</v>
      </c>
      <c r="E522" s="2" t="n">
        <v>0.419149817507593</v>
      </c>
    </row>
    <row r="523" customFormat="false" ht="13.8" hidden="false" customHeight="false" outlineLevel="0" collapsed="false">
      <c r="B523" s="2" t="n">
        <v>521</v>
      </c>
      <c r="C523" s="2" t="n">
        <v>0.0611125897449453</v>
      </c>
      <c r="D523" s="2" t="n">
        <v>0.0591383446288622</v>
      </c>
      <c r="E523" s="2" t="n">
        <v>0.435529578389453</v>
      </c>
    </row>
    <row r="524" customFormat="false" ht="13.8" hidden="false" customHeight="false" outlineLevel="0" collapsed="false">
      <c r="B524" s="2" t="n">
        <v>522</v>
      </c>
      <c r="C524" s="2" t="n">
        <v>0.0689508055277619</v>
      </c>
      <c r="D524" s="2" t="n">
        <v>0.0667233464783041</v>
      </c>
      <c r="E524" s="2" t="n">
        <v>0.491389996504004</v>
      </c>
    </row>
    <row r="525" customFormat="false" ht="13.8" hidden="false" customHeight="false" outlineLevel="0" collapsed="false">
      <c r="B525" s="2" t="n">
        <v>523</v>
      </c>
      <c r="C525" s="2" t="n">
        <v>0.0767890213105785</v>
      </c>
      <c r="D525" s="2" t="n">
        <v>0.074308348327746</v>
      </c>
      <c r="E525" s="2" t="n">
        <v>0.547250414618555</v>
      </c>
    </row>
    <row r="526" customFormat="false" ht="13.8" hidden="false" customHeight="false" outlineLevel="0" collapsed="false">
      <c r="B526" s="2" t="n">
        <v>524</v>
      </c>
      <c r="C526" s="2" t="n">
        <v>0.0846272370933951</v>
      </c>
      <c r="D526" s="2" t="n">
        <v>0.0818933501771879</v>
      </c>
      <c r="E526" s="2" t="n">
        <v>0.603110832733106</v>
      </c>
    </row>
    <row r="527" customFormat="false" ht="13.8" hidden="false" customHeight="false" outlineLevel="0" collapsed="false">
      <c r="B527" s="2" t="n">
        <v>525</v>
      </c>
      <c r="C527" s="2" t="n">
        <v>0.0924654528762117</v>
      </c>
      <c r="D527" s="2" t="n">
        <v>0.0894783520266298</v>
      </c>
      <c r="E527" s="2" t="n">
        <v>0.658971250847657</v>
      </c>
    </row>
    <row r="528" customFormat="false" ht="13.8" hidden="false" customHeight="false" outlineLevel="0" collapsed="false">
      <c r="B528" s="2" t="n">
        <v>526</v>
      </c>
      <c r="C528" s="2" t="n">
        <v>0.0882793000426106</v>
      </c>
      <c r="D528" s="2" t="n">
        <v>0.0854274330592649</v>
      </c>
      <c r="E528" s="2" t="n">
        <v>0.629137899220746</v>
      </c>
    </row>
    <row r="529" customFormat="false" ht="13.8" hidden="false" customHeight="false" outlineLevel="0" collapsed="false">
      <c r="B529" s="2" t="n">
        <v>527</v>
      </c>
      <c r="C529" s="2" t="n">
        <v>0.0840931472090094</v>
      </c>
      <c r="D529" s="2" t="n">
        <v>0.0813765140918999</v>
      </c>
      <c r="E529" s="2" t="n">
        <v>0.599304547593835</v>
      </c>
    </row>
    <row r="530" customFormat="false" ht="13.8" hidden="false" customHeight="false" outlineLevel="0" collapsed="false">
      <c r="B530" s="2" t="n">
        <v>528</v>
      </c>
      <c r="C530" s="2" t="n">
        <v>0.0799069943754083</v>
      </c>
      <c r="D530" s="2" t="n">
        <v>0.077325595124535</v>
      </c>
      <c r="E530" s="2" t="n">
        <v>0.569471195966924</v>
      </c>
    </row>
    <row r="531" customFormat="false" ht="13.8" hidden="false" customHeight="false" outlineLevel="0" collapsed="false">
      <c r="B531" s="2" t="n">
        <v>529</v>
      </c>
      <c r="C531" s="2" t="n">
        <v>0.0757208415418072</v>
      </c>
      <c r="D531" s="2" t="n">
        <v>0.0732746761571701</v>
      </c>
      <c r="E531" s="2" t="n">
        <v>0.539637844340013</v>
      </c>
    </row>
    <row r="532" customFormat="false" ht="13.8" hidden="false" customHeight="false" outlineLevel="0" collapsed="false">
      <c r="B532" s="2" t="n">
        <v>530</v>
      </c>
      <c r="C532" s="2" t="n">
        <v>0.0738858754780554</v>
      </c>
      <c r="D532" s="2" t="n">
        <v>0.0714989887593145</v>
      </c>
      <c r="E532" s="2" t="n">
        <v>0.526560637181224</v>
      </c>
    </row>
    <row r="533" customFormat="false" ht="13.8" hidden="false" customHeight="false" outlineLevel="0" collapsed="false">
      <c r="B533" s="2" t="n">
        <v>531</v>
      </c>
      <c r="C533" s="2" t="n">
        <v>0.0720509094143037</v>
      </c>
      <c r="D533" s="2" t="n">
        <v>0.0697233013614589</v>
      </c>
      <c r="E533" s="2" t="n">
        <v>0.513483430022434</v>
      </c>
    </row>
    <row r="534" customFormat="false" ht="13.8" hidden="false" customHeight="false" outlineLevel="0" collapsed="false">
      <c r="B534" s="2" t="n">
        <v>532</v>
      </c>
      <c r="C534" s="2" t="n">
        <v>0.070215943350552</v>
      </c>
      <c r="D534" s="2" t="n">
        <v>0.0679476139636033</v>
      </c>
      <c r="E534" s="2" t="n">
        <v>0.500406222863645</v>
      </c>
    </row>
    <row r="535" customFormat="false" ht="13.8" hidden="false" customHeight="false" outlineLevel="0" collapsed="false">
      <c r="B535" s="2" t="n">
        <v>533</v>
      </c>
      <c r="C535" s="2" t="n">
        <v>0.0683809772868002</v>
      </c>
      <c r="D535" s="2" t="n">
        <v>0.0661719265657478</v>
      </c>
      <c r="E535" s="2" t="n">
        <v>0.487329015704856</v>
      </c>
    </row>
    <row r="536" customFormat="false" ht="13.8" hidden="false" customHeight="false" outlineLevel="0" collapsed="false">
      <c r="B536" s="2" t="n">
        <v>534</v>
      </c>
      <c r="C536" s="2" t="n">
        <v>0.0571452350721594</v>
      </c>
      <c r="D536" s="2" t="n">
        <v>0.055299155537329</v>
      </c>
      <c r="E536" s="2" t="n">
        <v>0.407255530191343</v>
      </c>
    </row>
    <row r="537" customFormat="false" ht="13.8" hidden="false" customHeight="false" outlineLevel="0" collapsed="false">
      <c r="B537" s="2" t="n">
        <v>535</v>
      </c>
      <c r="C537" s="2" t="n">
        <v>0.0459094928575185</v>
      </c>
      <c r="D537" s="2" t="n">
        <v>0.0444263845089101</v>
      </c>
      <c r="E537" s="2" t="n">
        <v>0.327182044677831</v>
      </c>
    </row>
    <row r="538" customFormat="false" ht="13.8" hidden="false" customHeight="false" outlineLevel="0" collapsed="false">
      <c r="B538" s="2" t="n">
        <v>536</v>
      </c>
      <c r="C538" s="2" t="n">
        <v>0.0346737506428777</v>
      </c>
      <c r="D538" s="2" t="n">
        <v>0.0335536134804913</v>
      </c>
      <c r="E538" s="2" t="n">
        <v>0.247108559164319</v>
      </c>
    </row>
    <row r="539" customFormat="false" ht="13.8" hidden="false" customHeight="false" outlineLevel="0" collapsed="false">
      <c r="B539" s="2" t="n">
        <v>537</v>
      </c>
      <c r="C539" s="2" t="n">
        <v>0.0234380084282368</v>
      </c>
      <c r="D539" s="2" t="n">
        <v>0.0226808424520725</v>
      </c>
      <c r="E539" s="2" t="n">
        <v>0.167035073650806</v>
      </c>
    </row>
    <row r="540" customFormat="false" ht="13.8" hidden="false" customHeight="false" outlineLevel="0" collapsed="false">
      <c r="B540" s="2" t="n">
        <v>538</v>
      </c>
      <c r="C540" s="2" t="n">
        <v>0.0190052609342614</v>
      </c>
      <c r="D540" s="2" t="n">
        <v>0.0183912950765561</v>
      </c>
      <c r="E540" s="2" t="n">
        <v>0.135444321970745</v>
      </c>
    </row>
    <row r="541" customFormat="false" ht="13.8" hidden="false" customHeight="false" outlineLevel="0" collapsed="false">
      <c r="B541" s="2" t="n">
        <v>539</v>
      </c>
      <c r="C541" s="2" t="n">
        <v>0.0145725134402859</v>
      </c>
      <c r="D541" s="2" t="n">
        <v>0.0141017477010395</v>
      </c>
      <c r="E541" s="2" t="n">
        <v>0.103853570290683</v>
      </c>
    </row>
    <row r="542" customFormat="false" ht="13.8" hidden="false" customHeight="false" outlineLevel="0" collapsed="false">
      <c r="B542" s="2" t="n">
        <v>540</v>
      </c>
      <c r="C542" s="2" t="n">
        <v>0.0101397659463104</v>
      </c>
      <c r="D542" s="2" t="n">
        <v>0.00981220032552308</v>
      </c>
      <c r="E542" s="2" t="n">
        <v>0.0722628186106217</v>
      </c>
    </row>
    <row r="543" customFormat="false" ht="13.8" hidden="false" customHeight="false" outlineLevel="0" collapsed="false">
      <c r="B543" s="2" t="n">
        <v>541</v>
      </c>
      <c r="C543" s="2" t="n">
        <v>0.00570701845233498</v>
      </c>
      <c r="D543" s="2" t="n">
        <v>0.00552265295000654</v>
      </c>
      <c r="E543" s="2" t="n">
        <v>0.0406720669305602</v>
      </c>
    </row>
    <row r="544" customFormat="false" ht="13.8" hidden="false" customHeight="false" outlineLevel="0" collapsed="false">
      <c r="B544" s="2" t="n">
        <v>542</v>
      </c>
      <c r="C544" s="2" t="n">
        <v>0.00513202800431236</v>
      </c>
      <c r="D544" s="2" t="n">
        <v>0.00496623759573369</v>
      </c>
      <c r="E544" s="2" t="n">
        <v>0.036574296758319</v>
      </c>
    </row>
    <row r="545" customFormat="false" ht="13.8" hidden="false" customHeight="false" outlineLevel="0" collapsed="false">
      <c r="B545" s="2" t="n">
        <v>543</v>
      </c>
      <c r="C545" s="2" t="n">
        <v>0.00455703755628975</v>
      </c>
      <c r="D545" s="2" t="n">
        <v>0.00440982224146083</v>
      </c>
      <c r="E545" s="2" t="n">
        <v>0.0324765265860777</v>
      </c>
    </row>
    <row r="546" customFormat="false" ht="13.8" hidden="false" customHeight="false" outlineLevel="0" collapsed="false">
      <c r="B546" s="2" t="n">
        <v>544</v>
      </c>
      <c r="C546" s="2" t="n">
        <v>0.00398204710826713</v>
      </c>
      <c r="D546" s="2" t="n">
        <v>0.00385340688718798</v>
      </c>
      <c r="E546" s="2" t="n">
        <v>0.0283787564138365</v>
      </c>
    </row>
    <row r="547" customFormat="false" ht="13.8" hidden="false" customHeight="false" outlineLevel="0" collapsed="false">
      <c r="B547" s="2" t="n">
        <v>545</v>
      </c>
      <c r="C547" s="2" t="n">
        <v>0.00340705666024451</v>
      </c>
      <c r="D547" s="2" t="n">
        <v>0.00329699153291512</v>
      </c>
      <c r="E547" s="2" t="n">
        <v>0.0242809862415952</v>
      </c>
    </row>
    <row r="548" customFormat="false" ht="13.8" hidden="false" customHeight="false" outlineLevel="0" collapsed="false">
      <c r="B548" s="2" t="n">
        <v>546</v>
      </c>
      <c r="C548" s="2" t="n">
        <v>0.00310804574355872</v>
      </c>
      <c r="D548" s="2" t="n">
        <v>0.00300764017810334</v>
      </c>
      <c r="E548" s="2" t="n">
        <v>0.0221500325539587</v>
      </c>
    </row>
    <row r="549" customFormat="false" ht="13.8" hidden="false" customHeight="false" outlineLevel="0" collapsed="false">
      <c r="B549" s="2" t="n">
        <v>547</v>
      </c>
      <c r="C549" s="2" t="n">
        <v>0.00280903482687292</v>
      </c>
      <c r="D549" s="2" t="n">
        <v>0.00271828882329156</v>
      </c>
      <c r="E549" s="2" t="n">
        <v>0.0200190788663222</v>
      </c>
    </row>
    <row r="550" customFormat="false" ht="13.8" hidden="false" customHeight="false" outlineLevel="0" collapsed="false">
      <c r="B550" s="2" t="n">
        <v>548</v>
      </c>
      <c r="C550" s="2" t="n">
        <v>0.00251002391018713</v>
      </c>
      <c r="D550" s="2" t="n">
        <v>0.00242893746847978</v>
      </c>
      <c r="E550" s="2" t="n">
        <v>0.0178881251786857</v>
      </c>
    </row>
    <row r="551" customFormat="false" ht="13.8" hidden="false" customHeight="false" outlineLevel="0" collapsed="false">
      <c r="B551" s="2" t="n">
        <v>549</v>
      </c>
      <c r="C551" s="2" t="n">
        <v>0.00221101299350133</v>
      </c>
      <c r="D551" s="2" t="n">
        <v>0.002139586113668</v>
      </c>
      <c r="E551" s="2" t="n">
        <v>0.015757171491049</v>
      </c>
    </row>
    <row r="552" customFormat="false" ht="13.8" hidden="false" customHeight="false" outlineLevel="0" collapsed="false">
      <c r="B552" s="2" t="n">
        <v>550</v>
      </c>
      <c r="C552" s="2" t="n">
        <v>0.001658259745126</v>
      </c>
      <c r="D552" s="2" t="n">
        <v>0.001604689585251</v>
      </c>
      <c r="E552" s="2" t="n">
        <v>0.0118178786182869</v>
      </c>
    </row>
    <row r="553" customFormat="false" ht="13.8" hidden="false" customHeight="false" outlineLevel="0" collapsed="false">
      <c r="B553" s="2" t="n">
        <v>551</v>
      </c>
      <c r="C553" s="2" t="n">
        <v>0.00110550649675067</v>
      </c>
      <c r="D553" s="2" t="n">
        <v>0.001069793056834</v>
      </c>
      <c r="E553" s="2" t="n">
        <v>0.0078785857455246</v>
      </c>
    </row>
    <row r="554" customFormat="false" ht="13.8" hidden="false" customHeight="false" outlineLevel="0" collapsed="false">
      <c r="B554" s="2" t="n">
        <v>552</v>
      </c>
      <c r="C554" s="2" t="n">
        <v>0.000552753248375334</v>
      </c>
      <c r="D554" s="2" t="n">
        <v>0.000534896528416999</v>
      </c>
      <c r="E554" s="2" t="n">
        <v>0.0039392928727623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0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0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0</v>
      </c>
      <c r="D560" s="2" t="n">
        <v>0</v>
      </c>
      <c r="E560" s="2" t="n">
        <v>0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0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0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0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0</v>
      </c>
      <c r="D569" s="2" t="n">
        <v>0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0</v>
      </c>
      <c r="D570" s="2" t="n">
        <v>0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0</v>
      </c>
    </row>
    <row r="573" customFormat="false" ht="13.8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0</v>
      </c>
      <c r="D574" s="2" t="n">
        <v>0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0</v>
      </c>
    </row>
    <row r="576" customFormat="false" ht="13.8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0</v>
      </c>
    </row>
    <row r="577" customFormat="false" ht="13.8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0</v>
      </c>
    </row>
    <row r="580" customFormat="false" ht="13.8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0.000927211806721554</v>
      </c>
      <c r="D600" s="2" t="n">
        <v>0.000897258185239722</v>
      </c>
      <c r="E600" s="2" t="n">
        <v>0.00660793739791665</v>
      </c>
    </row>
    <row r="601" customFormat="false" ht="13.8" hidden="false" customHeight="false" outlineLevel="0" collapsed="false">
      <c r="B601" s="2" t="n">
        <v>599</v>
      </c>
      <c r="C601" s="2" t="n">
        <v>0.00185442361344311</v>
      </c>
      <c r="D601" s="2" t="n">
        <v>0.00179451637047944</v>
      </c>
      <c r="E601" s="2" t="n">
        <v>0.0132158747958333</v>
      </c>
    </row>
    <row r="602" customFormat="false" ht="13.8" hidden="false" customHeight="false" outlineLevel="0" collapsed="false">
      <c r="B602" s="2" t="n">
        <v>600</v>
      </c>
      <c r="C602" s="2" t="n">
        <v>0.00278163542016466</v>
      </c>
      <c r="D602" s="2" t="n">
        <v>0.00269177455571917</v>
      </c>
      <c r="E602" s="2" t="n">
        <v>0.0198238121937499</v>
      </c>
    </row>
    <row r="603" customFormat="false" ht="13.8" hidden="false" customHeight="false" outlineLevel="0" collapsed="false">
      <c r="B603" s="2" t="n">
        <v>601</v>
      </c>
      <c r="C603" s="2" t="n">
        <v>0.00370884722688622</v>
      </c>
      <c r="D603" s="2" t="n">
        <v>0.00358903274095889</v>
      </c>
      <c r="E603" s="2" t="n">
        <v>0.0264317495916666</v>
      </c>
    </row>
    <row r="604" customFormat="false" ht="13.8" hidden="false" customHeight="false" outlineLevel="0" collapsed="false">
      <c r="B604" s="2" t="n">
        <v>602</v>
      </c>
      <c r="C604" s="2" t="n">
        <v>0.00832465452510093</v>
      </c>
      <c r="D604" s="2" t="n">
        <v>0.00805572616503877</v>
      </c>
      <c r="E604" s="2" t="n">
        <v>0.0506760454748991</v>
      </c>
    </row>
    <row r="605" customFormat="false" ht="13.8" hidden="false" customHeight="false" outlineLevel="0" collapsed="false">
      <c r="B605" s="2" t="n">
        <v>603</v>
      </c>
      <c r="C605" s="2" t="n">
        <v>0.0129404618233156</v>
      </c>
      <c r="D605" s="2" t="n">
        <v>0.0125224195891187</v>
      </c>
      <c r="E605" s="2" t="n">
        <v>0.0823437381766844</v>
      </c>
    </row>
    <row r="606" customFormat="false" ht="13.8" hidden="false" customHeight="false" outlineLevel="0" collapsed="false">
      <c r="B606" s="2" t="n">
        <v>604</v>
      </c>
      <c r="C606" s="2" t="n">
        <v>0.0175562691215303</v>
      </c>
      <c r="D606" s="2" t="n">
        <v>0.0169891130131985</v>
      </c>
      <c r="E606" s="2" t="n">
        <v>0.0519780975451363</v>
      </c>
    </row>
    <row r="607" customFormat="false" ht="13.8" hidden="false" customHeight="false" outlineLevel="0" collapsed="false">
      <c r="B607" s="2" t="n">
        <v>605</v>
      </c>
      <c r="C607" s="2" t="n">
        <v>0.0221720764197451</v>
      </c>
      <c r="D607" s="2" t="n">
        <v>0.0214558064372784</v>
      </c>
      <c r="E607" s="2" t="n">
        <v>0.0521298902469216</v>
      </c>
    </row>
    <row r="608" customFormat="false" ht="13.8" hidden="false" customHeight="false" outlineLevel="0" collapsed="false">
      <c r="B608" s="2" t="n">
        <v>606</v>
      </c>
      <c r="C608" s="2" t="n">
        <v>0.0300746212443984</v>
      </c>
      <c r="D608" s="2" t="n">
        <v>0.0291030591758033</v>
      </c>
      <c r="E608" s="2" t="n">
        <v>0.0710111120889349</v>
      </c>
    </row>
    <row r="609" customFormat="false" ht="13.8" hidden="false" customHeight="false" outlineLevel="0" collapsed="false">
      <c r="B609" s="2" t="n">
        <v>607</v>
      </c>
      <c r="C609" s="2" t="n">
        <v>0.0379771660690518</v>
      </c>
      <c r="D609" s="2" t="n">
        <v>0.0367503119143283</v>
      </c>
      <c r="E609" s="2" t="n">
        <v>0.0177753339309482</v>
      </c>
    </row>
    <row r="610" customFormat="false" ht="13.8" hidden="false" customHeight="false" outlineLevel="0" collapsed="false">
      <c r="B610" s="2" t="n">
        <v>608</v>
      </c>
      <c r="C610" s="2" t="n">
        <v>0.0458797108937052</v>
      </c>
      <c r="D610" s="2" t="n">
        <v>0.0443975646528532</v>
      </c>
      <c r="E610" s="2" t="n">
        <v>0.0563728391062948</v>
      </c>
    </row>
    <row r="611" customFormat="false" ht="13.8" hidden="false" customHeight="false" outlineLevel="0" collapsed="false">
      <c r="B611" s="2" t="n">
        <v>609</v>
      </c>
      <c r="C611" s="2" t="n">
        <v>0.05300155</v>
      </c>
      <c r="D611" s="2" t="n">
        <v>0.0520448173913781</v>
      </c>
      <c r="E611" s="2" t="n">
        <v>0.00205065</v>
      </c>
    </row>
    <row r="612" customFormat="false" ht="13.8" hidden="false" customHeight="false" outlineLevel="0" collapsed="false">
      <c r="B612" s="2" t="n">
        <v>610</v>
      </c>
      <c r="C612" s="2" t="n">
        <v>0.0604335609700014</v>
      </c>
      <c r="D612" s="2" t="n">
        <v>0.0584812519107637</v>
      </c>
      <c r="E612" s="2" t="n">
        <v>0.0824521223633319</v>
      </c>
    </row>
    <row r="613" customFormat="false" ht="13.8" hidden="false" customHeight="false" outlineLevel="0" collapsed="false">
      <c r="B613" s="2" t="n">
        <v>611</v>
      </c>
      <c r="C613" s="2" t="n">
        <v>0.0528183333333333</v>
      </c>
      <c r="D613" s="2" t="n">
        <v>0.0649176864301493</v>
      </c>
      <c r="E613" s="2" t="n">
        <v>0.0285839666666667</v>
      </c>
    </row>
    <row r="614" customFormat="false" ht="13.8" hidden="false" customHeight="false" outlineLevel="0" collapsed="false">
      <c r="B614" s="2" t="n">
        <v>612</v>
      </c>
      <c r="C614" s="2" t="n">
        <v>0.0432519666666667</v>
      </c>
      <c r="D614" s="2" t="n">
        <v>0.0713541209495349</v>
      </c>
      <c r="E614" s="2" t="n">
        <v>0.0640007</v>
      </c>
    </row>
    <row r="615" customFormat="false" ht="13.8" hidden="false" customHeight="false" outlineLevel="0" collapsed="false">
      <c r="B615" s="2" t="n">
        <v>613</v>
      </c>
      <c r="C615" s="2" t="n">
        <v>0.04356825</v>
      </c>
      <c r="D615" s="2" t="n">
        <v>0.0777905554689204</v>
      </c>
      <c r="E615" s="2" t="n">
        <v>0.00458431666666667</v>
      </c>
    </row>
    <row r="616" customFormat="false" ht="13.8" hidden="false" customHeight="false" outlineLevel="0" collapsed="false">
      <c r="B616" s="2" t="n">
        <v>614</v>
      </c>
      <c r="C616" s="2" t="n">
        <v>0.0854114954738127</v>
      </c>
      <c r="D616" s="2" t="n">
        <v>0.0826522730533543</v>
      </c>
      <c r="E616" s="2" t="n">
        <v>0.145724087859521</v>
      </c>
    </row>
    <row r="617" customFormat="false" ht="13.8" hidden="false" customHeight="false" outlineLevel="0" collapsed="false">
      <c r="B617" s="2" t="n">
        <v>615</v>
      </c>
      <c r="C617" s="2" t="n">
        <v>0.0565015666666667</v>
      </c>
      <c r="D617" s="2" t="n">
        <v>0.0875139906377881</v>
      </c>
      <c r="E617" s="2" t="n">
        <v>0.08925025</v>
      </c>
    </row>
    <row r="618" customFormat="false" ht="13.8" hidden="false" customHeight="false" outlineLevel="0" collapsed="false">
      <c r="B618" s="2" t="n">
        <v>616</v>
      </c>
      <c r="C618" s="2" t="n">
        <v>0.095459532971578</v>
      </c>
      <c r="D618" s="2" t="n">
        <v>0.0923757082222219</v>
      </c>
      <c r="E618" s="2" t="n">
        <v>0.138108867028422</v>
      </c>
    </row>
    <row r="619" customFormat="false" ht="13.8" hidden="false" customHeight="false" outlineLevel="0" collapsed="false">
      <c r="B619" s="2" t="n">
        <v>617</v>
      </c>
      <c r="C619" s="2" t="n">
        <v>0.05173465</v>
      </c>
      <c r="D619" s="2" t="n">
        <v>0.0972374258066557</v>
      </c>
      <c r="E619" s="2" t="n">
        <v>0.0891338666666667</v>
      </c>
    </row>
    <row r="620" customFormat="false" ht="13.8" hidden="false" customHeight="false" outlineLevel="0" collapsed="false">
      <c r="B620" s="2" t="n">
        <v>618</v>
      </c>
      <c r="C620" s="2" t="n">
        <v>0.0871350666666667</v>
      </c>
      <c r="D620" s="2" t="n">
        <v>0.100114800235382</v>
      </c>
      <c r="E620" s="2" t="n">
        <v>0.0808343666666667</v>
      </c>
    </row>
    <row r="621" customFormat="false" ht="13.8" hidden="false" customHeight="false" outlineLevel="0" collapsed="false">
      <c r="B621" s="2" t="n">
        <v>619</v>
      </c>
      <c r="C621" s="2" t="n">
        <v>0.04800175</v>
      </c>
      <c r="D621" s="2" t="n">
        <v>0.102992174664108</v>
      </c>
      <c r="E621" s="2" t="n">
        <v>0.758494994920433</v>
      </c>
    </row>
    <row r="622" customFormat="false" ht="13.8" hidden="false" customHeight="false" outlineLevel="0" collapsed="false">
      <c r="B622" s="2" t="n">
        <v>620</v>
      </c>
      <c r="C622" s="2" t="n">
        <v>0.0833352</v>
      </c>
      <c r="D622" s="2" t="n">
        <v>0.105869549092834</v>
      </c>
      <c r="E622" s="2" t="n">
        <v>0.0484176166666667</v>
      </c>
    </row>
    <row r="623" customFormat="false" ht="13.8" hidden="false" customHeight="false" outlineLevel="0" collapsed="false">
      <c r="B623" s="2" t="n">
        <v>621</v>
      </c>
      <c r="C623" s="2" t="n">
        <v>0.0301686</v>
      </c>
      <c r="D623" s="2" t="n">
        <v>0.108746923521559</v>
      </c>
      <c r="E623" s="2" t="n">
        <v>0.032001</v>
      </c>
    </row>
    <row r="624" customFormat="false" ht="13.8" hidden="false" customHeight="false" outlineLevel="0" collapsed="false">
      <c r="B624" s="2" t="n">
        <v>622</v>
      </c>
      <c r="C624" s="2" t="n">
        <v>0.110329071864296</v>
      </c>
      <c r="D624" s="2" t="n">
        <v>0.106764885954336</v>
      </c>
      <c r="E624" s="2" t="n">
        <v>0.0580066281357045</v>
      </c>
    </row>
    <row r="625" customFormat="false" ht="13.8" hidden="false" customHeight="false" outlineLevel="0" collapsed="false">
      <c r="B625" s="2" t="n">
        <v>623</v>
      </c>
      <c r="C625" s="2" t="n">
        <v>0.0428185093442797</v>
      </c>
      <c r="D625" s="2" t="n">
        <v>0.104782848387113</v>
      </c>
      <c r="E625" s="2" t="n">
        <v>0.13110065</v>
      </c>
    </row>
    <row r="626" customFormat="false" ht="13.8" hidden="false" customHeight="false" outlineLevel="0" collapsed="false">
      <c r="B626" s="2" t="n">
        <v>624</v>
      </c>
      <c r="C626" s="2" t="n">
        <v>0.106232662014985</v>
      </c>
      <c r="D626" s="2" t="n">
        <v>0.102800810819889</v>
      </c>
      <c r="E626" s="2" t="n">
        <v>0.757085678935782</v>
      </c>
    </row>
    <row r="627" customFormat="false" ht="13.8" hidden="false" customHeight="false" outlineLevel="0" collapsed="false">
      <c r="B627" s="2" t="n">
        <v>625</v>
      </c>
      <c r="C627" s="2" t="n">
        <v>0.10418445709033</v>
      </c>
      <c r="D627" s="2" t="n">
        <v>0.100818773252666</v>
      </c>
      <c r="E627" s="2" t="n">
        <v>0.13050075</v>
      </c>
    </row>
    <row r="628" customFormat="false" ht="13.8" hidden="false" customHeight="false" outlineLevel="0" collapsed="false">
      <c r="B628" s="2" t="n">
        <v>626</v>
      </c>
      <c r="C628" s="2" t="n">
        <v>0.0926036411883055</v>
      </c>
      <c r="D628" s="2" t="n">
        <v>0.0896120761587341</v>
      </c>
      <c r="E628" s="2" t="n">
        <v>0.0712990588116945</v>
      </c>
    </row>
    <row r="629" customFormat="false" ht="13.8" hidden="false" customHeight="false" outlineLevel="0" collapsed="false">
      <c r="B629" s="2" t="n">
        <v>627</v>
      </c>
      <c r="C629" s="2" t="n">
        <v>0.0810228252862809</v>
      </c>
      <c r="D629" s="2" t="n">
        <v>0.0784053790648021</v>
      </c>
      <c r="E629" s="2" t="n">
        <v>0.104202746475745</v>
      </c>
    </row>
    <row r="630" customFormat="false" ht="13.8" hidden="false" customHeight="false" outlineLevel="0" collapsed="false">
      <c r="B630" s="2" t="n">
        <v>628</v>
      </c>
      <c r="C630" s="2" t="n">
        <v>0.0694420093842563</v>
      </c>
      <c r="D630" s="2" t="n">
        <v>0.0671986819708701</v>
      </c>
      <c r="E630" s="2" t="n">
        <v>0.494890646851423</v>
      </c>
    </row>
    <row r="631" customFormat="false" ht="13.8" hidden="false" customHeight="false" outlineLevel="0" collapsed="false">
      <c r="B631" s="2" t="n">
        <v>629</v>
      </c>
      <c r="C631" s="2" t="n">
        <v>0.0578611934822317</v>
      </c>
      <c r="D631" s="2" t="n">
        <v>0.055991984876938</v>
      </c>
      <c r="E631" s="2" t="n">
        <v>0.41235793324421</v>
      </c>
    </row>
    <row r="632" customFormat="false" ht="13.8" hidden="false" customHeight="false" outlineLevel="0" collapsed="false">
      <c r="B632" s="2" t="n">
        <v>630</v>
      </c>
      <c r="C632" s="2" t="n">
        <v>0.0565547580029538</v>
      </c>
      <c r="D632" s="2" t="n">
        <v>0.0547277538579065</v>
      </c>
      <c r="E632" s="2" t="n">
        <v>0.403047391899822</v>
      </c>
    </row>
    <row r="633" customFormat="false" ht="13.8" hidden="false" customHeight="false" outlineLevel="0" collapsed="false">
      <c r="B633" s="2" t="n">
        <v>631</v>
      </c>
      <c r="C633" s="2" t="n">
        <v>0.0552483225236759</v>
      </c>
      <c r="D633" s="2" t="n">
        <v>0.0534635228388749</v>
      </c>
      <c r="E633" s="2" t="n">
        <v>0.393736850555434</v>
      </c>
    </row>
    <row r="634" customFormat="false" ht="13.8" hidden="false" customHeight="false" outlineLevel="0" collapsed="false">
      <c r="B634" s="2" t="n">
        <v>632</v>
      </c>
      <c r="C634" s="2" t="n">
        <v>0.053941887044398</v>
      </c>
      <c r="D634" s="2" t="n">
        <v>0.0521992918198434</v>
      </c>
      <c r="E634" s="2" t="n">
        <v>0.384426309211046</v>
      </c>
    </row>
    <row r="635" customFormat="false" ht="13.8" hidden="false" customHeight="false" outlineLevel="0" collapsed="false">
      <c r="B635" s="2" t="n">
        <v>633</v>
      </c>
      <c r="C635" s="2" t="n">
        <v>0.0526354515651201</v>
      </c>
      <c r="D635" s="2" t="n">
        <v>0.0509350608008118</v>
      </c>
      <c r="E635" s="2" t="n">
        <v>0.375115767866658</v>
      </c>
    </row>
    <row r="636" customFormat="false" ht="13.8" hidden="false" customHeight="false" outlineLevel="0" collapsed="false">
      <c r="B636" s="2" t="n">
        <v>634</v>
      </c>
      <c r="C636" s="2" t="n">
        <v>0.0485493661299318</v>
      </c>
      <c r="D636" s="2" t="n">
        <v>0.0469809765497982</v>
      </c>
      <c r="E636" s="2" t="n">
        <v>0.345995564087403</v>
      </c>
    </row>
    <row r="637" customFormat="false" ht="13.8" hidden="false" customHeight="false" outlineLevel="0" collapsed="false">
      <c r="B637" s="2" t="n">
        <v>635</v>
      </c>
      <c r="C637" s="2" t="n">
        <v>0.0444632806947434</v>
      </c>
      <c r="D637" s="2" t="n">
        <v>0.0430268922987846</v>
      </c>
      <c r="E637" s="2" t="n">
        <v>0.316875360308147</v>
      </c>
    </row>
    <row r="638" customFormat="false" ht="13.8" hidden="false" customHeight="false" outlineLevel="0" collapsed="false">
      <c r="B638" s="2" t="n">
        <v>636</v>
      </c>
      <c r="C638" s="2" t="n">
        <v>0.0403771952595551</v>
      </c>
      <c r="D638" s="2" t="n">
        <v>0.039072808047771</v>
      </c>
      <c r="E638" s="2" t="n">
        <v>0.287755156528891</v>
      </c>
    </row>
    <row r="639" customFormat="false" ht="13.8" hidden="false" customHeight="false" outlineLevel="0" collapsed="false">
      <c r="B639" s="2" t="n">
        <v>637</v>
      </c>
      <c r="C639" s="2" t="n">
        <v>0.0362911098243667</v>
      </c>
      <c r="D639" s="2" t="n">
        <v>0.0351187237967575</v>
      </c>
      <c r="E639" s="2" t="n">
        <v>0.258634952749635</v>
      </c>
    </row>
    <row r="640" customFormat="false" ht="13.8" hidden="false" customHeight="false" outlineLevel="0" collapsed="false">
      <c r="B640" s="2" t="n">
        <v>638</v>
      </c>
      <c r="C640" s="2" t="n">
        <v>0.028641910238552</v>
      </c>
      <c r="D640" s="2" t="n">
        <v>0.0277166319670903</v>
      </c>
      <c r="E640" s="2" t="n">
        <v>0.204121591680655</v>
      </c>
    </row>
    <row r="641" customFormat="false" ht="13.8" hidden="false" customHeight="false" outlineLevel="0" collapsed="false">
      <c r="B641" s="2" t="n">
        <v>639</v>
      </c>
      <c r="C641" s="2" t="n">
        <v>0.0209927106527373</v>
      </c>
      <c r="D641" s="2" t="n">
        <v>0.0203145401374232</v>
      </c>
      <c r="E641" s="2" t="n">
        <v>0.149608230611675</v>
      </c>
    </row>
    <row r="642" customFormat="false" ht="13.8" hidden="false" customHeight="false" outlineLevel="0" collapsed="false">
      <c r="B642" s="2" t="n">
        <v>640</v>
      </c>
      <c r="C642" s="2" t="n">
        <v>0.0133435110669226</v>
      </c>
      <c r="D642" s="2" t="n">
        <v>0.012912448307756</v>
      </c>
      <c r="E642" s="2" t="n">
        <v>0.0950948695426951</v>
      </c>
    </row>
    <row r="643" customFormat="false" ht="13.8" hidden="false" customHeight="false" outlineLevel="0" collapsed="false">
      <c r="B643" s="2" t="n">
        <v>641</v>
      </c>
      <c r="C643" s="2" t="n">
        <v>0.00569431148110796</v>
      </c>
      <c r="D643" s="2" t="n">
        <v>0.00551035647808891</v>
      </c>
      <c r="E643" s="2" t="n">
        <v>0.0405815084737151</v>
      </c>
    </row>
    <row r="644" customFormat="false" ht="13.8" hidden="false" customHeight="false" outlineLevel="0" collapsed="false">
      <c r="B644" s="2" t="n">
        <v>642</v>
      </c>
      <c r="C644" s="2" t="n">
        <v>0.00517411984650186</v>
      </c>
      <c r="D644" s="2" t="n">
        <v>0.00500696965896085</v>
      </c>
      <c r="E644" s="2" t="n">
        <v>0.0368742716466184</v>
      </c>
    </row>
    <row r="645" customFormat="false" ht="13.8" hidden="false" customHeight="false" outlineLevel="0" collapsed="false">
      <c r="B645" s="2" t="n">
        <v>643</v>
      </c>
      <c r="C645" s="2" t="n">
        <v>0.00465392821189577</v>
      </c>
      <c r="D645" s="2" t="n">
        <v>0.00450358283983278</v>
      </c>
      <c r="E645" s="2" t="n">
        <v>0.0331670348195217</v>
      </c>
    </row>
    <row r="646" customFormat="false" ht="13.8" hidden="false" customHeight="false" outlineLevel="0" collapsed="false">
      <c r="B646" s="2" t="n">
        <v>644</v>
      </c>
      <c r="C646" s="2" t="n">
        <v>0.00413373657728967</v>
      </c>
      <c r="D646" s="2" t="n">
        <v>0.00400019602070471</v>
      </c>
      <c r="E646" s="2" t="n">
        <v>0.029459797992425</v>
      </c>
    </row>
    <row r="647" customFormat="false" ht="13.8" hidden="false" customHeight="false" outlineLevel="0" collapsed="false">
      <c r="B647" s="2" t="n">
        <v>645</v>
      </c>
      <c r="C647" s="2" t="n">
        <v>0.00361354494268357</v>
      </c>
      <c r="D647" s="2" t="n">
        <v>0.00349680920157665</v>
      </c>
      <c r="E647" s="2" t="n">
        <v>0.0257525611653283</v>
      </c>
    </row>
    <row r="648" customFormat="false" ht="13.8" hidden="false" customHeight="false" outlineLevel="0" collapsed="false">
      <c r="B648" s="2" t="n">
        <v>646</v>
      </c>
      <c r="C648" s="2" t="n">
        <v>0.00271015870701268</v>
      </c>
      <c r="D648" s="2" t="n">
        <v>0.00262260690118248</v>
      </c>
      <c r="E648" s="2" t="n">
        <v>0.0193144208739962</v>
      </c>
    </row>
    <row r="649" customFormat="false" ht="13.8" hidden="false" customHeight="false" outlineLevel="0" collapsed="false">
      <c r="B649" s="2" t="n">
        <v>647</v>
      </c>
      <c r="C649" s="2" t="n">
        <v>0.00180677247134179</v>
      </c>
      <c r="D649" s="2" t="n">
        <v>0.00174840460078832</v>
      </c>
      <c r="E649" s="2" t="n">
        <v>0.0128762805826641</v>
      </c>
    </row>
    <row r="650" customFormat="false" ht="13.8" hidden="false" customHeight="false" outlineLevel="0" collapsed="false">
      <c r="B650" s="2" t="n">
        <v>648</v>
      </c>
      <c r="C650" s="2" t="n">
        <v>0.000903386235670894</v>
      </c>
      <c r="D650" s="2" t="n">
        <v>0.000874202300394162</v>
      </c>
      <c r="E650" s="2" t="n">
        <v>0.00643814029133207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0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</v>
      </c>
    </row>
    <row r="657" customFormat="false" ht="13.8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0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0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0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0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0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0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C2" s="2" t="n">
        <f aca="false">SUM(C3:C674)</f>
        <v>27.658321246924</v>
      </c>
      <c r="D2" s="2" t="n">
        <f aca="false">SUM(D3:D674)</f>
        <v>14.2186869912893</v>
      </c>
      <c r="E2" s="2" t="n">
        <f aca="false">SUM(E3:E674)</f>
        <v>7.55912012807169E-009</v>
      </c>
    </row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1.19209289550782E-019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0.0524394300293669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0.0542504333333333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0.03973355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0.0540334666666667</v>
      </c>
      <c r="D9" s="2" t="n">
        <v>0</v>
      </c>
      <c r="E9" s="2" t="n">
        <v>2.38418579101564E-019</v>
      </c>
    </row>
    <row r="10" customFormat="false" ht="13.8" hidden="false" customHeight="false" outlineLevel="0" collapsed="false">
      <c r="B10" s="2" t="n">
        <v>8</v>
      </c>
      <c r="C10" s="2" t="n">
        <v>0.0411168333333333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0.0552501166666667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0.0400502666666667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0.0211667833333333</v>
      </c>
      <c r="D13" s="2" t="n">
        <v>0</v>
      </c>
      <c r="E13" s="2" t="n">
        <v>2.38418579101564E-019</v>
      </c>
    </row>
    <row r="14" customFormat="false" ht="13.8" hidden="false" customHeight="false" outlineLevel="0" collapsed="false">
      <c r="B14" s="2" t="n">
        <v>12</v>
      </c>
      <c r="C14" s="2" t="n">
        <v>0.0516</v>
      </c>
      <c r="D14" s="2" t="n">
        <v>0</v>
      </c>
      <c r="E14" s="2" t="n">
        <v>2.38418579101564E-019</v>
      </c>
    </row>
    <row r="15" customFormat="false" ht="13.8" hidden="false" customHeight="false" outlineLevel="0" collapsed="false">
      <c r="B15" s="2" t="n">
        <v>13</v>
      </c>
      <c r="C15" s="2" t="n">
        <v>0.0730501166666667</v>
      </c>
      <c r="D15" s="2" t="n">
        <v>0</v>
      </c>
      <c r="E15" s="2" t="n">
        <v>9.53674316406269E-019</v>
      </c>
    </row>
    <row r="16" customFormat="false" ht="13.8" hidden="false" customHeight="false" outlineLevel="0" collapsed="false">
      <c r="B16" s="2" t="n">
        <v>14</v>
      </c>
      <c r="C16" s="2" t="n">
        <v>0.0839666833333333</v>
      </c>
      <c r="D16" s="2" t="n">
        <v>0</v>
      </c>
      <c r="E16" s="2" t="n">
        <v>1.19209289550782E-019</v>
      </c>
    </row>
    <row r="17" customFormat="false" ht="13.8" hidden="false" customHeight="false" outlineLevel="0" collapsed="false">
      <c r="B17" s="2" t="n">
        <v>15</v>
      </c>
      <c r="C17" s="2" t="n">
        <v>0.0473166833333333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0.0769001333333333</v>
      </c>
      <c r="D18" s="2" t="n">
        <v>0</v>
      </c>
      <c r="E18" s="2" t="n">
        <v>4.17232513427738E-019</v>
      </c>
    </row>
    <row r="19" customFormat="false" ht="13.8" hidden="false" customHeight="false" outlineLevel="0" collapsed="false">
      <c r="B19" s="2" t="n">
        <v>17</v>
      </c>
      <c r="C19" s="2" t="n">
        <v>0.0432002166666667</v>
      </c>
      <c r="D19" s="2" t="n">
        <v>0</v>
      </c>
      <c r="E19" s="2" t="n">
        <v>4.59654984297236E-019</v>
      </c>
    </row>
    <row r="20" customFormat="false" ht="13.8" hidden="false" customHeight="false" outlineLevel="0" collapsed="false">
      <c r="B20" s="2" t="n">
        <v>18</v>
      </c>
      <c r="C20" s="2" t="n">
        <v>0.0728669</v>
      </c>
      <c r="D20" s="2" t="n">
        <v>0</v>
      </c>
      <c r="E20" s="2" t="n">
        <v>4.7683715820313E-019</v>
      </c>
    </row>
    <row r="21" customFormat="false" ht="13.8" hidden="false" customHeight="false" outlineLevel="0" collapsed="false">
      <c r="B21" s="2" t="n">
        <v>19</v>
      </c>
      <c r="C21" s="2" t="n">
        <v>0.0409835166666667</v>
      </c>
      <c r="D21" s="2" t="n">
        <v>0.0872376307010521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0.05368365</v>
      </c>
      <c r="D22" s="2" t="n">
        <v>0.1</v>
      </c>
      <c r="E22" s="2" t="n">
        <v>2.38418579101564E-019</v>
      </c>
    </row>
    <row r="23" customFormat="false" ht="13.8" hidden="false" customHeight="false" outlineLevel="0" collapsed="false">
      <c r="B23" s="2" t="n">
        <v>21</v>
      </c>
      <c r="C23" s="2" t="n">
        <v>0.0643004333333333</v>
      </c>
      <c r="D23" s="2" t="n">
        <v>0.1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0.0702377009888196</v>
      </c>
      <c r="D24" s="2" t="n">
        <v>0</v>
      </c>
      <c r="E24" s="2" t="n">
        <v>0</v>
      </c>
    </row>
    <row r="25" customFormat="false" ht="13.8" hidden="false" customHeight="false" outlineLevel="0" collapsed="false">
      <c r="B25" s="2" t="n">
        <v>23</v>
      </c>
      <c r="C25" s="2" t="n">
        <v>0.0379755353109725</v>
      </c>
      <c r="D25" s="2" t="n">
        <v>0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0.095546536299792</v>
      </c>
      <c r="D26" s="2" t="n">
        <v>0</v>
      </c>
      <c r="E26" s="2" t="n">
        <v>0</v>
      </c>
    </row>
    <row r="27" customFormat="false" ht="13.8" hidden="false" customHeight="false" outlineLevel="0" collapsed="false">
      <c r="B27" s="2" t="n">
        <v>25</v>
      </c>
      <c r="C27" s="2" t="n">
        <v>0.0374341872886116</v>
      </c>
      <c r="D27" s="2" t="n">
        <v>0</v>
      </c>
      <c r="E27" s="2" t="n">
        <v>7.15255737304698E-019</v>
      </c>
    </row>
    <row r="28" customFormat="false" ht="13.8" hidden="false" customHeight="false" outlineLevel="0" collapsed="false">
      <c r="B28" s="2" t="n">
        <v>26</v>
      </c>
      <c r="C28" s="2" t="n">
        <v>0.100261089478646</v>
      </c>
      <c r="D28" s="2" t="n">
        <v>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0.0370880750020132</v>
      </c>
      <c r="D29" s="2" t="n">
        <v>0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0.091532043858714</v>
      </c>
      <c r="D30" s="2" t="n">
        <v>9.53674316406251E-019</v>
      </c>
      <c r="E30" s="2" t="n">
        <v>5.3644180297852E-019</v>
      </c>
    </row>
    <row r="31" customFormat="false" ht="13.8" hidden="false" customHeight="false" outlineLevel="0" collapsed="false">
      <c r="B31" s="2" t="n">
        <v>29</v>
      </c>
      <c r="C31" s="2" t="n">
        <v>0.0272421793820815</v>
      </c>
      <c r="D31" s="2" t="n">
        <v>0</v>
      </c>
      <c r="E31" s="2" t="n">
        <v>4.7683715820313E-019</v>
      </c>
    </row>
    <row r="32" customFormat="false" ht="13.8" hidden="false" customHeight="false" outlineLevel="0" collapsed="false">
      <c r="B32" s="2" t="n">
        <v>30</v>
      </c>
      <c r="C32" s="2" t="n">
        <v>0.0821183724741904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0.016360532232966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0.0453702753250749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0.00029636841718382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0.0585782762483992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0.00991043407961464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0.0351426252441634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0.0349245497420455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0.0153045348829458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0.00860125335717944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4.38830210680969E-017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0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1.1920928986097E-018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0.0111175674188415</v>
      </c>
      <c r="D62" s="2" t="n">
        <v>0</v>
      </c>
      <c r="E62" s="2" t="n">
        <v>3.33867074442218E-017</v>
      </c>
    </row>
    <row r="63" customFormat="false" ht="13.8" hidden="false" customHeight="false" outlineLevel="0" collapsed="false">
      <c r="B63" s="2" t="n">
        <v>61</v>
      </c>
      <c r="C63" s="2" t="n">
        <v>0.00781513859597798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0.0266818647412703</v>
      </c>
      <c r="D64" s="2" t="n">
        <v>0</v>
      </c>
      <c r="E64" s="2" t="n">
        <v>2.65632882572622E-016</v>
      </c>
    </row>
    <row r="65" customFormat="false" ht="13.8" hidden="false" customHeight="false" outlineLevel="0" collapsed="false">
      <c r="B65" s="2" t="n">
        <v>63</v>
      </c>
      <c r="C65" s="2" t="n">
        <v>0.0189652908865626</v>
      </c>
      <c r="D65" s="2" t="n">
        <v>0</v>
      </c>
      <c r="E65" s="2" t="n">
        <v>0</v>
      </c>
    </row>
    <row r="66" customFormat="false" ht="13.8" hidden="false" customHeight="false" outlineLevel="0" collapsed="false">
      <c r="B66" s="2" t="n">
        <v>64</v>
      </c>
      <c r="C66" s="2" t="n">
        <v>0.0369154503651883</v>
      </c>
      <c r="D66" s="2" t="n">
        <v>0</v>
      </c>
      <c r="E66" s="2" t="n">
        <v>0</v>
      </c>
    </row>
    <row r="67" customFormat="false" ht="13.8" hidden="false" customHeight="false" outlineLevel="0" collapsed="false">
      <c r="B67" s="2" t="n">
        <v>65</v>
      </c>
      <c r="C67" s="2" t="n">
        <v>0.0288656098438139</v>
      </c>
      <c r="D67" s="2" t="n">
        <v>0</v>
      </c>
      <c r="E67" s="2" t="n">
        <v>0</v>
      </c>
    </row>
    <row r="68" customFormat="false" ht="13.8" hidden="false" customHeight="false" outlineLevel="0" collapsed="false">
      <c r="B68" s="2" t="n">
        <v>66</v>
      </c>
      <c r="C68" s="2" t="n">
        <v>0.0456577477709846</v>
      </c>
      <c r="D68" s="2" t="n">
        <v>0</v>
      </c>
      <c r="E68" s="2" t="n">
        <v>0</v>
      </c>
    </row>
    <row r="69" customFormat="false" ht="13.8" hidden="false" customHeight="false" outlineLevel="0" collapsed="false">
      <c r="B69" s="2" t="n">
        <v>67</v>
      </c>
      <c r="C69" s="2" t="n">
        <v>0.0376996356981553</v>
      </c>
      <c r="D69" s="2" t="n">
        <v>0</v>
      </c>
      <c r="E69" s="2" t="n">
        <v>0</v>
      </c>
    </row>
    <row r="70" customFormat="false" ht="13.8" hidden="false" customHeight="false" outlineLevel="0" collapsed="false">
      <c r="B70" s="2" t="n">
        <v>68</v>
      </c>
      <c r="C70" s="2" t="n">
        <v>0.055741523625326</v>
      </c>
      <c r="D70" s="2" t="n">
        <v>4.76837158203126E-019</v>
      </c>
      <c r="E70" s="2" t="n">
        <v>1.43051147461E-018</v>
      </c>
    </row>
    <row r="71" customFormat="false" ht="13.8" hidden="false" customHeight="false" outlineLevel="0" collapsed="false">
      <c r="B71" s="2" t="n">
        <v>69</v>
      </c>
      <c r="C71" s="2" t="n">
        <v>0.0477834115524967</v>
      </c>
      <c r="D71" s="2" t="n">
        <v>0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0.0640877044977059</v>
      </c>
      <c r="D72" s="2" t="n">
        <v>0</v>
      </c>
      <c r="E72" s="2" t="n">
        <v>0</v>
      </c>
    </row>
    <row r="73" customFormat="false" ht="13.8" hidden="false" customHeight="false" outlineLevel="0" collapsed="false">
      <c r="B73" s="2" t="n">
        <v>71</v>
      </c>
      <c r="C73" s="2" t="n">
        <v>0.0543920807762484</v>
      </c>
      <c r="D73" s="2" t="n">
        <v>4.76837158203126E-019</v>
      </c>
      <c r="E73" s="2" t="n">
        <v>4.76837158203126E-019</v>
      </c>
    </row>
    <row r="74" customFormat="false" ht="13.8" hidden="false" customHeight="false" outlineLevel="0" collapsed="false">
      <c r="B74" s="2" t="n">
        <v>72</v>
      </c>
      <c r="C74" s="2" t="n">
        <v>0.0206100416575573</v>
      </c>
      <c r="D74" s="2" t="n">
        <v>0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2.74880655768373E-010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0.0869178166666667</v>
      </c>
      <c r="D76" s="2" t="n">
        <v>0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0.0778351833333333</v>
      </c>
      <c r="D77" s="2" t="n">
        <v>0</v>
      </c>
      <c r="E77" s="2" t="n">
        <v>9.53674316406269E-019</v>
      </c>
    </row>
    <row r="78" customFormat="false" ht="13.8" hidden="false" customHeight="false" outlineLevel="0" collapsed="false">
      <c r="B78" s="2" t="n">
        <v>76</v>
      </c>
      <c r="C78" s="2" t="n">
        <v>1.09953911610579E-009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0.1025698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0.0647030333333333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0.131503333333333</v>
      </c>
      <c r="D81" s="2" t="n">
        <v>0</v>
      </c>
      <c r="E81" s="2" t="n">
        <v>2.38418579101564E-019</v>
      </c>
    </row>
    <row r="82" customFormat="false" ht="13.8" hidden="false" customHeight="false" outlineLevel="0" collapsed="false">
      <c r="B82" s="2" t="n">
        <v>80</v>
      </c>
      <c r="C82" s="2" t="n">
        <v>0.05082115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0.107037566666667</v>
      </c>
      <c r="D83" s="2" t="n">
        <v>0</v>
      </c>
      <c r="E83" s="2" t="n">
        <v>2.38418579101564E-019</v>
      </c>
    </row>
    <row r="84" customFormat="false" ht="13.8" hidden="false" customHeight="false" outlineLevel="0" collapsed="false">
      <c r="B84" s="2" t="n">
        <v>82</v>
      </c>
      <c r="C84" s="2" t="n">
        <v>0.0637206833333333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0.0995536166666667</v>
      </c>
      <c r="D85" s="2" t="n">
        <v>0</v>
      </c>
      <c r="E85" s="2" t="n">
        <v>1.19209289550784E-018</v>
      </c>
    </row>
    <row r="86" customFormat="false" ht="13.8" hidden="false" customHeight="false" outlineLevel="0" collapsed="false">
      <c r="B86" s="2" t="n">
        <v>84</v>
      </c>
      <c r="C86" s="2" t="n">
        <v>0.105836916666667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0.0902207333333333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0.0780373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0.0721701333333333</v>
      </c>
      <c r="D89" s="2" t="n">
        <v>0</v>
      </c>
      <c r="E89" s="2" t="n">
        <v>2.38418579101564E-019</v>
      </c>
    </row>
    <row r="90" customFormat="false" ht="13.8" hidden="false" customHeight="false" outlineLevel="0" collapsed="false">
      <c r="B90" s="2" t="n">
        <v>88</v>
      </c>
      <c r="C90" s="2" t="n">
        <v>0.0946864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0.07901985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0.0420206166666667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0.0380035833333333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0.09916985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0.0538019666666667</v>
      </c>
      <c r="D95" s="2" t="n">
        <v>0</v>
      </c>
      <c r="E95" s="2" t="n">
        <v>1.49011611938477E-019</v>
      </c>
    </row>
    <row r="96" customFormat="false" ht="13.8" hidden="false" customHeight="false" outlineLevel="0" collapsed="false">
      <c r="B96" s="2" t="n">
        <v>94</v>
      </c>
      <c r="C96" s="2" t="n">
        <v>0.1106852</v>
      </c>
      <c r="D96" s="2" t="n">
        <v>0</v>
      </c>
      <c r="E96" s="2" t="n">
        <v>4.7683715820313E-019</v>
      </c>
    </row>
    <row r="97" customFormat="false" ht="13.8" hidden="false" customHeight="false" outlineLevel="0" collapsed="false">
      <c r="B97" s="2" t="n">
        <v>95</v>
      </c>
      <c r="C97" s="2" t="n">
        <v>0.0400524333333333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0.0354193333333333</v>
      </c>
      <c r="D98" s="2" t="n">
        <v>0</v>
      </c>
      <c r="E98" s="2" t="n">
        <v>9.68575477600101E-020</v>
      </c>
    </row>
    <row r="99" customFormat="false" ht="13.8" hidden="false" customHeight="false" outlineLevel="0" collapsed="false">
      <c r="B99" s="2" t="n">
        <v>97</v>
      </c>
      <c r="C99" s="2" t="n">
        <v>0.0310197333333333</v>
      </c>
      <c r="D99" s="2" t="n">
        <v>0</v>
      </c>
      <c r="E99" s="2" t="n">
        <v>2.38418579101564E-019</v>
      </c>
    </row>
    <row r="100" customFormat="false" ht="13.8" hidden="false" customHeight="false" outlineLevel="0" collapsed="false">
      <c r="B100" s="2" t="n">
        <v>98</v>
      </c>
      <c r="C100" s="2" t="n">
        <v>0.110585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0.0397513666666667</v>
      </c>
      <c r="D101" s="2" t="n">
        <v>0.0610245368519862</v>
      </c>
      <c r="E101" s="2" t="n">
        <v>1.19209289550782E-019</v>
      </c>
    </row>
    <row r="102" customFormat="false" ht="13.8" hidden="false" customHeight="false" outlineLevel="0" collapsed="false">
      <c r="B102" s="2" t="n">
        <v>100</v>
      </c>
      <c r="C102" s="2" t="n">
        <v>0.04161785</v>
      </c>
      <c r="D102" s="2" t="n">
        <v>0.1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0.0529834833333333</v>
      </c>
      <c r="D103" s="2" t="n">
        <v>0.1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0.0176836333333333</v>
      </c>
      <c r="D104" s="2" t="n">
        <v>0.1</v>
      </c>
      <c r="E104" s="2" t="n">
        <v>2.38418579101564E-019</v>
      </c>
    </row>
    <row r="105" customFormat="false" ht="13.8" hidden="false" customHeight="false" outlineLevel="0" collapsed="false">
      <c r="B105" s="2" t="n">
        <v>103</v>
      </c>
      <c r="C105" s="2" t="n">
        <v>0.0771334</v>
      </c>
      <c r="D105" s="2" t="n">
        <v>0.1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0.0120501833333333</v>
      </c>
      <c r="D106" s="2" t="n">
        <v>0.1</v>
      </c>
      <c r="E106" s="2" t="n">
        <v>2.38418579101564E-019</v>
      </c>
    </row>
    <row r="107" customFormat="false" ht="13.8" hidden="false" customHeight="false" outlineLevel="0" collapsed="false">
      <c r="B107" s="2" t="n">
        <v>105</v>
      </c>
      <c r="C107" s="2" t="n">
        <v>0.0497504</v>
      </c>
      <c r="D107" s="2" t="n">
        <v>0.1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0.0139166833333333</v>
      </c>
      <c r="D108" s="2" t="n">
        <v>0.1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0.0745501333333333</v>
      </c>
      <c r="D109" s="2" t="n">
        <v>0.1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0.0161669666666667</v>
      </c>
      <c r="D110" s="2" t="n">
        <v>0.1</v>
      </c>
      <c r="E110" s="2" t="n">
        <v>2.38418579101564E-019</v>
      </c>
    </row>
    <row r="111" customFormat="false" ht="13.8" hidden="false" customHeight="false" outlineLevel="0" collapsed="false">
      <c r="B111" s="2" t="n">
        <v>109</v>
      </c>
      <c r="C111" s="2" t="n">
        <v>0.06400025</v>
      </c>
      <c r="D111" s="2" t="n">
        <v>0.1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0.0313835666666667</v>
      </c>
      <c r="D112" s="2" t="n">
        <v>0.1</v>
      </c>
      <c r="E112" s="2" t="n">
        <v>2.38418579101564E-019</v>
      </c>
    </row>
    <row r="113" customFormat="false" ht="13.8" hidden="false" customHeight="false" outlineLevel="0" collapsed="false">
      <c r="B113" s="2" t="n">
        <v>111</v>
      </c>
      <c r="C113" s="2" t="n">
        <v>0.0448835166666667</v>
      </c>
      <c r="D113" s="2" t="n">
        <v>0.1</v>
      </c>
      <c r="E113" s="2" t="n">
        <v>1.66893005371094E-018</v>
      </c>
    </row>
    <row r="114" customFormat="false" ht="13.8" hidden="false" customHeight="false" outlineLevel="0" collapsed="false">
      <c r="B114" s="2" t="n">
        <v>112</v>
      </c>
      <c r="C114" s="2" t="n">
        <v>0.0407335833333333</v>
      </c>
      <c r="D114" s="2" t="n">
        <v>0.1</v>
      </c>
      <c r="E114" s="2" t="n">
        <v>2.38418579101564E-019</v>
      </c>
    </row>
    <row r="115" customFormat="false" ht="13.8" hidden="false" customHeight="false" outlineLevel="0" collapsed="false">
      <c r="B115" s="2" t="n">
        <v>113</v>
      </c>
      <c r="C115" s="2" t="n">
        <v>0.039</v>
      </c>
      <c r="D115" s="2" t="n">
        <v>0.1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0.03805015</v>
      </c>
      <c r="D116" s="2" t="n">
        <v>0.1</v>
      </c>
      <c r="E116" s="2" t="n">
        <v>2.38418579101564E-019</v>
      </c>
    </row>
    <row r="117" customFormat="false" ht="13.8" hidden="false" customHeight="false" outlineLevel="0" collapsed="false">
      <c r="B117" s="2" t="n">
        <v>115</v>
      </c>
      <c r="C117" s="2" t="n">
        <v>0.0548334166666667</v>
      </c>
      <c r="D117" s="2" t="n">
        <v>0.1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0.02241675</v>
      </c>
      <c r="D118" s="2" t="n">
        <v>0.1</v>
      </c>
      <c r="E118" s="2" t="n">
        <v>3.57627868652347E-019</v>
      </c>
    </row>
    <row r="119" customFormat="false" ht="13.8" hidden="false" customHeight="false" outlineLevel="0" collapsed="false">
      <c r="B119" s="2" t="n">
        <v>117</v>
      </c>
      <c r="C119" s="2" t="n">
        <v>0.0554500166666667</v>
      </c>
      <c r="D119" s="2" t="n">
        <v>0.1</v>
      </c>
      <c r="E119" s="2" t="n">
        <v>2.38418579101564E-019</v>
      </c>
    </row>
    <row r="120" customFormat="false" ht="13.8" hidden="false" customHeight="false" outlineLevel="0" collapsed="false">
      <c r="B120" s="2" t="n">
        <v>118</v>
      </c>
      <c r="C120" s="2" t="n">
        <v>0.0201126510825955</v>
      </c>
      <c r="D120" s="2" t="n">
        <v>0.0988829423792326</v>
      </c>
      <c r="E120" s="2" t="n">
        <v>0</v>
      </c>
    </row>
    <row r="121" customFormat="false" ht="13.8" hidden="false" customHeight="false" outlineLevel="0" collapsed="false">
      <c r="B121" s="2" t="n">
        <v>119</v>
      </c>
      <c r="C121" s="2" t="n">
        <v>0.027974802165191</v>
      </c>
      <c r="D121" s="2" t="n">
        <v>0.0977658847584652</v>
      </c>
      <c r="E121" s="2" t="n">
        <v>2.38418579101564E-019</v>
      </c>
    </row>
    <row r="122" customFormat="false" ht="13.8" hidden="false" customHeight="false" outlineLevel="0" collapsed="false">
      <c r="B122" s="2" t="n">
        <v>120</v>
      </c>
      <c r="C122" s="2" t="n">
        <v>0.0681705032477864</v>
      </c>
      <c r="D122" s="2" t="n">
        <v>0.0966488271376978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0.00538260433038191</v>
      </c>
      <c r="D123" s="2" t="n">
        <v>0.0221984361835971</v>
      </c>
      <c r="E123" s="2" t="n">
        <v>1.63912773134312E-019</v>
      </c>
    </row>
    <row r="124" customFormat="false" ht="13.8" hidden="false" customHeight="false" outlineLevel="0" collapsed="false">
      <c r="B124" s="2" t="n">
        <v>122</v>
      </c>
      <c r="C124" s="2" t="n">
        <v>0.0852164590118095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0.062034001707998</v>
      </c>
      <c r="D126" s="2" t="n">
        <v>4.76837158203126E-019</v>
      </c>
      <c r="E126" s="2" t="n">
        <v>4.76837158203126E-019</v>
      </c>
    </row>
    <row r="127" customFormat="false" ht="13.8" hidden="false" customHeight="false" outlineLevel="0" collapsed="false">
      <c r="B127" s="2" t="n">
        <v>125</v>
      </c>
      <c r="C127" s="2" t="n">
        <v>0.00250100638942557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0.0543125706124221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0.00208661572508197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0.0178314632814119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0.0177028035088908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0.00499104773249635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8.24632346398605E-010</v>
      </c>
      <c r="D138" s="2" t="n">
        <v>8.24632346398605E-010</v>
      </c>
      <c r="E138" s="2" t="n">
        <v>8.24632346398605E-010</v>
      </c>
    </row>
    <row r="139" customFormat="false" ht="13.8" hidden="false" customHeight="false" outlineLevel="0" collapsed="false">
      <c r="B139" s="2" t="n">
        <v>137</v>
      </c>
      <c r="C139" s="2" t="n">
        <v>1.37438953467889E-010</v>
      </c>
      <c r="D139" s="2" t="n">
        <v>1.37438953467889E-010</v>
      </c>
      <c r="E139" s="2" t="n">
        <v>1.37438953467889E-010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</v>
      </c>
      <c r="D151" s="2" t="n">
        <v>7.55959600706928E-009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0</v>
      </c>
      <c r="D152" s="2" t="n">
        <v>7.55967160378922E-009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0</v>
      </c>
      <c r="D153" s="2" t="n">
        <v>7.55974720125422E-009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0.00384803888624412</v>
      </c>
      <c r="D154" s="2" t="n">
        <v>0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9.53674317398843E-019</v>
      </c>
      <c r="D155" s="2" t="n">
        <v>7.55989839846595E-009</v>
      </c>
      <c r="E155" s="2" t="n">
        <v>4.62687702304702E-017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7.55997399818102E-009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7.56004959866909E-009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7.56012519993575E-009</v>
      </c>
      <c r="E158" s="2" t="n">
        <v>3.42263523481656E-016</v>
      </c>
    </row>
    <row r="159" customFormat="false" ht="13.8" hidden="false" customHeight="false" outlineLevel="0" collapsed="false">
      <c r="B159" s="2" t="n">
        <v>157</v>
      </c>
      <c r="C159" s="2" t="n">
        <v>0.00735968566261155</v>
      </c>
      <c r="D159" s="2" t="n">
        <v>4.76837158255363E-019</v>
      </c>
      <c r="E159" s="2" t="n">
        <v>0</v>
      </c>
    </row>
    <row r="160" customFormat="false" ht="13.8" hidden="false" customHeight="false" outlineLevel="0" collapsed="false">
      <c r="B160" s="2" t="n">
        <v>158</v>
      </c>
      <c r="C160" s="2" t="n">
        <v>0.0384881398312663</v>
      </c>
      <c r="D160" s="2" t="n">
        <v>0</v>
      </c>
      <c r="E160" s="2" t="n">
        <v>8.34465030655293E-019</v>
      </c>
    </row>
    <row r="161" customFormat="false" ht="13.8" hidden="false" customHeight="false" outlineLevel="0" collapsed="false">
      <c r="B161" s="2" t="n">
        <v>159</v>
      </c>
      <c r="C161" s="2" t="n">
        <v>0</v>
      </c>
      <c r="D161" s="2" t="n">
        <v>7.56035200821538E-009</v>
      </c>
      <c r="E161" s="2" t="n">
        <v>0</v>
      </c>
    </row>
    <row r="162" customFormat="false" ht="13.8" hidden="false" customHeight="false" outlineLevel="0" collapsed="false">
      <c r="B162" s="2" t="n">
        <v>160</v>
      </c>
      <c r="C162" s="2" t="n">
        <v>0.0422450481685758</v>
      </c>
      <c r="D162" s="2" t="n">
        <v>0</v>
      </c>
      <c r="E162" s="2" t="n">
        <v>0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7.56050321752499E-009</v>
      </c>
      <c r="E163" s="2" t="n">
        <v>0</v>
      </c>
    </row>
    <row r="164" customFormat="false" ht="13.8" hidden="false" customHeight="false" outlineLevel="0" collapsed="false">
      <c r="B164" s="2" t="n">
        <v>162</v>
      </c>
      <c r="C164" s="2" t="n">
        <v>0.0201506218625379</v>
      </c>
      <c r="D164" s="2" t="n">
        <v>0</v>
      </c>
      <c r="E164" s="2" t="n">
        <v>0</v>
      </c>
    </row>
    <row r="165" customFormat="false" ht="13.8" hidden="false" customHeight="false" outlineLevel="0" collapsed="false">
      <c r="B165" s="2" t="n">
        <v>163</v>
      </c>
      <c r="C165" s="2" t="n">
        <v>0.0383440247211785</v>
      </c>
      <c r="D165" s="2" t="n">
        <v>0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0.0451210275798191</v>
      </c>
      <c r="D166" s="2" t="n">
        <v>0</v>
      </c>
      <c r="E166" s="2" t="n">
        <v>0</v>
      </c>
    </row>
    <row r="167" customFormat="false" ht="13.8" hidden="false" customHeight="false" outlineLevel="0" collapsed="false">
      <c r="B167" s="2" t="n">
        <v>165</v>
      </c>
      <c r="C167" s="2" t="n">
        <v>0.051897813771793</v>
      </c>
      <c r="D167" s="2" t="n">
        <v>0</v>
      </c>
      <c r="E167" s="2" t="n">
        <v>0</v>
      </c>
    </row>
    <row r="168" customFormat="false" ht="13.8" hidden="false" customHeight="false" outlineLevel="0" collapsed="false">
      <c r="B168" s="2" t="n">
        <v>166</v>
      </c>
      <c r="C168" s="2" t="n">
        <v>0.0490056440502922</v>
      </c>
      <c r="D168" s="2" t="n">
        <v>0</v>
      </c>
      <c r="E168" s="2" t="n">
        <v>4.7683715820313E-019</v>
      </c>
    </row>
    <row r="169" customFormat="false" ht="13.8" hidden="false" customHeight="false" outlineLevel="0" collapsed="false">
      <c r="B169" s="2" t="n">
        <v>167</v>
      </c>
      <c r="C169" s="2" t="n">
        <v>0.0529470743287914</v>
      </c>
      <c r="D169" s="2" t="n">
        <v>0</v>
      </c>
      <c r="E169" s="2" t="n">
        <v>4.7683715820313E-019</v>
      </c>
    </row>
    <row r="170" customFormat="false" ht="13.8" hidden="false" customHeight="false" outlineLevel="0" collapsed="false">
      <c r="B170" s="2" t="n">
        <v>168</v>
      </c>
      <c r="C170" s="2" t="n">
        <v>0.083721237940624</v>
      </c>
      <c r="D170" s="2" t="n">
        <v>0</v>
      </c>
      <c r="E170" s="2" t="n">
        <v>0</v>
      </c>
    </row>
    <row r="171" customFormat="false" ht="13.8" hidden="false" customHeight="false" outlineLevel="0" collapsed="false">
      <c r="B171" s="2" t="n">
        <v>169</v>
      </c>
      <c r="C171" s="2" t="n">
        <v>0.0554958015524565</v>
      </c>
      <c r="D171" s="2" t="n">
        <v>4.76837158203126E-019</v>
      </c>
      <c r="E171" s="2" t="n">
        <v>4.76837158203126E-019</v>
      </c>
    </row>
    <row r="172" customFormat="false" ht="13.8" hidden="false" customHeight="false" outlineLevel="0" collapsed="false">
      <c r="B172" s="2" t="n">
        <v>170</v>
      </c>
      <c r="C172" s="2" t="n">
        <v>0.0944977428310091</v>
      </c>
      <c r="D172" s="2" t="n">
        <v>0</v>
      </c>
      <c r="E172" s="2" t="n">
        <v>2.46800482273103E-019</v>
      </c>
    </row>
    <row r="173" customFormat="false" ht="13.8" hidden="false" customHeight="false" outlineLevel="0" collapsed="false">
      <c r="B173" s="2" t="n">
        <v>171</v>
      </c>
      <c r="C173" s="2" t="n">
        <v>0.0442327507762283</v>
      </c>
      <c r="D173" s="2" t="n">
        <v>0</v>
      </c>
      <c r="E173" s="2" t="n">
        <v>0</v>
      </c>
    </row>
    <row r="174" customFormat="false" ht="13.8" hidden="false" customHeight="false" outlineLevel="0" collapsed="false">
      <c r="B174" s="2" t="n">
        <v>172</v>
      </c>
      <c r="C174" s="2" t="n">
        <v>0.0718015253881141</v>
      </c>
      <c r="D174" s="2" t="n">
        <v>0</v>
      </c>
      <c r="E174" s="2" t="n">
        <v>9.53674316406269E-019</v>
      </c>
    </row>
    <row r="175" customFormat="false" ht="13.8" hidden="false" customHeight="false" outlineLevel="0" collapsed="false">
      <c r="B175" s="2" t="n">
        <v>173</v>
      </c>
      <c r="C175" s="2" t="n">
        <v>0.0731202</v>
      </c>
      <c r="D175" s="2" t="n">
        <v>0</v>
      </c>
      <c r="E175" s="2" t="n">
        <v>9.53674316406269E-019</v>
      </c>
    </row>
    <row r="176" customFormat="false" ht="13.8" hidden="false" customHeight="false" outlineLevel="0" collapsed="false">
      <c r="B176" s="2" t="n">
        <v>174</v>
      </c>
      <c r="C176" s="2" t="n">
        <v>0.102286916666667</v>
      </c>
      <c r="D176" s="2" t="n">
        <v>0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0.0757041833333333</v>
      </c>
      <c r="D177" s="2" t="n">
        <v>0</v>
      </c>
      <c r="E177" s="2" t="n">
        <v>9.53674316406269E-019</v>
      </c>
    </row>
    <row r="178" customFormat="false" ht="13.8" hidden="false" customHeight="false" outlineLevel="0" collapsed="false">
      <c r="B178" s="2" t="n">
        <v>176</v>
      </c>
      <c r="C178" s="2" t="n">
        <v>0.10713685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0.0896874166666667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0.10845445</v>
      </c>
      <c r="D180" s="2" t="n">
        <v>0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0.0871543666666667</v>
      </c>
      <c r="D181" s="2" t="n">
        <v>0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0.0969210833333333</v>
      </c>
      <c r="D182" s="2" t="n">
        <v>0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0.0769873666666667</v>
      </c>
      <c r="D183" s="2" t="n">
        <v>0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0.0756705166666667</v>
      </c>
      <c r="D184" s="2" t="n">
        <v>0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1.19209289550782E-019</v>
      </c>
    </row>
    <row r="186" customFormat="false" ht="13.8" hidden="false" customHeight="false" outlineLevel="0" collapsed="false">
      <c r="B186" s="2" t="n">
        <v>184</v>
      </c>
      <c r="C186" s="2" t="n">
        <v>4.7683715820313E-019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0.0488856353917042</v>
      </c>
      <c r="D187" s="2" t="n">
        <v>0</v>
      </c>
      <c r="E187" s="2" t="n">
        <v>4.7683715820313E-019</v>
      </c>
    </row>
    <row r="188" customFormat="false" ht="13.8" hidden="false" customHeight="false" outlineLevel="0" collapsed="false">
      <c r="B188" s="2" t="n">
        <v>186</v>
      </c>
      <c r="C188" s="2" t="n">
        <v>0.0485375333333333</v>
      </c>
      <c r="D188" s="2" t="n">
        <v>0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0.0737533</v>
      </c>
      <c r="D189" s="2" t="n">
        <v>0</v>
      </c>
      <c r="E189" s="2" t="n">
        <v>4.7683715820313E-019</v>
      </c>
    </row>
    <row r="190" customFormat="false" ht="13.8" hidden="false" customHeight="false" outlineLevel="0" collapsed="false">
      <c r="B190" s="2" t="n">
        <v>188</v>
      </c>
      <c r="C190" s="2" t="n">
        <v>0.0948363666666667</v>
      </c>
      <c r="D190" s="2" t="n">
        <v>0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0.0686530333333333</v>
      </c>
      <c r="D191" s="2" t="n">
        <v>0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0.05912005</v>
      </c>
      <c r="D192" s="2" t="n">
        <v>0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0.0185688333333333</v>
      </c>
      <c r="D193" s="2" t="n">
        <v>0</v>
      </c>
      <c r="E193" s="2" t="n">
        <v>1.63912773132325E-019</v>
      </c>
    </row>
    <row r="194" customFormat="false" ht="13.8" hidden="false" customHeight="false" outlineLevel="0" collapsed="false">
      <c r="B194" s="2" t="n">
        <v>192</v>
      </c>
      <c r="C194" s="2" t="n">
        <v>0.0445024833333333</v>
      </c>
      <c r="D194" s="2" t="n">
        <v>0</v>
      </c>
      <c r="E194" s="2" t="n">
        <v>2.38418579101564E-019</v>
      </c>
    </row>
    <row r="195" customFormat="false" ht="13.8" hidden="false" customHeight="false" outlineLevel="0" collapsed="false">
      <c r="B195" s="2" t="n">
        <v>193</v>
      </c>
      <c r="C195" s="2" t="n">
        <v>0.0092692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0.0289523833333333</v>
      </c>
      <c r="D196" s="2" t="n">
        <v>0</v>
      </c>
      <c r="E196" s="2" t="n">
        <v>2.38418579101564E-019</v>
      </c>
    </row>
    <row r="197" customFormat="false" ht="13.8" hidden="false" customHeight="false" outlineLevel="0" collapsed="false">
      <c r="B197" s="2" t="n">
        <v>195</v>
      </c>
      <c r="C197" s="2" t="n">
        <v>0.08176805</v>
      </c>
      <c r="D197" s="2" t="n">
        <v>0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0.0132504833333333</v>
      </c>
      <c r="D198" s="2" t="n">
        <v>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0.0776168833333333</v>
      </c>
      <c r="D199" s="2" t="n">
        <v>0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0.0137501166666667</v>
      </c>
      <c r="D200" s="2" t="n">
        <v>0.0810056530637559</v>
      </c>
      <c r="E200" s="2" t="n">
        <v>2.38418579101564E-019</v>
      </c>
    </row>
    <row r="201" customFormat="false" ht="13.8" hidden="false" customHeight="false" outlineLevel="0" collapsed="false">
      <c r="B201" s="2" t="n">
        <v>199</v>
      </c>
      <c r="C201" s="2" t="n">
        <v>0.0465835833333333</v>
      </c>
      <c r="D201" s="2" t="n">
        <v>0.1</v>
      </c>
      <c r="E201" s="2" t="n">
        <v>1.49011611938477E-018</v>
      </c>
    </row>
    <row r="202" customFormat="false" ht="13.8" hidden="false" customHeight="false" outlineLevel="0" collapsed="false">
      <c r="B202" s="2" t="n">
        <v>200</v>
      </c>
      <c r="C202" s="2" t="n">
        <v>0.01525</v>
      </c>
      <c r="D202" s="2" t="n">
        <v>0.1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0.07991675</v>
      </c>
      <c r="D203" s="2" t="n">
        <v>0.1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0.0146502333333333</v>
      </c>
      <c r="D204" s="2" t="n">
        <v>0.1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0.0142169166666667</v>
      </c>
      <c r="D205" s="2" t="n">
        <v>0.1</v>
      </c>
      <c r="E205" s="2" t="n">
        <v>7.15255737304699E-019</v>
      </c>
    </row>
    <row r="206" customFormat="false" ht="13.8" hidden="false" customHeight="false" outlineLevel="0" collapsed="false">
      <c r="B206" s="2" t="n">
        <v>204</v>
      </c>
      <c r="C206" s="2" t="n">
        <v>0.0700001333333333</v>
      </c>
      <c r="D206" s="2" t="n">
        <v>0.1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0.0219500333333333</v>
      </c>
      <c r="D207" s="2" t="n">
        <v>0.1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0.0702501333333333</v>
      </c>
      <c r="D208" s="2" t="n">
        <v>0.1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0.0190834</v>
      </c>
      <c r="D209" s="2" t="n">
        <v>0.1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0.0713834</v>
      </c>
      <c r="D210" s="2" t="n">
        <v>0.1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0.0185337166666667</v>
      </c>
      <c r="D211" s="2" t="n">
        <v>0.1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0.0441835833333333</v>
      </c>
      <c r="D212" s="2" t="n">
        <v>0.1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0.04100005</v>
      </c>
      <c r="D213" s="2" t="n">
        <v>0.1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0.0671666833333333</v>
      </c>
      <c r="D214" s="2" t="n">
        <v>0.1</v>
      </c>
      <c r="E214" s="2" t="n">
        <v>1.41332930070352E-018</v>
      </c>
    </row>
    <row r="215" customFormat="false" ht="13.8" hidden="false" customHeight="false" outlineLevel="0" collapsed="false">
      <c r="B215" s="2" t="n">
        <v>213</v>
      </c>
      <c r="C215" s="2" t="n">
        <v>0.0835</v>
      </c>
      <c r="D215" s="2" t="n">
        <v>0.1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0.0563307742508244</v>
      </c>
      <c r="D216" s="2" t="n">
        <v>0.099078148870925</v>
      </c>
      <c r="E216" s="2" t="n">
        <v>0</v>
      </c>
    </row>
    <row r="217" customFormat="false" ht="13.8" hidden="false" customHeight="false" outlineLevel="0" collapsed="false">
      <c r="B217" s="2" t="n">
        <v>215</v>
      </c>
      <c r="C217" s="2" t="n">
        <v>0.0746782818349821</v>
      </c>
      <c r="D217" s="2" t="n">
        <v>0.09815629774185</v>
      </c>
      <c r="E217" s="2" t="n">
        <v>0</v>
      </c>
    </row>
    <row r="218" customFormat="false" ht="13.8" hidden="false" customHeight="false" outlineLevel="0" collapsed="false">
      <c r="B218" s="2" t="n">
        <v>216</v>
      </c>
      <c r="C218" s="2" t="n">
        <v>0.0506254894191399</v>
      </c>
      <c r="D218" s="2" t="n">
        <v>0.097234446612775</v>
      </c>
      <c r="E218" s="2" t="n">
        <v>0</v>
      </c>
    </row>
    <row r="219" customFormat="false" ht="13.8" hidden="false" customHeight="false" outlineLevel="0" collapsed="false">
      <c r="B219" s="2" t="n">
        <v>217</v>
      </c>
      <c r="C219" s="2" t="n">
        <v>0.0710064636699643</v>
      </c>
      <c r="D219" s="2" t="n">
        <v>0.0963125954837001</v>
      </c>
      <c r="E219" s="2" t="n">
        <v>0</v>
      </c>
    </row>
    <row r="220" customFormat="false" ht="13.8" hidden="false" customHeight="false" outlineLevel="0" collapsed="false">
      <c r="B220" s="2" t="n">
        <v>218</v>
      </c>
      <c r="C220" s="2" t="n">
        <v>0.0401110454105816</v>
      </c>
      <c r="D220" s="2" t="n">
        <v>0.0916556910096443</v>
      </c>
      <c r="E220" s="2" t="n">
        <v>4.7683715820313E-019</v>
      </c>
    </row>
    <row r="221" customFormat="false" ht="13.8" hidden="false" customHeight="false" outlineLevel="0" collapsed="false">
      <c r="B221" s="2" t="n">
        <v>219</v>
      </c>
      <c r="C221" s="2" t="n">
        <v>0.0601654938178656</v>
      </c>
      <c r="D221" s="2" t="n">
        <v>0.0669987865355886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0.039136675558483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0.052491573965767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0.0245273134484391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0.0343631862644446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0.0031990757471167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0.0203186652297888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0.00226686406088135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6.87194767321976E-010</v>
      </c>
      <c r="D231" s="2" t="n">
        <v>6.87194767321976E-010</v>
      </c>
      <c r="E231" s="2" t="n">
        <v>6.87194767321976E-010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6.87194767321976E-010</v>
      </c>
      <c r="D234" s="2" t="n">
        <v>6.87194767321976E-010</v>
      </c>
      <c r="E234" s="2" t="n">
        <v>6.87194767321976E-010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1.37438953466026E-010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6.87194767321976E-010</v>
      </c>
      <c r="D241" s="2" t="n">
        <v>6.87194767321976E-010</v>
      </c>
      <c r="E241" s="2" t="n">
        <v>6.87194767321976E-010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0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0</v>
      </c>
      <c r="E243" s="2" t="n">
        <v>0</v>
      </c>
    </row>
    <row r="244" customFormat="false" ht="13.8" hidden="false" customHeight="false" outlineLevel="0" collapsed="false">
      <c r="B244" s="2" t="n">
        <v>242</v>
      </c>
      <c r="C244" s="2" t="n">
        <v>0</v>
      </c>
      <c r="D244" s="2" t="n">
        <v>0</v>
      </c>
      <c r="E244" s="2" t="n">
        <v>0</v>
      </c>
    </row>
    <row r="245" customFormat="false" ht="13.8" hidden="false" customHeight="false" outlineLevel="0" collapsed="false">
      <c r="B245" s="2" t="n">
        <v>243</v>
      </c>
      <c r="C245" s="2" t="n">
        <v>0</v>
      </c>
      <c r="D245" s="2" t="n">
        <v>0</v>
      </c>
      <c r="E245" s="2" t="n">
        <v>0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0</v>
      </c>
      <c r="E246" s="2" t="n">
        <v>0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0</v>
      </c>
      <c r="E247" s="2" t="n">
        <v>0</v>
      </c>
    </row>
    <row r="248" customFormat="false" ht="13.8" hidden="false" customHeight="false" outlineLevel="0" collapsed="false">
      <c r="B248" s="2" t="n">
        <v>246</v>
      </c>
      <c r="C248" s="2" t="n">
        <v>0</v>
      </c>
      <c r="D248" s="2" t="n">
        <v>0</v>
      </c>
      <c r="E248" s="2" t="n">
        <v>0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2.06164615076033E-009</v>
      </c>
      <c r="E249" s="2" t="n">
        <v>0</v>
      </c>
    </row>
    <row r="250" customFormat="false" ht="13.8" hidden="false" customHeight="false" outlineLevel="0" collapsed="false">
      <c r="B250" s="2" t="n">
        <v>248</v>
      </c>
      <c r="C250" s="2" t="n">
        <v>0</v>
      </c>
      <c r="D250" s="2" t="n">
        <v>2.06166676744071E-009</v>
      </c>
      <c r="E250" s="2" t="n">
        <v>0</v>
      </c>
    </row>
    <row r="251" customFormat="false" ht="13.8" hidden="false" customHeight="false" outlineLevel="0" collapsed="false">
      <c r="B251" s="2" t="n">
        <v>249</v>
      </c>
      <c r="C251" s="2" t="n">
        <v>0</v>
      </c>
      <c r="D251" s="2" t="n">
        <v>2.06168738431667E-009</v>
      </c>
      <c r="E251" s="2" t="n">
        <v>4.76837158699427E-019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2.06170800138448E-009</v>
      </c>
      <c r="E252" s="2" t="n">
        <v>0</v>
      </c>
    </row>
    <row r="253" customFormat="false" ht="13.8" hidden="false" customHeight="false" outlineLevel="0" collapsed="false">
      <c r="B253" s="2" t="n">
        <v>251</v>
      </c>
      <c r="C253" s="2" t="n">
        <v>0</v>
      </c>
      <c r="D253" s="2" t="n">
        <v>2.0617286186609E-009</v>
      </c>
      <c r="E253" s="2" t="n">
        <v>0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2.06174923614408E-009</v>
      </c>
      <c r="E254" s="2" t="n">
        <v>9.53674317200321E-019</v>
      </c>
    </row>
    <row r="255" customFormat="false" ht="13.8" hidden="false" customHeight="false" outlineLevel="0" collapsed="false">
      <c r="B255" s="2" t="n">
        <v>253</v>
      </c>
      <c r="C255" s="2" t="n">
        <v>0</v>
      </c>
      <c r="D255" s="2" t="n">
        <v>2.06176985385451E-009</v>
      </c>
      <c r="E255" s="2" t="n">
        <v>0</v>
      </c>
    </row>
    <row r="256" customFormat="false" ht="13.8" hidden="false" customHeight="false" outlineLevel="0" collapsed="false">
      <c r="B256" s="2" t="n">
        <v>254</v>
      </c>
      <c r="C256" s="2" t="n">
        <v>0</v>
      </c>
      <c r="D256" s="2" t="n">
        <v>2.06179047175678E-009</v>
      </c>
      <c r="E256" s="2" t="n">
        <v>0</v>
      </c>
    </row>
    <row r="257" customFormat="false" ht="13.8" hidden="false" customHeight="false" outlineLevel="0" collapsed="false">
      <c r="B257" s="2" t="n">
        <v>255</v>
      </c>
      <c r="C257" s="2" t="n">
        <v>0.0130649493857956</v>
      </c>
      <c r="D257" s="2" t="n">
        <v>0</v>
      </c>
      <c r="E257" s="2" t="n">
        <v>0</v>
      </c>
    </row>
    <row r="258" customFormat="false" ht="13.8" hidden="false" customHeight="false" outlineLevel="0" collapsed="false">
      <c r="B258" s="2" t="n">
        <v>256</v>
      </c>
      <c r="C258" s="2" t="n">
        <v>0.0550356267539045</v>
      </c>
      <c r="D258" s="2" t="n">
        <v>0</v>
      </c>
      <c r="E258" s="2" t="n">
        <v>4.76837158313411E-019</v>
      </c>
    </row>
    <row r="259" customFormat="false" ht="13.8" hidden="false" customHeight="false" outlineLevel="0" collapsed="false">
      <c r="B259" s="2" t="n">
        <v>257</v>
      </c>
      <c r="C259" s="2" t="n">
        <v>0.043094738651864</v>
      </c>
      <c r="D259" s="2" t="n">
        <v>0</v>
      </c>
      <c r="E259" s="2" t="n">
        <v>0</v>
      </c>
    </row>
    <row r="260" customFormat="false" ht="13.8" hidden="false" customHeight="false" outlineLevel="0" collapsed="false">
      <c r="B260" s="2" t="n">
        <v>258</v>
      </c>
      <c r="C260" s="2" t="n">
        <v>0.0318385523853914</v>
      </c>
      <c r="D260" s="2" t="n">
        <v>4.76837158203126E-019</v>
      </c>
      <c r="E260" s="2" t="n">
        <v>4.76837158203126E-019</v>
      </c>
    </row>
    <row r="261" customFormat="false" ht="13.8" hidden="false" customHeight="false" outlineLevel="0" collapsed="false">
      <c r="B261" s="2" t="n">
        <v>259</v>
      </c>
      <c r="C261" s="2" t="n">
        <v>0.0273323161189188</v>
      </c>
      <c r="D261" s="2" t="n">
        <v>0</v>
      </c>
      <c r="E261" s="2" t="n">
        <v>0</v>
      </c>
    </row>
    <row r="262" customFormat="false" ht="13.8" hidden="false" customHeight="false" outlineLevel="0" collapsed="false">
      <c r="B262" s="2" t="n">
        <v>260</v>
      </c>
      <c r="C262" s="2" t="n">
        <v>0.0125764131857795</v>
      </c>
      <c r="D262" s="2" t="n">
        <v>0</v>
      </c>
      <c r="E262" s="2" t="n">
        <v>0</v>
      </c>
    </row>
    <row r="263" customFormat="false" ht="13.8" hidden="false" customHeight="false" outlineLevel="0" collapsed="false">
      <c r="B263" s="2" t="n">
        <v>261</v>
      </c>
      <c r="C263" s="2" t="n">
        <v>0.00380422099951745</v>
      </c>
      <c r="D263" s="2" t="n">
        <v>0</v>
      </c>
      <c r="E263" s="2" t="n">
        <v>0</v>
      </c>
    </row>
    <row r="264" customFormat="false" ht="13.8" hidden="false" customHeight="false" outlineLevel="0" collapsed="false">
      <c r="B264" s="2" t="n">
        <v>262</v>
      </c>
      <c r="C264" s="2" t="n">
        <v>0.0768734776537297</v>
      </c>
      <c r="D264" s="2" t="n">
        <v>0</v>
      </c>
      <c r="E264" s="2" t="n">
        <v>0</v>
      </c>
    </row>
    <row r="265" customFormat="false" ht="13.8" hidden="false" customHeight="false" outlineLevel="0" collapsed="false">
      <c r="B265" s="2" t="n">
        <v>263</v>
      </c>
      <c r="C265" s="2" t="n">
        <v>0.0560347737216538</v>
      </c>
      <c r="D265" s="2" t="n">
        <v>0</v>
      </c>
      <c r="E265" s="2" t="n">
        <v>0</v>
      </c>
    </row>
    <row r="266" customFormat="false" ht="13.8" hidden="false" customHeight="false" outlineLevel="0" collapsed="false">
      <c r="B266" s="2" t="n">
        <v>264</v>
      </c>
      <c r="C266" s="2" t="n">
        <v>0.0891511118608269</v>
      </c>
      <c r="D266" s="2" t="n">
        <v>0</v>
      </c>
      <c r="E266" s="2" t="n">
        <v>4.7683715820313E-019</v>
      </c>
    </row>
    <row r="267" customFormat="false" ht="13.8" hidden="false" customHeight="false" outlineLevel="0" collapsed="false">
      <c r="B267" s="2" t="n">
        <v>265</v>
      </c>
      <c r="C267" s="2" t="n">
        <v>0.0500848166666667</v>
      </c>
      <c r="D267" s="2" t="n">
        <v>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0.0928854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0.05540295</v>
      </c>
      <c r="D269" s="2" t="n">
        <v>0</v>
      </c>
      <c r="E269" s="2" t="n">
        <v>4.7683715820313E-019</v>
      </c>
    </row>
    <row r="270" customFormat="false" ht="13.8" hidden="false" customHeight="false" outlineLevel="0" collapsed="false">
      <c r="B270" s="2" t="n">
        <v>268</v>
      </c>
      <c r="C270" s="2" t="n">
        <v>0.106236566666667</v>
      </c>
      <c r="D270" s="2" t="n">
        <v>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0.0822527333333333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0.135585333333333</v>
      </c>
      <c r="D272" s="2" t="n">
        <v>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0.0749529833333333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0.12927025</v>
      </c>
      <c r="D274" s="2" t="n">
        <v>0</v>
      </c>
      <c r="E274" s="2" t="n">
        <v>0</v>
      </c>
    </row>
    <row r="275" customFormat="false" ht="13.8" hidden="false" customHeight="false" outlineLevel="0" collapsed="false">
      <c r="B275" s="2" t="n">
        <v>273</v>
      </c>
      <c r="C275" s="2" t="n">
        <v>0.0980539833333333</v>
      </c>
      <c r="D275" s="2" t="n">
        <v>0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0.13158695</v>
      </c>
      <c r="D276" s="2" t="n">
        <v>0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0.0836371166666667</v>
      </c>
      <c r="D277" s="2" t="n">
        <v>0</v>
      </c>
      <c r="E277" s="2" t="n">
        <v>9.53674316406269E-019</v>
      </c>
    </row>
    <row r="278" customFormat="false" ht="13.8" hidden="false" customHeight="false" outlineLevel="0" collapsed="false">
      <c r="B278" s="2" t="n">
        <v>276</v>
      </c>
      <c r="C278" s="2" t="n">
        <v>0.109820216666667</v>
      </c>
      <c r="D278" s="2" t="n">
        <v>0</v>
      </c>
      <c r="E278" s="2" t="n">
        <v>9.53674316406269E-019</v>
      </c>
    </row>
    <row r="279" customFormat="false" ht="13.8" hidden="false" customHeight="false" outlineLevel="0" collapsed="false">
      <c r="B279" s="2" t="n">
        <v>277</v>
      </c>
      <c r="C279" s="2" t="n">
        <v>0.111920716666667</v>
      </c>
      <c r="D279" s="2" t="n">
        <v>0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0.12328675</v>
      </c>
      <c r="D280" s="2" t="n">
        <v>0</v>
      </c>
      <c r="E280" s="2" t="n">
        <v>5.36441802978522E-019</v>
      </c>
    </row>
    <row r="281" customFormat="false" ht="13.8" hidden="false" customHeight="false" outlineLevel="0" collapsed="false">
      <c r="B281" s="2" t="n">
        <v>279</v>
      </c>
      <c r="C281" s="2" t="n">
        <v>0.125603033333333</v>
      </c>
      <c r="D281" s="2" t="n">
        <v>0</v>
      </c>
      <c r="E281" s="2" t="n">
        <v>2.38418579101564E-019</v>
      </c>
    </row>
    <row r="282" customFormat="false" ht="13.8" hidden="false" customHeight="false" outlineLevel="0" collapsed="false">
      <c r="B282" s="2" t="n">
        <v>280</v>
      </c>
      <c r="C282" s="2" t="n">
        <v>0.127503033333333</v>
      </c>
      <c r="D282" s="2" t="n">
        <v>0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0.100237033333333</v>
      </c>
      <c r="D283" s="2" t="n">
        <v>0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0.0824708333333333</v>
      </c>
      <c r="D284" s="2" t="n">
        <v>0</v>
      </c>
      <c r="E284" s="2" t="n">
        <v>2.38418579101564E-019</v>
      </c>
    </row>
    <row r="285" customFormat="false" ht="13.8" hidden="false" customHeight="false" outlineLevel="0" collapsed="false">
      <c r="B285" s="2" t="n">
        <v>283</v>
      </c>
      <c r="C285" s="2" t="n">
        <v>0.0292544666666667</v>
      </c>
      <c r="D285" s="2" t="n">
        <v>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0.0412705833333333</v>
      </c>
      <c r="D286" s="2" t="n">
        <v>2.51731309130754E-005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0.05633705</v>
      </c>
      <c r="D287" s="2" t="n">
        <v>0.1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0.0514531666666667</v>
      </c>
      <c r="D288" s="2" t="n">
        <v>0.1</v>
      </c>
      <c r="E288" s="2" t="n">
        <v>7.15255737304699E-019</v>
      </c>
    </row>
    <row r="289" customFormat="false" ht="13.8" hidden="false" customHeight="false" outlineLevel="0" collapsed="false">
      <c r="B289" s="2" t="n">
        <v>287</v>
      </c>
      <c r="C289" s="2" t="n">
        <v>0.0474855666666667</v>
      </c>
      <c r="D289" s="2" t="n">
        <v>0.1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0.0842696833333334</v>
      </c>
      <c r="D290" s="2" t="n">
        <v>0.1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0.0143862</v>
      </c>
      <c r="D291" s="2" t="n">
        <v>0</v>
      </c>
      <c r="E291" s="2" t="n">
        <v>1.41561031341553E-019</v>
      </c>
    </row>
    <row r="292" customFormat="false" ht="13.8" hidden="false" customHeight="false" outlineLevel="0" collapsed="false">
      <c r="B292" s="2" t="n">
        <v>290</v>
      </c>
      <c r="C292" s="2" t="n">
        <v>0.0266355</v>
      </c>
      <c r="D292" s="2" t="n">
        <v>0.0333333333333333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0.04961805</v>
      </c>
      <c r="D293" s="2" t="n">
        <v>0.1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0.04021715</v>
      </c>
      <c r="D294" s="2" t="n">
        <v>0.1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0.0418501666666667</v>
      </c>
      <c r="D295" s="2" t="n">
        <v>0.1</v>
      </c>
      <c r="E295" s="2" t="n">
        <v>2.38418579101564E-019</v>
      </c>
    </row>
    <row r="296" customFormat="false" ht="13.8" hidden="false" customHeight="false" outlineLevel="0" collapsed="false">
      <c r="B296" s="2" t="n">
        <v>294</v>
      </c>
      <c r="C296" s="2" t="n">
        <v>0.04415025</v>
      </c>
      <c r="D296" s="2" t="n">
        <v>0.1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0.0246004166666667</v>
      </c>
      <c r="D297" s="2" t="n">
        <v>0.1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0.03690035</v>
      </c>
      <c r="D298" s="2" t="n">
        <v>0.1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0.0247334</v>
      </c>
      <c r="D299" s="2" t="n">
        <v>0.1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0.0483001666666667</v>
      </c>
      <c r="D300" s="2" t="n">
        <v>0.1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0.0136336</v>
      </c>
      <c r="D301" s="2" t="n">
        <v>0.1</v>
      </c>
      <c r="E301" s="2" t="n">
        <v>2.38418579101564E-019</v>
      </c>
    </row>
    <row r="302" customFormat="false" ht="13.8" hidden="false" customHeight="false" outlineLevel="0" collapsed="false">
      <c r="B302" s="2" t="n">
        <v>300</v>
      </c>
      <c r="C302" s="2" t="n">
        <v>0.04168375</v>
      </c>
      <c r="D302" s="2" t="n">
        <v>0.1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0.0121502666666667</v>
      </c>
      <c r="D303" s="2" t="n">
        <v>0.1</v>
      </c>
      <c r="E303" s="2" t="n">
        <v>2.38418579101564E-019</v>
      </c>
    </row>
    <row r="304" customFormat="false" ht="13.8" hidden="false" customHeight="false" outlineLevel="0" collapsed="false">
      <c r="B304" s="2" t="n">
        <v>302</v>
      </c>
      <c r="C304" s="2" t="n">
        <v>0.02791675</v>
      </c>
      <c r="D304" s="2" t="n">
        <v>0.1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0.0476167</v>
      </c>
      <c r="D305" s="2" t="n">
        <v>0.1</v>
      </c>
      <c r="E305" s="2" t="n">
        <v>2.14576721191416E-018</v>
      </c>
    </row>
    <row r="306" customFormat="false" ht="13.8" hidden="false" customHeight="false" outlineLevel="0" collapsed="false">
      <c r="B306" s="2" t="n">
        <v>304</v>
      </c>
      <c r="C306" s="2" t="n">
        <v>0.0382336</v>
      </c>
      <c r="D306" s="2" t="n">
        <v>0.1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0.04936675</v>
      </c>
      <c r="D307" s="2" t="n">
        <v>0.1</v>
      </c>
      <c r="E307" s="2" t="n">
        <v>2.38418579101564E-019</v>
      </c>
    </row>
    <row r="308" customFormat="false" ht="13.8" hidden="false" customHeight="false" outlineLevel="0" collapsed="false">
      <c r="B308" s="2" t="n">
        <v>306</v>
      </c>
      <c r="C308" s="2" t="n">
        <v>0.03858355</v>
      </c>
      <c r="D308" s="2" t="n">
        <v>0.1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0.0443835333333333</v>
      </c>
      <c r="D309" s="2" t="n">
        <v>0.1</v>
      </c>
      <c r="E309" s="2" t="n">
        <v>2.38418579101564E-019</v>
      </c>
    </row>
    <row r="310" customFormat="false" ht="13.8" hidden="false" customHeight="false" outlineLevel="0" collapsed="false">
      <c r="B310" s="2" t="n">
        <v>308</v>
      </c>
      <c r="C310" s="2" t="n">
        <v>0.038</v>
      </c>
      <c r="D310" s="2" t="n">
        <v>0.1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0.0460167666666667</v>
      </c>
      <c r="D311" s="2" t="n">
        <v>0.0666666666666667</v>
      </c>
      <c r="E311" s="2" t="n">
        <v>2.38418579101564E-019</v>
      </c>
    </row>
    <row r="312" customFormat="false" ht="13.8" hidden="false" customHeight="false" outlineLevel="0" collapsed="false">
      <c r="B312" s="2" t="n">
        <v>310</v>
      </c>
      <c r="C312" s="2" t="n">
        <v>0.0106416768958922</v>
      </c>
      <c r="D312" s="2" t="n">
        <v>0</v>
      </c>
      <c r="E312" s="2" t="n">
        <v>0</v>
      </c>
    </row>
    <row r="313" customFormat="false" ht="13.8" hidden="false" customHeight="false" outlineLevel="0" collapsed="false">
      <c r="B313" s="2" t="n">
        <v>311</v>
      </c>
      <c r="C313" s="2" t="n">
        <v>0.0365327037917844</v>
      </c>
      <c r="D313" s="2" t="n">
        <v>0</v>
      </c>
      <c r="E313" s="2" t="n">
        <v>0</v>
      </c>
    </row>
    <row r="314" customFormat="false" ht="13.8" hidden="false" customHeight="false" outlineLevel="0" collapsed="false">
      <c r="B314" s="2" t="n">
        <v>312</v>
      </c>
      <c r="C314" s="2" t="n">
        <v>0.0395070806876766</v>
      </c>
      <c r="D314" s="2" t="n">
        <v>0</v>
      </c>
      <c r="E314" s="2" t="n">
        <v>2.83122062683108E-019</v>
      </c>
    </row>
    <row r="315" customFormat="false" ht="13.8" hidden="false" customHeight="false" outlineLevel="0" collapsed="false">
      <c r="B315" s="2" t="n">
        <v>313</v>
      </c>
      <c r="C315" s="2" t="n">
        <v>0.0650317575835688</v>
      </c>
      <c r="D315" s="2" t="n">
        <v>0</v>
      </c>
      <c r="E315" s="2" t="n">
        <v>0</v>
      </c>
    </row>
    <row r="316" customFormat="false" ht="13.8" hidden="false" customHeight="false" outlineLevel="0" collapsed="false">
      <c r="B316" s="2" t="n">
        <v>314</v>
      </c>
      <c r="C316" s="2" t="n">
        <v>0.0471089262124584</v>
      </c>
      <c r="D316" s="2" t="n">
        <v>0</v>
      </c>
      <c r="E316" s="2" t="n">
        <v>4.7683715820313E-019</v>
      </c>
    </row>
    <row r="317" customFormat="false" ht="13.8" hidden="false" customHeight="false" outlineLevel="0" collapsed="false">
      <c r="B317" s="2" t="n">
        <v>315</v>
      </c>
      <c r="C317" s="2" t="n">
        <v>0.0600362948413479</v>
      </c>
      <c r="D317" s="2" t="n">
        <v>0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0.0248966134702374</v>
      </c>
      <c r="D318" s="2" t="n">
        <v>0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0.0459073987657936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0.0345761179230685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0.0110501420615599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0.0103660401720999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6.87201639350088E-010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0.00669348259442455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6.87201639350088E-010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6.87201639350088E-010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1.3744101507554E-009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0</v>
      </c>
      <c r="D335" s="2" t="n">
        <v>2.06162553428856E-009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2.74884779000919E-009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3.4360769179918E-009</v>
      </c>
      <c r="E337" s="2" t="n">
        <v>0</v>
      </c>
    </row>
    <row r="338" customFormat="false" ht="13.8" hidden="false" customHeight="false" outlineLevel="0" collapsed="false">
      <c r="B338" s="2" t="n">
        <v>336</v>
      </c>
      <c r="C338" s="2" t="n">
        <v>0</v>
      </c>
      <c r="D338" s="2" t="n">
        <v>4.12331291829597E-009</v>
      </c>
      <c r="E338" s="2" t="n">
        <v>0</v>
      </c>
    </row>
    <row r="339" customFormat="false" ht="13.8" hidden="false" customHeight="false" outlineLevel="0" collapsed="false">
      <c r="B339" s="2" t="n">
        <v>337</v>
      </c>
      <c r="C339" s="2" t="n">
        <v>3.72033634735373E-017</v>
      </c>
      <c r="D339" s="2" t="n">
        <v>4.81055579098132E-009</v>
      </c>
      <c r="E339" s="2" t="n">
        <v>6.67896276284497E-017</v>
      </c>
    </row>
    <row r="340" customFormat="false" ht="13.8" hidden="false" customHeight="false" outlineLevel="0" collapsed="false">
      <c r="B340" s="2" t="n">
        <v>338</v>
      </c>
      <c r="C340" s="2" t="n">
        <v>0</v>
      </c>
      <c r="D340" s="2" t="n">
        <v>4.81060389702583E-009</v>
      </c>
      <c r="E340" s="2" t="n">
        <v>0</v>
      </c>
    </row>
    <row r="341" customFormat="false" ht="13.8" hidden="false" customHeight="false" outlineLevel="0" collapsed="false">
      <c r="B341" s="2" t="n">
        <v>339</v>
      </c>
      <c r="C341" s="2" t="n">
        <v>0</v>
      </c>
      <c r="D341" s="2" t="n">
        <v>4.81065200354718E-009</v>
      </c>
      <c r="E341" s="2" t="n">
        <v>0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4.81070011054724E-009</v>
      </c>
      <c r="E342" s="2" t="n">
        <v>0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4.81074821802226E-009</v>
      </c>
      <c r="E343" s="2" t="n">
        <v>2.8610229849526E-018</v>
      </c>
    </row>
    <row r="344" customFormat="false" ht="13.8" hidden="false" customHeight="false" outlineLevel="0" collapsed="false">
      <c r="B344" s="2" t="n">
        <v>342</v>
      </c>
      <c r="C344" s="2" t="n">
        <v>0</v>
      </c>
      <c r="D344" s="2" t="n">
        <v>4.81079632597412E-009</v>
      </c>
      <c r="E344" s="2" t="n">
        <v>0</v>
      </c>
    </row>
    <row r="345" customFormat="false" ht="13.8" hidden="false" customHeight="false" outlineLevel="0" collapsed="false">
      <c r="B345" s="2" t="n">
        <v>343</v>
      </c>
      <c r="C345" s="2" t="n">
        <v>0</v>
      </c>
      <c r="D345" s="2" t="n">
        <v>4.81084443440096E-009</v>
      </c>
      <c r="E345" s="2" t="n">
        <v>2.86102296112992E-018</v>
      </c>
    </row>
    <row r="346" customFormat="false" ht="13.8" hidden="false" customHeight="false" outlineLevel="0" collapsed="false">
      <c r="B346" s="2" t="n">
        <v>344</v>
      </c>
      <c r="C346" s="2" t="n">
        <v>0</v>
      </c>
      <c r="D346" s="2" t="n">
        <v>4.81089254333816E-009</v>
      </c>
      <c r="E346" s="2" t="n">
        <v>9.53674317398843E-019</v>
      </c>
    </row>
    <row r="347" customFormat="false" ht="13.8" hidden="false" customHeight="false" outlineLevel="0" collapsed="false">
      <c r="B347" s="2" t="n">
        <v>345</v>
      </c>
      <c r="C347" s="2" t="n">
        <v>0.00755129812232698</v>
      </c>
      <c r="D347" s="2" t="n">
        <v>0</v>
      </c>
      <c r="E347" s="2" t="n">
        <v>0</v>
      </c>
    </row>
    <row r="348" customFormat="false" ht="13.8" hidden="false" customHeight="false" outlineLevel="0" collapsed="false">
      <c r="B348" s="2" t="n">
        <v>346</v>
      </c>
      <c r="C348" s="2" t="n">
        <v>0.0126014829247493</v>
      </c>
      <c r="D348" s="2" t="n">
        <v>0</v>
      </c>
      <c r="E348" s="2" t="n">
        <v>9.53674317067973E-019</v>
      </c>
    </row>
    <row r="349" customFormat="false" ht="13.8" hidden="false" customHeight="false" outlineLevel="0" collapsed="false">
      <c r="B349" s="2" t="n">
        <v>347</v>
      </c>
      <c r="C349" s="2" t="n">
        <v>0.017118451060505</v>
      </c>
      <c r="D349" s="2" t="n">
        <v>0</v>
      </c>
      <c r="E349" s="2" t="n">
        <v>0</v>
      </c>
    </row>
    <row r="350" customFormat="false" ht="13.8" hidden="false" customHeight="false" outlineLevel="0" collapsed="false">
      <c r="B350" s="2" t="n">
        <v>348</v>
      </c>
      <c r="C350" s="2" t="n">
        <v>0.021502352529594</v>
      </c>
      <c r="D350" s="2" t="n">
        <v>0</v>
      </c>
      <c r="E350" s="2" t="n">
        <v>4.76837159443841E-018</v>
      </c>
    </row>
    <row r="351" customFormat="false" ht="13.8" hidden="false" customHeight="false" outlineLevel="0" collapsed="false">
      <c r="B351" s="2" t="n">
        <v>349</v>
      </c>
      <c r="C351" s="2" t="n">
        <v>0.026153103998683</v>
      </c>
      <c r="D351" s="2" t="n">
        <v>0</v>
      </c>
      <c r="E351" s="2" t="n">
        <v>0</v>
      </c>
    </row>
    <row r="352" customFormat="false" ht="13.8" hidden="false" customHeight="false" outlineLevel="0" collapsed="false">
      <c r="B352" s="2" t="n">
        <v>350</v>
      </c>
      <c r="C352" s="2" t="n">
        <v>0.0240969964798242</v>
      </c>
      <c r="D352" s="2" t="n">
        <v>0</v>
      </c>
      <c r="E352" s="2" t="n">
        <v>0</v>
      </c>
    </row>
    <row r="353" customFormat="false" ht="13.8" hidden="false" customHeight="false" outlineLevel="0" collapsed="false">
      <c r="B353" s="2" t="n">
        <v>351</v>
      </c>
      <c r="C353" s="2" t="n">
        <v>0.0420407889609654</v>
      </c>
      <c r="D353" s="2" t="n">
        <v>0</v>
      </c>
      <c r="E353" s="2" t="n">
        <v>0</v>
      </c>
    </row>
    <row r="354" customFormat="false" ht="13.8" hidden="false" customHeight="false" outlineLevel="0" collapsed="false">
      <c r="B354" s="2" t="n">
        <v>352</v>
      </c>
      <c r="C354" s="2" t="n">
        <v>0.0499846314421066</v>
      </c>
      <c r="D354" s="2" t="n">
        <v>0</v>
      </c>
      <c r="E354" s="2" t="n">
        <v>0</v>
      </c>
    </row>
    <row r="355" customFormat="false" ht="13.8" hidden="false" customHeight="false" outlineLevel="0" collapsed="false">
      <c r="B355" s="2" t="n">
        <v>353</v>
      </c>
      <c r="C355" s="2" t="n">
        <v>0.0579285072565812</v>
      </c>
      <c r="D355" s="2" t="n">
        <v>0</v>
      </c>
      <c r="E355" s="2" t="n">
        <v>0</v>
      </c>
    </row>
    <row r="356" customFormat="false" ht="13.8" hidden="false" customHeight="false" outlineLevel="0" collapsed="false">
      <c r="B356" s="2" t="n">
        <v>354</v>
      </c>
      <c r="C356" s="2" t="n">
        <v>0.0609720510024692</v>
      </c>
      <c r="D356" s="2" t="n">
        <v>0</v>
      </c>
      <c r="E356" s="2" t="n">
        <v>4.7683715820313E-019</v>
      </c>
    </row>
    <row r="357" customFormat="false" ht="13.8" hidden="false" customHeight="false" outlineLevel="0" collapsed="false">
      <c r="B357" s="2" t="n">
        <v>355</v>
      </c>
      <c r="C357" s="2" t="n">
        <v>0.0478489447483572</v>
      </c>
      <c r="D357" s="2" t="n">
        <v>0</v>
      </c>
      <c r="E357" s="2" t="n">
        <v>0</v>
      </c>
    </row>
    <row r="358" customFormat="false" ht="13.8" hidden="false" customHeight="false" outlineLevel="0" collapsed="false">
      <c r="B358" s="2" t="n">
        <v>356</v>
      </c>
      <c r="C358" s="2" t="n">
        <v>0.0751424218275785</v>
      </c>
      <c r="D358" s="2" t="n">
        <v>0</v>
      </c>
      <c r="E358" s="2" t="n">
        <v>0</v>
      </c>
    </row>
    <row r="359" customFormat="false" ht="13.8" hidden="false" customHeight="false" outlineLevel="0" collapsed="false">
      <c r="B359" s="2" t="n">
        <v>357</v>
      </c>
      <c r="C359" s="2" t="n">
        <v>0.0444691989067998</v>
      </c>
      <c r="D359" s="2" t="n">
        <v>0</v>
      </c>
      <c r="E359" s="2" t="n">
        <v>0</v>
      </c>
    </row>
    <row r="360" customFormat="false" ht="13.8" hidden="false" customHeight="false" outlineLevel="0" collapsed="false">
      <c r="B360" s="2" t="n">
        <v>358</v>
      </c>
      <c r="C360" s="2" t="n">
        <v>0.0848686866800999</v>
      </c>
      <c r="D360" s="2" t="n">
        <v>0</v>
      </c>
      <c r="E360" s="2" t="n">
        <v>1.43051147460942E-018</v>
      </c>
    </row>
    <row r="361" customFormat="false" ht="13.8" hidden="false" customHeight="false" outlineLevel="0" collapsed="false">
      <c r="B361" s="2" t="n">
        <v>359</v>
      </c>
      <c r="C361" s="2" t="n">
        <v>0.0526346744533999</v>
      </c>
      <c r="D361" s="2" t="n">
        <v>0</v>
      </c>
      <c r="E361" s="2" t="n">
        <v>0</v>
      </c>
    </row>
    <row r="362" customFormat="false" ht="13.8" hidden="false" customHeight="false" outlineLevel="0" collapsed="false">
      <c r="B362" s="2" t="n">
        <v>360</v>
      </c>
      <c r="C362" s="2" t="n">
        <v>0.0924008122267</v>
      </c>
      <c r="D362" s="2" t="n">
        <v>0</v>
      </c>
      <c r="E362" s="2" t="n">
        <v>0</v>
      </c>
    </row>
    <row r="363" customFormat="false" ht="13.8" hidden="false" customHeight="false" outlineLevel="0" collapsed="false">
      <c r="B363" s="2" t="n">
        <v>361</v>
      </c>
      <c r="C363" s="2" t="n">
        <v>0.0510007</v>
      </c>
      <c r="D363" s="2" t="n">
        <v>0</v>
      </c>
      <c r="E363" s="2" t="n">
        <v>4.7683715820313E-019</v>
      </c>
    </row>
    <row r="364" customFormat="false" ht="13.8" hidden="false" customHeight="false" outlineLevel="0" collapsed="false">
      <c r="B364" s="2" t="n">
        <v>362</v>
      </c>
      <c r="C364" s="2" t="n">
        <v>0.0792085581332036</v>
      </c>
      <c r="D364" s="2" t="n">
        <v>0</v>
      </c>
      <c r="E364" s="2" t="n">
        <v>9.53674316406269E-019</v>
      </c>
    </row>
    <row r="365" customFormat="false" ht="13.8" hidden="false" customHeight="false" outlineLevel="0" collapsed="false">
      <c r="B365" s="2" t="n">
        <v>363</v>
      </c>
      <c r="C365" s="2" t="n">
        <v>2.74880655738571E-010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0.024848101536193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0.09123635</v>
      </c>
      <c r="D367" s="2" t="n">
        <v>0</v>
      </c>
      <c r="E367" s="2" t="n">
        <v>4.7683715820313E-019</v>
      </c>
    </row>
    <row r="368" customFormat="false" ht="13.8" hidden="false" customHeight="false" outlineLevel="0" collapsed="false">
      <c r="B368" s="2" t="n">
        <v>366</v>
      </c>
      <c r="C368" s="2" t="n">
        <v>0.12375415</v>
      </c>
      <c r="D368" s="2" t="n">
        <v>0</v>
      </c>
      <c r="E368" s="2" t="n">
        <v>9.53674316406269E-019</v>
      </c>
    </row>
    <row r="369" customFormat="false" ht="13.8" hidden="false" customHeight="false" outlineLevel="0" collapsed="false">
      <c r="B369" s="2" t="n">
        <v>367</v>
      </c>
      <c r="C369" s="2" t="n">
        <v>0.0910207166666667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0.132520883333333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0.107003866666667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0.150203283333333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0.110736633333333</v>
      </c>
      <c r="D373" s="2" t="n">
        <v>0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0.145737283333333</v>
      </c>
      <c r="D374" s="2" t="n">
        <v>0</v>
      </c>
      <c r="E374" s="2" t="n">
        <v>2.38418579101564E-019</v>
      </c>
    </row>
    <row r="375" customFormat="false" ht="13.8" hidden="false" customHeight="false" outlineLevel="0" collapsed="false">
      <c r="B375" s="2" t="n">
        <v>373</v>
      </c>
      <c r="C375" s="2" t="n">
        <v>0.0894544166666667</v>
      </c>
      <c r="D375" s="2" t="n">
        <v>0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0.0792382666666667</v>
      </c>
      <c r="D376" s="2" t="n">
        <v>0</v>
      </c>
      <c r="E376" s="2" t="n">
        <v>2.38418579101564E-019</v>
      </c>
    </row>
    <row r="377" customFormat="false" ht="13.8" hidden="false" customHeight="false" outlineLevel="0" collapsed="false">
      <c r="B377" s="2" t="n">
        <v>375</v>
      </c>
      <c r="C377" s="2" t="n">
        <v>0.0832541833333333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0.0675707833333333</v>
      </c>
      <c r="D378" s="2" t="n">
        <v>0</v>
      </c>
      <c r="E378" s="2" t="n">
        <v>2.38418579101564E-019</v>
      </c>
    </row>
    <row r="379" customFormat="false" ht="13.8" hidden="false" customHeight="false" outlineLevel="0" collapsed="false">
      <c r="B379" s="2" t="n">
        <v>377</v>
      </c>
      <c r="C379" s="2" t="n">
        <v>0.0465711666666667</v>
      </c>
      <c r="D379" s="2" t="n">
        <v>0</v>
      </c>
      <c r="E379" s="2" t="n">
        <v>1.22934579849244E-019</v>
      </c>
    </row>
    <row r="380" customFormat="false" ht="13.8" hidden="false" customHeight="false" outlineLevel="0" collapsed="false">
      <c r="B380" s="2" t="n">
        <v>378</v>
      </c>
      <c r="C380" s="2" t="n">
        <v>0.0438540833333333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0.0795870333333333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0.0716863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0.0777532166666667</v>
      </c>
      <c r="D383" s="2" t="n">
        <v>0</v>
      </c>
      <c r="E383" s="2" t="n">
        <v>2.38418579101564E-019</v>
      </c>
    </row>
    <row r="384" customFormat="false" ht="13.8" hidden="false" customHeight="false" outlineLevel="0" collapsed="false">
      <c r="B384" s="2" t="n">
        <v>382</v>
      </c>
      <c r="C384" s="2" t="n">
        <v>0.05958725</v>
      </c>
      <c r="D384" s="2" t="n">
        <v>0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0.0286692666666667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0.0763862166666667</v>
      </c>
      <c r="D386" s="2" t="n">
        <v>0</v>
      </c>
      <c r="E386" s="2" t="n">
        <v>1.19209289550782E-019</v>
      </c>
    </row>
    <row r="387" customFormat="false" ht="13.8" hidden="false" customHeight="false" outlineLevel="0" collapsed="false">
      <c r="B387" s="2" t="n">
        <v>385</v>
      </c>
      <c r="C387" s="2" t="n">
        <v>0.0751863666666667</v>
      </c>
      <c r="D387" s="2" t="n">
        <v>0</v>
      </c>
      <c r="E387" s="2" t="n">
        <v>4.59654984297236E-019</v>
      </c>
    </row>
    <row r="388" customFormat="false" ht="13.8" hidden="false" customHeight="false" outlineLevel="0" collapsed="false">
      <c r="B388" s="2" t="n">
        <v>386</v>
      </c>
      <c r="C388" s="2" t="n">
        <v>0.0134359166666667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0.09056805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0.02415095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0.0707169833333333</v>
      </c>
      <c r="D391" s="2" t="n">
        <v>0.0144000145531559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0.0230001333333333</v>
      </c>
      <c r="D392" s="2" t="n">
        <v>0.1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0.0435002</v>
      </c>
      <c r="D393" s="2" t="n">
        <v>0.1</v>
      </c>
      <c r="E393" s="2" t="n">
        <v>2.38418579101574E-018</v>
      </c>
    </row>
    <row r="394" customFormat="false" ht="13.8" hidden="false" customHeight="false" outlineLevel="0" collapsed="false">
      <c r="B394" s="2" t="n">
        <v>392</v>
      </c>
      <c r="C394" s="2" t="n">
        <v>0.0545169666666667</v>
      </c>
      <c r="D394" s="2" t="n">
        <v>0.1</v>
      </c>
      <c r="E394" s="2" t="n">
        <v>7.15255737304699E-019</v>
      </c>
    </row>
    <row r="395" customFormat="false" ht="13.8" hidden="false" customHeight="false" outlineLevel="0" collapsed="false">
      <c r="B395" s="2" t="n">
        <v>393</v>
      </c>
      <c r="C395" s="2" t="n">
        <v>0.03383345</v>
      </c>
      <c r="D395" s="2" t="n">
        <v>0.1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0.05190025</v>
      </c>
      <c r="D396" s="2" t="n">
        <v>0.1</v>
      </c>
      <c r="E396" s="2" t="n">
        <v>9.53674316406269E-019</v>
      </c>
    </row>
    <row r="397" customFormat="false" ht="13.8" hidden="false" customHeight="false" outlineLevel="0" collapsed="false">
      <c r="B397" s="2" t="n">
        <v>395</v>
      </c>
      <c r="C397" s="2" t="n">
        <v>0.0334335166666667</v>
      </c>
      <c r="D397" s="2" t="n">
        <v>0.1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0.0226009</v>
      </c>
      <c r="D398" s="2" t="n">
        <v>0.1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0.06836705</v>
      </c>
      <c r="D399" s="2" t="n">
        <v>0.1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0.0170668</v>
      </c>
      <c r="D400" s="2" t="n">
        <v>0.1</v>
      </c>
      <c r="E400" s="2" t="n">
        <v>9.53674316406269E-019</v>
      </c>
    </row>
    <row r="401" customFormat="false" ht="13.8" hidden="false" customHeight="false" outlineLevel="0" collapsed="false">
      <c r="B401" s="2" t="n">
        <v>399</v>
      </c>
      <c r="C401" s="2" t="n">
        <v>0.0661169333333333</v>
      </c>
      <c r="D401" s="2" t="n">
        <v>0.1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0.00516725</v>
      </c>
      <c r="D402" s="2" t="n">
        <v>0.1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0.0619669333333333</v>
      </c>
      <c r="D403" s="2" t="n">
        <v>0.1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0.0219834166666667</v>
      </c>
      <c r="D404" s="2" t="n">
        <v>0.1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0.0591004</v>
      </c>
      <c r="D405" s="2" t="n">
        <v>0.1</v>
      </c>
      <c r="E405" s="2" t="n">
        <v>9.53674316406269E-019</v>
      </c>
    </row>
    <row r="406" customFormat="false" ht="13.8" hidden="false" customHeight="false" outlineLevel="0" collapsed="false">
      <c r="B406" s="2" t="n">
        <v>404</v>
      </c>
      <c r="C406" s="2" t="n">
        <v>0.0211169333333333</v>
      </c>
      <c r="D406" s="2" t="n">
        <v>0.1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0.0484168166666667</v>
      </c>
      <c r="D407" s="2" t="n">
        <v>0.02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0.0447954297289044</v>
      </c>
      <c r="D408" s="2" t="n">
        <v>0</v>
      </c>
      <c r="E408" s="2" t="n">
        <v>0</v>
      </c>
    </row>
    <row r="409" customFormat="false" ht="13.8" hidden="false" customHeight="false" outlineLevel="0" collapsed="false">
      <c r="B409" s="2" t="n">
        <v>407</v>
      </c>
      <c r="C409" s="2" t="n">
        <v>0.0679232261244755</v>
      </c>
      <c r="D409" s="2" t="n">
        <v>0</v>
      </c>
      <c r="E409" s="2" t="n">
        <v>0</v>
      </c>
    </row>
    <row r="410" customFormat="false" ht="13.8" hidden="false" customHeight="false" outlineLevel="0" collapsed="false">
      <c r="B410" s="2" t="n">
        <v>408</v>
      </c>
      <c r="C410" s="2" t="n">
        <v>0.0473181891867133</v>
      </c>
      <c r="D410" s="2" t="n">
        <v>0</v>
      </c>
      <c r="E410" s="2" t="n">
        <v>0</v>
      </c>
    </row>
    <row r="411" customFormat="false" ht="13.8" hidden="false" customHeight="false" outlineLevel="0" collapsed="false">
      <c r="B411" s="2" t="n">
        <v>409</v>
      </c>
      <c r="C411" s="2" t="n">
        <v>0.0540301022489511</v>
      </c>
      <c r="D411" s="2" t="n">
        <v>0</v>
      </c>
      <c r="E411" s="2" t="n">
        <v>0</v>
      </c>
    </row>
    <row r="412" customFormat="false" ht="13.8" hidden="false" customHeight="false" outlineLevel="0" collapsed="false">
      <c r="B412" s="2" t="n">
        <v>410</v>
      </c>
      <c r="C412" s="2" t="n">
        <v>0.0358404599908096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0.0546833510660014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0.0233768754745266</v>
      </c>
      <c r="D414" s="2" t="n">
        <v>5.96046447753907E-020</v>
      </c>
      <c r="E414" s="2" t="n">
        <v>5.96046447753907E-020</v>
      </c>
    </row>
    <row r="415" customFormat="false" ht="13.8" hidden="false" customHeight="false" outlineLevel="0" collapsed="false">
      <c r="B415" s="2" t="n">
        <v>413</v>
      </c>
      <c r="C415" s="2" t="n">
        <v>0.0568536665497184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0.00232275744138478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0.0498239983330512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0.0253624967830507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1.37438953466026E-010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0.0208966988074316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2.06156368612683E-009</v>
      </c>
      <c r="D430" s="2" t="n">
        <v>2.06156368612683E-009</v>
      </c>
      <c r="E430" s="2" t="n">
        <v>2.06156368612683E-009</v>
      </c>
    </row>
    <row r="431" customFormat="false" ht="13.8" hidden="false" customHeight="false" outlineLevel="0" collapsed="false">
      <c r="B431" s="2" t="n">
        <v>429</v>
      </c>
      <c r="C431" s="2" t="n">
        <v>1.37438266268951E-009</v>
      </c>
      <c r="D431" s="2" t="n">
        <v>1.37438266268951E-009</v>
      </c>
      <c r="E431" s="2" t="n">
        <v>1.37438266268951E-009</v>
      </c>
    </row>
    <row r="432" customFormat="false" ht="13.8" hidden="false" customHeight="false" outlineLevel="0" collapsed="false">
      <c r="B432" s="2" t="n">
        <v>430</v>
      </c>
      <c r="C432" s="2" t="n">
        <v>6.87194767321976E-010</v>
      </c>
      <c r="D432" s="2" t="n">
        <v>6.87194767321976E-010</v>
      </c>
      <c r="E432" s="2" t="n">
        <v>6.87194819794081E-010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0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1.37438953466026E-010</v>
      </c>
      <c r="E434" s="2" t="n">
        <v>4.12320985122919E-010</v>
      </c>
    </row>
    <row r="435" customFormat="false" ht="13.8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0</v>
      </c>
    </row>
    <row r="436" customFormat="false" ht="13.8" hidden="false" customHeight="false" outlineLevel="0" collapsed="false">
      <c r="B436" s="2" t="n">
        <v>434</v>
      </c>
      <c r="C436" s="2" t="n">
        <v>6.87201639350088E-010</v>
      </c>
      <c r="D436" s="2" t="n">
        <v>0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0</v>
      </c>
    </row>
    <row r="438" customFormat="false" ht="13.8" hidden="false" customHeight="false" outlineLevel="0" collapsed="false">
      <c r="B438" s="2" t="n">
        <v>436</v>
      </c>
      <c r="C438" s="2" t="n">
        <v>0</v>
      </c>
      <c r="D438" s="2" t="n">
        <v>0</v>
      </c>
      <c r="E438" s="2" t="n">
        <v>0</v>
      </c>
    </row>
    <row r="439" customFormat="false" ht="13.8" hidden="false" customHeight="false" outlineLevel="0" collapsed="false">
      <c r="B439" s="2" t="n">
        <v>437</v>
      </c>
      <c r="C439" s="2" t="n">
        <v>0</v>
      </c>
      <c r="D439" s="2" t="n">
        <v>0</v>
      </c>
      <c r="E439" s="2" t="n">
        <v>0</v>
      </c>
    </row>
    <row r="440" customFormat="false" ht="13.8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0</v>
      </c>
    </row>
    <row r="441" customFormat="false" ht="13.8" hidden="false" customHeight="false" outlineLevel="0" collapsed="false">
      <c r="B441" s="2" t="n">
        <v>439</v>
      </c>
      <c r="C441" s="2" t="n">
        <v>0.00411328491486025</v>
      </c>
      <c r="D441" s="2" t="n">
        <v>1.49011611938477E-020</v>
      </c>
      <c r="E441" s="2" t="n">
        <v>4.34207823229834E-017</v>
      </c>
    </row>
    <row r="442" customFormat="false" ht="13.8" hidden="false" customHeight="false" outlineLevel="0" collapsed="false">
      <c r="B442" s="2" t="n">
        <v>440</v>
      </c>
      <c r="C442" s="2" t="n">
        <v>0.00941407356110897</v>
      </c>
      <c r="D442" s="2" t="n">
        <v>0</v>
      </c>
      <c r="E442" s="2" t="n">
        <v>2.55102793509975E-016</v>
      </c>
    </row>
    <row r="443" customFormat="false" ht="13.8" hidden="false" customHeight="false" outlineLevel="0" collapsed="false">
      <c r="B443" s="2" t="n">
        <v>441</v>
      </c>
      <c r="C443" s="2" t="n">
        <v>0.0440644622073577</v>
      </c>
      <c r="D443" s="2" t="n">
        <v>0</v>
      </c>
      <c r="E443" s="2" t="n">
        <v>0</v>
      </c>
    </row>
    <row r="444" customFormat="false" ht="13.8" hidden="false" customHeight="false" outlineLevel="0" collapsed="false">
      <c r="B444" s="2" t="n">
        <v>442</v>
      </c>
      <c r="C444" s="2" t="n">
        <v>0.0278591008156066</v>
      </c>
      <c r="D444" s="2" t="n">
        <v>0</v>
      </c>
      <c r="E444" s="2" t="n">
        <v>0</v>
      </c>
    </row>
    <row r="445" customFormat="false" ht="13.8" hidden="false" customHeight="false" outlineLevel="0" collapsed="false">
      <c r="B445" s="2" t="n">
        <v>443</v>
      </c>
      <c r="C445" s="2" t="n">
        <v>0.0291870227571889</v>
      </c>
      <c r="D445" s="2" t="n">
        <v>0</v>
      </c>
      <c r="E445" s="2" t="n">
        <v>1.9803784650646E-016</v>
      </c>
    </row>
    <row r="446" customFormat="false" ht="13.8" hidden="false" customHeight="false" outlineLevel="0" collapsed="false">
      <c r="B446" s="2" t="n">
        <v>444</v>
      </c>
      <c r="C446" s="2" t="n">
        <v>0</v>
      </c>
      <c r="D446" s="2" t="n">
        <v>0</v>
      </c>
      <c r="E446" s="2" t="n">
        <v>0</v>
      </c>
    </row>
    <row r="447" customFormat="false" ht="13.8" hidden="false" customHeight="false" outlineLevel="0" collapsed="false">
      <c r="B447" s="2" t="n">
        <v>445</v>
      </c>
      <c r="C447" s="2" t="n">
        <v>0.0460923666403535</v>
      </c>
      <c r="D447" s="2" t="n">
        <v>0</v>
      </c>
      <c r="E447" s="2" t="n">
        <v>0</v>
      </c>
    </row>
    <row r="448" customFormat="false" ht="13.8" hidden="false" customHeight="false" outlineLevel="0" collapsed="false">
      <c r="B448" s="2" t="n">
        <v>446</v>
      </c>
      <c r="C448" s="2" t="n">
        <v>0.00413876995844676</v>
      </c>
      <c r="D448" s="2" t="n">
        <v>0</v>
      </c>
      <c r="E448" s="2" t="n">
        <v>1.66139680816493E-016</v>
      </c>
    </row>
    <row r="449" customFormat="false" ht="13.8" hidden="false" customHeight="false" outlineLevel="0" collapsed="false">
      <c r="B449" s="2" t="n">
        <v>447</v>
      </c>
      <c r="C449" s="2" t="n">
        <v>0.0544349232765401</v>
      </c>
      <c r="D449" s="2" t="n">
        <v>0</v>
      </c>
      <c r="E449" s="2" t="n">
        <v>0</v>
      </c>
    </row>
    <row r="450" customFormat="false" ht="13.8" hidden="false" customHeight="false" outlineLevel="0" collapsed="false">
      <c r="B450" s="2" t="n">
        <v>448</v>
      </c>
      <c r="C450" s="2" t="n">
        <v>0</v>
      </c>
      <c r="D450" s="2" t="n">
        <v>0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0.0625275299127266</v>
      </c>
      <c r="D451" s="2" t="n">
        <v>0</v>
      </c>
      <c r="E451" s="2" t="n">
        <v>1.96737727071482E-016</v>
      </c>
    </row>
    <row r="452" customFormat="false" ht="13.8" hidden="false" customHeight="false" outlineLevel="0" collapsed="false">
      <c r="B452" s="2" t="n">
        <v>450</v>
      </c>
      <c r="C452" s="2" t="n">
        <v>0.0270599374876537</v>
      </c>
      <c r="D452" s="2" t="n">
        <v>0</v>
      </c>
      <c r="E452" s="2" t="n">
        <v>0</v>
      </c>
    </row>
    <row r="453" customFormat="false" ht="13.8" hidden="false" customHeight="false" outlineLevel="0" collapsed="false">
      <c r="B453" s="2" t="n">
        <v>451</v>
      </c>
      <c r="C453" s="2" t="n">
        <v>0.0785920617292475</v>
      </c>
      <c r="D453" s="2" t="n">
        <v>0</v>
      </c>
      <c r="E453" s="2" t="n">
        <v>2.6371820181086E-016</v>
      </c>
    </row>
    <row r="454" customFormat="false" ht="13.8" hidden="false" customHeight="false" outlineLevel="0" collapsed="false">
      <c r="B454" s="2" t="n">
        <v>452</v>
      </c>
      <c r="C454" s="2" t="n">
        <v>0.0266326073113373</v>
      </c>
      <c r="D454" s="2" t="n">
        <v>0</v>
      </c>
      <c r="E454" s="2" t="n">
        <v>2.56060008159403E-016</v>
      </c>
    </row>
    <row r="455" customFormat="false" ht="13.8" hidden="false" customHeight="false" outlineLevel="0" collapsed="false">
      <c r="B455" s="2" t="n">
        <v>453</v>
      </c>
      <c r="C455" s="2" t="n">
        <v>0.0756565435457685</v>
      </c>
      <c r="D455" s="2" t="n">
        <v>0</v>
      </c>
      <c r="E455" s="2" t="n">
        <v>4.7683715820313E-019</v>
      </c>
    </row>
    <row r="456" customFormat="false" ht="13.8" hidden="false" customHeight="false" outlineLevel="0" collapsed="false">
      <c r="B456" s="2" t="n">
        <v>454</v>
      </c>
      <c r="C456" s="2" t="n">
        <v>0.0361125697401179</v>
      </c>
      <c r="D456" s="2" t="n">
        <v>0</v>
      </c>
      <c r="E456" s="2" t="n">
        <v>0</v>
      </c>
    </row>
    <row r="457" customFormat="false" ht="13.8" hidden="false" customHeight="false" outlineLevel="0" collapsed="false">
      <c r="B457" s="2" t="n">
        <v>455</v>
      </c>
      <c r="C457" s="2" t="n">
        <v>0.00711888871081404</v>
      </c>
      <c r="D457" s="2" t="n">
        <v>0</v>
      </c>
      <c r="E457" s="2" t="n">
        <v>0</v>
      </c>
    </row>
    <row r="458" customFormat="false" ht="13.8" hidden="false" customHeight="false" outlineLevel="0" collapsed="false">
      <c r="B458" s="2" t="n">
        <v>456</v>
      </c>
      <c r="C458" s="2" t="n">
        <v>0.0127553034721988</v>
      </c>
      <c r="D458" s="2" t="n">
        <v>0</v>
      </c>
      <c r="E458" s="2" t="n">
        <v>0</v>
      </c>
    </row>
    <row r="459" customFormat="false" ht="13.8" hidden="false" customHeight="false" outlineLevel="0" collapsed="false">
      <c r="B459" s="2" t="n">
        <v>457</v>
      </c>
      <c r="C459" s="2" t="n">
        <v>0</v>
      </c>
      <c r="D459" s="2" t="n">
        <v>0</v>
      </c>
      <c r="E459" s="2" t="n">
        <v>0</v>
      </c>
    </row>
    <row r="460" customFormat="false" ht="13.8" hidden="false" customHeight="false" outlineLevel="0" collapsed="false">
      <c r="B460" s="2" t="n">
        <v>458</v>
      </c>
      <c r="C460" s="2" t="n">
        <v>0.0479505667605734</v>
      </c>
      <c r="D460" s="2" t="n">
        <v>0</v>
      </c>
      <c r="E460" s="2" t="n">
        <v>9.53674316406251E-019</v>
      </c>
    </row>
    <row r="461" customFormat="false" ht="13.8" hidden="false" customHeight="false" outlineLevel="0" collapsed="false">
      <c r="B461" s="2" t="n">
        <v>459</v>
      </c>
      <c r="C461" s="2" t="n">
        <v>0.0789591194057067</v>
      </c>
      <c r="D461" s="2" t="n">
        <v>0</v>
      </c>
      <c r="E461" s="2" t="n">
        <v>9.53674316406251E-019</v>
      </c>
    </row>
    <row r="462" customFormat="false" ht="13.8" hidden="false" customHeight="false" outlineLevel="0" collapsed="false">
      <c r="B462" s="2" t="n">
        <v>460</v>
      </c>
      <c r="C462" s="2" t="n">
        <v>0.0709728680361867</v>
      </c>
      <c r="D462" s="2" t="n">
        <v>0</v>
      </c>
      <c r="E462" s="2" t="n">
        <v>0</v>
      </c>
    </row>
    <row r="463" customFormat="false" ht="13.8" hidden="false" customHeight="false" outlineLevel="0" collapsed="false">
      <c r="B463" s="2" t="n">
        <v>461</v>
      </c>
      <c r="C463" s="2" t="n">
        <v>0.0860525333333333</v>
      </c>
      <c r="D463" s="2" t="n">
        <v>0</v>
      </c>
      <c r="E463" s="2" t="n">
        <v>0</v>
      </c>
    </row>
    <row r="464" customFormat="false" ht="13.8" hidden="false" customHeight="false" outlineLevel="0" collapsed="false">
      <c r="B464" s="2" t="n">
        <v>462</v>
      </c>
      <c r="C464" s="2" t="n">
        <v>0.0711198833333333</v>
      </c>
      <c r="D464" s="2" t="n">
        <v>0</v>
      </c>
      <c r="E464" s="2" t="n">
        <v>9.53674316406251E-019</v>
      </c>
    </row>
    <row r="465" customFormat="false" ht="13.8" hidden="false" customHeight="false" outlineLevel="0" collapsed="false">
      <c r="B465" s="2" t="n">
        <v>463</v>
      </c>
      <c r="C465" s="2" t="n">
        <v>0.10451965</v>
      </c>
      <c r="D465" s="2" t="n">
        <v>0</v>
      </c>
      <c r="E465" s="2" t="n">
        <v>0</v>
      </c>
    </row>
    <row r="466" customFormat="false" ht="13.8" hidden="false" customHeight="false" outlineLevel="0" collapsed="false">
      <c r="B466" s="2" t="n">
        <v>464</v>
      </c>
      <c r="C466" s="2" t="n">
        <v>0.102652883333333</v>
      </c>
      <c r="D466" s="2" t="n">
        <v>0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0.1174201</v>
      </c>
      <c r="D467" s="2" t="n">
        <v>0</v>
      </c>
      <c r="E467" s="2" t="n">
        <v>0</v>
      </c>
    </row>
    <row r="468" customFormat="false" ht="13.8" hidden="false" customHeight="false" outlineLevel="0" collapsed="false">
      <c r="B468" s="2" t="n">
        <v>466</v>
      </c>
      <c r="C468" s="2" t="n">
        <v>0.0774041833333334</v>
      </c>
      <c r="D468" s="2" t="n">
        <v>0</v>
      </c>
      <c r="E468" s="2" t="n">
        <v>2.38418579101563E-019</v>
      </c>
    </row>
    <row r="469" customFormat="false" ht="13.8" hidden="false" customHeight="false" outlineLevel="0" collapsed="false">
      <c r="B469" s="2" t="n">
        <v>467</v>
      </c>
      <c r="C469" s="2" t="n">
        <v>0.10097095</v>
      </c>
      <c r="D469" s="2" t="n">
        <v>0</v>
      </c>
      <c r="E469" s="2" t="n">
        <v>1.78813934326172E-019</v>
      </c>
    </row>
    <row r="470" customFormat="false" ht="13.8" hidden="false" customHeight="false" outlineLevel="0" collapsed="false">
      <c r="B470" s="2" t="n">
        <v>468</v>
      </c>
      <c r="C470" s="2" t="n">
        <v>0.0777704</v>
      </c>
      <c r="D470" s="2" t="n">
        <v>0</v>
      </c>
      <c r="E470" s="2" t="n">
        <v>2.38418579101563E-019</v>
      </c>
    </row>
    <row r="471" customFormat="false" ht="13.8" hidden="false" customHeight="false" outlineLevel="0" collapsed="false">
      <c r="B471" s="2" t="n">
        <v>469</v>
      </c>
      <c r="C471" s="2" t="n">
        <v>0.0893877</v>
      </c>
      <c r="D471" s="2" t="n">
        <v>0</v>
      </c>
      <c r="E471" s="2" t="n">
        <v>0</v>
      </c>
    </row>
    <row r="472" customFormat="false" ht="13.8" hidden="false" customHeight="false" outlineLevel="0" collapsed="false">
      <c r="B472" s="2" t="n">
        <v>470</v>
      </c>
      <c r="C472" s="2" t="n">
        <v>0.0997037</v>
      </c>
      <c r="D472" s="2" t="n">
        <v>0</v>
      </c>
      <c r="E472" s="2" t="n">
        <v>2.38418579101563E-019</v>
      </c>
    </row>
    <row r="473" customFormat="false" ht="13.8" hidden="false" customHeight="false" outlineLevel="0" collapsed="false">
      <c r="B473" s="2" t="n">
        <v>471</v>
      </c>
      <c r="C473" s="2" t="n">
        <v>0.0627541333333333</v>
      </c>
      <c r="D473" s="2" t="n">
        <v>0</v>
      </c>
      <c r="E473" s="2" t="n">
        <v>0</v>
      </c>
    </row>
    <row r="474" customFormat="false" ht="13.8" hidden="false" customHeight="false" outlineLevel="0" collapsed="false">
      <c r="B474" s="2" t="n">
        <v>472</v>
      </c>
      <c r="C474" s="2" t="n">
        <v>0.09150405</v>
      </c>
      <c r="D474" s="2" t="n">
        <v>0</v>
      </c>
      <c r="E474" s="2" t="n">
        <v>2.38418579101563E-019</v>
      </c>
    </row>
    <row r="475" customFormat="false" ht="13.8" hidden="false" customHeight="false" outlineLevel="0" collapsed="false">
      <c r="B475" s="2" t="n">
        <v>473</v>
      </c>
      <c r="C475" s="2" t="n">
        <v>0.0661038166666667</v>
      </c>
      <c r="D475" s="2" t="n">
        <v>0</v>
      </c>
      <c r="E475" s="2" t="n">
        <v>0</v>
      </c>
    </row>
    <row r="476" customFormat="false" ht="13.8" hidden="false" customHeight="false" outlineLevel="0" collapsed="false">
      <c r="B476" s="2" t="n">
        <v>474</v>
      </c>
      <c r="C476" s="2" t="n">
        <v>0.0921705166666667</v>
      </c>
      <c r="D476" s="2" t="n">
        <v>0.0614451953441469</v>
      </c>
      <c r="E476" s="2" t="n">
        <v>2.14576721191407E-018</v>
      </c>
    </row>
    <row r="477" customFormat="false" ht="13.8" hidden="false" customHeight="false" outlineLevel="0" collapsed="false">
      <c r="B477" s="2" t="n">
        <v>475</v>
      </c>
      <c r="C477" s="2" t="n">
        <v>0.0544203666666667</v>
      </c>
      <c r="D477" s="2" t="n">
        <v>0.1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0.0557041833333333</v>
      </c>
      <c r="D478" s="2" t="n">
        <v>0.1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0.03033615</v>
      </c>
      <c r="D479" s="2" t="n">
        <v>0.1</v>
      </c>
      <c r="E479" s="2" t="n">
        <v>0</v>
      </c>
    </row>
    <row r="480" customFormat="false" ht="13.8" hidden="false" customHeight="false" outlineLevel="0" collapsed="false">
      <c r="B480" s="2" t="n">
        <v>478</v>
      </c>
      <c r="C480" s="2" t="n">
        <v>0.0532191166666667</v>
      </c>
      <c r="D480" s="2" t="n">
        <v>0.1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0.0453190166666667</v>
      </c>
      <c r="D481" s="2" t="n">
        <v>0.1</v>
      </c>
      <c r="E481" s="2" t="n">
        <v>0</v>
      </c>
    </row>
    <row r="482" customFormat="false" ht="13.8" hidden="false" customHeight="false" outlineLevel="0" collapsed="false">
      <c r="B482" s="2" t="n">
        <v>480</v>
      </c>
      <c r="C482" s="2" t="n">
        <v>0.01512</v>
      </c>
      <c r="D482" s="2" t="n">
        <v>0.1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0.00851945</v>
      </c>
      <c r="D483" s="2" t="n">
        <v>0.0666666666666667</v>
      </c>
      <c r="E483" s="2" t="n">
        <v>4.59654984297232E-019</v>
      </c>
    </row>
    <row r="484" customFormat="false" ht="13.8" hidden="false" customHeight="false" outlineLevel="0" collapsed="false">
      <c r="B484" s="2" t="n">
        <v>482</v>
      </c>
      <c r="C484" s="2" t="n">
        <v>0.0382693166666667</v>
      </c>
      <c r="D484" s="2" t="n">
        <v>0.1</v>
      </c>
      <c r="E484" s="2" t="n">
        <v>0</v>
      </c>
    </row>
    <row r="485" customFormat="false" ht="13.8" hidden="false" customHeight="false" outlineLevel="0" collapsed="false">
      <c r="B485" s="2" t="n">
        <v>483</v>
      </c>
      <c r="C485" s="2" t="n">
        <v>0.07006815</v>
      </c>
      <c r="D485" s="2" t="n">
        <v>0.1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0.0409678</v>
      </c>
      <c r="D486" s="2" t="n">
        <v>0.1</v>
      </c>
      <c r="E486" s="2" t="n">
        <v>9.53674316406251E-019</v>
      </c>
    </row>
    <row r="487" customFormat="false" ht="13.8" hidden="false" customHeight="false" outlineLevel="0" collapsed="false">
      <c r="B487" s="2" t="n">
        <v>485</v>
      </c>
      <c r="C487" s="2" t="n">
        <v>0.0519837</v>
      </c>
      <c r="D487" s="2" t="n">
        <v>0.1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0.0158503</v>
      </c>
      <c r="D488" s="2" t="n">
        <v>0.1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0.0210005166666667</v>
      </c>
      <c r="D489" s="2" t="n">
        <v>0.1</v>
      </c>
      <c r="E489" s="2" t="n">
        <v>1.07288360595703E-018</v>
      </c>
    </row>
    <row r="490" customFormat="false" ht="13.8" hidden="false" customHeight="false" outlineLevel="0" collapsed="false">
      <c r="B490" s="2" t="n">
        <v>488</v>
      </c>
      <c r="C490" s="2" t="n">
        <v>0.01235005</v>
      </c>
      <c r="D490" s="2" t="n">
        <v>0.1</v>
      </c>
      <c r="E490" s="2" t="n">
        <v>0</v>
      </c>
    </row>
    <row r="491" customFormat="false" ht="13.8" hidden="false" customHeight="false" outlineLevel="0" collapsed="false">
      <c r="B491" s="2" t="n">
        <v>489</v>
      </c>
      <c r="C491" s="2" t="n">
        <v>0.09403335</v>
      </c>
      <c r="D491" s="2" t="n">
        <v>0.1</v>
      </c>
      <c r="E491" s="2" t="n">
        <v>0</v>
      </c>
    </row>
    <row r="492" customFormat="false" ht="13.8" hidden="false" customHeight="false" outlineLevel="0" collapsed="false">
      <c r="B492" s="2" t="n">
        <v>490</v>
      </c>
      <c r="C492" s="2" t="n">
        <v>0.0119833666666667</v>
      </c>
      <c r="D492" s="2" t="n">
        <v>0.1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0.0898667</v>
      </c>
      <c r="D493" s="2" t="n">
        <v>0.1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0.0141001666666667</v>
      </c>
      <c r="D494" s="2" t="n">
        <v>0.1</v>
      </c>
      <c r="E494" s="2" t="n">
        <v>7.15255737304689E-019</v>
      </c>
    </row>
    <row r="495" customFormat="false" ht="13.8" hidden="false" customHeight="false" outlineLevel="0" collapsed="false">
      <c r="B495" s="2" t="n">
        <v>493</v>
      </c>
      <c r="C495" s="2" t="n">
        <v>0.100866833333333</v>
      </c>
      <c r="D495" s="2" t="n">
        <v>0.1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0.0431834833333333</v>
      </c>
      <c r="D496" s="2" t="n">
        <v>0.1</v>
      </c>
      <c r="E496" s="2" t="n">
        <v>2.62260437011719E-018</v>
      </c>
    </row>
    <row r="497" customFormat="false" ht="13.8" hidden="false" customHeight="false" outlineLevel="0" collapsed="false">
      <c r="B497" s="2" t="n">
        <v>495</v>
      </c>
      <c r="C497" s="2" t="n">
        <v>0.103500083333333</v>
      </c>
      <c r="D497" s="2" t="n">
        <v>0.1</v>
      </c>
      <c r="E497" s="2" t="n">
        <v>2.98023223876954E-018</v>
      </c>
    </row>
    <row r="498" customFormat="false" ht="13.8" hidden="false" customHeight="false" outlineLevel="0" collapsed="false">
      <c r="B498" s="2" t="n">
        <v>496</v>
      </c>
      <c r="C498" s="2" t="n">
        <v>0.0380002333333333</v>
      </c>
      <c r="D498" s="2" t="n">
        <v>0.1</v>
      </c>
      <c r="E498" s="2" t="n">
        <v>7.15255737304689E-019</v>
      </c>
    </row>
    <row r="499" customFormat="false" ht="13.8" hidden="false" customHeight="false" outlineLevel="0" collapsed="false">
      <c r="B499" s="2" t="n">
        <v>497</v>
      </c>
      <c r="C499" s="2" t="n">
        <v>0.0988167833333333</v>
      </c>
      <c r="D499" s="2" t="n">
        <v>0.1</v>
      </c>
      <c r="E499" s="2" t="n">
        <v>0</v>
      </c>
    </row>
    <row r="500" customFormat="false" ht="13.8" hidden="false" customHeight="false" outlineLevel="0" collapsed="false">
      <c r="B500" s="2" t="n">
        <v>498</v>
      </c>
      <c r="C500" s="2" t="n">
        <v>0.0318335166666667</v>
      </c>
      <c r="D500" s="2" t="n">
        <v>0.1</v>
      </c>
      <c r="E500" s="2" t="n">
        <v>7.15255737304689E-019</v>
      </c>
    </row>
    <row r="501" customFormat="false" ht="13.8" hidden="false" customHeight="false" outlineLevel="0" collapsed="false">
      <c r="B501" s="2" t="n">
        <v>499</v>
      </c>
      <c r="C501" s="2" t="n">
        <v>0.0921167</v>
      </c>
      <c r="D501" s="2" t="n">
        <v>0.1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0.0305</v>
      </c>
      <c r="D502" s="2" t="n">
        <v>0.1</v>
      </c>
      <c r="E502" s="2" t="n">
        <v>7.15255737304689E-019</v>
      </c>
    </row>
    <row r="503" customFormat="false" ht="13.8" hidden="false" customHeight="false" outlineLevel="0" collapsed="false">
      <c r="B503" s="2" t="n">
        <v>501</v>
      </c>
      <c r="C503" s="2" t="n">
        <v>0.0920501333333333</v>
      </c>
      <c r="D503" s="2" t="n">
        <v>0.1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0.0312543843221529</v>
      </c>
      <c r="D504" s="2" t="n">
        <v>0.099955809554046</v>
      </c>
      <c r="E504" s="2" t="n">
        <v>7.15255737304689E-019</v>
      </c>
    </row>
    <row r="505" customFormat="false" ht="13.8" hidden="false" customHeight="false" outlineLevel="0" collapsed="false">
      <c r="B505" s="2" t="n">
        <v>503</v>
      </c>
      <c r="C505" s="2" t="n">
        <v>0.0920255186443058</v>
      </c>
      <c r="D505" s="2" t="n">
        <v>0.0865782857747587</v>
      </c>
      <c r="E505" s="2" t="n">
        <v>5.45382499694825E-018</v>
      </c>
    </row>
    <row r="506" customFormat="false" ht="13.8" hidden="false" customHeight="false" outlineLevel="0" collapsed="false">
      <c r="B506" s="2" t="n">
        <v>504</v>
      </c>
      <c r="C506" s="2" t="n">
        <v>0.0299630196331254</v>
      </c>
      <c r="D506" s="2" t="n">
        <v>0</v>
      </c>
      <c r="E506" s="2" t="n">
        <v>9.68575477600099E-020</v>
      </c>
    </row>
    <row r="507" customFormat="false" ht="13.8" hidden="false" customHeight="false" outlineLevel="0" collapsed="false">
      <c r="B507" s="2" t="n">
        <v>505</v>
      </c>
      <c r="C507" s="2" t="n">
        <v>0.0910673372886116</v>
      </c>
      <c r="D507" s="2" t="n">
        <v>0</v>
      </c>
      <c r="E507" s="2" t="n">
        <v>0</v>
      </c>
    </row>
    <row r="508" customFormat="false" ht="13.8" hidden="false" customHeight="false" outlineLevel="0" collapsed="false">
      <c r="B508" s="2" t="n">
        <v>506</v>
      </c>
      <c r="C508" s="2" t="n">
        <v>0.0283699578462391</v>
      </c>
      <c r="D508" s="2" t="n">
        <v>0</v>
      </c>
      <c r="E508" s="2" t="n">
        <v>0</v>
      </c>
    </row>
    <row r="509" customFormat="false" ht="13.8" hidden="false" customHeight="false" outlineLevel="0" collapsed="false">
      <c r="B509" s="2" t="n">
        <v>507</v>
      </c>
      <c r="C509" s="2" t="n">
        <v>0.0908393617371999</v>
      </c>
      <c r="D509" s="2" t="n">
        <v>0</v>
      </c>
      <c r="E509" s="2" t="n">
        <v>0</v>
      </c>
    </row>
    <row r="510" customFormat="false" ht="13.8" hidden="false" customHeight="false" outlineLevel="0" collapsed="false">
      <c r="B510" s="2" t="n">
        <v>508</v>
      </c>
      <c r="C510" s="2" t="n">
        <v>0.0288752989614941</v>
      </c>
      <c r="D510" s="2" t="n">
        <v>2.38418579101563E-019</v>
      </c>
      <c r="E510" s="2" t="n">
        <v>1.19209289550781E-018</v>
      </c>
    </row>
    <row r="511" customFormat="false" ht="13.8" hidden="false" customHeight="false" outlineLevel="0" collapsed="false">
      <c r="B511" s="2" t="n">
        <v>509</v>
      </c>
      <c r="C511" s="2" t="n">
        <v>0.0967446028524549</v>
      </c>
      <c r="D511" s="2" t="n">
        <v>0</v>
      </c>
      <c r="E511" s="2" t="n">
        <v>0</v>
      </c>
    </row>
    <row r="512" customFormat="false" ht="13.8" hidden="false" customHeight="false" outlineLevel="0" collapsed="false">
      <c r="B512" s="2" t="n">
        <v>510</v>
      </c>
      <c r="C512" s="2" t="n">
        <v>0.0331644985896316</v>
      </c>
      <c r="D512" s="2" t="n">
        <v>2.38418579101563E-019</v>
      </c>
      <c r="E512" s="2" t="n">
        <v>2.38418579101563E-019</v>
      </c>
    </row>
    <row r="513" customFormat="false" ht="13.8" hidden="false" customHeight="false" outlineLevel="0" collapsed="false">
      <c r="B513" s="2" t="n">
        <v>511</v>
      </c>
      <c r="C513" s="2" t="n">
        <v>0.0848505276601417</v>
      </c>
      <c r="D513" s="2" t="n">
        <v>0</v>
      </c>
      <c r="E513" s="2" t="n">
        <v>0</v>
      </c>
    </row>
    <row r="514" customFormat="false" ht="13.8" hidden="false" customHeight="false" outlineLevel="0" collapsed="false">
      <c r="B514" s="2" t="n">
        <v>512</v>
      </c>
      <c r="C514" s="2" t="n">
        <v>0.0121865233973184</v>
      </c>
      <c r="D514" s="2" t="n">
        <v>0</v>
      </c>
      <c r="E514" s="2" t="n">
        <v>1.9073486328125E-018</v>
      </c>
    </row>
    <row r="515" customFormat="false" ht="13.8" hidden="false" customHeight="false" outlineLevel="0" collapsed="false">
      <c r="B515" s="2" t="n">
        <v>513</v>
      </c>
      <c r="C515" s="2" t="n">
        <v>0.0657732691344952</v>
      </c>
      <c r="D515" s="2" t="n">
        <v>0.0180334124960578</v>
      </c>
      <c r="E515" s="2" t="n">
        <v>0</v>
      </c>
    </row>
    <row r="516" customFormat="false" ht="13.8" hidden="false" customHeight="false" outlineLevel="0" collapsed="false">
      <c r="B516" s="2" t="n">
        <v>514</v>
      </c>
      <c r="C516" s="2" t="n">
        <v>0</v>
      </c>
      <c r="D516" s="2" t="n">
        <v>0</v>
      </c>
      <c r="E516" s="2" t="n">
        <v>0</v>
      </c>
    </row>
    <row r="517" customFormat="false" ht="13.8" hidden="false" customHeight="false" outlineLevel="0" collapsed="false">
      <c r="B517" s="2" t="n">
        <v>515</v>
      </c>
      <c r="C517" s="2" t="n">
        <v>0.0518450032028158</v>
      </c>
      <c r="D517" s="2" t="n">
        <v>0.22461931975753</v>
      </c>
      <c r="E517" s="2" t="n">
        <v>7.15255737304689E-019</v>
      </c>
    </row>
    <row r="518" customFormat="false" ht="13.8" hidden="false" customHeight="false" outlineLevel="0" collapsed="false">
      <c r="B518" s="2" t="n">
        <v>516</v>
      </c>
      <c r="C518" s="2" t="n">
        <v>0</v>
      </c>
      <c r="D518" s="2" t="n">
        <v>5.79488840483952E-010</v>
      </c>
      <c r="E518" s="2" t="n">
        <v>9.53674316406251E-019</v>
      </c>
    </row>
    <row r="519" customFormat="false" ht="13.8" hidden="false" customHeight="false" outlineLevel="0" collapsed="false">
      <c r="B519" s="2" t="n">
        <v>517</v>
      </c>
      <c r="C519" s="2" t="n">
        <v>4.76837158203126E-019</v>
      </c>
      <c r="D519" s="2" t="n">
        <v>0</v>
      </c>
      <c r="E519" s="2" t="n">
        <v>7.15255737304689E-019</v>
      </c>
    </row>
    <row r="520" customFormat="false" ht="13.8" hidden="false" customHeight="false" outlineLevel="0" collapsed="false">
      <c r="B520" s="2" t="n">
        <v>518</v>
      </c>
      <c r="C520" s="2" t="n">
        <v>0.025434480517116</v>
      </c>
      <c r="D520" s="2" t="n">
        <v>1.37443076929097E-009</v>
      </c>
      <c r="E520" s="2" t="n">
        <v>0</v>
      </c>
    </row>
    <row r="521" customFormat="false" ht="13.8" hidden="false" customHeight="false" outlineLevel="0" collapsed="false">
      <c r="B521" s="2" t="n">
        <v>519</v>
      </c>
      <c r="C521" s="2" t="n">
        <v>0.00226962376309558</v>
      </c>
      <c r="D521" s="2" t="n">
        <v>1.64932517081103E-009</v>
      </c>
      <c r="E521" s="2" t="n">
        <v>7.15255737304689E-019</v>
      </c>
    </row>
    <row r="522" customFormat="false" ht="13.8" hidden="false" customHeight="false" outlineLevel="0" collapsed="false">
      <c r="B522" s="2" t="n">
        <v>520</v>
      </c>
      <c r="C522" s="2" t="n">
        <v>0.0119380336757418</v>
      </c>
      <c r="D522" s="2" t="n">
        <v>1.92422231890761E-009</v>
      </c>
      <c r="E522" s="2" t="n">
        <v>0</v>
      </c>
    </row>
    <row r="523" customFormat="false" ht="13.8" hidden="false" customHeight="false" outlineLevel="0" collapsed="false">
      <c r="B523" s="2" t="n">
        <v>521</v>
      </c>
      <c r="C523" s="2" t="n">
        <v>0.00313944358838807</v>
      </c>
      <c r="D523" s="2" t="n">
        <v>2.19912221358073E-009</v>
      </c>
      <c r="E523" s="2" t="n">
        <v>2.38418579101563E-019</v>
      </c>
    </row>
    <row r="524" customFormat="false" ht="13.8" hidden="false" customHeight="false" outlineLevel="0" collapsed="false">
      <c r="B524" s="2" t="n">
        <v>522</v>
      </c>
      <c r="C524" s="2" t="n">
        <v>0.00180119447223813</v>
      </c>
      <c r="D524" s="2" t="n">
        <v>2.47402486245978E-009</v>
      </c>
      <c r="E524" s="2" t="n">
        <v>1.9073486328125E-018</v>
      </c>
    </row>
    <row r="525" customFormat="false" ht="13.8" hidden="false" customHeight="false" outlineLevel="0" collapsed="false">
      <c r="B525" s="2" t="n">
        <v>523</v>
      </c>
      <c r="C525" s="2" t="n">
        <v>0</v>
      </c>
      <c r="D525" s="2" t="n">
        <v>0</v>
      </c>
      <c r="E525" s="2" t="n">
        <v>3.09944152832032E-018</v>
      </c>
    </row>
    <row r="526" customFormat="false" ht="13.8" hidden="false" customHeight="false" outlineLevel="0" collapsed="false">
      <c r="B526" s="2" t="n">
        <v>524</v>
      </c>
      <c r="C526" s="2" t="n">
        <v>0</v>
      </c>
      <c r="D526" s="2" t="n">
        <v>2.77865741931685E-009</v>
      </c>
      <c r="E526" s="2" t="n">
        <v>1.9073486328125E-018</v>
      </c>
    </row>
    <row r="527" customFormat="false" ht="13.8" hidden="false" customHeight="false" outlineLevel="0" collapsed="false">
      <c r="B527" s="2" t="n">
        <v>525</v>
      </c>
      <c r="C527" s="2" t="n">
        <v>0</v>
      </c>
      <c r="D527" s="2" t="n">
        <v>0</v>
      </c>
      <c r="E527" s="2" t="n">
        <v>3.81469726562501E-018</v>
      </c>
    </row>
    <row r="528" customFormat="false" ht="13.8" hidden="false" customHeight="false" outlineLevel="0" collapsed="false">
      <c r="B528" s="2" t="n">
        <v>526</v>
      </c>
      <c r="C528" s="2" t="n">
        <v>0</v>
      </c>
      <c r="D528" s="2" t="n">
        <v>0</v>
      </c>
      <c r="E528" s="2" t="n">
        <v>0</v>
      </c>
    </row>
    <row r="529" customFormat="false" ht="13.8" hidden="false" customHeight="false" outlineLevel="0" collapsed="false">
      <c r="B529" s="2" t="n">
        <v>527</v>
      </c>
      <c r="C529" s="2" t="n">
        <v>0</v>
      </c>
      <c r="D529" s="2" t="n">
        <v>0</v>
      </c>
      <c r="E529" s="2" t="n">
        <v>3.57627868652344E-018</v>
      </c>
    </row>
    <row r="530" customFormat="false" ht="13.8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0</v>
      </c>
    </row>
    <row r="531" customFormat="false" ht="13.8" hidden="false" customHeight="false" outlineLevel="0" collapsed="false">
      <c r="B531" s="2" t="n">
        <v>529</v>
      </c>
      <c r="C531" s="2" t="n">
        <v>0</v>
      </c>
      <c r="D531" s="2" t="n">
        <v>0</v>
      </c>
      <c r="E531" s="2" t="n">
        <v>1.66893005371094E-018</v>
      </c>
    </row>
    <row r="532" customFormat="false" ht="13.8" hidden="false" customHeight="false" outlineLevel="0" collapsed="false">
      <c r="B532" s="2" t="n">
        <v>530</v>
      </c>
      <c r="C532" s="2" t="n">
        <v>0</v>
      </c>
      <c r="D532" s="2" t="n">
        <v>0</v>
      </c>
      <c r="E532" s="2" t="n">
        <v>0</v>
      </c>
    </row>
    <row r="533" customFormat="false" ht="13.8" hidden="false" customHeight="false" outlineLevel="0" collapsed="false">
      <c r="B533" s="2" t="n">
        <v>531</v>
      </c>
      <c r="C533" s="2" t="n">
        <v>0.0226011405856963</v>
      </c>
      <c r="D533" s="2" t="n">
        <v>4.94827238223846E-009</v>
      </c>
      <c r="E533" s="2" t="n">
        <v>0</v>
      </c>
    </row>
    <row r="534" customFormat="false" ht="13.8" hidden="false" customHeight="false" outlineLevel="0" collapsed="false">
      <c r="B534" s="2" t="n">
        <v>532</v>
      </c>
      <c r="C534" s="2" t="n">
        <v>0</v>
      </c>
      <c r="D534" s="2" t="n">
        <v>4.97800193545038E-009</v>
      </c>
      <c r="E534" s="2" t="n">
        <v>2.86102294921876E-018</v>
      </c>
    </row>
    <row r="535" customFormat="false" ht="13.8" hidden="false" customHeight="false" outlineLevel="0" collapsed="false">
      <c r="B535" s="2" t="n">
        <v>533</v>
      </c>
      <c r="C535" s="2" t="n">
        <v>0.00212132271319977</v>
      </c>
      <c r="D535" s="2" t="n">
        <v>5.49813541532417E-009</v>
      </c>
      <c r="E535" s="2" t="n">
        <v>0</v>
      </c>
    </row>
    <row r="536" customFormat="false" ht="13.8" hidden="false" customHeight="false" outlineLevel="0" collapsed="false">
      <c r="B536" s="2" t="n">
        <v>534</v>
      </c>
      <c r="C536" s="2" t="n">
        <v>0.0206067649278406</v>
      </c>
      <c r="D536" s="2" t="n">
        <v>5.77307104982447E-009</v>
      </c>
      <c r="E536" s="2" t="n">
        <v>0</v>
      </c>
    </row>
    <row r="537" customFormat="false" ht="13.8" hidden="false" customHeight="false" outlineLevel="0" collapsed="false">
      <c r="B537" s="2" t="n">
        <v>535</v>
      </c>
      <c r="C537" s="2" t="n">
        <v>0</v>
      </c>
      <c r="D537" s="2" t="n">
        <v>5.80280149185907E-009</v>
      </c>
      <c r="E537" s="2" t="n">
        <v>0</v>
      </c>
    </row>
    <row r="538" customFormat="false" ht="13.8" hidden="false" customHeight="false" outlineLevel="0" collapsed="false">
      <c r="B538" s="2" t="n">
        <v>536</v>
      </c>
      <c r="C538" s="2" t="n">
        <v>0.0360796172230141</v>
      </c>
      <c r="D538" s="2" t="n">
        <v>0.160440794230275</v>
      </c>
      <c r="E538" s="2" t="n">
        <v>3.57627868652347E-017</v>
      </c>
    </row>
    <row r="539" customFormat="false" ht="13.8" hidden="false" customHeight="false" outlineLevel="0" collapsed="false">
      <c r="B539" s="2" t="n">
        <v>537</v>
      </c>
      <c r="C539" s="2" t="n">
        <v>0.0409465582384298</v>
      </c>
      <c r="D539" s="2" t="n">
        <v>0.0890003510346794</v>
      </c>
      <c r="E539" s="2" t="n">
        <v>2.38418579101563E-018</v>
      </c>
    </row>
    <row r="540" customFormat="false" ht="13.8" hidden="false" customHeight="false" outlineLevel="0" collapsed="false">
      <c r="B540" s="2" t="n">
        <v>538</v>
      </c>
      <c r="C540" s="2" t="n">
        <v>0.052679022399072</v>
      </c>
      <c r="D540" s="2" t="n">
        <v>0.0507105185273091</v>
      </c>
      <c r="E540" s="2" t="n">
        <v>9.53674316406251E-019</v>
      </c>
    </row>
    <row r="541" customFormat="false" ht="13.8" hidden="false" customHeight="false" outlineLevel="0" collapsed="false">
      <c r="B541" s="2" t="n">
        <v>539</v>
      </c>
      <c r="C541" s="2" t="n">
        <v>0.049678086559714</v>
      </c>
      <c r="D541" s="2" t="n">
        <v>0.0150874360199399</v>
      </c>
      <c r="E541" s="2" t="n">
        <v>0</v>
      </c>
    </row>
    <row r="542" customFormat="false" ht="13.8" hidden="false" customHeight="false" outlineLevel="0" collapsed="false">
      <c r="B542" s="2" t="n">
        <v>540</v>
      </c>
      <c r="C542" s="2" t="n">
        <v>0.0339519720608522</v>
      </c>
      <c r="D542" s="2" t="n">
        <v>0.00572276550540594</v>
      </c>
      <c r="E542" s="2" t="n">
        <v>4.76837158203126E-019</v>
      </c>
    </row>
    <row r="543" customFormat="false" ht="13.8" hidden="false" customHeight="false" outlineLevel="0" collapsed="false">
      <c r="B543" s="2" t="n">
        <v>541</v>
      </c>
      <c r="C543" s="2" t="n">
        <v>0.00772773654723341</v>
      </c>
      <c r="D543" s="2" t="n">
        <v>0</v>
      </c>
      <c r="E543" s="2" t="n">
        <v>0</v>
      </c>
    </row>
    <row r="544" customFormat="false" ht="13.8" hidden="false" customHeight="false" outlineLevel="0" collapsed="false">
      <c r="B544" s="2" t="n">
        <v>542</v>
      </c>
      <c r="C544" s="2" t="n">
        <v>0.00496623759573369</v>
      </c>
      <c r="D544" s="2" t="n">
        <v>0</v>
      </c>
      <c r="E544" s="2" t="n">
        <v>0</v>
      </c>
    </row>
    <row r="545" customFormat="false" ht="13.8" hidden="false" customHeight="false" outlineLevel="0" collapsed="false">
      <c r="B545" s="2" t="n">
        <v>543</v>
      </c>
      <c r="C545" s="2" t="n">
        <v>0.0115860654942052</v>
      </c>
      <c r="D545" s="2" t="n">
        <v>0</v>
      </c>
      <c r="E545" s="2" t="n">
        <v>0</v>
      </c>
    </row>
    <row r="546" customFormat="false" ht="13.8" hidden="false" customHeight="false" outlineLevel="0" collapsed="false">
      <c r="B546" s="2" t="n">
        <v>544</v>
      </c>
      <c r="C546" s="2" t="n">
        <v>0.00385340688718798</v>
      </c>
      <c r="D546" s="2" t="n">
        <v>0</v>
      </c>
      <c r="E546" s="2" t="n">
        <v>0</v>
      </c>
    </row>
    <row r="547" customFormat="false" ht="13.8" hidden="false" customHeight="false" outlineLevel="0" collapsed="false">
      <c r="B547" s="2" t="n">
        <v>545</v>
      </c>
      <c r="C547" s="2" t="n">
        <v>0.050856617216069</v>
      </c>
      <c r="D547" s="2" t="n">
        <v>0</v>
      </c>
      <c r="E547" s="2" t="n">
        <v>0</v>
      </c>
    </row>
    <row r="548" customFormat="false" ht="13.8" hidden="false" customHeight="false" outlineLevel="0" collapsed="false">
      <c r="B548" s="2" t="n">
        <v>546</v>
      </c>
      <c r="C548" s="2" t="n">
        <v>0.0688919542564413</v>
      </c>
      <c r="D548" s="2" t="n">
        <v>0</v>
      </c>
      <c r="E548" s="2" t="n">
        <v>9.53674316406251E-019</v>
      </c>
    </row>
    <row r="549" customFormat="false" ht="13.8" hidden="false" customHeight="false" outlineLevel="0" collapsed="false">
      <c r="B549" s="2" t="n">
        <v>547</v>
      </c>
      <c r="C549" s="2" t="n">
        <v>0.0615245318397937</v>
      </c>
      <c r="D549" s="2" t="n">
        <v>0</v>
      </c>
      <c r="E549" s="2" t="n">
        <v>0</v>
      </c>
    </row>
    <row r="550" customFormat="false" ht="13.8" hidden="false" customHeight="false" outlineLevel="0" collapsed="false">
      <c r="B550" s="2" t="n">
        <v>548</v>
      </c>
      <c r="C550" s="2" t="n">
        <v>0.0694066594231462</v>
      </c>
      <c r="D550" s="2" t="n">
        <v>9.53674316406251E-019</v>
      </c>
      <c r="E550" s="2" t="n">
        <v>9.53674316406251E-019</v>
      </c>
    </row>
    <row r="551" customFormat="false" ht="13.8" hidden="false" customHeight="false" outlineLevel="0" collapsed="false">
      <c r="B551" s="2" t="n">
        <v>549</v>
      </c>
      <c r="C551" s="2" t="n">
        <v>0.0632890370064987</v>
      </c>
      <c r="D551" s="2" t="n">
        <v>4.76837158203126E-019</v>
      </c>
      <c r="E551" s="2" t="n">
        <v>0</v>
      </c>
    </row>
    <row r="552" customFormat="false" ht="13.8" hidden="false" customHeight="false" outlineLevel="0" collapsed="false">
      <c r="B552" s="2" t="n">
        <v>550</v>
      </c>
      <c r="C552" s="2" t="n">
        <v>0.073141790254874</v>
      </c>
      <c r="D552" s="2" t="n">
        <v>0</v>
      </c>
      <c r="E552" s="2" t="n">
        <v>0</v>
      </c>
    </row>
    <row r="553" customFormat="false" ht="13.8" hidden="false" customHeight="false" outlineLevel="0" collapsed="false">
      <c r="B553" s="2" t="n">
        <v>551</v>
      </c>
      <c r="C553" s="2" t="n">
        <v>0.066244760169916</v>
      </c>
      <c r="D553" s="2" t="n">
        <v>0</v>
      </c>
      <c r="E553" s="2" t="n">
        <v>0</v>
      </c>
    </row>
    <row r="554" customFormat="false" ht="13.8" hidden="false" customHeight="false" outlineLevel="0" collapsed="false">
      <c r="B554" s="2" t="n">
        <v>552</v>
      </c>
      <c r="C554" s="2" t="n">
        <v>0.0747808634182913</v>
      </c>
      <c r="D554" s="2" t="n">
        <v>0</v>
      </c>
      <c r="E554" s="2" t="n">
        <v>4.76837158203126E-019</v>
      </c>
    </row>
    <row r="555" customFormat="false" ht="13.8" hidden="false" customHeight="false" outlineLevel="0" collapsed="false">
      <c r="B555" s="2" t="n">
        <v>553</v>
      </c>
      <c r="C555" s="2" t="n">
        <v>0.06845085</v>
      </c>
      <c r="D555" s="2" t="n">
        <v>0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0.0974007166666667</v>
      </c>
      <c r="D556" s="2" t="n">
        <v>0</v>
      </c>
      <c r="E556" s="2" t="n">
        <v>1.19209289550781E-018</v>
      </c>
    </row>
    <row r="557" customFormat="false" ht="13.8" hidden="false" customHeight="false" outlineLevel="0" collapsed="false">
      <c r="B557" s="2" t="n">
        <v>555</v>
      </c>
      <c r="C557" s="2" t="n">
        <v>0.0954513166666667</v>
      </c>
      <c r="D557" s="2" t="n">
        <v>0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0.110118883333333</v>
      </c>
      <c r="D558" s="2" t="n">
        <v>0</v>
      </c>
      <c r="E558" s="2" t="n">
        <v>2.38418579101563E-019</v>
      </c>
    </row>
    <row r="559" customFormat="false" ht="13.8" hidden="false" customHeight="false" outlineLevel="0" collapsed="false">
      <c r="B559" s="2" t="n">
        <v>557</v>
      </c>
      <c r="C559" s="2" t="n">
        <v>0.114819183333333</v>
      </c>
      <c r="D559" s="2" t="n">
        <v>0</v>
      </c>
      <c r="E559" s="2" t="n">
        <v>4.76837158203126E-019</v>
      </c>
    </row>
    <row r="560" customFormat="false" ht="13.8" hidden="false" customHeight="false" outlineLevel="0" collapsed="false">
      <c r="B560" s="2" t="n">
        <v>558</v>
      </c>
      <c r="C560" s="2" t="n">
        <v>0.108886466666667</v>
      </c>
      <c r="D560" s="2" t="n">
        <v>0</v>
      </c>
      <c r="E560" s="2" t="n">
        <v>1.19209289550781E-018</v>
      </c>
    </row>
    <row r="561" customFormat="false" ht="13.8" hidden="false" customHeight="false" outlineLevel="0" collapsed="false">
      <c r="B561" s="2" t="n">
        <v>559</v>
      </c>
      <c r="C561" s="2" t="n">
        <v>0.0562206333333333</v>
      </c>
      <c r="D561" s="2" t="n">
        <v>0</v>
      </c>
      <c r="E561" s="2" t="n">
        <v>7.15255737304689E-019</v>
      </c>
    </row>
    <row r="562" customFormat="false" ht="13.8" hidden="false" customHeight="false" outlineLevel="0" collapsed="false">
      <c r="B562" s="2" t="n">
        <v>560</v>
      </c>
      <c r="C562" s="2" t="n">
        <v>0.0799372</v>
      </c>
      <c r="D562" s="2" t="n">
        <v>0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0.100870666666667</v>
      </c>
      <c r="D563" s="2" t="n">
        <v>0</v>
      </c>
      <c r="E563" s="2" t="n">
        <v>1.19209289550781E-019</v>
      </c>
    </row>
    <row r="564" customFormat="false" ht="13.8" hidden="false" customHeight="false" outlineLevel="0" collapsed="false">
      <c r="B564" s="2" t="n">
        <v>562</v>
      </c>
      <c r="C564" s="2" t="n">
        <v>0.0698882166666667</v>
      </c>
      <c r="D564" s="2" t="n">
        <v>0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0.0747041333333333</v>
      </c>
      <c r="D565" s="2" t="n">
        <v>0</v>
      </c>
      <c r="E565" s="2" t="n">
        <v>2.38418579101563E-019</v>
      </c>
    </row>
    <row r="566" customFormat="false" ht="13.8" hidden="false" customHeight="false" outlineLevel="0" collapsed="false">
      <c r="B566" s="2" t="n">
        <v>564</v>
      </c>
      <c r="C566" s="2" t="n">
        <v>0.109936783333333</v>
      </c>
      <c r="D566" s="2" t="n">
        <v>0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0.119786933333333</v>
      </c>
      <c r="D567" s="2" t="n">
        <v>0</v>
      </c>
      <c r="E567" s="2" t="n">
        <v>1.43051147460938E-018</v>
      </c>
    </row>
    <row r="568" customFormat="false" ht="13.8" hidden="false" customHeight="false" outlineLevel="0" collapsed="false">
      <c r="B568" s="2" t="n">
        <v>566</v>
      </c>
      <c r="C568" s="2" t="n">
        <v>0.0930704666666667</v>
      </c>
      <c r="D568" s="2" t="n">
        <v>0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0.08272015</v>
      </c>
      <c r="D569" s="2" t="n">
        <v>0</v>
      </c>
      <c r="E569" s="2" t="n">
        <v>1.19209289550781E-019</v>
      </c>
    </row>
    <row r="570" customFormat="false" ht="13.8" hidden="false" customHeight="false" outlineLevel="0" collapsed="false">
      <c r="B570" s="2" t="n">
        <v>568</v>
      </c>
      <c r="C570" s="2" t="n">
        <v>0.0910877666666667</v>
      </c>
      <c r="D570" s="2" t="n">
        <v>0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0.0627878833333333</v>
      </c>
      <c r="D571" s="2" t="n">
        <v>0</v>
      </c>
      <c r="E571" s="2" t="n">
        <v>1.19209289550781E-019</v>
      </c>
    </row>
    <row r="572" customFormat="false" ht="13.8" hidden="false" customHeight="false" outlineLevel="0" collapsed="false">
      <c r="B572" s="2" t="n">
        <v>570</v>
      </c>
      <c r="C572" s="2" t="n">
        <v>0.0860378666666667</v>
      </c>
      <c r="D572" s="2" t="n">
        <v>0</v>
      </c>
      <c r="E572" s="2" t="n">
        <v>0</v>
      </c>
    </row>
    <row r="573" customFormat="false" ht="13.8" hidden="false" customHeight="false" outlineLevel="0" collapsed="false">
      <c r="B573" s="2" t="n">
        <v>571</v>
      </c>
      <c r="C573" s="2" t="n">
        <v>0.0955209833333333</v>
      </c>
      <c r="D573" s="2" t="n">
        <v>0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0.0731370833333333</v>
      </c>
      <c r="D574" s="2" t="n">
        <v>0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0.0593541666666667</v>
      </c>
      <c r="D575" s="2" t="n">
        <v>0.0472017271896341</v>
      </c>
      <c r="E575" s="2" t="n">
        <v>7.15255737304689E-019</v>
      </c>
    </row>
    <row r="576" customFormat="false" ht="13.8" hidden="false" customHeight="false" outlineLevel="0" collapsed="false">
      <c r="B576" s="2" t="n">
        <v>574</v>
      </c>
      <c r="C576" s="2" t="n">
        <v>0.0501202</v>
      </c>
      <c r="D576" s="2" t="n">
        <v>0.1</v>
      </c>
      <c r="E576" s="2" t="n">
        <v>0</v>
      </c>
    </row>
    <row r="577" customFormat="false" ht="13.8" hidden="false" customHeight="false" outlineLevel="0" collapsed="false">
      <c r="B577" s="2" t="n">
        <v>575</v>
      </c>
      <c r="C577" s="2" t="n">
        <v>0.04540295</v>
      </c>
      <c r="D577" s="2" t="n">
        <v>0.1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0.0520034333333333</v>
      </c>
      <c r="D578" s="2" t="n">
        <v>0.1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0.04548565</v>
      </c>
      <c r="D579" s="2" t="n">
        <v>0</v>
      </c>
      <c r="E579" s="2" t="n">
        <v>0</v>
      </c>
    </row>
    <row r="580" customFormat="false" ht="13.8" hidden="false" customHeight="false" outlineLevel="0" collapsed="false">
      <c r="B580" s="2" t="n">
        <v>578</v>
      </c>
      <c r="C580" s="2" t="n">
        <v>0.02831895</v>
      </c>
      <c r="D580" s="2" t="n">
        <v>0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0.0844180666666667</v>
      </c>
      <c r="D581" s="2" t="n">
        <v>3.41349165351548E-010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0.0140843333333333</v>
      </c>
      <c r="D582" s="2" t="n">
        <v>0.0133333333333333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0.0769670666666667</v>
      </c>
      <c r="D583" s="2" t="n">
        <v>0.1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0.0269168166666667</v>
      </c>
      <c r="D584" s="2" t="n">
        <v>0.1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0.0417001333333333</v>
      </c>
      <c r="D585" s="2" t="n">
        <v>0.1</v>
      </c>
      <c r="E585" s="2" t="n">
        <v>2.62260437011719E-018</v>
      </c>
    </row>
    <row r="586" customFormat="false" ht="13.8" hidden="false" customHeight="false" outlineLevel="0" collapsed="false">
      <c r="B586" s="2" t="n">
        <v>584</v>
      </c>
      <c r="C586" s="2" t="n">
        <v>0.0666503</v>
      </c>
      <c r="D586" s="2" t="n">
        <v>0.1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0.0277669</v>
      </c>
      <c r="D587" s="2" t="n">
        <v>0.1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0.0314835</v>
      </c>
      <c r="D588" s="2" t="n">
        <v>0.1</v>
      </c>
      <c r="E588" s="2" t="n">
        <v>7.15255737304689E-019</v>
      </c>
    </row>
    <row r="589" customFormat="false" ht="13.8" hidden="false" customHeight="false" outlineLevel="0" collapsed="false">
      <c r="B589" s="2" t="n">
        <v>587</v>
      </c>
      <c r="C589" s="2" t="n">
        <v>0.0712000666666667</v>
      </c>
      <c r="D589" s="2" t="n">
        <v>0.1</v>
      </c>
      <c r="E589" s="2" t="n">
        <v>1.07288360595703E-018</v>
      </c>
    </row>
    <row r="590" customFormat="false" ht="13.8" hidden="false" customHeight="false" outlineLevel="0" collapsed="false">
      <c r="B590" s="2" t="n">
        <v>588</v>
      </c>
      <c r="C590" s="2" t="n">
        <v>0.0193500333333333</v>
      </c>
      <c r="D590" s="2" t="n">
        <v>0.1</v>
      </c>
      <c r="E590" s="2" t="n">
        <v>3.57627868652344E-019</v>
      </c>
    </row>
    <row r="591" customFormat="false" ht="13.8" hidden="false" customHeight="false" outlineLevel="0" collapsed="false">
      <c r="B591" s="2" t="n">
        <v>589</v>
      </c>
      <c r="C591" s="2" t="n">
        <v>0.0513334666666667</v>
      </c>
      <c r="D591" s="2" t="n">
        <v>0.1</v>
      </c>
      <c r="E591" s="2" t="n">
        <v>4.29153442382813E-018</v>
      </c>
    </row>
    <row r="592" customFormat="false" ht="13.8" hidden="false" customHeight="false" outlineLevel="0" collapsed="false">
      <c r="B592" s="2" t="n">
        <v>590</v>
      </c>
      <c r="C592" s="2" t="n">
        <v>0.04225</v>
      </c>
      <c r="D592" s="2" t="n">
        <v>0.1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0.0484834</v>
      </c>
      <c r="D593" s="2" t="n">
        <v>0.1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0.0418167</v>
      </c>
      <c r="D594" s="2" t="n">
        <v>0.1</v>
      </c>
      <c r="E594" s="2" t="n">
        <v>4.76837158203126E-019</v>
      </c>
    </row>
    <row r="595" customFormat="false" ht="13.8" hidden="false" customHeight="false" outlineLevel="0" collapsed="false">
      <c r="B595" s="2" t="n">
        <v>593</v>
      </c>
      <c r="C595" s="2" t="n">
        <v>0.0248502333333333</v>
      </c>
      <c r="D595" s="2" t="n">
        <v>0.1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0.0466834333333333</v>
      </c>
      <c r="D596" s="2" t="n">
        <v>0.1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0.0387168333333333</v>
      </c>
      <c r="D597" s="2" t="n">
        <v>0.1</v>
      </c>
      <c r="E597" s="2" t="n">
        <v>7.15255737304689E-019</v>
      </c>
    </row>
    <row r="598" customFormat="false" ht="13.8" hidden="false" customHeight="false" outlineLevel="0" collapsed="false">
      <c r="B598" s="2" t="n">
        <v>596</v>
      </c>
      <c r="C598" s="2" t="n">
        <v>0.0246669666666667</v>
      </c>
      <c r="D598" s="2" t="n">
        <v>0.1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0.0510168333333333</v>
      </c>
      <c r="D599" s="2" t="n">
        <v>0.1</v>
      </c>
      <c r="E599" s="2" t="n">
        <v>7.15255737304689E-019</v>
      </c>
    </row>
    <row r="600" customFormat="false" ht="13.8" hidden="false" customHeight="false" outlineLevel="0" collapsed="false">
      <c r="B600" s="2" t="n">
        <v>598</v>
      </c>
      <c r="C600" s="2" t="n">
        <v>0.0246066215266118</v>
      </c>
      <c r="D600" s="2" t="n">
        <v>0.085769408481427</v>
      </c>
      <c r="E600" s="2" t="n">
        <v>1.3113021850586E-018</v>
      </c>
    </row>
    <row r="601" customFormat="false" ht="13.8" hidden="false" customHeight="false" outlineLevel="0" collapsed="false">
      <c r="B601" s="2" t="n">
        <v>599</v>
      </c>
      <c r="C601" s="2" t="n">
        <v>0.0601455763865569</v>
      </c>
      <c r="D601" s="2" t="n">
        <v>0</v>
      </c>
      <c r="E601" s="2" t="n">
        <v>2.38418579101563E-019</v>
      </c>
    </row>
    <row r="602" customFormat="false" ht="13.8" hidden="false" customHeight="false" outlineLevel="0" collapsed="false">
      <c r="B602" s="2" t="n">
        <v>600</v>
      </c>
      <c r="C602" s="2" t="n">
        <v>0.0624683979131687</v>
      </c>
      <c r="D602" s="2" t="n">
        <v>4.76837158203126E-019</v>
      </c>
      <c r="E602" s="2" t="n">
        <v>8.3446502685547E-019</v>
      </c>
    </row>
    <row r="603" customFormat="false" ht="13.8" hidden="false" customHeight="false" outlineLevel="0" collapsed="false">
      <c r="B603" s="2" t="n">
        <v>601</v>
      </c>
      <c r="C603" s="2" t="n">
        <v>0.0370583361064471</v>
      </c>
      <c r="D603" s="2" t="n">
        <v>0</v>
      </c>
      <c r="E603" s="2" t="n">
        <v>0</v>
      </c>
    </row>
    <row r="604" customFormat="false" ht="13.8" hidden="false" customHeight="false" outlineLevel="0" collapsed="false">
      <c r="B604" s="2" t="n">
        <v>602</v>
      </c>
      <c r="C604" s="2" t="n">
        <v>0.0396760454748991</v>
      </c>
      <c r="D604" s="2" t="n">
        <v>0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0.0583437381766844</v>
      </c>
      <c r="D605" s="2" t="n">
        <v>0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0.0409780975451363</v>
      </c>
      <c r="D606" s="2" t="n">
        <v>0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0.0508798902469216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0.0372607620889349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0.0165247839309482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0.00637208910629479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0.0323179390299986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0.00809032119285401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0.000108450361755288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0.0128391448023711</v>
      </c>
      <c r="D624" s="2" t="n">
        <v>0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0.00493565465168143</v>
      </c>
      <c r="D626" s="2" t="n">
        <v>0</v>
      </c>
      <c r="E626" s="2" t="n">
        <v>0</v>
      </c>
    </row>
    <row r="627" customFormat="false" ht="13.8" hidden="false" customHeight="false" outlineLevel="0" collapsed="false">
      <c r="B627" s="2" t="n">
        <v>625</v>
      </c>
      <c r="C627" s="2" t="n">
        <v>0</v>
      </c>
      <c r="D627" s="2" t="n">
        <v>0</v>
      </c>
      <c r="E627" s="2" t="n">
        <v>0</v>
      </c>
    </row>
    <row r="628" customFormat="false" ht="13.8" hidden="false" customHeight="false" outlineLevel="0" collapsed="false">
      <c r="B628" s="2" t="n">
        <v>626</v>
      </c>
      <c r="C628" s="2" t="n">
        <v>0.00753147547836117</v>
      </c>
      <c r="D628" s="2" t="n">
        <v>0</v>
      </c>
      <c r="E628" s="2" t="n">
        <v>0</v>
      </c>
    </row>
    <row r="629" customFormat="false" ht="13.8" hidden="false" customHeight="false" outlineLevel="0" collapsed="false">
      <c r="B629" s="2" t="n">
        <v>627</v>
      </c>
      <c r="C629" s="2" t="n">
        <v>0</v>
      </c>
      <c r="D629" s="2" t="n">
        <v>0</v>
      </c>
      <c r="E629" s="2" t="n">
        <v>0</v>
      </c>
    </row>
    <row r="630" customFormat="false" ht="13.8" hidden="false" customHeight="false" outlineLevel="0" collapsed="false">
      <c r="B630" s="2" t="n">
        <v>628</v>
      </c>
      <c r="C630" s="2" t="n">
        <v>0.0324600906157437</v>
      </c>
      <c r="D630" s="2" t="n">
        <v>0</v>
      </c>
      <c r="E630" s="2" t="n">
        <v>4.29153450422928E-018</v>
      </c>
    </row>
    <row r="631" customFormat="false" ht="13.8" hidden="false" customHeight="false" outlineLevel="0" collapsed="false">
      <c r="B631" s="2" t="n">
        <v>629</v>
      </c>
      <c r="C631" s="2" t="n">
        <v>0</v>
      </c>
      <c r="D631" s="2" t="n">
        <v>0</v>
      </c>
      <c r="E631" s="2" t="n">
        <v>9.53674318391455E-019</v>
      </c>
    </row>
    <row r="632" customFormat="false" ht="13.8" hidden="false" customHeight="false" outlineLevel="0" collapsed="false">
      <c r="B632" s="2" t="n">
        <v>630</v>
      </c>
      <c r="C632" s="2" t="n">
        <v>0.0442471419970462</v>
      </c>
      <c r="D632" s="2" t="n">
        <v>0</v>
      </c>
      <c r="E632" s="2" t="n">
        <v>9.53674317729714E-019</v>
      </c>
    </row>
    <row r="633" customFormat="false" ht="13.8" hidden="false" customHeight="false" outlineLevel="0" collapsed="false">
      <c r="B633" s="2" t="n">
        <v>631</v>
      </c>
      <c r="C633" s="2" t="n">
        <v>2.38418579132581E-019</v>
      </c>
      <c r="D633" s="2" t="n">
        <v>0</v>
      </c>
      <c r="E633" s="2" t="n">
        <v>0</v>
      </c>
    </row>
    <row r="634" customFormat="false" ht="13.8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4.76837158401643E-019</v>
      </c>
    </row>
    <row r="635" customFormat="false" ht="13.8" hidden="false" customHeight="false" outlineLevel="0" collapsed="false">
      <c r="B635" s="2" t="n">
        <v>633</v>
      </c>
      <c r="C635" s="2" t="n">
        <v>0</v>
      </c>
      <c r="D635" s="2" t="n">
        <v>0</v>
      </c>
      <c r="E635" s="2" t="n">
        <v>9.53674317067973E-019</v>
      </c>
    </row>
    <row r="636" customFormat="false" ht="13.8" hidden="false" customHeight="false" outlineLevel="0" collapsed="false">
      <c r="B636" s="2" t="n">
        <v>634</v>
      </c>
      <c r="C636" s="2" t="n">
        <v>0.0514511672034016</v>
      </c>
      <c r="D636" s="2" t="n">
        <v>0</v>
      </c>
      <c r="E636" s="2" t="n">
        <v>3.8146972747E-018</v>
      </c>
    </row>
    <row r="637" customFormat="false" ht="13.8" hidden="false" customHeight="false" outlineLevel="0" collapsed="false">
      <c r="B637" s="2" t="n">
        <v>635</v>
      </c>
      <c r="C637" s="2" t="n">
        <v>4.76837158285838E-019</v>
      </c>
      <c r="D637" s="2" t="n">
        <v>0</v>
      </c>
      <c r="E637" s="2" t="n">
        <v>9.53674316902537E-019</v>
      </c>
    </row>
    <row r="638" customFormat="false" ht="13.8" hidden="false" customHeight="false" outlineLevel="0" collapsed="false">
      <c r="B638" s="2" t="n">
        <v>636</v>
      </c>
      <c r="C638" s="2" t="n">
        <v>0.0596228214071116</v>
      </c>
      <c r="D638" s="2" t="n">
        <v>0</v>
      </c>
      <c r="E638" s="2" t="n">
        <v>0</v>
      </c>
    </row>
    <row r="639" customFormat="false" ht="13.8" hidden="false" customHeight="false" outlineLevel="0" collapsed="false">
      <c r="B639" s="2" t="n">
        <v>637</v>
      </c>
      <c r="C639" s="2" t="n">
        <v>0</v>
      </c>
      <c r="D639" s="2" t="n">
        <v>0</v>
      </c>
      <c r="E639" s="2" t="n">
        <v>0</v>
      </c>
    </row>
    <row r="640" customFormat="false" ht="13.8" hidden="false" customHeight="false" outlineLevel="0" collapsed="false">
      <c r="B640" s="2" t="n">
        <v>638</v>
      </c>
      <c r="C640" s="2" t="n">
        <v>0.0508581064281146</v>
      </c>
      <c r="D640" s="2" t="n">
        <v>0</v>
      </c>
      <c r="E640" s="2" t="n">
        <v>0</v>
      </c>
    </row>
    <row r="641" customFormat="false" ht="13.8" hidden="false" customHeight="false" outlineLevel="0" collapsed="false">
      <c r="B641" s="2" t="n">
        <v>639</v>
      </c>
      <c r="C641" s="2" t="n">
        <v>0.0203145401374232</v>
      </c>
      <c r="D641" s="2" t="n">
        <v>0</v>
      </c>
      <c r="E641" s="2" t="n">
        <v>0</v>
      </c>
    </row>
    <row r="642" customFormat="false" ht="13.8" hidden="false" customHeight="false" outlineLevel="0" collapsed="false">
      <c r="B642" s="2" t="n">
        <v>640</v>
      </c>
      <c r="C642" s="2" t="n">
        <v>0.012912448307756</v>
      </c>
      <c r="D642" s="2" t="n">
        <v>0</v>
      </c>
      <c r="E642" s="2" t="n">
        <v>0</v>
      </c>
    </row>
    <row r="643" customFormat="false" ht="13.8" hidden="false" customHeight="false" outlineLevel="0" collapsed="false">
      <c r="B643" s="2" t="n">
        <v>641</v>
      </c>
      <c r="C643" s="2" t="n">
        <v>0.00551035647808891</v>
      </c>
      <c r="D643" s="2" t="n">
        <v>0</v>
      </c>
      <c r="E643" s="2" t="n">
        <v>0</v>
      </c>
    </row>
    <row r="644" customFormat="false" ht="13.8" hidden="false" customHeight="false" outlineLevel="0" collapsed="false">
      <c r="B644" s="2" t="n">
        <v>642</v>
      </c>
      <c r="C644" s="2" t="n">
        <v>0.00500696965896085</v>
      </c>
      <c r="D644" s="2" t="n">
        <v>0</v>
      </c>
      <c r="E644" s="2" t="n">
        <v>0</v>
      </c>
    </row>
    <row r="645" customFormat="false" ht="13.8" hidden="false" customHeight="false" outlineLevel="0" collapsed="false">
      <c r="B645" s="2" t="n">
        <v>643</v>
      </c>
      <c r="C645" s="2" t="n">
        <v>0.0664229880748549</v>
      </c>
      <c r="D645" s="2" t="n">
        <v>0</v>
      </c>
      <c r="E645" s="2" t="n">
        <v>0</v>
      </c>
    </row>
    <row r="646" customFormat="false" ht="13.8" hidden="false" customHeight="false" outlineLevel="0" collapsed="false">
      <c r="B646" s="2" t="n">
        <v>644</v>
      </c>
      <c r="C646" s="2" t="n">
        <v>0.0553664134227103</v>
      </c>
      <c r="D646" s="2" t="n">
        <v>0</v>
      </c>
      <c r="E646" s="2" t="n">
        <v>4.7683715820313E-019</v>
      </c>
    </row>
    <row r="647" customFormat="false" ht="13.8" hidden="false" customHeight="false" outlineLevel="0" collapsed="false">
      <c r="B647" s="2" t="n">
        <v>645</v>
      </c>
      <c r="C647" s="2" t="n">
        <v>0.0865531383906498</v>
      </c>
      <c r="D647" s="2" t="n">
        <v>0</v>
      </c>
      <c r="E647" s="2" t="n">
        <v>0</v>
      </c>
    </row>
    <row r="648" customFormat="false" ht="13.8" hidden="false" customHeight="false" outlineLevel="0" collapsed="false">
      <c r="B648" s="2" t="n">
        <v>646</v>
      </c>
      <c r="C648" s="2" t="n">
        <v>0.0617898412929873</v>
      </c>
      <c r="D648" s="2" t="n">
        <v>0</v>
      </c>
      <c r="E648" s="2" t="n">
        <v>4.7683715820313E-019</v>
      </c>
    </row>
    <row r="649" customFormat="false" ht="13.8" hidden="false" customHeight="false" outlineLevel="0" collapsed="false">
      <c r="B649" s="2" t="n">
        <v>647</v>
      </c>
      <c r="C649" s="2" t="n">
        <v>0.0860270775286582</v>
      </c>
      <c r="D649" s="2" t="n">
        <v>0</v>
      </c>
      <c r="E649" s="2" t="n">
        <v>0</v>
      </c>
    </row>
    <row r="650" customFormat="false" ht="13.8" hidden="false" customHeight="false" outlineLevel="0" collapsed="false">
      <c r="B650" s="2" t="n">
        <v>648</v>
      </c>
      <c r="C650" s="2" t="n">
        <v>0.0691803970976624</v>
      </c>
      <c r="D650" s="2" t="n">
        <v>0</v>
      </c>
      <c r="E650" s="2" t="n">
        <v>0</v>
      </c>
    </row>
    <row r="651" customFormat="false" ht="13.8" hidden="false" customHeight="false" outlineLevel="0" collapsed="false">
      <c r="B651" s="2" t="n">
        <v>649</v>
      </c>
      <c r="C651" s="2" t="n">
        <v>0.09496765</v>
      </c>
      <c r="D651" s="2" t="n">
        <v>0</v>
      </c>
      <c r="E651" s="2" t="n">
        <v>4.7683715820313E-019</v>
      </c>
    </row>
    <row r="652" customFormat="false" ht="13.8" hidden="false" customHeight="false" outlineLevel="0" collapsed="false">
      <c r="B652" s="2" t="n">
        <v>650</v>
      </c>
      <c r="C652" s="2" t="n">
        <v>0.0744679666666667</v>
      </c>
      <c r="D652" s="2" t="n">
        <v>0</v>
      </c>
      <c r="E652" s="2" t="n">
        <v>1.43051147460942E-018</v>
      </c>
    </row>
    <row r="653" customFormat="false" ht="13.8" hidden="false" customHeight="false" outlineLevel="0" collapsed="false">
      <c r="B653" s="2" t="n">
        <v>651</v>
      </c>
      <c r="C653" s="2" t="n">
        <v>0.107651316666667</v>
      </c>
      <c r="D653" s="2" t="n">
        <v>0</v>
      </c>
      <c r="E653" s="2" t="n">
        <v>0</v>
      </c>
    </row>
    <row r="654" customFormat="false" ht="13.8" hidden="false" customHeight="false" outlineLevel="0" collapsed="false">
      <c r="B654" s="2" t="n">
        <v>652</v>
      </c>
      <c r="C654" s="2" t="n">
        <v>0.0779190666666667</v>
      </c>
      <c r="D654" s="2" t="n">
        <v>0</v>
      </c>
      <c r="E654" s="2" t="n">
        <v>0</v>
      </c>
    </row>
    <row r="655" customFormat="false" ht="13.8" hidden="false" customHeight="false" outlineLevel="0" collapsed="false">
      <c r="B655" s="2" t="n">
        <v>653</v>
      </c>
      <c r="C655" s="2" t="n">
        <v>0.0826531833333333</v>
      </c>
      <c r="D655" s="2" t="n">
        <v>0</v>
      </c>
      <c r="E655" s="2" t="n">
        <v>0</v>
      </c>
    </row>
    <row r="656" customFormat="false" ht="13.8" hidden="false" customHeight="false" outlineLevel="0" collapsed="false">
      <c r="B656" s="2" t="n">
        <v>654</v>
      </c>
      <c r="C656" s="2" t="n">
        <v>0.111936266666667</v>
      </c>
      <c r="D656" s="2" t="n">
        <v>0</v>
      </c>
      <c r="E656" s="2" t="n">
        <v>2.98023223876955E-019</v>
      </c>
    </row>
    <row r="657" customFormat="false" ht="13.8" hidden="false" customHeight="false" outlineLevel="0" collapsed="false">
      <c r="B657" s="2" t="n">
        <v>655</v>
      </c>
      <c r="C657" s="2" t="n">
        <v>0.117602516666667</v>
      </c>
      <c r="D657" s="2" t="n">
        <v>0</v>
      </c>
      <c r="E657" s="2" t="n">
        <v>9.53674316406269E-019</v>
      </c>
    </row>
    <row r="658" customFormat="false" ht="13.8" hidden="false" customHeight="false" outlineLevel="0" collapsed="false">
      <c r="B658" s="2" t="n">
        <v>656</v>
      </c>
      <c r="C658" s="2" t="n">
        <v>0.12325325</v>
      </c>
      <c r="D658" s="2" t="n">
        <v>0</v>
      </c>
      <c r="E658" s="2" t="n">
        <v>0</v>
      </c>
    </row>
    <row r="659" customFormat="false" ht="13.8" hidden="false" customHeight="false" outlineLevel="0" collapsed="false">
      <c r="B659" s="2" t="n">
        <v>657</v>
      </c>
      <c r="C659" s="2" t="n">
        <v>0.0943036333333333</v>
      </c>
      <c r="D659" s="2" t="n">
        <v>0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0.117403483333333</v>
      </c>
      <c r="D660" s="2" t="n">
        <v>0</v>
      </c>
      <c r="E660" s="2" t="n">
        <v>0</v>
      </c>
    </row>
    <row r="661" customFormat="false" ht="13.8" hidden="false" customHeight="false" outlineLevel="0" collapsed="false">
      <c r="B661" s="2" t="n">
        <v>659</v>
      </c>
      <c r="C661" s="2" t="n">
        <v>0.0893202333333333</v>
      </c>
      <c r="D661" s="2" t="n">
        <v>0</v>
      </c>
      <c r="E661" s="2" t="n">
        <v>0</v>
      </c>
    </row>
    <row r="662" customFormat="false" ht="13.8" hidden="false" customHeight="false" outlineLevel="0" collapsed="false">
      <c r="B662" s="2" t="n">
        <v>660</v>
      </c>
      <c r="C662" s="2" t="n">
        <v>0.1112702</v>
      </c>
      <c r="D662" s="2" t="n">
        <v>0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0.1079203</v>
      </c>
      <c r="D663" s="2" t="n">
        <v>0</v>
      </c>
      <c r="E663" s="2" t="n">
        <v>4.59654984297236E-019</v>
      </c>
    </row>
    <row r="664" customFormat="false" ht="13.8" hidden="false" customHeight="false" outlineLevel="0" collapsed="false">
      <c r="B664" s="2" t="n">
        <v>662</v>
      </c>
      <c r="C664" s="2" t="n">
        <v>0.126637133333333</v>
      </c>
      <c r="D664" s="2" t="n">
        <v>0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0.0764712333333333</v>
      </c>
      <c r="D665" s="2" t="n">
        <v>0</v>
      </c>
      <c r="E665" s="2" t="n">
        <v>2.38418579101564E-019</v>
      </c>
    </row>
    <row r="666" customFormat="false" ht="13.8" hidden="false" customHeight="false" outlineLevel="0" collapsed="false">
      <c r="B666" s="2" t="n">
        <v>664</v>
      </c>
      <c r="C666" s="2" t="n">
        <v>0.102704383333333</v>
      </c>
      <c r="D666" s="2" t="n">
        <v>0</v>
      </c>
      <c r="E666" s="2" t="n">
        <v>0</v>
      </c>
    </row>
    <row r="667" customFormat="false" ht="13.8" hidden="false" customHeight="false" outlineLevel="0" collapsed="false">
      <c r="B667" s="2" t="n">
        <v>665</v>
      </c>
      <c r="C667" s="2" t="n">
        <v>0.06722125</v>
      </c>
      <c r="D667" s="2" t="n">
        <v>0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0.0953546166666667</v>
      </c>
      <c r="D668" s="2" t="n">
        <v>0</v>
      </c>
      <c r="E668" s="2" t="n">
        <v>2.98023223876955E-019</v>
      </c>
    </row>
    <row r="669" customFormat="false" ht="13.8" hidden="false" customHeight="false" outlineLevel="0" collapsed="false">
      <c r="B669" s="2" t="n">
        <v>667</v>
      </c>
      <c r="C669" s="2" t="n">
        <v>0.0783206333333333</v>
      </c>
      <c r="D669" s="2" t="n">
        <v>0</v>
      </c>
      <c r="E669" s="2" t="n">
        <v>0</v>
      </c>
    </row>
    <row r="670" customFormat="false" ht="13.8" hidden="false" customHeight="false" outlineLevel="0" collapsed="false">
      <c r="B670" s="2" t="n">
        <v>668</v>
      </c>
      <c r="C670" s="2" t="n">
        <v>0.105570366666667</v>
      </c>
      <c r="D670" s="2" t="n">
        <v>0</v>
      </c>
      <c r="E670" s="2" t="n">
        <v>7.15255737304699E-019</v>
      </c>
    </row>
    <row r="671" customFormat="false" ht="13.8" hidden="false" customHeight="false" outlineLevel="0" collapsed="false">
      <c r="B671" s="2" t="n">
        <v>669</v>
      </c>
      <c r="C671" s="2" t="n">
        <v>0.0650041333333333</v>
      </c>
      <c r="D671" s="2" t="n">
        <v>0</v>
      </c>
      <c r="E671" s="2" t="n">
        <v>3.57627868652347E-019</v>
      </c>
    </row>
    <row r="672" customFormat="false" ht="13.8" hidden="false" customHeight="false" outlineLevel="0" collapsed="false">
      <c r="B672" s="2" t="n">
        <v>670</v>
      </c>
      <c r="C672" s="2" t="n">
        <v>0.0860038833333333</v>
      </c>
      <c r="D672" s="2" t="n">
        <v>0.0654967156544073</v>
      </c>
      <c r="E672" s="2" t="n">
        <v>7.15255737304699E-019</v>
      </c>
    </row>
    <row r="673" customFormat="false" ht="13.8" hidden="false" customHeight="false" outlineLevel="0" collapsed="false">
      <c r="B673" s="2" t="n">
        <v>671</v>
      </c>
      <c r="C673" s="2" t="n">
        <v>0.0755704166666667</v>
      </c>
      <c r="D673" s="2" t="n">
        <v>0.1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C2" s="2" t="n">
        <f aca="false">SUM(C3:C674)</f>
        <v>2.4336576461614E-016</v>
      </c>
      <c r="D2" s="2" t="n">
        <f aca="false">SUM(D3:D674)</f>
        <v>0.599334288194157</v>
      </c>
      <c r="E2" s="2" t="n">
        <f aca="false">SUM(E3:E674)</f>
        <v>41.2776739364284</v>
      </c>
    </row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0.0524394300293669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0.0542504333333333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0.03973355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0.0540334666666667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0.0411168333333333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0.0552501166666667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0.0400502666666667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0.0211667833333333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0.0516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0.0730501166666667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0.0839666833333333</v>
      </c>
    </row>
    <row r="17" customFormat="false" ht="13.8" hidden="false" customHeight="false" outlineLevel="0" collapsed="false">
      <c r="B17" s="2" t="n">
        <v>15</v>
      </c>
      <c r="C17" s="2" t="n">
        <v>4.76837158203122E-019</v>
      </c>
      <c r="D17" s="2" t="n">
        <v>0</v>
      </c>
      <c r="E17" s="2" t="n">
        <v>0.0473166833333333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0.0769001333333333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0.0432002166666667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0.0728669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0.128221147367719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0.15368365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0.164300433333333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4.41904459539906E-005</v>
      </c>
      <c r="E24" s="2" t="n">
        <v>0.0701935105428656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8.83808919079812E-005</v>
      </c>
      <c r="E25" s="2" t="n">
        <v>0.0378871544190645</v>
      </c>
    </row>
    <row r="26" customFormat="false" ht="13.8" hidden="false" customHeight="false" outlineLevel="0" collapsed="false">
      <c r="B26" s="2" t="n">
        <v>24</v>
      </c>
      <c r="C26" s="2" t="n">
        <v>1.90734863281249E-018</v>
      </c>
      <c r="D26" s="2" t="n">
        <v>0.000132571337861973</v>
      </c>
      <c r="E26" s="2" t="n">
        <v>0.0954139649619301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0.000176761783815962</v>
      </c>
      <c r="E27" s="2" t="n">
        <v>0.0372574255047956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0.00160238399676644</v>
      </c>
      <c r="E28" s="2" t="n">
        <v>0.0986587054818793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0.00302800620971692</v>
      </c>
      <c r="E29" s="2" t="n">
        <v>0.0340600687922963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0.0044536284226674</v>
      </c>
      <c r="E30" s="2" t="n">
        <v>0.0870784154360466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0.00587925063561788</v>
      </c>
      <c r="E31" s="2" t="n">
        <v>0.0213629287464636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0.00090604176430844</v>
      </c>
      <c r="E32" s="2" t="n">
        <v>0.081212330709882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0.016360532232966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0.0453702753250749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0.00029636841718382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0.0585782762483992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0.00991043407961464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0.0351426252441634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0.0349245497420455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0.0153045348829458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0.00860125335717944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0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0</v>
      </c>
      <c r="E62" s="2" t="n">
        <v>0.0111175674188415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0.00781513859597798</v>
      </c>
    </row>
    <row r="64" customFormat="false" ht="13.8" hidden="false" customHeight="false" outlineLevel="0" collapsed="false">
      <c r="B64" s="2" t="n">
        <v>62</v>
      </c>
      <c r="C64" s="2" t="n">
        <v>0</v>
      </c>
      <c r="D64" s="2" t="n">
        <v>0</v>
      </c>
      <c r="E64" s="2" t="n">
        <v>0.02668186474127</v>
      </c>
    </row>
    <row r="65" customFormat="false" ht="13.8" hidden="false" customHeight="false" outlineLevel="0" collapsed="false">
      <c r="B65" s="2" t="n">
        <v>63</v>
      </c>
      <c r="C65" s="2" t="n">
        <v>0</v>
      </c>
      <c r="D65" s="2" t="n">
        <v>0</v>
      </c>
      <c r="E65" s="2" t="n">
        <v>0.0189652908865626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0.0369154503651883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0.0288656098438139</v>
      </c>
    </row>
    <row r="68" customFormat="false" ht="13.8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0.0456577477709846</v>
      </c>
    </row>
    <row r="69" customFormat="false" ht="13.8" hidden="false" customHeight="false" outlineLevel="0" collapsed="false">
      <c r="B69" s="2" t="n">
        <v>67</v>
      </c>
      <c r="C69" s="2" t="n">
        <v>0</v>
      </c>
      <c r="D69" s="2" t="n">
        <v>0</v>
      </c>
      <c r="E69" s="2" t="n">
        <v>0.0376996356981553</v>
      </c>
    </row>
    <row r="70" customFormat="false" ht="13.8" hidden="false" customHeight="false" outlineLevel="0" collapsed="false">
      <c r="B70" s="2" t="n">
        <v>68</v>
      </c>
      <c r="C70" s="2" t="n">
        <v>4.7683715820304E-019</v>
      </c>
      <c r="D70" s="2" t="n">
        <v>0.00778466099423167</v>
      </c>
      <c r="E70" s="2" t="n">
        <v>0.0479568626310944</v>
      </c>
    </row>
    <row r="71" customFormat="false" ht="13.8" hidden="false" customHeight="false" outlineLevel="0" collapsed="false">
      <c r="B71" s="2" t="n">
        <v>69</v>
      </c>
      <c r="C71" s="2" t="n">
        <v>0</v>
      </c>
      <c r="D71" s="2" t="n">
        <v>0.0127898678533272</v>
      </c>
      <c r="E71" s="2" t="n">
        <v>0.0349935436991695</v>
      </c>
    </row>
    <row r="72" customFormat="false" ht="13.8" hidden="false" customHeight="false" outlineLevel="0" collapsed="false">
      <c r="B72" s="2" t="n">
        <v>70</v>
      </c>
      <c r="C72" s="2" t="n">
        <v>0</v>
      </c>
      <c r="D72" s="2" t="n">
        <v>0.00959240088999536</v>
      </c>
      <c r="E72" s="2" t="n">
        <v>0.0544953036077105</v>
      </c>
    </row>
    <row r="73" customFormat="false" ht="13.8" hidden="false" customHeight="false" outlineLevel="0" collapsed="false">
      <c r="B73" s="2" t="n">
        <v>71</v>
      </c>
      <c r="C73" s="2" t="n">
        <v>0</v>
      </c>
      <c r="D73" s="2" t="n">
        <v>0.00639493392666357</v>
      </c>
      <c r="E73" s="2" t="n">
        <v>0.0479971468495848</v>
      </c>
    </row>
    <row r="74" customFormat="false" ht="13.8" hidden="false" customHeight="false" outlineLevel="0" collapsed="false">
      <c r="B74" s="2" t="n">
        <v>72</v>
      </c>
      <c r="C74" s="2" t="n">
        <v>0</v>
      </c>
      <c r="D74" s="2" t="n">
        <v>0.00319746696333179</v>
      </c>
      <c r="E74" s="2" t="n">
        <v>0.0174125746942256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0.0869178166666667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0.0778351833333333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0.1025698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0.0647030333333333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0.131503333333333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0.05082115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0.107037566666667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0.0637206833333333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0.0995536166666667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0.105836916666667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0.0902207333333333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0.0780373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0.0721701333333333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0.0946864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0.07901985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0.0420206166666667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0.0380035833333333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0.09916985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0.0538019666666667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0.1106852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0.0400524333333333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0.0354193333333333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0.0310197333333333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0.110585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0.100775903518653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0.14161785</v>
      </c>
    </row>
    <row r="103" customFormat="false" ht="13.8" hidden="false" customHeight="false" outlineLevel="0" collapsed="false">
      <c r="B103" s="2" t="n">
        <v>101</v>
      </c>
      <c r="C103" s="2" t="n">
        <v>4.76837158203122E-019</v>
      </c>
      <c r="D103" s="2" t="n">
        <v>0</v>
      </c>
      <c r="E103" s="2" t="n">
        <v>0.152983483333333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0.117683633333333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0.1771334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0.112050183333333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0.1497504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0.113916683333333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0.174550133333333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0.116166966666667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0.16400025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0.131383566666667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0.144883516666667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0.140733583333333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0.139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0.13805015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0.154833416666667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0.12241675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0.155450016666667</v>
      </c>
    </row>
    <row r="120" customFormat="false" ht="13.8" hidden="false" customHeight="false" outlineLevel="0" collapsed="false">
      <c r="B120" s="2" t="n">
        <v>118</v>
      </c>
      <c r="C120" s="2" t="n">
        <v>2.38418579101562E-019</v>
      </c>
      <c r="D120" s="2" t="n">
        <v>0</v>
      </c>
      <c r="E120" s="2" t="n">
        <v>0.118995593461828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0.125740686923656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0.164819330385484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2.38418579101557E-019</v>
      </c>
      <c r="E123" s="2" t="n">
        <v>0.027581040513979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0.00885499683968486</v>
      </c>
      <c r="E124" s="2" t="n">
        <v>0.0763614621721246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0.0176285295529154</v>
      </c>
      <c r="E126" s="2" t="n">
        <v>0.0444054721550826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0.00250100638942557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2.38418579101563E-019</v>
      </c>
      <c r="D128" s="2" t="n">
        <v>0.0303907303444279</v>
      </c>
      <c r="E128" s="2" t="n">
        <v>0.0239218402679943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0.00208661572508197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0.0178314632814119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0.0177028035088908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0.00499104773249635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0</v>
      </c>
      <c r="D153" s="2" t="n">
        <v>0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0.00384803888624412</v>
      </c>
      <c r="E154" s="2" t="n">
        <v>9.62144833263747E-009</v>
      </c>
    </row>
    <row r="155" customFormat="false" ht="13.8" hidden="false" customHeight="false" outlineLevel="0" collapsed="false">
      <c r="B155" s="2" t="n">
        <v>153</v>
      </c>
      <c r="C155" s="2" t="n">
        <v>0</v>
      </c>
      <c r="D155" s="2" t="n">
        <v>0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0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0</v>
      </c>
      <c r="E158" s="2" t="n">
        <v>0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0.00735968566261155</v>
      </c>
      <c r="E159" s="2" t="n">
        <v>1.30580063350605E-008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0</v>
      </c>
      <c r="E160" s="2" t="n">
        <v>0.0384881398312663</v>
      </c>
    </row>
    <row r="161" customFormat="false" ht="13.8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0</v>
      </c>
    </row>
    <row r="162" customFormat="false" ht="13.8" hidden="false" customHeight="false" outlineLevel="0" collapsed="false">
      <c r="B162" s="2" t="n">
        <v>160</v>
      </c>
      <c r="C162" s="2" t="n">
        <v>0</v>
      </c>
      <c r="D162" s="2" t="n">
        <v>0</v>
      </c>
      <c r="E162" s="2" t="n">
        <v>0.0422450481685758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0</v>
      </c>
      <c r="E163" s="2" t="n">
        <v>0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0.0201506218625379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0</v>
      </c>
      <c r="E165" s="2" t="n">
        <v>0.0383440247211785</v>
      </c>
    </row>
    <row r="166" customFormat="false" ht="13.8" hidden="false" customHeight="false" outlineLevel="0" collapsed="false">
      <c r="B166" s="2" t="n">
        <v>164</v>
      </c>
      <c r="C166" s="2" t="n">
        <v>0</v>
      </c>
      <c r="D166" s="2" t="n">
        <v>0.0230270649895034</v>
      </c>
      <c r="E166" s="2" t="n">
        <v>0.0220939625903157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0.051897813771793</v>
      </c>
    </row>
    <row r="168" customFormat="false" ht="13.8" hidden="false" customHeight="false" outlineLevel="0" collapsed="false">
      <c r="B168" s="2" t="n">
        <v>166</v>
      </c>
      <c r="C168" s="2" t="n">
        <v>0</v>
      </c>
      <c r="D168" s="2" t="n">
        <v>0.012655375191728</v>
      </c>
      <c r="E168" s="2" t="n">
        <v>0.0363502688585642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0.00843845385347507</v>
      </c>
      <c r="E169" s="2" t="n">
        <v>0.0445086204753164</v>
      </c>
    </row>
    <row r="170" customFormat="false" ht="13.8" hidden="false" customHeight="false" outlineLevel="0" collapsed="false">
      <c r="B170" s="2" t="n">
        <v>168</v>
      </c>
      <c r="C170" s="2" t="n">
        <v>0</v>
      </c>
      <c r="D170" s="2" t="n">
        <v>0.00422153251522209</v>
      </c>
      <c r="E170" s="2" t="n">
        <v>0.0794997054254019</v>
      </c>
    </row>
    <row r="171" customFormat="false" ht="13.8" hidden="false" customHeight="false" outlineLevel="0" collapsed="false">
      <c r="B171" s="2" t="n">
        <v>169</v>
      </c>
      <c r="C171" s="2" t="n">
        <v>0</v>
      </c>
      <c r="D171" s="2" t="n">
        <v>4.61117696911158E-006</v>
      </c>
      <c r="E171" s="2" t="n">
        <v>0.0554911903754874</v>
      </c>
    </row>
    <row r="172" customFormat="false" ht="13.8" hidden="false" customHeight="false" outlineLevel="0" collapsed="false">
      <c r="B172" s="2" t="n">
        <v>170</v>
      </c>
      <c r="C172" s="2" t="n">
        <v>0</v>
      </c>
      <c r="D172" s="2" t="n">
        <v>3.45838272683405E-006</v>
      </c>
      <c r="E172" s="2" t="n">
        <v>0.0944942844482822</v>
      </c>
    </row>
    <row r="173" customFormat="false" ht="13.8" hidden="false" customHeight="false" outlineLevel="0" collapsed="false">
      <c r="B173" s="2" t="n">
        <v>171</v>
      </c>
      <c r="C173" s="2" t="n">
        <v>4.76837158203126E-019</v>
      </c>
      <c r="D173" s="2" t="n">
        <v>2.30558848455651E-006</v>
      </c>
      <c r="E173" s="2" t="n">
        <v>0.0442304451877437</v>
      </c>
    </row>
    <row r="174" customFormat="false" ht="13.8" hidden="false" customHeight="false" outlineLevel="0" collapsed="false">
      <c r="B174" s="2" t="n">
        <v>172</v>
      </c>
      <c r="C174" s="2" t="n">
        <v>0</v>
      </c>
      <c r="D174" s="2" t="n">
        <v>1.15279424227802E-006</v>
      </c>
      <c r="E174" s="2" t="n">
        <v>0.0718003725938718</v>
      </c>
    </row>
    <row r="175" customFormat="false" ht="13.8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0.0731202</v>
      </c>
    </row>
    <row r="176" customFormat="false" ht="13.8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0.102286916666667</v>
      </c>
    </row>
    <row r="177" customFormat="false" ht="13.8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0.0757041833333333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0.10713685</v>
      </c>
    </row>
    <row r="179" customFormat="false" ht="13.8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0.0896874166666667</v>
      </c>
    </row>
    <row r="180" customFormat="false" ht="13.8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0.10845445</v>
      </c>
    </row>
    <row r="181" customFormat="false" ht="13.8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0.0871543666666667</v>
      </c>
    </row>
    <row r="182" customFormat="false" ht="13.8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0.0969210833333333</v>
      </c>
    </row>
    <row r="183" customFormat="false" ht="13.8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0.0769873666666667</v>
      </c>
    </row>
    <row r="184" customFormat="false" ht="13.8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0.0756705166666667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9.53674316406236E-019</v>
      </c>
      <c r="D187" s="2" t="n">
        <v>0</v>
      </c>
      <c r="E187" s="2" t="n">
        <v>0.0488856353917042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0.0485375333333333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0.0737533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0.0948363666666667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0.0686530333333333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0.05912005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0.0185688333333333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0.0445024833333333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0.0092692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0.0289523833333333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0.08176805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0.0132504833333333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0.0776168833333333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0.0947557697304226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0.146583583333333</v>
      </c>
    </row>
    <row r="202" customFormat="false" ht="13.8" hidden="false" customHeight="false" outlineLevel="0" collapsed="false">
      <c r="B202" s="2" t="n">
        <v>200</v>
      </c>
      <c r="C202" s="2" t="n">
        <v>1.19209289550781E-019</v>
      </c>
      <c r="D202" s="2" t="n">
        <v>0</v>
      </c>
      <c r="E202" s="2" t="n">
        <v>0.11525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0.17991675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0.114650233333333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0.114216916666667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0.170000133333333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0.121950033333333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0.170250133333333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0.1190834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0.1713834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0.118533716666667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0.144183583333333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0.14100005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0.167166683333333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0.1835</v>
      </c>
    </row>
    <row r="216" customFormat="false" ht="13.8" hidden="false" customHeight="false" outlineLevel="0" collapsed="false">
      <c r="B216" s="2" t="n">
        <v>214</v>
      </c>
      <c r="C216" s="2" t="n">
        <v>0</v>
      </c>
      <c r="D216" s="2" t="n">
        <v>0</v>
      </c>
      <c r="E216" s="2" t="n">
        <v>0.155408923121749</v>
      </c>
    </row>
    <row r="217" customFormat="false" ht="13.8" hidden="false" customHeight="false" outlineLevel="0" collapsed="false">
      <c r="B217" s="2" t="n">
        <v>215</v>
      </c>
      <c r="C217" s="2" t="n">
        <v>0</v>
      </c>
      <c r="D217" s="2" t="n">
        <v>0</v>
      </c>
      <c r="E217" s="2" t="n">
        <v>0.172834579576832</v>
      </c>
    </row>
    <row r="218" customFormat="false" ht="13.8" hidden="false" customHeight="false" outlineLevel="0" collapsed="false">
      <c r="B218" s="2" t="n">
        <v>216</v>
      </c>
      <c r="C218" s="2" t="n">
        <v>0</v>
      </c>
      <c r="D218" s="2" t="n">
        <v>0</v>
      </c>
      <c r="E218" s="2" t="n">
        <v>0.147859936031915</v>
      </c>
    </row>
    <row r="219" customFormat="false" ht="13.8" hidden="false" customHeight="false" outlineLevel="0" collapsed="false">
      <c r="B219" s="2" t="n">
        <v>217</v>
      </c>
      <c r="C219" s="2" t="n">
        <v>0</v>
      </c>
      <c r="D219" s="2" t="n">
        <v>0</v>
      </c>
      <c r="E219" s="2" t="n">
        <v>0.167319059153664</v>
      </c>
    </row>
    <row r="220" customFormat="false" ht="13.8" hidden="false" customHeight="false" outlineLevel="0" collapsed="false">
      <c r="B220" s="2" t="n">
        <v>218</v>
      </c>
      <c r="C220" s="2" t="n">
        <v>0</v>
      </c>
      <c r="D220" s="2" t="n">
        <v>0</v>
      </c>
      <c r="E220" s="2" t="n">
        <v>0.131766736420226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0.127164280353454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0.0176581179384672</v>
      </c>
      <c r="E222" s="2" t="n">
        <v>0.0214785576200158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0.022315022412523</v>
      </c>
      <c r="E223" s="2" t="n">
        <v>0.030176551553244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0.0245273134484391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0.0343631862644446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0.0031990757471167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0.0203186652297888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0.00226686406088135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0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0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0</v>
      </c>
      <c r="E243" s="2" t="n">
        <v>0</v>
      </c>
    </row>
    <row r="244" customFormat="false" ht="13.8" hidden="false" customHeight="false" outlineLevel="0" collapsed="false">
      <c r="B244" s="2" t="n">
        <v>242</v>
      </c>
      <c r="C244" s="2" t="n">
        <v>0</v>
      </c>
      <c r="D244" s="2" t="n">
        <v>0</v>
      </c>
      <c r="E244" s="2" t="n">
        <v>0</v>
      </c>
    </row>
    <row r="245" customFormat="false" ht="13.8" hidden="false" customHeight="false" outlineLevel="0" collapsed="false">
      <c r="B245" s="2" t="n">
        <v>243</v>
      </c>
      <c r="C245" s="2" t="n">
        <v>0</v>
      </c>
      <c r="D245" s="2" t="n">
        <v>0</v>
      </c>
      <c r="E245" s="2" t="n">
        <v>0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0</v>
      </c>
      <c r="E246" s="2" t="n">
        <v>0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0</v>
      </c>
      <c r="E247" s="2" t="n">
        <v>0</v>
      </c>
    </row>
    <row r="248" customFormat="false" ht="13.8" hidden="false" customHeight="false" outlineLevel="0" collapsed="false">
      <c r="B248" s="2" t="n">
        <v>246</v>
      </c>
      <c r="C248" s="2" t="n">
        <v>0</v>
      </c>
      <c r="D248" s="2" t="n">
        <v>0</v>
      </c>
      <c r="E248" s="2" t="n">
        <v>0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0</v>
      </c>
    </row>
    <row r="250" customFormat="false" ht="13.8" hidden="false" customHeight="false" outlineLevel="0" collapsed="false">
      <c r="B250" s="2" t="n">
        <v>248</v>
      </c>
      <c r="C250" s="2" t="n">
        <v>0</v>
      </c>
      <c r="D250" s="2" t="n">
        <v>0</v>
      </c>
      <c r="E250" s="2" t="n">
        <v>9.53674312435824E-019</v>
      </c>
    </row>
    <row r="251" customFormat="false" ht="13.8" hidden="false" customHeight="false" outlineLevel="0" collapsed="false">
      <c r="B251" s="2" t="n">
        <v>249</v>
      </c>
      <c r="C251" s="2" t="n">
        <v>9.53674315082789E-019</v>
      </c>
      <c r="D251" s="2" t="n">
        <v>0</v>
      </c>
      <c r="E251" s="2" t="n">
        <v>0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0</v>
      </c>
      <c r="E252" s="2" t="n">
        <v>2.86102293730759E-018</v>
      </c>
    </row>
    <row r="253" customFormat="false" ht="13.8" hidden="false" customHeight="false" outlineLevel="0" collapsed="false">
      <c r="B253" s="2" t="n">
        <v>251</v>
      </c>
      <c r="C253" s="2" t="n">
        <v>0</v>
      </c>
      <c r="D253" s="2" t="n">
        <v>0</v>
      </c>
      <c r="E253" s="2" t="n">
        <v>4.76837157954978E-019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0</v>
      </c>
      <c r="E254" s="2" t="n">
        <v>0</v>
      </c>
    </row>
    <row r="255" customFormat="false" ht="13.8" hidden="false" customHeight="false" outlineLevel="0" collapsed="false">
      <c r="B255" s="2" t="n">
        <v>253</v>
      </c>
      <c r="C255" s="2" t="n">
        <v>0</v>
      </c>
      <c r="D255" s="2" t="n">
        <v>0</v>
      </c>
      <c r="E255" s="2" t="n">
        <v>9.5367431574453E-019</v>
      </c>
    </row>
    <row r="256" customFormat="false" ht="13.8" hidden="false" customHeight="false" outlineLevel="0" collapsed="false">
      <c r="B256" s="2" t="n">
        <v>254</v>
      </c>
      <c r="C256" s="2" t="n">
        <v>0</v>
      </c>
      <c r="D256" s="2" t="n">
        <v>0</v>
      </c>
      <c r="E256" s="2" t="n">
        <v>1.90734863054376E-018</v>
      </c>
    </row>
    <row r="257" customFormat="false" ht="13.8" hidden="false" customHeight="false" outlineLevel="0" collapsed="false">
      <c r="B257" s="2" t="n">
        <v>255</v>
      </c>
      <c r="C257" s="2" t="n">
        <v>0</v>
      </c>
      <c r="D257" s="2" t="n">
        <v>0</v>
      </c>
      <c r="E257" s="2" t="n">
        <v>0.0130649493857956</v>
      </c>
    </row>
    <row r="258" customFormat="false" ht="13.8" hidden="false" customHeight="false" outlineLevel="0" collapsed="false">
      <c r="B258" s="2" t="n">
        <v>256</v>
      </c>
      <c r="C258" s="2" t="n">
        <v>0</v>
      </c>
      <c r="D258" s="2" t="n">
        <v>0</v>
      </c>
      <c r="E258" s="2" t="n">
        <v>0.0550356267539045</v>
      </c>
    </row>
    <row r="259" customFormat="false" ht="13.8" hidden="false" customHeight="false" outlineLevel="0" collapsed="false">
      <c r="B259" s="2" t="n">
        <v>257</v>
      </c>
      <c r="C259" s="2" t="n">
        <v>4.76837158203122E-019</v>
      </c>
      <c r="D259" s="2" t="n">
        <v>0.00918700158146093</v>
      </c>
      <c r="E259" s="2" t="n">
        <v>0.0339077370704031</v>
      </c>
    </row>
    <row r="260" customFormat="false" ht="13.8" hidden="false" customHeight="false" outlineLevel="0" collapsed="false">
      <c r="B260" s="2" t="n">
        <v>258</v>
      </c>
      <c r="C260" s="2" t="n">
        <v>0</v>
      </c>
      <c r="D260" s="2" t="n">
        <v>0.00784130643597506</v>
      </c>
      <c r="E260" s="2" t="n">
        <v>0.0239972459494163</v>
      </c>
    </row>
    <row r="261" customFormat="false" ht="13.8" hidden="false" customHeight="false" outlineLevel="0" collapsed="false">
      <c r="B261" s="2" t="n">
        <v>259</v>
      </c>
      <c r="C261" s="2" t="n">
        <v>0</v>
      </c>
      <c r="D261" s="2" t="n">
        <v>0.00649561129048919</v>
      </c>
      <c r="E261" s="2" t="n">
        <v>0.0208367048284296</v>
      </c>
    </row>
    <row r="262" customFormat="false" ht="13.8" hidden="false" customHeight="false" outlineLevel="0" collapsed="false">
      <c r="B262" s="2" t="n">
        <v>260</v>
      </c>
      <c r="C262" s="2" t="n">
        <v>0</v>
      </c>
      <c r="D262" s="2" t="n">
        <v>0.00514991614500332</v>
      </c>
      <c r="E262" s="2" t="n">
        <v>0.00742649704077613</v>
      </c>
    </row>
    <row r="263" customFormat="false" ht="13.8" hidden="false" customHeight="false" outlineLevel="0" collapsed="false">
      <c r="B263" s="2" t="n">
        <v>261</v>
      </c>
      <c r="C263" s="2" t="n">
        <v>0</v>
      </c>
      <c r="D263" s="2" t="n">
        <v>0.00380422099951745</v>
      </c>
      <c r="E263" s="2" t="n">
        <v>0</v>
      </c>
    </row>
    <row r="264" customFormat="false" ht="13.8" hidden="false" customHeight="false" outlineLevel="0" collapsed="false">
      <c r="B264" s="2" t="n">
        <v>262</v>
      </c>
      <c r="C264" s="2" t="n">
        <v>0</v>
      </c>
      <c r="D264" s="2" t="n">
        <v>0.00285316574963809</v>
      </c>
      <c r="E264" s="2" t="n">
        <v>0.0740203119040916</v>
      </c>
    </row>
    <row r="265" customFormat="false" ht="13.8" hidden="false" customHeight="false" outlineLevel="0" collapsed="false">
      <c r="B265" s="2" t="n">
        <v>263</v>
      </c>
      <c r="C265" s="2" t="n">
        <v>0</v>
      </c>
      <c r="D265" s="2" t="n">
        <v>0.00190211049975873</v>
      </c>
      <c r="E265" s="2" t="n">
        <v>0.0541326632218951</v>
      </c>
    </row>
    <row r="266" customFormat="false" ht="13.8" hidden="false" customHeight="false" outlineLevel="0" collapsed="false">
      <c r="B266" s="2" t="n">
        <v>264</v>
      </c>
      <c r="C266" s="2" t="n">
        <v>0</v>
      </c>
      <c r="D266" s="2" t="n">
        <v>0</v>
      </c>
      <c r="E266" s="2" t="n">
        <v>0.0891511118608269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0.0500848166666667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0.0928854</v>
      </c>
    </row>
    <row r="269" customFormat="false" ht="13.8" hidden="false" customHeight="false" outlineLevel="0" collapsed="false">
      <c r="B269" s="2" t="n">
        <v>267</v>
      </c>
      <c r="C269" s="2" t="n">
        <v>4.76837158203122E-019</v>
      </c>
      <c r="D269" s="2" t="n">
        <v>0</v>
      </c>
      <c r="E269" s="2" t="n">
        <v>0.05540295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0.106236566666667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0.0822527333333333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0.135585333333333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0.0749529833333333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0.12927025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0.0980539833333333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0.13158695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0.0836371166666667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0.109820216666667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0.111920716666667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0.12328675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0.125603033333333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0.127503033333333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0.100237033333333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0.0824708333333333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0.0292544666666667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0.0412957564642464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0.15633705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0.151453166666667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0.147485566666667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0.184269683333333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0.0143862</v>
      </c>
    </row>
    <row r="292" customFormat="false" ht="13.8" hidden="false" customHeight="false" outlineLevel="0" collapsed="false">
      <c r="B292" s="2" t="n">
        <v>290</v>
      </c>
      <c r="C292" s="2" t="n">
        <v>7.15255737304688E-019</v>
      </c>
      <c r="D292" s="2" t="n">
        <v>4.76837158203126E-019</v>
      </c>
      <c r="E292" s="2" t="n">
        <v>0.0599688333333333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0.14961805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0.14021715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0.141850166666667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0.14415025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0.124600416666667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0.13690035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0.1247334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0.148300166666667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0.1136336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0.14168375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0.112150266666667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0.12791675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0.1476167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0.1382336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0.14936675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0.13858355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0.144383533333333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0.138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0.112683433333333</v>
      </c>
    </row>
    <row r="312" customFormat="false" ht="13.8" hidden="false" customHeight="false" outlineLevel="0" collapsed="false">
      <c r="B312" s="2" t="n">
        <v>310</v>
      </c>
      <c r="C312" s="2" t="n">
        <v>0</v>
      </c>
      <c r="D312" s="2" t="n">
        <v>0.00120198012994854</v>
      </c>
      <c r="E312" s="2" t="n">
        <v>0.00943969676594367</v>
      </c>
    </row>
    <row r="313" customFormat="false" ht="13.8" hidden="false" customHeight="false" outlineLevel="0" collapsed="false">
      <c r="B313" s="2" t="n">
        <v>311</v>
      </c>
      <c r="C313" s="2" t="n">
        <v>0</v>
      </c>
      <c r="D313" s="2" t="n">
        <v>0.00240396025989709</v>
      </c>
      <c r="E313" s="2" t="n">
        <v>0.0341287435318873</v>
      </c>
    </row>
    <row r="314" customFormat="false" ht="13.8" hidden="false" customHeight="false" outlineLevel="0" collapsed="false">
      <c r="B314" s="2" t="n">
        <v>312</v>
      </c>
      <c r="C314" s="2" t="n">
        <v>0</v>
      </c>
      <c r="D314" s="2" t="n">
        <v>0.00360594038984563</v>
      </c>
      <c r="E314" s="2" t="n">
        <v>0.035901140297831</v>
      </c>
    </row>
    <row r="315" customFormat="false" ht="13.8" hidden="false" customHeight="false" outlineLevel="0" collapsed="false">
      <c r="B315" s="2" t="n">
        <v>313</v>
      </c>
      <c r="C315" s="2" t="n">
        <v>0</v>
      </c>
      <c r="D315" s="2" t="n">
        <v>0.00480792051979418</v>
      </c>
      <c r="E315" s="2" t="n">
        <v>0.0602238370637747</v>
      </c>
    </row>
    <row r="316" customFormat="false" ht="13.8" hidden="false" customHeight="false" outlineLevel="0" collapsed="false">
      <c r="B316" s="2" t="n">
        <v>314</v>
      </c>
      <c r="C316" s="2" t="n">
        <v>0</v>
      </c>
      <c r="D316" s="2" t="n">
        <v>0.00874932403414271</v>
      </c>
      <c r="E316" s="2" t="n">
        <v>0.0383596021783157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0.0600362948413479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0.0248966134702374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0.0459073987657936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0.0345761179230685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0.0110501420615599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0.0103660401720999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0.00669348259442455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0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0</v>
      </c>
      <c r="D335" s="2" t="n">
        <v>0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0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0</v>
      </c>
      <c r="E337" s="2" t="n">
        <v>0</v>
      </c>
    </row>
    <row r="338" customFormat="false" ht="13.8" hidden="false" customHeight="false" outlineLevel="0" collapsed="false">
      <c r="B338" s="2" t="n">
        <v>336</v>
      </c>
      <c r="C338" s="2" t="n">
        <v>0</v>
      </c>
      <c r="D338" s="2" t="n">
        <v>0</v>
      </c>
      <c r="E338" s="2" t="n">
        <v>0</v>
      </c>
    </row>
    <row r="339" customFormat="false" ht="13.8" hidden="false" customHeight="false" outlineLevel="0" collapsed="false">
      <c r="B339" s="2" t="n">
        <v>337</v>
      </c>
      <c r="C339" s="2" t="n">
        <v>0</v>
      </c>
      <c r="D339" s="2" t="n">
        <v>0</v>
      </c>
      <c r="E339" s="2" t="n">
        <v>0</v>
      </c>
    </row>
    <row r="340" customFormat="false" ht="13.8" hidden="false" customHeight="false" outlineLevel="0" collapsed="false">
      <c r="B340" s="2" t="n">
        <v>338</v>
      </c>
      <c r="C340" s="2" t="n">
        <v>0</v>
      </c>
      <c r="D340" s="2" t="n">
        <v>0</v>
      </c>
      <c r="E340" s="2" t="n">
        <v>0</v>
      </c>
    </row>
    <row r="341" customFormat="false" ht="13.8" hidden="false" customHeight="false" outlineLevel="0" collapsed="false">
      <c r="B341" s="2" t="n">
        <v>339</v>
      </c>
      <c r="C341" s="2" t="n">
        <v>2.38418578977488E-019</v>
      </c>
      <c r="D341" s="2" t="n">
        <v>0</v>
      </c>
      <c r="E341" s="2" t="n">
        <v>0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0</v>
      </c>
      <c r="E342" s="2" t="n">
        <v>0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0</v>
      </c>
      <c r="E343" s="2" t="n">
        <v>0</v>
      </c>
    </row>
    <row r="344" customFormat="false" ht="13.8" hidden="false" customHeight="false" outlineLevel="0" collapsed="false">
      <c r="B344" s="2" t="n">
        <v>342</v>
      </c>
      <c r="C344" s="2" t="n">
        <v>0</v>
      </c>
      <c r="D344" s="2" t="n">
        <v>0</v>
      </c>
      <c r="E344" s="2" t="n">
        <v>2.86102293135192E-018</v>
      </c>
    </row>
    <row r="345" customFormat="false" ht="13.8" hidden="false" customHeight="false" outlineLevel="0" collapsed="false">
      <c r="B345" s="2" t="n">
        <v>343</v>
      </c>
      <c r="C345" s="2" t="n">
        <v>0</v>
      </c>
      <c r="D345" s="2" t="n">
        <v>0</v>
      </c>
      <c r="E345" s="2" t="n">
        <v>0</v>
      </c>
    </row>
    <row r="346" customFormat="false" ht="13.8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0</v>
      </c>
    </row>
    <row r="347" customFormat="false" ht="13.8" hidden="false" customHeight="false" outlineLevel="0" collapsed="false">
      <c r="B347" s="2" t="n">
        <v>345</v>
      </c>
      <c r="C347" s="2" t="n">
        <v>0</v>
      </c>
      <c r="D347" s="2" t="n">
        <v>0.00755129812232698</v>
      </c>
      <c r="E347" s="2" t="n">
        <v>6.87266927164509E-009</v>
      </c>
    </row>
    <row r="348" customFormat="false" ht="13.8" hidden="false" customHeight="false" outlineLevel="0" collapsed="false">
      <c r="B348" s="2" t="n">
        <v>346</v>
      </c>
      <c r="C348" s="2" t="n">
        <v>0</v>
      </c>
      <c r="D348" s="2" t="n">
        <v>0.0126014829247493</v>
      </c>
      <c r="E348" s="2" t="n">
        <v>6.87273799709502E-009</v>
      </c>
    </row>
    <row r="349" customFormat="false" ht="13.8" hidden="false" customHeight="false" outlineLevel="0" collapsed="false">
      <c r="B349" s="2" t="n">
        <v>347</v>
      </c>
      <c r="C349" s="2" t="n">
        <v>9.53674316406152E-019</v>
      </c>
      <c r="D349" s="2" t="n">
        <v>0</v>
      </c>
      <c r="E349" s="2" t="n">
        <v>0.017118451060505</v>
      </c>
    </row>
    <row r="350" customFormat="false" ht="13.8" hidden="false" customHeight="false" outlineLevel="0" collapsed="false">
      <c r="B350" s="2" t="n">
        <v>348</v>
      </c>
      <c r="C350" s="2" t="n">
        <v>0</v>
      </c>
      <c r="D350" s="2" t="n">
        <v>0</v>
      </c>
      <c r="E350" s="2" t="n">
        <v>0.021502352529594</v>
      </c>
    </row>
    <row r="351" customFormat="false" ht="13.8" hidden="false" customHeight="false" outlineLevel="0" collapsed="false">
      <c r="B351" s="2" t="n">
        <v>349</v>
      </c>
      <c r="C351" s="2" t="n">
        <v>0</v>
      </c>
      <c r="D351" s="2" t="n">
        <v>0</v>
      </c>
      <c r="E351" s="2" t="n">
        <v>0.026153103998683</v>
      </c>
    </row>
    <row r="352" customFormat="false" ht="13.8" hidden="false" customHeight="false" outlineLevel="0" collapsed="false">
      <c r="B352" s="2" t="n">
        <v>350</v>
      </c>
      <c r="C352" s="2" t="n">
        <v>0</v>
      </c>
      <c r="D352" s="2" t="n">
        <v>0</v>
      </c>
      <c r="E352" s="2" t="n">
        <v>0.0240969964798242</v>
      </c>
    </row>
    <row r="353" customFormat="false" ht="13.8" hidden="false" customHeight="false" outlineLevel="0" collapsed="false">
      <c r="B353" s="2" t="n">
        <v>351</v>
      </c>
      <c r="C353" s="2" t="n">
        <v>0</v>
      </c>
      <c r="D353" s="2" t="n">
        <v>0</v>
      </c>
      <c r="E353" s="2" t="n">
        <v>0.0420407889609654</v>
      </c>
    </row>
    <row r="354" customFormat="false" ht="13.8" hidden="false" customHeight="false" outlineLevel="0" collapsed="false">
      <c r="B354" s="2" t="n">
        <v>352</v>
      </c>
      <c r="C354" s="2" t="n">
        <v>0</v>
      </c>
      <c r="D354" s="2" t="n">
        <v>0</v>
      </c>
      <c r="E354" s="2" t="n">
        <v>0.0499846314421066</v>
      </c>
    </row>
    <row r="355" customFormat="false" ht="13.8" hidden="false" customHeight="false" outlineLevel="0" collapsed="false">
      <c r="B355" s="2" t="n">
        <v>353</v>
      </c>
      <c r="C355" s="2" t="n">
        <v>0</v>
      </c>
      <c r="D355" s="2" t="n">
        <v>0.00721534963800176</v>
      </c>
      <c r="E355" s="2" t="n">
        <v>0.0507131576185794</v>
      </c>
    </row>
    <row r="356" customFormat="false" ht="13.8" hidden="false" customHeight="false" outlineLevel="0" collapsed="false">
      <c r="B356" s="2" t="n">
        <v>354</v>
      </c>
      <c r="C356" s="2" t="n">
        <v>0</v>
      </c>
      <c r="D356" s="2" t="n">
        <v>0.007849375995671</v>
      </c>
      <c r="E356" s="2" t="n">
        <v>0.0531226750067981</v>
      </c>
    </row>
    <row r="357" customFormat="false" ht="13.8" hidden="false" customHeight="false" outlineLevel="0" collapsed="false">
      <c r="B357" s="2" t="n">
        <v>355</v>
      </c>
      <c r="C357" s="2" t="n">
        <v>9.53674316406248E-019</v>
      </c>
      <c r="D357" s="2" t="n">
        <v>0.00643643451938558</v>
      </c>
      <c r="E357" s="2" t="n">
        <v>0.0414125102289716</v>
      </c>
    </row>
    <row r="358" customFormat="false" ht="13.8" hidden="false" customHeight="false" outlineLevel="0" collapsed="false">
      <c r="B358" s="2" t="n">
        <v>356</v>
      </c>
      <c r="C358" s="2" t="n">
        <v>0</v>
      </c>
      <c r="D358" s="2" t="n">
        <v>0.00502349304310016</v>
      </c>
      <c r="E358" s="2" t="n">
        <v>0.0701189287844783</v>
      </c>
    </row>
    <row r="359" customFormat="false" ht="13.8" hidden="false" customHeight="false" outlineLevel="0" collapsed="false">
      <c r="B359" s="2" t="n">
        <v>357</v>
      </c>
      <c r="C359" s="2" t="n">
        <v>0</v>
      </c>
      <c r="D359" s="2" t="n">
        <v>0.00361055156681474</v>
      </c>
      <c r="E359" s="2" t="n">
        <v>0.0408586473399851</v>
      </c>
    </row>
    <row r="360" customFormat="false" ht="13.8" hidden="false" customHeight="false" outlineLevel="0" collapsed="false">
      <c r="B360" s="2" t="n">
        <v>358</v>
      </c>
      <c r="C360" s="2" t="n">
        <v>0</v>
      </c>
      <c r="D360" s="2" t="n">
        <v>0.00270791367511106</v>
      </c>
      <c r="E360" s="2" t="n">
        <v>0.0821607730049888</v>
      </c>
    </row>
    <row r="361" customFormat="false" ht="13.8" hidden="false" customHeight="false" outlineLevel="0" collapsed="false">
      <c r="B361" s="2" t="n">
        <v>359</v>
      </c>
      <c r="C361" s="2" t="n">
        <v>4.76837158203126E-019</v>
      </c>
      <c r="D361" s="2" t="n">
        <v>0.00180527578340737</v>
      </c>
      <c r="E361" s="2" t="n">
        <v>0.0508293986699925</v>
      </c>
    </row>
    <row r="362" customFormat="false" ht="13.8" hidden="false" customHeight="false" outlineLevel="0" collapsed="false">
      <c r="B362" s="2" t="n">
        <v>360</v>
      </c>
      <c r="C362" s="2" t="n">
        <v>0</v>
      </c>
      <c r="D362" s="2" t="n">
        <v>0.000902637891703686</v>
      </c>
      <c r="E362" s="2" t="n">
        <v>0.0914981743349963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0.0510007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0.0792085581332036</v>
      </c>
    </row>
    <row r="365" customFormat="false" ht="13.8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0.024848101536193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0.09123635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0.12375415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0.0910207166666667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0.132520883333333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0.107003866666667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0.150203283333333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0.110736633333333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0.145737283333333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0.0894544166666667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0.0792382666666667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0.0832541833333333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0.0675707833333333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0.0465711666666667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0.0438540833333333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0.0795870333333333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0.0716863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0.0777532166666667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0.05958725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0.0286692666666667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0.0763862166666667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0.0751863666666667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0.0134359166666667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0.09056805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0.02415095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0.0851169978864892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0.123000133333333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0.1435002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0.154516966666667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0.13383345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0.15190025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0.133433516666667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0.1226009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0.16836705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0.1170668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0.166116933333333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0.10516725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0.161966933333333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0.121983416666667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0.1591004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0.121116933333333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0.0684168166666667</v>
      </c>
    </row>
    <row r="408" customFormat="false" ht="13.8" hidden="false" customHeight="false" outlineLevel="0" collapsed="false">
      <c r="B408" s="2" t="n">
        <v>406</v>
      </c>
      <c r="C408" s="2" t="n">
        <v>4.76837158203126E-019</v>
      </c>
      <c r="D408" s="2" t="n">
        <v>0.00103713055330279</v>
      </c>
      <c r="E408" s="2" t="n">
        <v>0.0437582991756016</v>
      </c>
    </row>
    <row r="409" customFormat="false" ht="13.8" hidden="false" customHeight="false" outlineLevel="0" collapsed="false">
      <c r="B409" s="2" t="n">
        <v>407</v>
      </c>
      <c r="C409" s="2" t="n">
        <v>0</v>
      </c>
      <c r="D409" s="2" t="n">
        <v>0.00207426110660558</v>
      </c>
      <c r="E409" s="2" t="n">
        <v>0.06584896501787</v>
      </c>
    </row>
    <row r="410" customFormat="false" ht="13.8" hidden="false" customHeight="false" outlineLevel="0" collapsed="false">
      <c r="B410" s="2" t="n">
        <v>408</v>
      </c>
      <c r="C410" s="2" t="n">
        <v>0</v>
      </c>
      <c r="D410" s="2" t="n">
        <v>0.00311139165990836</v>
      </c>
      <c r="E410" s="2" t="n">
        <v>0.0442067975268049</v>
      </c>
    </row>
    <row r="411" customFormat="false" ht="13.8" hidden="false" customHeight="false" outlineLevel="0" collapsed="false">
      <c r="B411" s="2" t="n">
        <v>409</v>
      </c>
      <c r="C411" s="2" t="n">
        <v>0</v>
      </c>
      <c r="D411" s="2" t="n">
        <v>0.00414852221321115</v>
      </c>
      <c r="E411" s="2" t="n">
        <v>0.0498815800357399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0.00844537061892874</v>
      </c>
      <c r="E412" s="2" t="n">
        <v>0.0273950893718808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0.0546833510660014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0.0170390674303639</v>
      </c>
      <c r="E414" s="2" t="n">
        <v>0.00633780804416264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0.0568536665497184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0.00232275744138478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0.0498239983330512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0.0253624967830507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0.0208966988074316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0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0</v>
      </c>
      <c r="E432" s="2" t="n">
        <v>0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0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0</v>
      </c>
      <c r="E434" s="2" t="n">
        <v>0</v>
      </c>
    </row>
    <row r="435" customFormat="false" ht="13.8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0</v>
      </c>
    </row>
    <row r="436" customFormat="false" ht="13.8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0</v>
      </c>
    </row>
    <row r="438" customFormat="false" ht="13.8" hidden="false" customHeight="false" outlineLevel="0" collapsed="false">
      <c r="B438" s="2" t="n">
        <v>436</v>
      </c>
      <c r="C438" s="2" t="n">
        <v>4.7683715787226E-019</v>
      </c>
      <c r="D438" s="2" t="n">
        <v>0</v>
      </c>
      <c r="E438" s="2" t="n">
        <v>0</v>
      </c>
    </row>
    <row r="439" customFormat="false" ht="13.8" hidden="false" customHeight="false" outlineLevel="0" collapsed="false">
      <c r="B439" s="2" t="n">
        <v>437</v>
      </c>
      <c r="C439" s="2" t="n">
        <v>0</v>
      </c>
      <c r="D439" s="2" t="n">
        <v>0</v>
      </c>
      <c r="E439" s="2" t="n">
        <v>0</v>
      </c>
    </row>
    <row r="440" customFormat="false" ht="13.8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0</v>
      </c>
    </row>
    <row r="441" customFormat="false" ht="13.8" hidden="false" customHeight="false" outlineLevel="0" collapsed="false">
      <c r="B441" s="2" t="n">
        <v>439</v>
      </c>
      <c r="C441" s="2" t="n">
        <v>0</v>
      </c>
      <c r="D441" s="2" t="n">
        <v>0.00289311158856346</v>
      </c>
      <c r="E441" s="2" t="n">
        <v>0.00122017332629674</v>
      </c>
    </row>
    <row r="442" customFormat="false" ht="13.8" hidden="false" customHeight="false" outlineLevel="0" collapsed="false">
      <c r="B442" s="2" t="n">
        <v>440</v>
      </c>
      <c r="C442" s="2" t="n">
        <v>0</v>
      </c>
      <c r="D442" s="2" t="n">
        <v>0</v>
      </c>
      <c r="E442" s="2" t="n">
        <v>0.00941407356110872</v>
      </c>
    </row>
    <row r="443" customFormat="false" ht="13.8" hidden="false" customHeight="false" outlineLevel="0" collapsed="false">
      <c r="B443" s="2" t="n">
        <v>441</v>
      </c>
      <c r="C443" s="2" t="n">
        <v>0</v>
      </c>
      <c r="D443" s="2" t="n">
        <v>0</v>
      </c>
      <c r="E443" s="2" t="n">
        <v>0.0440644622073577</v>
      </c>
    </row>
    <row r="444" customFormat="false" ht="13.8" hidden="false" customHeight="false" outlineLevel="0" collapsed="false">
      <c r="B444" s="2" t="n">
        <v>442</v>
      </c>
      <c r="C444" s="2" t="n">
        <v>0</v>
      </c>
      <c r="D444" s="2" t="n">
        <v>0</v>
      </c>
      <c r="E444" s="2" t="n">
        <v>0.0278591008156066</v>
      </c>
    </row>
    <row r="445" customFormat="false" ht="13.8" hidden="false" customHeight="false" outlineLevel="0" collapsed="false">
      <c r="B445" s="2" t="n">
        <v>443</v>
      </c>
      <c r="C445" s="2" t="n">
        <v>0</v>
      </c>
      <c r="D445" s="2" t="n">
        <v>0</v>
      </c>
      <c r="E445" s="2" t="n">
        <v>0.0291870227571887</v>
      </c>
    </row>
    <row r="446" customFormat="false" ht="13.8" hidden="false" customHeight="false" outlineLevel="0" collapsed="false">
      <c r="B446" s="2" t="n">
        <v>444</v>
      </c>
      <c r="C446" s="2" t="n">
        <v>0</v>
      </c>
      <c r="D446" s="2" t="n">
        <v>0</v>
      </c>
      <c r="E446" s="2" t="n">
        <v>0</v>
      </c>
    </row>
    <row r="447" customFormat="false" ht="13.8" hidden="false" customHeight="false" outlineLevel="0" collapsed="false">
      <c r="B447" s="2" t="n">
        <v>445</v>
      </c>
      <c r="C447" s="2" t="n">
        <v>0</v>
      </c>
      <c r="D447" s="2" t="n">
        <v>0</v>
      </c>
      <c r="E447" s="2" t="n">
        <v>0.0460923666403535</v>
      </c>
    </row>
    <row r="448" customFormat="false" ht="13.8" hidden="false" customHeight="false" outlineLevel="0" collapsed="false">
      <c r="B448" s="2" t="n">
        <v>446</v>
      </c>
      <c r="C448" s="2" t="n">
        <v>0</v>
      </c>
      <c r="D448" s="2" t="n">
        <v>0</v>
      </c>
      <c r="E448" s="2" t="n">
        <v>0.00413876995844659</v>
      </c>
    </row>
    <row r="449" customFormat="false" ht="13.8" hidden="false" customHeight="false" outlineLevel="0" collapsed="false">
      <c r="B449" s="2" t="n">
        <v>447</v>
      </c>
      <c r="C449" s="2" t="n">
        <v>0</v>
      </c>
      <c r="D449" s="2" t="n">
        <v>0</v>
      </c>
      <c r="E449" s="2" t="n">
        <v>0.0544349232765401</v>
      </c>
    </row>
    <row r="450" customFormat="false" ht="13.8" hidden="false" customHeight="false" outlineLevel="0" collapsed="false">
      <c r="B450" s="2" t="n">
        <v>448</v>
      </c>
      <c r="C450" s="2" t="n">
        <v>0</v>
      </c>
      <c r="D450" s="2" t="n">
        <v>0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0</v>
      </c>
      <c r="D451" s="2" t="n">
        <v>0</v>
      </c>
      <c r="E451" s="2" t="n">
        <v>0.0625275299127264</v>
      </c>
    </row>
    <row r="452" customFormat="false" ht="13.8" hidden="false" customHeight="false" outlineLevel="0" collapsed="false">
      <c r="B452" s="2" t="n">
        <v>450</v>
      </c>
      <c r="C452" s="2" t="n">
        <v>0</v>
      </c>
      <c r="D452" s="2" t="n">
        <v>0</v>
      </c>
      <c r="E452" s="2" t="n">
        <v>0.0270599374876537</v>
      </c>
    </row>
    <row r="453" customFormat="false" ht="13.8" hidden="false" customHeight="false" outlineLevel="0" collapsed="false">
      <c r="B453" s="2" t="n">
        <v>451</v>
      </c>
      <c r="C453" s="2" t="n">
        <v>0</v>
      </c>
      <c r="D453" s="2" t="n">
        <v>0</v>
      </c>
      <c r="E453" s="2" t="n">
        <v>0.0785920617292473</v>
      </c>
    </row>
    <row r="454" customFormat="false" ht="13.8" hidden="false" customHeight="false" outlineLevel="0" collapsed="false">
      <c r="B454" s="2" t="n">
        <v>452</v>
      </c>
      <c r="C454" s="2" t="n">
        <v>0</v>
      </c>
      <c r="D454" s="2" t="n">
        <v>0</v>
      </c>
      <c r="E454" s="2" t="n">
        <v>0.0266326073113371</v>
      </c>
    </row>
    <row r="455" customFormat="false" ht="13.8" hidden="false" customHeight="false" outlineLevel="0" collapsed="false">
      <c r="B455" s="2" t="n">
        <v>453</v>
      </c>
      <c r="C455" s="2" t="n">
        <v>0</v>
      </c>
      <c r="D455" s="2" t="n">
        <v>0.0141224979974005</v>
      </c>
      <c r="E455" s="2" t="n">
        <v>0.061534045548368</v>
      </c>
    </row>
    <row r="456" customFormat="false" ht="13.8" hidden="false" customHeight="false" outlineLevel="0" collapsed="false">
      <c r="B456" s="2" t="n">
        <v>454</v>
      </c>
      <c r="C456" s="2" t="n">
        <v>0</v>
      </c>
      <c r="D456" s="2" t="n">
        <v>0</v>
      </c>
      <c r="E456" s="2" t="n">
        <v>0.0361125697401179</v>
      </c>
    </row>
    <row r="457" customFormat="false" ht="13.8" hidden="false" customHeight="false" outlineLevel="0" collapsed="false">
      <c r="B457" s="2" t="n">
        <v>455</v>
      </c>
      <c r="C457" s="2" t="n">
        <v>1.28746032714842E-016</v>
      </c>
      <c r="D457" s="2" t="n">
        <v>0.00711888871081417</v>
      </c>
      <c r="E457" s="2" t="n">
        <v>0</v>
      </c>
    </row>
    <row r="458" customFormat="false" ht="13.8" hidden="false" customHeight="false" outlineLevel="0" collapsed="false">
      <c r="B458" s="2" t="n">
        <v>456</v>
      </c>
      <c r="C458" s="2" t="n">
        <v>9.53674316406251E-019</v>
      </c>
      <c r="D458" s="2" t="n">
        <v>0.00361708406752099</v>
      </c>
      <c r="E458" s="2" t="n">
        <v>0.00913821940467783</v>
      </c>
    </row>
    <row r="459" customFormat="false" ht="13.8" hidden="false" customHeight="false" outlineLevel="0" collapsed="false">
      <c r="B459" s="2" t="n">
        <v>457</v>
      </c>
      <c r="C459" s="2" t="n">
        <v>0</v>
      </c>
      <c r="D459" s="2" t="n">
        <v>0</v>
      </c>
      <c r="E459" s="2" t="n">
        <v>3.02489862831706E-010</v>
      </c>
    </row>
    <row r="460" customFormat="false" ht="13.8" hidden="false" customHeight="false" outlineLevel="0" collapsed="false">
      <c r="B460" s="2" t="n">
        <v>458</v>
      </c>
      <c r="C460" s="2" t="n">
        <v>0</v>
      </c>
      <c r="D460" s="2" t="n">
        <v>0</v>
      </c>
      <c r="E460" s="2" t="n">
        <v>0.0479505667605734</v>
      </c>
    </row>
    <row r="461" customFormat="false" ht="13.8" hidden="false" customHeight="false" outlineLevel="0" collapsed="false">
      <c r="B461" s="2" t="n">
        <v>459</v>
      </c>
      <c r="C461" s="2" t="n">
        <v>0</v>
      </c>
      <c r="D461" s="2" t="n">
        <v>0</v>
      </c>
      <c r="E461" s="2" t="n">
        <v>0.0789591194057067</v>
      </c>
    </row>
    <row r="462" customFormat="false" ht="13.8" hidden="false" customHeight="false" outlineLevel="0" collapsed="false">
      <c r="B462" s="2" t="n">
        <v>460</v>
      </c>
      <c r="C462" s="2" t="n">
        <v>0</v>
      </c>
      <c r="D462" s="2" t="n">
        <v>0</v>
      </c>
      <c r="E462" s="2" t="n">
        <v>0.0709728680361867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0.0860525333333333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0.0711198833333333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0.10451965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0.102652883333333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0.1174201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0.0774041833333334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0.10097095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0.0777704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0.0893877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0.0997037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0.0627541333333333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0.09150405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0.0661038166666667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0.153615712010814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0.154420366666667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0.155704183333333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0.13033615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0.153219116666667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0.145319016666667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0.11512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0.0751861166666667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0.138269316666667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0.17006815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0.1409678</v>
      </c>
    </row>
    <row r="487" customFormat="false" ht="13.8" hidden="false" customHeight="false" outlineLevel="0" collapsed="false">
      <c r="B487" s="2" t="n">
        <v>485</v>
      </c>
      <c r="C487" s="2" t="n">
        <v>4.76837158203126E-019</v>
      </c>
      <c r="D487" s="2" t="n">
        <v>0</v>
      </c>
      <c r="E487" s="2" t="n">
        <v>0.1519837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0.1158503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0.121000516666667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0.11235005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0.19403335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0.111983366666667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0.1898667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0.114100166666667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0.200866833333333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0.143183483333333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0.203500083333333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0.138000233333333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0.198816783333333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0.131833516666667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0.1921167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0.1305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0.192050133333333</v>
      </c>
    </row>
    <row r="504" customFormat="false" ht="13.8" hidden="false" customHeight="false" outlineLevel="0" collapsed="false">
      <c r="B504" s="2" t="n">
        <v>502</v>
      </c>
      <c r="C504" s="2" t="n">
        <v>0</v>
      </c>
      <c r="D504" s="2" t="n">
        <v>0</v>
      </c>
      <c r="E504" s="2" t="n">
        <v>0.131210193876199</v>
      </c>
    </row>
    <row r="505" customFormat="false" ht="13.8" hidden="false" customHeight="false" outlineLevel="0" collapsed="false">
      <c r="B505" s="2" t="n">
        <v>503</v>
      </c>
      <c r="C505" s="2" t="n">
        <v>0</v>
      </c>
      <c r="D505" s="2" t="n">
        <v>0</v>
      </c>
      <c r="E505" s="2" t="n">
        <v>0.178603804419065</v>
      </c>
    </row>
    <row r="506" customFormat="false" ht="13.8" hidden="false" customHeight="false" outlineLevel="0" collapsed="false">
      <c r="B506" s="2" t="n">
        <v>504</v>
      </c>
      <c r="C506" s="2" t="n">
        <v>0</v>
      </c>
      <c r="D506" s="2" t="n">
        <v>0.000132571337861972</v>
      </c>
      <c r="E506" s="2" t="n">
        <v>0.0298304482952634</v>
      </c>
    </row>
    <row r="507" customFormat="false" ht="13.8" hidden="false" customHeight="false" outlineLevel="0" collapsed="false">
      <c r="B507" s="2" t="n">
        <v>505</v>
      </c>
      <c r="C507" s="2" t="n">
        <v>0</v>
      </c>
      <c r="D507" s="2" t="n">
        <v>0.000176761783815962</v>
      </c>
      <c r="E507" s="2" t="n">
        <v>0.0908905755047956</v>
      </c>
    </row>
    <row r="508" customFormat="false" ht="13.8" hidden="false" customHeight="false" outlineLevel="0" collapsed="false">
      <c r="B508" s="2" t="n">
        <v>506</v>
      </c>
      <c r="C508" s="2" t="n">
        <v>0</v>
      </c>
      <c r="D508" s="2" t="n">
        <v>0.000642106392948854</v>
      </c>
      <c r="E508" s="2" t="n">
        <v>0.0277278514532902</v>
      </c>
    </row>
    <row r="509" customFormat="false" ht="13.8" hidden="false" customHeight="false" outlineLevel="0" collapsed="false">
      <c r="B509" s="2" t="n">
        <v>507</v>
      </c>
      <c r="C509" s="2" t="n">
        <v>0</v>
      </c>
      <c r="D509" s="2" t="n">
        <v>0.00110745100208175</v>
      </c>
      <c r="E509" s="2" t="n">
        <v>0.0897319107351182</v>
      </c>
    </row>
    <row r="510" customFormat="false" ht="13.8" hidden="false" customHeight="false" outlineLevel="0" collapsed="false">
      <c r="B510" s="2" t="n">
        <v>508</v>
      </c>
      <c r="C510" s="2" t="n">
        <v>0</v>
      </c>
      <c r="D510" s="2" t="n">
        <v>0.00157279561121464</v>
      </c>
      <c r="E510" s="2" t="n">
        <v>0.0273025033502794</v>
      </c>
    </row>
    <row r="511" customFormat="false" ht="13.8" hidden="false" customHeight="false" outlineLevel="0" collapsed="false">
      <c r="B511" s="2" t="n">
        <v>509</v>
      </c>
      <c r="C511" s="2" t="n">
        <v>0</v>
      </c>
      <c r="D511" s="2" t="n">
        <v>0.00203814022034753</v>
      </c>
      <c r="E511" s="2" t="n">
        <v>0.0947064626321074</v>
      </c>
    </row>
    <row r="512" customFormat="false" ht="13.8" hidden="false" customHeight="false" outlineLevel="0" collapsed="false">
      <c r="B512" s="2" t="n">
        <v>510</v>
      </c>
      <c r="C512" s="2" t="n">
        <v>0</v>
      </c>
      <c r="D512" s="2" t="n">
        <v>0.00851876518568711</v>
      </c>
      <c r="E512" s="2" t="n">
        <v>0.0246457334039445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</v>
      </c>
      <c r="E513" s="2" t="n">
        <v>0.0848505276601417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0</v>
      </c>
      <c r="E514" s="2" t="n">
        <v>0.0121865233973184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0</v>
      </c>
      <c r="E515" s="2" t="n">
        <v>0.0838066816305529</v>
      </c>
    </row>
    <row r="516" customFormat="false" ht="13.8" hidden="false" customHeight="false" outlineLevel="0" collapsed="false">
      <c r="B516" s="2" t="n">
        <v>514</v>
      </c>
      <c r="C516" s="2" t="n">
        <v>0</v>
      </c>
      <c r="D516" s="2" t="n">
        <v>0</v>
      </c>
      <c r="E516" s="2" t="n">
        <v>1.60972018218303E-008</v>
      </c>
    </row>
    <row r="517" customFormat="false" ht="13.8" hidden="false" customHeight="false" outlineLevel="0" collapsed="false">
      <c r="B517" s="2" t="n">
        <v>515</v>
      </c>
      <c r="C517" s="2" t="n">
        <v>0</v>
      </c>
      <c r="D517" s="2" t="n">
        <v>0</v>
      </c>
      <c r="E517" s="2" t="n">
        <v>0.276464322960345</v>
      </c>
    </row>
    <row r="518" customFormat="false" ht="13.8" hidden="false" customHeight="false" outlineLevel="0" collapsed="false">
      <c r="B518" s="2" t="n">
        <v>516</v>
      </c>
      <c r="C518" s="2" t="n">
        <v>0</v>
      </c>
      <c r="D518" s="2" t="n">
        <v>0</v>
      </c>
      <c r="E518" s="2" t="n">
        <v>2.45161370668237E-010</v>
      </c>
    </row>
    <row r="519" customFormat="false" ht="13.8" hidden="false" customHeight="false" outlineLevel="0" collapsed="false">
      <c r="B519" s="2" t="n">
        <v>517</v>
      </c>
      <c r="C519" s="2" t="n">
        <v>0</v>
      </c>
      <c r="D519" s="2" t="n">
        <v>0</v>
      </c>
      <c r="E519" s="2" t="n">
        <v>1.60976847455758E-008</v>
      </c>
    </row>
    <row r="520" customFormat="false" ht="13.8" hidden="false" customHeight="false" outlineLevel="0" collapsed="false">
      <c r="B520" s="2" t="n">
        <v>518</v>
      </c>
      <c r="C520" s="2" t="n">
        <v>0</v>
      </c>
      <c r="D520" s="2" t="n">
        <v>0</v>
      </c>
      <c r="E520" s="2" t="n">
        <v>0.025434480517116</v>
      </c>
    </row>
    <row r="521" customFormat="false" ht="13.8" hidden="false" customHeight="false" outlineLevel="0" collapsed="false">
      <c r="B521" s="2" t="n">
        <v>519</v>
      </c>
      <c r="C521" s="2" t="n">
        <v>0</v>
      </c>
      <c r="D521" s="2" t="n">
        <v>0</v>
      </c>
      <c r="E521" s="2" t="n">
        <v>0.00226962376309558</v>
      </c>
    </row>
    <row r="522" customFormat="false" ht="13.8" hidden="false" customHeight="false" outlineLevel="0" collapsed="false">
      <c r="B522" s="2" t="n">
        <v>520</v>
      </c>
      <c r="C522" s="2" t="n">
        <v>0</v>
      </c>
      <c r="D522" s="2" t="n">
        <v>0</v>
      </c>
      <c r="E522" s="2" t="n">
        <v>0.0119380336757418</v>
      </c>
    </row>
    <row r="523" customFormat="false" ht="13.8" hidden="false" customHeight="false" outlineLevel="0" collapsed="false">
      <c r="B523" s="2" t="n">
        <v>521</v>
      </c>
      <c r="C523" s="2" t="n">
        <v>0</v>
      </c>
      <c r="D523" s="2" t="n">
        <v>0</v>
      </c>
      <c r="E523" s="2" t="n">
        <v>0.00313944358838807</v>
      </c>
    </row>
    <row r="524" customFormat="false" ht="13.8" hidden="false" customHeight="false" outlineLevel="0" collapsed="false">
      <c r="B524" s="2" t="n">
        <v>522</v>
      </c>
      <c r="C524" s="2" t="n">
        <v>0</v>
      </c>
      <c r="D524" s="2" t="n">
        <v>0</v>
      </c>
      <c r="E524" s="2" t="n">
        <v>0.00180119447223813</v>
      </c>
    </row>
    <row r="525" customFormat="false" ht="13.8" hidden="false" customHeight="false" outlineLevel="0" collapsed="false">
      <c r="B525" s="2" t="n">
        <v>523</v>
      </c>
      <c r="C525" s="2" t="n">
        <v>0</v>
      </c>
      <c r="D525" s="2" t="n">
        <v>0</v>
      </c>
      <c r="E525" s="2" t="n">
        <v>1.60986506359822E-008</v>
      </c>
    </row>
    <row r="526" customFormat="false" ht="13.8" hidden="false" customHeight="false" outlineLevel="0" collapsed="false">
      <c r="B526" s="2" t="n">
        <v>524</v>
      </c>
      <c r="C526" s="2" t="n">
        <v>0</v>
      </c>
      <c r="D526" s="2" t="n">
        <v>0</v>
      </c>
      <c r="E526" s="2" t="n">
        <v>2.4518097344381E-010</v>
      </c>
    </row>
    <row r="527" customFormat="false" ht="13.8" hidden="false" customHeight="false" outlineLevel="0" collapsed="false">
      <c r="B527" s="2" t="n">
        <v>525</v>
      </c>
      <c r="C527" s="2" t="n">
        <v>0</v>
      </c>
      <c r="D527" s="2" t="n">
        <v>0</v>
      </c>
      <c r="E527" s="2" t="n">
        <v>1.60989726147893E-008</v>
      </c>
    </row>
    <row r="528" customFormat="false" ht="13.8" hidden="false" customHeight="false" outlineLevel="0" collapsed="false">
      <c r="B528" s="2" t="n">
        <v>526</v>
      </c>
      <c r="C528" s="2" t="n">
        <v>0</v>
      </c>
      <c r="D528" s="2" t="n">
        <v>0</v>
      </c>
      <c r="E528" s="2" t="n">
        <v>1.60991336064578E-008</v>
      </c>
    </row>
    <row r="529" customFormat="false" ht="13.8" hidden="false" customHeight="false" outlineLevel="0" collapsed="false">
      <c r="B529" s="2" t="n">
        <v>527</v>
      </c>
      <c r="C529" s="2" t="n">
        <v>0</v>
      </c>
      <c r="D529" s="2" t="n">
        <v>0</v>
      </c>
      <c r="E529" s="2" t="n">
        <v>1.60992945907354E-008</v>
      </c>
    </row>
    <row r="530" customFormat="false" ht="13.8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1.609945559599E-008</v>
      </c>
    </row>
    <row r="531" customFormat="false" ht="13.8" hidden="false" customHeight="false" outlineLevel="0" collapsed="false">
      <c r="B531" s="2" t="n">
        <v>529</v>
      </c>
      <c r="C531" s="2" t="n">
        <v>0</v>
      </c>
      <c r="D531" s="2" t="n">
        <v>0</v>
      </c>
      <c r="E531" s="2" t="n">
        <v>1.60996165836091E-008</v>
      </c>
    </row>
    <row r="532" customFormat="false" ht="13.8" hidden="false" customHeight="false" outlineLevel="0" collapsed="false">
      <c r="B532" s="2" t="n">
        <v>530</v>
      </c>
      <c r="C532" s="2" t="n">
        <v>0</v>
      </c>
      <c r="D532" s="2" t="n">
        <v>0</v>
      </c>
      <c r="E532" s="2" t="n">
        <v>1.60997775955432E-008</v>
      </c>
    </row>
    <row r="533" customFormat="false" ht="13.8" hidden="false" customHeight="false" outlineLevel="0" collapsed="false">
      <c r="B533" s="2" t="n">
        <v>531</v>
      </c>
      <c r="C533" s="2" t="n">
        <v>0</v>
      </c>
      <c r="D533" s="2" t="n">
        <v>0</v>
      </c>
      <c r="E533" s="2" t="n">
        <v>0.0226011405856963</v>
      </c>
    </row>
    <row r="534" customFormat="false" ht="13.8" hidden="false" customHeight="false" outlineLevel="0" collapsed="false">
      <c r="B534" s="2" t="n">
        <v>532</v>
      </c>
      <c r="C534" s="2" t="n">
        <v>0</v>
      </c>
      <c r="D534" s="2" t="n">
        <v>0</v>
      </c>
      <c r="E534" s="2" t="n">
        <v>2.45200580034081E-010</v>
      </c>
    </row>
    <row r="535" customFormat="false" ht="13.8" hidden="false" customHeight="false" outlineLevel="0" collapsed="false">
      <c r="B535" s="2" t="n">
        <v>533</v>
      </c>
      <c r="C535" s="2" t="n">
        <v>0</v>
      </c>
      <c r="D535" s="2" t="n">
        <v>0</v>
      </c>
      <c r="E535" s="2" t="n">
        <v>0.00212132271319977</v>
      </c>
    </row>
    <row r="536" customFormat="false" ht="13.8" hidden="false" customHeight="false" outlineLevel="0" collapsed="false">
      <c r="B536" s="2" t="n">
        <v>534</v>
      </c>
      <c r="C536" s="2" t="n">
        <v>0</v>
      </c>
      <c r="D536" s="2" t="n">
        <v>0</v>
      </c>
      <c r="E536" s="2" t="n">
        <v>0.0206067649278406</v>
      </c>
    </row>
    <row r="537" customFormat="false" ht="13.8" hidden="false" customHeight="false" outlineLevel="0" collapsed="false">
      <c r="B537" s="2" t="n">
        <v>535</v>
      </c>
      <c r="C537" s="2" t="n">
        <v>0</v>
      </c>
      <c r="D537" s="2" t="n">
        <v>0</v>
      </c>
      <c r="E537" s="2" t="n">
        <v>2.45207945260826E-010</v>
      </c>
    </row>
    <row r="538" customFormat="false" ht="13.8" hidden="false" customHeight="false" outlineLevel="0" collapsed="false">
      <c r="B538" s="2" t="n">
        <v>536</v>
      </c>
      <c r="C538" s="2" t="n">
        <v>9.53674316406251E-018</v>
      </c>
      <c r="D538" s="2" t="n">
        <v>7.62939453125001E-018</v>
      </c>
      <c r="E538" s="2" t="n">
        <v>0.196520411453289</v>
      </c>
    </row>
    <row r="539" customFormat="false" ht="13.8" hidden="false" customHeight="false" outlineLevel="0" collapsed="false">
      <c r="B539" s="2" t="n">
        <v>537</v>
      </c>
      <c r="C539" s="2" t="n">
        <v>0</v>
      </c>
      <c r="D539" s="2" t="n">
        <v>0</v>
      </c>
      <c r="E539" s="2" t="n">
        <v>0.129946909273109</v>
      </c>
    </row>
    <row r="540" customFormat="false" ht="13.8" hidden="false" customHeight="false" outlineLevel="0" collapsed="false">
      <c r="B540" s="2" t="n">
        <v>538</v>
      </c>
      <c r="C540" s="2" t="n">
        <v>0</v>
      </c>
      <c r="D540" s="2" t="n">
        <v>0</v>
      </c>
      <c r="E540" s="2" t="n">
        <v>0.103389540926381</v>
      </c>
    </row>
    <row r="541" customFormat="false" ht="13.8" hidden="false" customHeight="false" outlineLevel="0" collapsed="false">
      <c r="B541" s="2" t="n">
        <v>539</v>
      </c>
      <c r="C541" s="2" t="n">
        <v>7.91549682617189E-017</v>
      </c>
      <c r="D541" s="2" t="n">
        <v>7.89165496826173E-017</v>
      </c>
      <c r="E541" s="2" t="n">
        <v>0.0647655225796531</v>
      </c>
    </row>
    <row r="542" customFormat="false" ht="13.8" hidden="false" customHeight="false" outlineLevel="0" collapsed="false">
      <c r="B542" s="2" t="n">
        <v>540</v>
      </c>
      <c r="C542" s="2" t="n">
        <v>0</v>
      </c>
      <c r="D542" s="2" t="n">
        <v>0</v>
      </c>
      <c r="E542" s="2" t="n">
        <v>0.0396747375662581</v>
      </c>
    </row>
    <row r="543" customFormat="false" ht="13.8" hidden="false" customHeight="false" outlineLevel="0" collapsed="false">
      <c r="B543" s="2" t="n">
        <v>541</v>
      </c>
      <c r="C543" s="2" t="n">
        <v>0</v>
      </c>
      <c r="D543" s="2" t="n">
        <v>0.00552265295000654</v>
      </c>
      <c r="E543" s="2" t="n">
        <v>0.00220508359722686</v>
      </c>
    </row>
    <row r="544" customFormat="false" ht="13.8" hidden="false" customHeight="false" outlineLevel="0" collapsed="false">
      <c r="B544" s="2" t="n">
        <v>542</v>
      </c>
      <c r="C544" s="2" t="n">
        <v>0</v>
      </c>
      <c r="D544" s="2" t="n">
        <v>0.00496623759573369</v>
      </c>
      <c r="E544" s="2" t="n">
        <v>0</v>
      </c>
    </row>
    <row r="545" customFormat="false" ht="13.8" hidden="false" customHeight="false" outlineLevel="0" collapsed="false">
      <c r="B545" s="2" t="n">
        <v>543</v>
      </c>
      <c r="C545" s="2" t="n">
        <v>1.01327896118164E-018</v>
      </c>
      <c r="D545" s="2" t="n">
        <v>0.00440982224146083</v>
      </c>
      <c r="E545" s="2" t="n">
        <v>0.00717624325274438</v>
      </c>
    </row>
    <row r="546" customFormat="false" ht="13.8" hidden="false" customHeight="false" outlineLevel="0" collapsed="false">
      <c r="B546" s="2" t="n">
        <v>544</v>
      </c>
      <c r="C546" s="2" t="n">
        <v>0</v>
      </c>
      <c r="D546" s="2" t="n">
        <v>0.00385340688718798</v>
      </c>
      <c r="E546" s="2" t="n">
        <v>0</v>
      </c>
    </row>
    <row r="547" customFormat="false" ht="13.8" hidden="false" customHeight="false" outlineLevel="0" collapsed="false">
      <c r="B547" s="2" t="n">
        <v>545</v>
      </c>
      <c r="C547" s="2" t="n">
        <v>1.43051147460938E-018</v>
      </c>
      <c r="D547" s="2" t="n">
        <v>0.00329699153291512</v>
      </c>
      <c r="E547" s="2" t="n">
        <v>0.0475596256831538</v>
      </c>
    </row>
    <row r="548" customFormat="false" ht="13.8" hidden="false" customHeight="false" outlineLevel="0" collapsed="false">
      <c r="B548" s="2" t="n">
        <v>546</v>
      </c>
      <c r="C548" s="2" t="n">
        <v>0</v>
      </c>
      <c r="D548" s="2" t="n">
        <v>0.00300764017810334</v>
      </c>
      <c r="E548" s="2" t="n">
        <v>0.065884314078338</v>
      </c>
    </row>
    <row r="549" customFormat="false" ht="13.8" hidden="false" customHeight="false" outlineLevel="0" collapsed="false">
      <c r="B549" s="2" t="n">
        <v>547</v>
      </c>
      <c r="C549" s="2" t="n">
        <v>4.76837158203126E-019</v>
      </c>
      <c r="D549" s="2" t="n">
        <v>0.00271828882329156</v>
      </c>
      <c r="E549" s="2" t="n">
        <v>0.0588062430165022</v>
      </c>
    </row>
    <row r="550" customFormat="false" ht="13.8" hidden="false" customHeight="false" outlineLevel="0" collapsed="false">
      <c r="B550" s="2" t="n">
        <v>548</v>
      </c>
      <c r="C550" s="2" t="n">
        <v>0</v>
      </c>
      <c r="D550" s="2" t="n">
        <v>0.00242893746847978</v>
      </c>
      <c r="E550" s="2" t="n">
        <v>0.0669777219546665</v>
      </c>
    </row>
    <row r="551" customFormat="false" ht="13.8" hidden="false" customHeight="false" outlineLevel="0" collapsed="false">
      <c r="B551" s="2" t="n">
        <v>549</v>
      </c>
      <c r="C551" s="2" t="n">
        <v>0</v>
      </c>
      <c r="D551" s="2" t="n">
        <v>0.002139586113668</v>
      </c>
      <c r="E551" s="2" t="n">
        <v>0.0611494508928309</v>
      </c>
    </row>
    <row r="552" customFormat="false" ht="13.8" hidden="false" customHeight="false" outlineLevel="0" collapsed="false">
      <c r="B552" s="2" t="n">
        <v>550</v>
      </c>
      <c r="C552" s="2" t="n">
        <v>1.9073486328125E-018</v>
      </c>
      <c r="D552" s="2" t="n">
        <v>0.001604689585251</v>
      </c>
      <c r="E552" s="2" t="n">
        <v>0.071537100669623</v>
      </c>
    </row>
    <row r="553" customFormat="false" ht="13.8" hidden="false" customHeight="false" outlineLevel="0" collapsed="false">
      <c r="B553" s="2" t="n">
        <v>551</v>
      </c>
      <c r="C553" s="2" t="n">
        <v>1.9073486328125E-018</v>
      </c>
      <c r="D553" s="2" t="n">
        <v>0.001069793056834</v>
      </c>
      <c r="E553" s="2" t="n">
        <v>0.065174967113082</v>
      </c>
    </row>
    <row r="554" customFormat="false" ht="13.8" hidden="false" customHeight="false" outlineLevel="0" collapsed="false">
      <c r="B554" s="2" t="n">
        <v>552</v>
      </c>
      <c r="C554" s="2" t="n">
        <v>0</v>
      </c>
      <c r="D554" s="2" t="n">
        <v>0</v>
      </c>
      <c r="E554" s="2" t="n">
        <v>0.0747808634182913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0.06845085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0.0974007166666667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0.0954513166666667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0.110118883333333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0</v>
      </c>
      <c r="E559" s="2" t="n">
        <v>0.114819183333333</v>
      </c>
    </row>
    <row r="560" customFormat="false" ht="13.8" hidden="false" customHeight="false" outlineLevel="0" collapsed="false">
      <c r="B560" s="2" t="n">
        <v>558</v>
      </c>
      <c r="C560" s="2" t="n">
        <v>9.53674316406251E-019</v>
      </c>
      <c r="D560" s="2" t="n">
        <v>0</v>
      </c>
      <c r="E560" s="2" t="n">
        <v>0.108886466666667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0.0562206333333333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0</v>
      </c>
      <c r="E562" s="2" t="n">
        <v>0.0799372</v>
      </c>
    </row>
    <row r="563" customFormat="false" ht="13.8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0.100870666666667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0</v>
      </c>
      <c r="E564" s="2" t="n">
        <v>0.0698882166666667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0.0747041333333333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0</v>
      </c>
      <c r="E566" s="2" t="n">
        <v>0.109936783333333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0.119786933333333</v>
      </c>
    </row>
    <row r="568" customFormat="false" ht="13.8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0.0930704666666667</v>
      </c>
    </row>
    <row r="569" customFormat="false" ht="13.8" hidden="false" customHeight="false" outlineLevel="0" collapsed="false">
      <c r="B569" s="2" t="n">
        <v>567</v>
      </c>
      <c r="C569" s="2" t="n">
        <v>0</v>
      </c>
      <c r="D569" s="2" t="n">
        <v>0</v>
      </c>
      <c r="E569" s="2" t="n">
        <v>0.08272015</v>
      </c>
    </row>
    <row r="570" customFormat="false" ht="13.8" hidden="false" customHeight="false" outlineLevel="0" collapsed="false">
      <c r="B570" s="2" t="n">
        <v>568</v>
      </c>
      <c r="C570" s="2" t="n">
        <v>0</v>
      </c>
      <c r="D570" s="2" t="n">
        <v>0</v>
      </c>
      <c r="E570" s="2" t="n">
        <v>0.0910877666666667</v>
      </c>
    </row>
    <row r="571" customFormat="false" ht="13.8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0.0627878833333333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0.0860378666666667</v>
      </c>
    </row>
    <row r="573" customFormat="false" ht="13.8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0.0955209833333333</v>
      </c>
    </row>
    <row r="574" customFormat="false" ht="13.8" hidden="false" customHeight="false" outlineLevel="0" collapsed="false">
      <c r="B574" s="2" t="n">
        <v>572</v>
      </c>
      <c r="C574" s="2" t="n">
        <v>0</v>
      </c>
      <c r="D574" s="2" t="n">
        <v>0</v>
      </c>
      <c r="E574" s="2" t="n">
        <v>0.0731370833333333</v>
      </c>
    </row>
    <row r="575" customFormat="false" ht="13.8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0.106555893856301</v>
      </c>
    </row>
    <row r="576" customFormat="false" ht="13.8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0.1501202</v>
      </c>
    </row>
    <row r="577" customFormat="false" ht="13.8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0.14540295</v>
      </c>
    </row>
    <row r="578" customFormat="false" ht="13.8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0.152003433333333</v>
      </c>
    </row>
    <row r="579" customFormat="false" ht="13.8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0.04548565</v>
      </c>
    </row>
    <row r="580" customFormat="false" ht="13.8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0.02831895</v>
      </c>
    </row>
    <row r="581" customFormat="false" ht="13.8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0.0844180666666667</v>
      </c>
    </row>
    <row r="582" customFormat="false" ht="13.8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0.0274176666666667</v>
      </c>
    </row>
    <row r="583" customFormat="false" ht="13.8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0.176967066666667</v>
      </c>
    </row>
    <row r="584" customFormat="false" ht="13.8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0.126916816666667</v>
      </c>
    </row>
    <row r="585" customFormat="false" ht="13.8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0.141700133333333</v>
      </c>
    </row>
    <row r="586" customFormat="false" ht="13.8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0.1666503</v>
      </c>
    </row>
    <row r="587" customFormat="false" ht="13.8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0.1277669</v>
      </c>
    </row>
    <row r="588" customFormat="false" ht="13.8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0.1314835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0.171200066666667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0.119350033333333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0.151333466666667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0.14225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0.1484834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0.1418167</v>
      </c>
    </row>
    <row r="595" customFormat="false" ht="13.8" hidden="false" customHeight="false" outlineLevel="0" collapsed="false">
      <c r="B595" s="2" t="n">
        <v>593</v>
      </c>
      <c r="C595" s="2" t="n">
        <v>2.38418579101563E-019</v>
      </c>
      <c r="D595" s="2" t="n">
        <v>0</v>
      </c>
      <c r="E595" s="2" t="n">
        <v>0.124850233333333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0.146683433333333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0.138716833333333</v>
      </c>
    </row>
    <row r="598" customFormat="false" ht="13.8" hidden="false" customHeight="false" outlineLevel="0" collapsed="false">
      <c r="B598" s="2" t="n">
        <v>596</v>
      </c>
      <c r="C598" s="2" t="n">
        <v>1.19209289550781E-018</v>
      </c>
      <c r="D598" s="2" t="n">
        <v>9.53674316406251E-019</v>
      </c>
      <c r="E598" s="2" t="n">
        <v>0.124666966666667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0.151016833333333</v>
      </c>
    </row>
    <row r="600" customFormat="false" ht="13.8" hidden="false" customHeight="false" outlineLevel="0" collapsed="false">
      <c r="B600" s="2" t="n">
        <v>598</v>
      </c>
      <c r="C600" s="2" t="n">
        <v>0</v>
      </c>
      <c r="D600" s="2" t="n">
        <v>0</v>
      </c>
      <c r="E600" s="2" t="n">
        <v>0.110376030008039</v>
      </c>
    </row>
    <row r="601" customFormat="false" ht="13.8" hidden="false" customHeight="false" outlineLevel="0" collapsed="false">
      <c r="B601" s="2" t="n">
        <v>599</v>
      </c>
      <c r="C601" s="2" t="n">
        <v>0</v>
      </c>
      <c r="D601" s="2" t="n">
        <v>0.00179451637047944</v>
      </c>
      <c r="E601" s="2" t="n">
        <v>0.0583510600160775</v>
      </c>
    </row>
    <row r="602" customFormat="false" ht="13.8" hidden="false" customHeight="false" outlineLevel="0" collapsed="false">
      <c r="B602" s="2" t="n">
        <v>600</v>
      </c>
      <c r="C602" s="2" t="n">
        <v>0</v>
      </c>
      <c r="D602" s="2" t="n">
        <v>0.00269177455571917</v>
      </c>
      <c r="E602" s="2" t="n">
        <v>0.0597766233574495</v>
      </c>
    </row>
    <row r="603" customFormat="false" ht="13.8" hidden="false" customHeight="false" outlineLevel="0" collapsed="false">
      <c r="B603" s="2" t="n">
        <v>601</v>
      </c>
      <c r="C603" s="2" t="n">
        <v>0</v>
      </c>
      <c r="D603" s="2" t="n">
        <v>0.00358903274095889</v>
      </c>
      <c r="E603" s="2" t="n">
        <v>0.0334693033654882</v>
      </c>
    </row>
    <row r="604" customFormat="false" ht="13.8" hidden="false" customHeight="false" outlineLevel="0" collapsed="false">
      <c r="B604" s="2" t="n">
        <v>602</v>
      </c>
      <c r="C604" s="2" t="n">
        <v>0</v>
      </c>
      <c r="D604" s="2" t="n">
        <v>0</v>
      </c>
      <c r="E604" s="2" t="n">
        <v>0.0396760454748991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</v>
      </c>
      <c r="E605" s="2" t="n">
        <v>0.0583437381766844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</v>
      </c>
      <c r="E606" s="2" t="n">
        <v>0.0409780975451363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0.0508798902469216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0.0372607620889349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0.0165247839309482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0.00637208910629479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9.53674316406152E-019</v>
      </c>
      <c r="D612" s="2" t="n">
        <v>0</v>
      </c>
      <c r="E612" s="2" t="n">
        <v>0.0323179390299986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0.00809032119285401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0.000108450361755288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</v>
      </c>
      <c r="D624" s="2" t="n">
        <v>0</v>
      </c>
      <c r="E624" s="2" t="n">
        <v>0.0128391448023711</v>
      </c>
    </row>
    <row r="625" customFormat="false" ht="13.8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0</v>
      </c>
      <c r="D626" s="2" t="n">
        <v>0</v>
      </c>
      <c r="E626" s="2" t="n">
        <v>0.00493565465168143</v>
      </c>
    </row>
    <row r="627" customFormat="false" ht="13.8" hidden="false" customHeight="false" outlineLevel="0" collapsed="false">
      <c r="B627" s="2" t="n">
        <v>625</v>
      </c>
      <c r="C627" s="2" t="n">
        <v>0</v>
      </c>
      <c r="D627" s="2" t="n">
        <v>0</v>
      </c>
      <c r="E627" s="2" t="n">
        <v>0</v>
      </c>
    </row>
    <row r="628" customFormat="false" ht="13.8" hidden="false" customHeight="false" outlineLevel="0" collapsed="false">
      <c r="B628" s="2" t="n">
        <v>626</v>
      </c>
      <c r="C628" s="2" t="n">
        <v>0</v>
      </c>
      <c r="D628" s="2" t="n">
        <v>0</v>
      </c>
      <c r="E628" s="2" t="n">
        <v>0.00753147547836117</v>
      </c>
    </row>
    <row r="629" customFormat="false" ht="13.8" hidden="false" customHeight="false" outlineLevel="0" collapsed="false">
      <c r="B629" s="2" t="n">
        <v>627</v>
      </c>
      <c r="C629" s="2" t="n">
        <v>0</v>
      </c>
      <c r="D629" s="2" t="n">
        <v>0</v>
      </c>
      <c r="E629" s="2" t="n">
        <v>0</v>
      </c>
    </row>
    <row r="630" customFormat="false" ht="13.8" hidden="false" customHeight="false" outlineLevel="0" collapsed="false">
      <c r="B630" s="2" t="n">
        <v>628</v>
      </c>
      <c r="C630" s="2" t="n">
        <v>0</v>
      </c>
      <c r="D630" s="2" t="n">
        <v>0</v>
      </c>
      <c r="E630" s="2" t="n">
        <v>0.0324600906157437</v>
      </c>
    </row>
    <row r="631" customFormat="false" ht="13.8" hidden="false" customHeight="false" outlineLevel="0" collapsed="false">
      <c r="B631" s="2" t="n">
        <v>629</v>
      </c>
      <c r="C631" s="2" t="n">
        <v>0</v>
      </c>
      <c r="D631" s="2" t="n">
        <v>0</v>
      </c>
      <c r="E631" s="2" t="n">
        <v>0</v>
      </c>
    </row>
    <row r="632" customFormat="false" ht="13.8" hidden="false" customHeight="false" outlineLevel="0" collapsed="false">
      <c r="B632" s="2" t="n">
        <v>630</v>
      </c>
      <c r="C632" s="2" t="n">
        <v>0</v>
      </c>
      <c r="D632" s="2" t="n">
        <v>0</v>
      </c>
      <c r="E632" s="2" t="n">
        <v>0.0442471419970462</v>
      </c>
    </row>
    <row r="633" customFormat="false" ht="13.8" hidden="false" customHeight="false" outlineLevel="0" collapsed="false">
      <c r="B633" s="2" t="n">
        <v>631</v>
      </c>
      <c r="C633" s="2" t="n">
        <v>0</v>
      </c>
      <c r="D633" s="2" t="n">
        <v>0</v>
      </c>
      <c r="E633" s="2" t="n">
        <v>1.90734862884214E-018</v>
      </c>
    </row>
    <row r="634" customFormat="false" ht="13.8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0</v>
      </c>
    </row>
    <row r="635" customFormat="false" ht="13.8" hidden="false" customHeight="false" outlineLevel="0" collapsed="false">
      <c r="B635" s="2" t="n">
        <v>633</v>
      </c>
      <c r="C635" s="2" t="n">
        <v>0</v>
      </c>
      <c r="D635" s="2" t="n">
        <v>0</v>
      </c>
      <c r="E635" s="2" t="n">
        <v>0</v>
      </c>
    </row>
    <row r="636" customFormat="false" ht="13.8" hidden="false" customHeight="false" outlineLevel="0" collapsed="false">
      <c r="B636" s="2" t="n">
        <v>634</v>
      </c>
      <c r="C636" s="2" t="n">
        <v>0</v>
      </c>
      <c r="D636" s="2" t="n">
        <v>0</v>
      </c>
      <c r="E636" s="2" t="n">
        <v>0.0514511672034016</v>
      </c>
    </row>
    <row r="637" customFormat="false" ht="13.8" hidden="false" customHeight="false" outlineLevel="0" collapsed="false">
      <c r="B637" s="2" t="n">
        <v>635</v>
      </c>
      <c r="C637" s="2" t="n">
        <v>0</v>
      </c>
      <c r="D637" s="2" t="n">
        <v>0</v>
      </c>
      <c r="E637" s="2" t="n">
        <v>0</v>
      </c>
    </row>
    <row r="638" customFormat="false" ht="13.8" hidden="false" customHeight="false" outlineLevel="0" collapsed="false">
      <c r="B638" s="2" t="n">
        <v>636</v>
      </c>
      <c r="C638" s="2" t="n">
        <v>0</v>
      </c>
      <c r="D638" s="2" t="n">
        <v>0</v>
      </c>
      <c r="E638" s="2" t="n">
        <v>0.0596228214071116</v>
      </c>
    </row>
    <row r="639" customFormat="false" ht="13.8" hidden="false" customHeight="false" outlineLevel="0" collapsed="false">
      <c r="B639" s="2" t="n">
        <v>637</v>
      </c>
      <c r="C639" s="2" t="n">
        <v>0</v>
      </c>
      <c r="D639" s="2" t="n">
        <v>0</v>
      </c>
      <c r="E639" s="2" t="n">
        <v>0</v>
      </c>
    </row>
    <row r="640" customFormat="false" ht="13.8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0.0508581064281146</v>
      </c>
    </row>
    <row r="641" customFormat="false" ht="13.8" hidden="false" customHeight="false" outlineLevel="0" collapsed="false">
      <c r="B641" s="2" t="n">
        <v>639</v>
      </c>
      <c r="C641" s="2" t="n">
        <v>4.76837158203122E-019</v>
      </c>
      <c r="D641" s="2" t="n">
        <v>0.0203145401374232</v>
      </c>
      <c r="E641" s="2" t="n">
        <v>0</v>
      </c>
    </row>
    <row r="642" customFormat="false" ht="13.8" hidden="false" customHeight="false" outlineLevel="0" collapsed="false">
      <c r="B642" s="2" t="n">
        <v>640</v>
      </c>
      <c r="C642" s="2" t="n">
        <v>0</v>
      </c>
      <c r="D642" s="2" t="n">
        <v>0.012912448307756</v>
      </c>
      <c r="E642" s="2" t="n">
        <v>0</v>
      </c>
    </row>
    <row r="643" customFormat="false" ht="13.8" hidden="false" customHeight="false" outlineLevel="0" collapsed="false">
      <c r="B643" s="2" t="n">
        <v>641</v>
      </c>
      <c r="C643" s="2" t="n">
        <v>4.76837158203122E-019</v>
      </c>
      <c r="D643" s="2" t="n">
        <v>0.00551035647808891</v>
      </c>
      <c r="E643" s="2" t="n">
        <v>0</v>
      </c>
    </row>
    <row r="644" customFormat="false" ht="13.8" hidden="false" customHeight="false" outlineLevel="0" collapsed="false">
      <c r="B644" s="2" t="n">
        <v>642</v>
      </c>
      <c r="C644" s="2" t="n">
        <v>4.76837158203122E-019</v>
      </c>
      <c r="D644" s="2" t="n">
        <v>0.00500696965896085</v>
      </c>
      <c r="E644" s="2" t="n">
        <v>0</v>
      </c>
    </row>
    <row r="645" customFormat="false" ht="13.8" hidden="false" customHeight="false" outlineLevel="0" collapsed="false">
      <c r="B645" s="2" t="n">
        <v>643</v>
      </c>
      <c r="C645" s="2" t="n">
        <v>0</v>
      </c>
      <c r="D645" s="2" t="n">
        <v>0.00450358283983278</v>
      </c>
      <c r="E645" s="2" t="n">
        <v>0.0619194052350221</v>
      </c>
    </row>
    <row r="646" customFormat="false" ht="13.8" hidden="false" customHeight="false" outlineLevel="0" collapsed="false">
      <c r="B646" s="2" t="n">
        <v>644</v>
      </c>
      <c r="C646" s="2" t="n">
        <v>0</v>
      </c>
      <c r="D646" s="2" t="n">
        <v>0.00400019602070471</v>
      </c>
      <c r="E646" s="2" t="n">
        <v>0.0513662174020056</v>
      </c>
    </row>
    <row r="647" customFormat="false" ht="13.8" hidden="false" customHeight="false" outlineLevel="0" collapsed="false">
      <c r="B647" s="2" t="n">
        <v>645</v>
      </c>
      <c r="C647" s="2" t="n">
        <v>9.53674316406237E-019</v>
      </c>
      <c r="D647" s="2" t="n">
        <v>0.00349680920157665</v>
      </c>
      <c r="E647" s="2" t="n">
        <v>0.0830563291890731</v>
      </c>
    </row>
    <row r="648" customFormat="false" ht="13.8" hidden="false" customHeight="false" outlineLevel="0" collapsed="false">
      <c r="B648" s="2" t="n">
        <v>646</v>
      </c>
      <c r="C648" s="2" t="n">
        <v>0</v>
      </c>
      <c r="D648" s="2" t="n">
        <v>0.00262260690118248</v>
      </c>
      <c r="E648" s="2" t="n">
        <v>0.0591672343918048</v>
      </c>
    </row>
    <row r="649" customFormat="false" ht="13.8" hidden="false" customHeight="false" outlineLevel="0" collapsed="false">
      <c r="B649" s="2" t="n">
        <v>647</v>
      </c>
      <c r="C649" s="2" t="n">
        <v>0</v>
      </c>
      <c r="D649" s="2" t="n">
        <v>0.00174840460078832</v>
      </c>
      <c r="E649" s="2" t="n">
        <v>0.0842786729278699</v>
      </c>
    </row>
    <row r="650" customFormat="false" ht="13.8" hidden="false" customHeight="false" outlineLevel="0" collapsed="false">
      <c r="B650" s="2" t="n">
        <v>648</v>
      </c>
      <c r="C650" s="2" t="n">
        <v>0</v>
      </c>
      <c r="D650" s="2" t="n">
        <v>0.000874202300394162</v>
      </c>
      <c r="E650" s="2" t="n">
        <v>0.0683061947972683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0.09496765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0.0744679666666667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0.107651316666667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0.0779190666666667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0.0826531833333333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0.111936266666667</v>
      </c>
    </row>
    <row r="657" customFormat="false" ht="13.8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0.117602516666667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0.12325325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0</v>
      </c>
      <c r="E659" s="2" t="n">
        <v>0.0943036333333333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0.117403483333333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0.0893202333333333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0.1112702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0.1079203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0.126637133333333</v>
      </c>
    </row>
    <row r="665" customFormat="false" ht="13.8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0.0764712333333333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0.102704383333333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0</v>
      </c>
      <c r="E667" s="2" t="n">
        <v>0.06722125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0.0953546166666667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0.0783206333333333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0.105570366666667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0.0650041333333333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0.151500598987741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0.175570416666667</v>
      </c>
    </row>
    <row r="674" customFormat="false" ht="13.8" hidden="false" customHeight="false" outlineLevel="0" collapsed="false">
      <c r="B674" s="2" t="n">
        <v>672</v>
      </c>
      <c r="C674" s="2" t="n">
        <v>4.76837158203116E-019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1.71661376953125E-018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5.50508499145509E-017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2.38418579101562E-019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1.19209289550781E-019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5.960464477539E-019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2.38418579101562E-019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5.46932220458985E-017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4.76837158203122E-019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5.44719856407028E-017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2.72274017333985E-017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5.960464477539E-019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2.38418579101562E-019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1.19209289550781E-019</v>
      </c>
    </row>
    <row r="26" customFormat="false" ht="13.8" hidden="false" customHeight="false" outlineLevel="0" collapsed="false">
      <c r="B26" s="2" t="n">
        <v>24</v>
      </c>
      <c r="C26" s="2" t="n">
        <v>9.53674316406236E-019</v>
      </c>
      <c r="D26" s="2" t="n">
        <v>0</v>
      </c>
      <c r="E26" s="2" t="n">
        <v>2.73466110229493E-017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2.38418579101562E-019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0</v>
      </c>
      <c r="E30" s="2" t="n">
        <v>2.78830528259278E-017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0.0111737048357753</v>
      </c>
      <c r="E32" s="2" t="n">
        <v>2.76446342468262E-017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0.0182802425645499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0.0244807385290159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0.0306812344934819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0.0325856505817252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0.0344900666699685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0.0363944827582118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0.0382988988464551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0.0513980998214602</v>
      </c>
      <c r="E40" s="2" t="n">
        <v>2.74658203125E-017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0.0644973007964652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0.0775965017714703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0.0906957027464754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0.0925786000088628</v>
      </c>
      <c r="E44" s="2" t="n">
        <v>2.74658203125E-017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0.0944614972712503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0.0963443945336377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0.0982272917960251</v>
      </c>
      <c r="E47" s="2" t="n">
        <v>2.74658203125E-017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0.098588884923353</v>
      </c>
      <c r="E48" s="2" t="n">
        <v>0.67356632751455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0.0989504780506808</v>
      </c>
      <c r="E49" s="2" t="n">
        <v>0.708729312136155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0.0993120711780087</v>
      </c>
      <c r="E50" s="2" t="n">
        <v>6.87201639384032E-010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0.0996736643053366</v>
      </c>
      <c r="E51" s="2" t="n">
        <v>1.37441015084088E-009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0.100408378502415</v>
      </c>
      <c r="E52" s="2" t="n">
        <v>2.06162553444505E-009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0.101143092699494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0.0177477147233346</v>
      </c>
      <c r="D54" s="2" t="n">
        <v>0.101877806896572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0.0283696698514049</v>
      </c>
      <c r="D55" s="2" t="n">
        <v>0.102612521093651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0.038270159750029</v>
      </c>
      <c r="D56" s="2" t="n">
        <v>0.0992102410199408</v>
      </c>
      <c r="E56" s="2" t="n">
        <v>0.610642526203676</v>
      </c>
    </row>
    <row r="57" customFormat="false" ht="13.8" hidden="false" customHeight="false" outlineLevel="0" collapsed="false">
      <c r="B57" s="2" t="n">
        <v>55</v>
      </c>
      <c r="C57" s="2" t="n">
        <v>0.0282546829819865</v>
      </c>
      <c r="D57" s="2" t="n">
        <v>0.095807960946231</v>
      </c>
      <c r="E57" s="2" t="n">
        <v>6.87201639384032E-010</v>
      </c>
    </row>
    <row r="58" customFormat="false" ht="13.8" hidden="false" customHeight="false" outlineLevel="0" collapsed="false">
      <c r="B58" s="2" t="n">
        <v>56</v>
      </c>
      <c r="C58" s="2" t="n">
        <v>0.0312392728806106</v>
      </c>
      <c r="D58" s="2" t="n">
        <v>0.0924056808725211</v>
      </c>
      <c r="E58" s="2" t="n">
        <v>0.653112956813679</v>
      </c>
    </row>
    <row r="59" customFormat="false" ht="13.8" hidden="false" customHeight="false" outlineLevel="0" collapsed="false">
      <c r="B59" s="2" t="n">
        <v>57</v>
      </c>
      <c r="C59" s="2" t="n">
        <v>0.0413902294459014</v>
      </c>
      <c r="D59" s="2" t="n">
        <v>0.0890034007988113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0.00827650826876487</v>
      </c>
      <c r="D60" s="2" t="n">
        <v>0.0796192714019208</v>
      </c>
      <c r="E60" s="2" t="n">
        <v>0.585162894786982</v>
      </c>
    </row>
    <row r="61" customFormat="false" ht="13.8" hidden="false" customHeight="false" outlineLevel="0" collapsed="false">
      <c r="B61" s="2" t="n">
        <v>59</v>
      </c>
      <c r="C61" s="2" t="n">
        <v>0.0115795204249617</v>
      </c>
      <c r="D61" s="2" t="n">
        <v>0.0702351420050303</v>
      </c>
      <c r="E61" s="2" t="n">
        <v>0.48025267578861</v>
      </c>
    </row>
    <row r="62" customFormat="false" ht="13.8" hidden="false" customHeight="false" outlineLevel="0" collapsed="false">
      <c r="B62" s="2" t="n">
        <v>60</v>
      </c>
      <c r="C62" s="2" t="n">
        <v>1.71661376953125E-018</v>
      </c>
      <c r="D62" s="2" t="n">
        <v>0.0608510126081399</v>
      </c>
      <c r="E62" s="2" t="n">
        <v>0.404924922704736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0.0514668832112494</v>
      </c>
      <c r="E63" s="2" t="n">
        <v>0.332217032529229</v>
      </c>
    </row>
    <row r="64" customFormat="false" ht="13.8" hidden="false" customHeight="false" outlineLevel="0" collapsed="false">
      <c r="B64" s="2" t="n">
        <v>62</v>
      </c>
      <c r="C64" s="2" t="n">
        <v>0</v>
      </c>
      <c r="D64" s="2" t="n">
        <v>0.0466766388698368</v>
      </c>
      <c r="E64" s="2" t="n">
        <v>0.249784063097452</v>
      </c>
    </row>
    <row r="65" customFormat="false" ht="13.8" hidden="false" customHeight="false" outlineLevel="0" collapsed="false">
      <c r="B65" s="2" t="n">
        <v>63</v>
      </c>
      <c r="C65" s="2" t="n">
        <v>0</v>
      </c>
      <c r="D65" s="2" t="n">
        <v>0.0418863945284243</v>
      </c>
      <c r="E65" s="2" t="n">
        <v>6.87201639384032E-010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0.0370961501870117</v>
      </c>
      <c r="E66" s="2" t="n">
        <v>1.37441015084088E-009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0.0323059058455991</v>
      </c>
      <c r="E67" s="2" t="n">
        <v>2.06162553444505E-009</v>
      </c>
    </row>
    <row r="68" customFormat="false" ht="13.8" hidden="false" customHeight="false" outlineLevel="0" collapsed="false">
      <c r="B68" s="2" t="n">
        <v>66</v>
      </c>
      <c r="C68" s="2" t="n">
        <v>0</v>
      </c>
      <c r="D68" s="2" t="n">
        <v>0.0274268963475311</v>
      </c>
      <c r="E68" s="2" t="n">
        <v>2.74884779030085E-009</v>
      </c>
    </row>
    <row r="69" customFormat="false" ht="13.8" hidden="false" customHeight="false" outlineLevel="0" collapsed="false">
      <c r="B69" s="2" t="n">
        <v>67</v>
      </c>
      <c r="C69" s="2" t="n">
        <v>1.71661376953125E-018</v>
      </c>
      <c r="D69" s="2" t="n">
        <v>0.0225478868494631</v>
      </c>
      <c r="E69" s="2" t="n">
        <v>3.43607697336972E-009</v>
      </c>
    </row>
    <row r="70" customFormat="false" ht="13.8" hidden="false" customHeight="false" outlineLevel="0" collapsed="false">
      <c r="B70" s="2" t="n">
        <v>68</v>
      </c>
      <c r="C70" s="2" t="n">
        <v>9.53674316406165E-019</v>
      </c>
      <c r="D70" s="2" t="n">
        <v>0.00988421635716347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0</v>
      </c>
      <c r="D71" s="2" t="n">
        <v>0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</v>
      </c>
      <c r="D72" s="2" t="n">
        <v>0</v>
      </c>
      <c r="E72" s="2" t="n">
        <v>5.58853149414063E-017</v>
      </c>
    </row>
    <row r="73" customFormat="false" ht="13.8" hidden="false" customHeight="false" outlineLevel="0" collapsed="false">
      <c r="B73" s="2" t="n">
        <v>71</v>
      </c>
      <c r="C73" s="2" t="n">
        <v>0</v>
      </c>
      <c r="D73" s="2" t="n">
        <v>0</v>
      </c>
      <c r="E73" s="2" t="n">
        <v>0</v>
      </c>
    </row>
    <row r="74" customFormat="false" ht="13.8" hidden="false" customHeight="false" outlineLevel="0" collapsed="false">
      <c r="B74" s="2" t="n">
        <v>72</v>
      </c>
      <c r="C74" s="2" t="n">
        <v>0</v>
      </c>
      <c r="D74" s="2" t="n">
        <v>0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4.29153442382813E-019</v>
      </c>
      <c r="D77" s="2" t="n">
        <v>0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5.54084777832032E-017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5.46932220458985E-017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1.373291015625E-017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5.37395477294922E-017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7.15255737304679E-019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1.19209289550779E-018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4.76837158203121E-019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4.76837158203121E-019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6.86645507812501E-018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7.45058059692383E-020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2.38418579101562E-019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2.73466110229493E-017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4.76837158203121E-019</v>
      </c>
    </row>
    <row r="103" customFormat="false" ht="13.8" hidden="false" customHeight="false" outlineLevel="0" collapsed="false">
      <c r="B103" s="2" t="n">
        <v>101</v>
      </c>
      <c r="C103" s="2" t="n">
        <v>4.76837158203122E-019</v>
      </c>
      <c r="D103" s="2" t="n">
        <v>0</v>
      </c>
      <c r="E103" s="2" t="n">
        <v>7.45058059692383E-020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2.38418579101562E-019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2.72274017333985E-017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2.38418579101562E-019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2.77042388916016E-017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1.39713287353516E-017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2.38418579101562E-019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2.38418579101562E-019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2.38418579101562E-019</v>
      </c>
      <c r="D120" s="2" t="n">
        <v>0</v>
      </c>
      <c r="E120" s="2" t="n">
        <v>2.38418579101562E-019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1.71661376953125E-018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2.38418579101557E-019</v>
      </c>
      <c r="E123" s="2" t="n">
        <v>0.00407563874211299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0.0856518436717617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0.090116231507357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0.0945806193429523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0.0990450071785477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0.0576435178150471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0.103001397018046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0.104979591937795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0.106957786857544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0.108346903919489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0.109736020981434</v>
      </c>
      <c r="E145" s="2" t="n">
        <v>0.784159898596423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0.111125138043379</v>
      </c>
      <c r="E146" s="2" t="n">
        <v>6.87201646250487E-010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0.112514255105324</v>
      </c>
      <c r="E147" s="2" t="n">
        <v>1.37441015084088E-009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0.110665941670205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0.108817628235086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0.106969314799967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0.0452128784857592</v>
      </c>
      <c r="D151" s="2" t="n">
        <v>0.105121001364848</v>
      </c>
      <c r="E151" s="2" t="n">
        <v>0.746922177761743</v>
      </c>
    </row>
    <row r="152" customFormat="false" ht="13.8" hidden="false" customHeight="false" outlineLevel="0" collapsed="false">
      <c r="B152" s="2" t="n">
        <v>150</v>
      </c>
      <c r="C152" s="2" t="n">
        <v>0.00838623169239647</v>
      </c>
      <c r="D152" s="2" t="n">
        <v>0.101273742713618</v>
      </c>
      <c r="E152" s="2" t="n">
        <v>0.705588667242997</v>
      </c>
    </row>
    <row r="153" customFormat="false" ht="13.8" hidden="false" customHeight="false" outlineLevel="0" collapsed="false">
      <c r="B153" s="2" t="n">
        <v>151</v>
      </c>
      <c r="C153" s="2" t="n">
        <v>0.0535438714030762</v>
      </c>
      <c r="D153" s="2" t="n">
        <v>0.0974264840623893</v>
      </c>
      <c r="E153" s="2" t="n">
        <v>0.690255090057581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0.089731186524916</v>
      </c>
      <c r="E154" s="2" t="n">
        <v>0.648921779538835</v>
      </c>
    </row>
    <row r="155" customFormat="false" ht="13.8" hidden="false" customHeight="false" outlineLevel="0" collapsed="false">
      <c r="B155" s="2" t="n">
        <v>153</v>
      </c>
      <c r="C155" s="2" t="n">
        <v>0.0608933174911023</v>
      </c>
      <c r="D155" s="2" t="n">
        <v>0.089731966759931</v>
      </c>
      <c r="E155" s="2" t="n">
        <v>0.633321669020088</v>
      </c>
    </row>
    <row r="156" customFormat="false" ht="13.8" hidden="false" customHeight="false" outlineLevel="0" collapsed="false">
      <c r="B156" s="2" t="n">
        <v>154</v>
      </c>
      <c r="C156" s="2" t="n">
        <v>0.0207259792026738</v>
      </c>
      <c r="D156" s="2" t="n">
        <v>0.0826345968749727</v>
      </c>
      <c r="E156" s="2" t="n">
        <v>0.599902626376464</v>
      </c>
    </row>
    <row r="157" customFormat="false" ht="13.8" hidden="false" customHeight="false" outlineLevel="0" collapsed="false">
      <c r="B157" s="2" t="n">
        <v>155</v>
      </c>
      <c r="C157" s="2" t="n">
        <v>0.00355867424757869</v>
      </c>
      <c r="D157" s="2" t="n">
        <v>0.0755372269900144</v>
      </c>
      <c r="E157" s="2" t="n">
        <v>0.505300100399513</v>
      </c>
    </row>
    <row r="158" customFormat="false" ht="13.8" hidden="false" customHeight="false" outlineLevel="0" collapsed="false">
      <c r="B158" s="2" t="n">
        <v>156</v>
      </c>
      <c r="C158" s="2" t="n">
        <v>0.00572441929248356</v>
      </c>
      <c r="D158" s="2" t="n">
        <v>0.068439857105056</v>
      </c>
      <c r="E158" s="2" t="n">
        <v>0.485597407755895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0.0539828015574862</v>
      </c>
      <c r="E159" s="2" t="n">
        <v>0.401761181778937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0.0563797080070909</v>
      </c>
      <c r="E160" s="2" t="n">
        <v>0.366474064755341</v>
      </c>
    </row>
    <row r="161" customFormat="false" ht="13.8" hidden="false" customHeight="false" outlineLevel="0" collapsed="false">
      <c r="B161" s="2" t="n">
        <v>159</v>
      </c>
      <c r="C161" s="2" t="n">
        <v>0.00229998933341226</v>
      </c>
      <c r="D161" s="2" t="n">
        <v>0.051416928794084</v>
      </c>
      <c r="E161" s="2" t="n">
        <v>0.376796894060942</v>
      </c>
    </row>
    <row r="162" customFormat="false" ht="13.8" hidden="false" customHeight="false" outlineLevel="0" collapsed="false">
      <c r="B162" s="2" t="n">
        <v>160</v>
      </c>
      <c r="C162" s="2" t="n">
        <v>1.71661376953125E-018</v>
      </c>
      <c r="D162" s="2" t="n">
        <v>0.0464541495810772</v>
      </c>
      <c r="E162" s="2" t="n">
        <v>0.253170102033369</v>
      </c>
    </row>
    <row r="163" customFormat="false" ht="13.8" hidden="false" customHeight="false" outlineLevel="0" collapsed="false">
      <c r="B163" s="2" t="n">
        <v>161</v>
      </c>
      <c r="C163" s="2" t="n">
        <v>0.00479313099610273</v>
      </c>
      <c r="D163" s="2" t="n">
        <v>0.0414913703680703</v>
      </c>
      <c r="E163" s="2" t="n">
        <v>0.0107180056718105</v>
      </c>
    </row>
    <row r="164" customFormat="false" ht="13.8" hidden="false" customHeight="false" outlineLevel="0" collapsed="false">
      <c r="B164" s="2" t="n">
        <v>162</v>
      </c>
      <c r="C164" s="2" t="n">
        <v>1.71661376953125E-018</v>
      </c>
      <c r="D164" s="2" t="n">
        <v>0.035336601908548</v>
      </c>
      <c r="E164" s="2" t="n">
        <v>8.24643286743761E-010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0.0291818334490257</v>
      </c>
      <c r="E165" s="2" t="n">
        <v>1.51185322757066E-009</v>
      </c>
    </row>
    <row r="166" customFormat="false" ht="13.8" hidden="false" customHeight="false" outlineLevel="0" collapsed="false">
      <c r="B166" s="2" t="n">
        <v>164</v>
      </c>
      <c r="C166" s="2" t="n">
        <v>0</v>
      </c>
      <c r="D166" s="2" t="n">
        <v>0</v>
      </c>
      <c r="E166" s="2" t="n">
        <v>0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0.016872296529981</v>
      </c>
      <c r="E167" s="2" t="n">
        <v>2.88629361592234E-009</v>
      </c>
    </row>
    <row r="168" customFormat="false" ht="13.8" hidden="false" customHeight="false" outlineLevel="0" collapsed="false">
      <c r="B168" s="2" t="n">
        <v>166</v>
      </c>
      <c r="C168" s="2" t="n">
        <v>0</v>
      </c>
      <c r="D168" s="2" t="n">
        <v>0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0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0</v>
      </c>
      <c r="D170" s="2" t="n">
        <v>0</v>
      </c>
      <c r="E170" s="2" t="n">
        <v>5.49316406250001E-017</v>
      </c>
    </row>
    <row r="171" customFormat="false" ht="13.8" hidden="false" customHeight="false" outlineLevel="0" collapsed="false">
      <c r="B171" s="2" t="n">
        <v>169</v>
      </c>
      <c r="C171" s="2" t="n">
        <v>1.71661376953125E-018</v>
      </c>
      <c r="D171" s="2" t="n">
        <v>0</v>
      </c>
      <c r="E171" s="2" t="n">
        <v>0</v>
      </c>
    </row>
    <row r="172" customFormat="false" ht="13.8" hidden="false" customHeight="false" outlineLevel="0" collapsed="false">
      <c r="B172" s="2" t="n">
        <v>170</v>
      </c>
      <c r="C172" s="2" t="n">
        <v>0</v>
      </c>
      <c r="D172" s="2" t="n">
        <v>0</v>
      </c>
      <c r="E172" s="2" t="n">
        <v>0</v>
      </c>
    </row>
    <row r="173" customFormat="false" ht="13.8" hidden="false" customHeight="false" outlineLevel="0" collapsed="false">
      <c r="B173" s="2" t="n">
        <v>171</v>
      </c>
      <c r="C173" s="2" t="n">
        <v>0</v>
      </c>
      <c r="D173" s="2" t="n">
        <v>0</v>
      </c>
      <c r="E173" s="2" t="n">
        <v>4.12397639593107E-019</v>
      </c>
    </row>
    <row r="174" customFormat="false" ht="13.8" hidden="false" customHeight="false" outlineLevel="0" collapsed="false">
      <c r="B174" s="2" t="n">
        <v>172</v>
      </c>
      <c r="C174" s="2" t="n">
        <v>0</v>
      </c>
      <c r="D174" s="2" t="n">
        <v>0</v>
      </c>
      <c r="E174" s="2" t="n">
        <v>0</v>
      </c>
    </row>
    <row r="175" customFormat="false" ht="13.8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4.94019332109015E-019</v>
      </c>
    </row>
    <row r="179" customFormat="false" ht="13.8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5.50061464309693E-017</v>
      </c>
    </row>
    <row r="181" customFormat="false" ht="13.8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4.76837158203121E-019</v>
      </c>
    </row>
    <row r="182" customFormat="false" ht="13.8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7.45058059692383E-020</v>
      </c>
    </row>
    <row r="183" customFormat="false" ht="13.8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4.76837158203121E-019</v>
      </c>
    </row>
    <row r="184" customFormat="false" ht="13.8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4.76837158203121E-019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9.53674316406102E-020</v>
      </c>
      <c r="D187" s="2" t="n">
        <v>0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7.45058059692383E-020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7.45058059692383E-020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6.86645507812501E-018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4.76837158203121E-019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1.49011611938477E-020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3.43322753906251E-018</v>
      </c>
      <c r="E197" s="2" t="n">
        <v>2.78830528259278E-017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2.38418579101562E-019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4.17232513427732E-019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2.72274017333985E-017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1.19209289550781E-019</v>
      </c>
      <c r="D202" s="2" t="n">
        <v>0</v>
      </c>
      <c r="E202" s="2" t="n">
        <v>7.15255737304679E-019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2.78830528259278E-017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7.15255737304679E-019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1.19209289550779E-018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7.15255737304679E-019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4.17232513427732E-019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1.41985714435578E-017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7.45058059692383E-020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1.42097473144531E-017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1.34110450744629E-019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3.5390257835388E-019</v>
      </c>
    </row>
    <row r="216" customFormat="false" ht="13.8" hidden="false" customHeight="false" outlineLevel="0" collapsed="false">
      <c r="B216" s="2" t="n">
        <v>214</v>
      </c>
      <c r="C216" s="2" t="n">
        <v>0</v>
      </c>
      <c r="D216" s="2" t="n">
        <v>0</v>
      </c>
      <c r="E216" s="2" t="n">
        <v>0</v>
      </c>
    </row>
    <row r="217" customFormat="false" ht="13.8" hidden="false" customHeight="false" outlineLevel="0" collapsed="false">
      <c r="B217" s="2" t="n">
        <v>215</v>
      </c>
      <c r="C217" s="2" t="n">
        <v>0</v>
      </c>
      <c r="D217" s="2" t="n">
        <v>0</v>
      </c>
      <c r="E217" s="2" t="n">
        <v>4.76837158203121E-019</v>
      </c>
    </row>
    <row r="218" customFormat="false" ht="13.8" hidden="false" customHeight="false" outlineLevel="0" collapsed="false">
      <c r="B218" s="2" t="n">
        <v>216</v>
      </c>
      <c r="C218" s="2" t="n">
        <v>0</v>
      </c>
      <c r="D218" s="2" t="n">
        <v>0</v>
      </c>
      <c r="E218" s="2" t="n">
        <v>3.91006469726563E-018</v>
      </c>
    </row>
    <row r="219" customFormat="false" ht="13.8" hidden="false" customHeight="false" outlineLevel="0" collapsed="false">
      <c r="B219" s="2" t="n">
        <v>217</v>
      </c>
      <c r="C219" s="2" t="n">
        <v>0</v>
      </c>
      <c r="D219" s="2" t="n">
        <v>0</v>
      </c>
      <c r="E219" s="2" t="n">
        <v>2.19345092773437E-018</v>
      </c>
    </row>
    <row r="220" customFormat="false" ht="13.8" hidden="false" customHeight="false" outlineLevel="0" collapsed="false">
      <c r="B220" s="2" t="n">
        <v>218</v>
      </c>
      <c r="C220" s="2" t="n">
        <v>0</v>
      </c>
      <c r="D220" s="2" t="n">
        <v>0</v>
      </c>
      <c r="E220" s="2" t="n">
        <v>3.81469726562496E-019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4.76837158203121E-019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0.0805649469453362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0.0851596005303089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0.0897542541152817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0.0943489077002545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0.0989435612852271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0.10157654333459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0.104209525383953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0.106842507433316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0.109475489482679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0.109954283357972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0.110433077233265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0.110911871108557</v>
      </c>
      <c r="E242" s="2" t="n">
        <v>0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0.11139066498385</v>
      </c>
      <c r="E243" s="2" t="n">
        <v>0</v>
      </c>
    </row>
    <row r="244" customFormat="false" ht="13.8" hidden="false" customHeight="false" outlineLevel="0" collapsed="false">
      <c r="B244" s="2" t="n">
        <v>242</v>
      </c>
      <c r="C244" s="2" t="n">
        <v>0</v>
      </c>
      <c r="D244" s="2" t="n">
        <v>0.109997705274431</v>
      </c>
      <c r="E244" s="2" t="n">
        <v>0.775804145756158</v>
      </c>
    </row>
    <row r="245" customFormat="false" ht="13.8" hidden="false" customHeight="false" outlineLevel="0" collapsed="false">
      <c r="B245" s="2" t="n">
        <v>243</v>
      </c>
      <c r="C245" s="2" t="n">
        <v>0</v>
      </c>
      <c r="D245" s="2" t="n">
        <v>0.0849795480518307</v>
      </c>
      <c r="E245" s="2" t="n">
        <v>0.766078770566673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0.107211785855593</v>
      </c>
      <c r="E246" s="2" t="n">
        <v>0.755820195377188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0.105818826146173</v>
      </c>
      <c r="E247" s="2" t="n">
        <v>0.745561620187702</v>
      </c>
    </row>
    <row r="248" customFormat="false" ht="13.8" hidden="false" customHeight="false" outlineLevel="0" collapsed="false">
      <c r="B248" s="2" t="n">
        <v>246</v>
      </c>
      <c r="C248" s="2" t="n">
        <v>0.0521791177635559</v>
      </c>
      <c r="D248" s="2" t="n">
        <v>0.102674387717986</v>
      </c>
      <c r="E248" s="2" t="n">
        <v>0.722404124801343</v>
      </c>
    </row>
    <row r="249" customFormat="false" ht="13.8" hidden="false" customHeight="false" outlineLevel="0" collapsed="false">
      <c r="B249" s="2" t="n">
        <v>247</v>
      </c>
      <c r="C249" s="2" t="n">
        <v>0.0127681743352648</v>
      </c>
      <c r="D249" s="2" t="n">
        <v>0.0995299492897993</v>
      </c>
      <c r="E249" s="2" t="n">
        <v>0.00962789614141683</v>
      </c>
    </row>
    <row r="250" customFormat="false" ht="13.8" hidden="false" customHeight="false" outlineLevel="0" collapsed="false">
      <c r="B250" s="2" t="n">
        <v>248</v>
      </c>
      <c r="C250" s="2" t="n">
        <v>0.0451025802034722</v>
      </c>
      <c r="D250" s="2" t="n">
        <v>0.0963855108616123</v>
      </c>
      <c r="E250" s="2" t="n">
        <v>0.676089134028621</v>
      </c>
    </row>
    <row r="251" customFormat="false" ht="13.8" hidden="false" customHeight="false" outlineLevel="0" collapsed="false">
      <c r="B251" s="2" t="n">
        <v>249</v>
      </c>
      <c r="C251" s="2" t="n">
        <v>0.0205204027383462</v>
      </c>
      <c r="D251" s="2" t="n">
        <v>0.0932410724334253</v>
      </c>
      <c r="E251" s="2" t="n">
        <v>0.652131771975594</v>
      </c>
    </row>
    <row r="252" customFormat="false" ht="13.8" hidden="false" customHeight="false" outlineLevel="0" collapsed="false">
      <c r="B252" s="2" t="n">
        <v>250</v>
      </c>
      <c r="C252" s="2" t="n">
        <v>0.0194592408913652</v>
      </c>
      <c r="D252" s="2" t="n">
        <v>0.0876822985971607</v>
      </c>
      <c r="E252" s="2" t="n">
        <v>0.610893739578051</v>
      </c>
    </row>
    <row r="253" customFormat="false" ht="13.8" hidden="false" customHeight="false" outlineLevel="0" collapsed="false">
      <c r="B253" s="2" t="n">
        <v>251</v>
      </c>
      <c r="C253" s="2" t="n">
        <v>0.0239483457110508</v>
      </c>
      <c r="D253" s="2" t="n">
        <v>0.0821235247608961</v>
      </c>
      <c r="E253" s="2" t="n">
        <v>0.571055357180509</v>
      </c>
    </row>
    <row r="254" customFormat="false" ht="13.8" hidden="false" customHeight="false" outlineLevel="0" collapsed="false">
      <c r="B254" s="2" t="n">
        <v>252</v>
      </c>
      <c r="C254" s="2" t="n">
        <v>0.00837075053073648</v>
      </c>
      <c r="D254" s="2" t="n">
        <v>0.0765647509246315</v>
      </c>
      <c r="E254" s="2" t="n">
        <v>0.527950808116299</v>
      </c>
    </row>
    <row r="255" customFormat="false" ht="13.8" hidden="false" customHeight="false" outlineLevel="0" collapsed="false">
      <c r="B255" s="2" t="n">
        <v>253</v>
      </c>
      <c r="C255" s="2" t="n">
        <v>0.0158763553504221</v>
      </c>
      <c r="D255" s="2" t="n">
        <v>0.0710059770883669</v>
      </c>
      <c r="E255" s="2" t="n">
        <v>0.46701295905209</v>
      </c>
    </row>
    <row r="256" customFormat="false" ht="13.8" hidden="false" customHeight="false" outlineLevel="0" collapsed="false">
      <c r="B256" s="2" t="n">
        <v>254</v>
      </c>
      <c r="C256" s="2" t="n">
        <v>0.00690557798231327</v>
      </c>
      <c r="D256" s="2" t="n">
        <v>0.0555512332116404</v>
      </c>
      <c r="E256" s="2" t="n">
        <v>0.334028461890001</v>
      </c>
    </row>
    <row r="257" customFormat="false" ht="13.8" hidden="false" customHeight="false" outlineLevel="0" collapsed="false">
      <c r="B257" s="2" t="n">
        <v>255</v>
      </c>
      <c r="C257" s="2" t="n">
        <v>1.71661376953125E-018</v>
      </c>
      <c r="D257" s="2" t="n">
        <v>0.0400964893349139</v>
      </c>
      <c r="E257" s="2" t="n">
        <v>0.247978548675451</v>
      </c>
    </row>
    <row r="258" customFormat="false" ht="13.8" hidden="false" customHeight="false" outlineLevel="0" collapsed="false">
      <c r="B258" s="2" t="n">
        <v>256</v>
      </c>
      <c r="C258" s="2" t="n">
        <v>0</v>
      </c>
      <c r="D258" s="2" t="n">
        <v>0.0246417454581874</v>
      </c>
      <c r="E258" s="2" t="n">
        <v>0.0926899408119204</v>
      </c>
    </row>
    <row r="259" customFormat="false" ht="13.8" hidden="false" customHeight="false" outlineLevel="0" collapsed="false">
      <c r="B259" s="2" t="n">
        <v>257</v>
      </c>
      <c r="C259" s="2" t="n">
        <v>0</v>
      </c>
      <c r="D259" s="2" t="n">
        <v>0</v>
      </c>
      <c r="E259" s="2" t="n">
        <v>4.76837158203121E-019</v>
      </c>
    </row>
    <row r="260" customFormat="false" ht="13.8" hidden="false" customHeight="false" outlineLevel="0" collapsed="false">
      <c r="B260" s="2" t="n">
        <v>258</v>
      </c>
      <c r="C260" s="2" t="n">
        <v>1.71661376953125E-018</v>
      </c>
      <c r="D260" s="2" t="n">
        <v>0</v>
      </c>
      <c r="E260" s="2" t="n">
        <v>0</v>
      </c>
    </row>
    <row r="261" customFormat="false" ht="13.8" hidden="false" customHeight="false" outlineLevel="0" collapsed="false">
      <c r="B261" s="2" t="n">
        <v>259</v>
      </c>
      <c r="C261" s="2" t="n">
        <v>0</v>
      </c>
      <c r="D261" s="2" t="n">
        <v>0</v>
      </c>
      <c r="E261" s="2" t="n">
        <v>0</v>
      </c>
    </row>
    <row r="262" customFormat="false" ht="13.8" hidden="false" customHeight="false" outlineLevel="0" collapsed="false">
      <c r="B262" s="2" t="n">
        <v>260</v>
      </c>
      <c r="C262" s="2" t="n">
        <v>4.29153442382813E-019</v>
      </c>
      <c r="D262" s="2" t="n">
        <v>0</v>
      </c>
      <c r="E262" s="2" t="n">
        <v>0</v>
      </c>
    </row>
    <row r="263" customFormat="false" ht="13.8" hidden="false" customHeight="false" outlineLevel="0" collapsed="false">
      <c r="B263" s="2" t="n">
        <v>261</v>
      </c>
      <c r="C263" s="2" t="n">
        <v>0</v>
      </c>
      <c r="D263" s="2" t="n">
        <v>0</v>
      </c>
      <c r="E263" s="2" t="n">
        <v>0</v>
      </c>
    </row>
    <row r="264" customFormat="false" ht="13.8" hidden="false" customHeight="false" outlineLevel="0" collapsed="false">
      <c r="B264" s="2" t="n">
        <v>262</v>
      </c>
      <c r="C264" s="2" t="n">
        <v>0</v>
      </c>
      <c r="D264" s="2" t="n">
        <v>0</v>
      </c>
      <c r="E264" s="2" t="n">
        <v>4.76837158203121E-019</v>
      </c>
    </row>
    <row r="265" customFormat="false" ht="13.8" hidden="false" customHeight="false" outlineLevel="0" collapsed="false">
      <c r="B265" s="2" t="n">
        <v>263</v>
      </c>
      <c r="C265" s="2" t="n">
        <v>0</v>
      </c>
      <c r="D265" s="2" t="n">
        <v>0</v>
      </c>
      <c r="E265" s="2" t="n">
        <v>4.76837158203121E-019</v>
      </c>
    </row>
    <row r="266" customFormat="false" ht="13.8" hidden="false" customHeight="false" outlineLevel="0" collapsed="false">
      <c r="B266" s="2" t="n">
        <v>264</v>
      </c>
      <c r="C266" s="2" t="n">
        <v>0</v>
      </c>
      <c r="D266" s="2" t="n">
        <v>0</v>
      </c>
      <c r="E266" s="2" t="n">
        <v>0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4.76837158203121E-019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4.76837158203122E-019</v>
      </c>
      <c r="D269" s="2" t="n">
        <v>0</v>
      </c>
      <c r="E269" s="2" t="n">
        <v>0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5.51700592041016E-017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9.53674316406234E-019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5.58853149414063E-017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1.373291015625E-017</v>
      </c>
      <c r="E275" s="2" t="n">
        <v>9.53674316406234E-019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9.53674316406234E-019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8.34465026855456E-019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3.43322753906251E-018</v>
      </c>
      <c r="E282" s="2" t="n">
        <v>4.94019332109015E-019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1.34110450744629E-019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8.58306884765626E-019</v>
      </c>
      <c r="E285" s="2" t="n">
        <v>1.78813934326172E-019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2.38418579101562E-019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5.960464477539E-019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5.960464477539E-019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2.68220901489257E-019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2.38418579101562E-019</v>
      </c>
      <c r="D292" s="2" t="n">
        <v>0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2.84194946289063E-017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2.38418579101562E-019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7.15255737304679E-019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2.38418579101562E-019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7.15255737304679E-019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2.38418579101562E-019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2.38418579101562E-019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2.38418579101562E-019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2.38418579101562E-019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3.19480895996094E-018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2.38418579101562E-019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</v>
      </c>
      <c r="D312" s="2" t="n">
        <v>0</v>
      </c>
      <c r="E312" s="2" t="n">
        <v>0</v>
      </c>
    </row>
    <row r="313" customFormat="false" ht="13.8" hidden="false" customHeight="false" outlineLevel="0" collapsed="false">
      <c r="B313" s="2" t="n">
        <v>311</v>
      </c>
      <c r="C313" s="2" t="n">
        <v>0</v>
      </c>
      <c r="D313" s="2" t="n">
        <v>0</v>
      </c>
      <c r="E313" s="2" t="n">
        <v>4.76837158203121E-019</v>
      </c>
    </row>
    <row r="314" customFormat="false" ht="13.8" hidden="false" customHeight="false" outlineLevel="0" collapsed="false">
      <c r="B314" s="2" t="n">
        <v>312</v>
      </c>
      <c r="C314" s="2" t="n">
        <v>0</v>
      </c>
      <c r="D314" s="2" t="n">
        <v>0</v>
      </c>
      <c r="E314" s="2" t="n">
        <v>0</v>
      </c>
    </row>
    <row r="315" customFormat="false" ht="13.8" hidden="false" customHeight="false" outlineLevel="0" collapsed="false">
      <c r="B315" s="2" t="n">
        <v>313</v>
      </c>
      <c r="C315" s="2" t="n">
        <v>0</v>
      </c>
      <c r="D315" s="2" t="n">
        <v>0</v>
      </c>
      <c r="E315" s="2" t="n">
        <v>0</v>
      </c>
    </row>
    <row r="316" customFormat="false" ht="13.8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0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0.0126907275484912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0.0166321310628398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0.0205735345771883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0.0287161045751453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0.0368586745731024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0.0450012445710594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0.0531438145690165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0.0584351401410726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0.0637264657131287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0.0690177912851847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0.0743091168572409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0.0799881655594498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0.0856672142616587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0.0913462629638675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0.0970253116660766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0.083692506281597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0.0989489409916912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0.0999107556544985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0</v>
      </c>
      <c r="D335" s="2" t="n">
        <v>0.100872570317306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0.101348290074619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0.101824009831933</v>
      </c>
      <c r="E337" s="2" t="n">
        <v>0.732391941520149</v>
      </c>
    </row>
    <row r="338" customFormat="false" ht="13.8" hidden="false" customHeight="false" outlineLevel="0" collapsed="false">
      <c r="B338" s="2" t="n">
        <v>336</v>
      </c>
      <c r="C338" s="2" t="n">
        <v>0</v>
      </c>
      <c r="D338" s="2" t="n">
        <v>0.102299729589246</v>
      </c>
      <c r="E338" s="2" t="n">
        <v>0.703395421819341</v>
      </c>
    </row>
    <row r="339" customFormat="false" ht="13.8" hidden="false" customHeight="false" outlineLevel="0" collapsed="false">
      <c r="B339" s="2" t="n">
        <v>337</v>
      </c>
      <c r="C339" s="2" t="n">
        <v>0.00602692722453294</v>
      </c>
      <c r="D339" s="2" t="n">
        <v>0.102775449346559</v>
      </c>
      <c r="E339" s="2" t="n">
        <v>0.739398902118539</v>
      </c>
    </row>
    <row r="340" customFormat="false" ht="13.8" hidden="false" customHeight="false" outlineLevel="0" collapsed="false">
      <c r="B340" s="2" t="n">
        <v>338</v>
      </c>
      <c r="C340" s="2" t="n">
        <v>0.0308091616142532</v>
      </c>
      <c r="D340" s="2" t="n">
        <v>0.101102360636266</v>
      </c>
      <c r="E340" s="2" t="n">
        <v>0.69457729208405</v>
      </c>
    </row>
    <row r="341" customFormat="false" ht="13.8" hidden="false" customHeight="false" outlineLevel="0" collapsed="false">
      <c r="B341" s="2" t="n">
        <v>339</v>
      </c>
      <c r="C341" s="2" t="n">
        <v>0.0852462026750103</v>
      </c>
      <c r="D341" s="2" t="n">
        <v>0.0994292719259736</v>
      </c>
      <c r="E341" s="2" t="n">
        <v>0</v>
      </c>
    </row>
    <row r="342" customFormat="false" ht="13.8" hidden="false" customHeight="false" outlineLevel="0" collapsed="false">
      <c r="B342" s="2" t="n">
        <v>340</v>
      </c>
      <c r="C342" s="2" t="n">
        <v>0.0316175270691006</v>
      </c>
      <c r="D342" s="2" t="n">
        <v>0.0977561832156808</v>
      </c>
      <c r="E342" s="2" t="n">
        <v>0.185434248733222</v>
      </c>
    </row>
    <row r="343" customFormat="false" ht="13.8" hidden="false" customHeight="false" outlineLevel="0" collapsed="false">
      <c r="B343" s="2" t="n">
        <v>341</v>
      </c>
      <c r="C343" s="2" t="n">
        <v>0.0255056681298577</v>
      </c>
      <c r="D343" s="2" t="n">
        <v>0.096083094505388</v>
      </c>
      <c r="E343" s="2" t="n">
        <v>0.690112461980587</v>
      </c>
    </row>
    <row r="344" customFormat="false" ht="13.8" hidden="false" customHeight="false" outlineLevel="0" collapsed="false">
      <c r="B344" s="2" t="n">
        <v>342</v>
      </c>
      <c r="C344" s="2" t="n">
        <v>0.0162039224001448</v>
      </c>
      <c r="D344" s="2" t="n">
        <v>0.0865656252411407</v>
      </c>
      <c r="E344" s="2" t="n">
        <v>0.587520216382471</v>
      </c>
    </row>
    <row r="345" customFormat="false" ht="13.8" hidden="false" customHeight="false" outlineLevel="0" collapsed="false">
      <c r="B345" s="2" t="n">
        <v>343</v>
      </c>
      <c r="C345" s="2" t="n">
        <v>0.00743566000376535</v>
      </c>
      <c r="D345" s="2" t="n">
        <v>0.0770481559768934</v>
      </c>
      <c r="E345" s="2" t="n">
        <v>0.549927970784356</v>
      </c>
    </row>
    <row r="346" customFormat="false" ht="13.8" hidden="false" customHeight="false" outlineLevel="0" collapsed="false">
      <c r="B346" s="2" t="n">
        <v>344</v>
      </c>
      <c r="C346" s="2" t="n">
        <v>0.00228381427405252</v>
      </c>
      <c r="D346" s="2" t="n">
        <v>0.0675306867126461</v>
      </c>
      <c r="E346" s="2" t="n">
        <v>0.447335725186241</v>
      </c>
    </row>
    <row r="347" customFormat="false" ht="13.8" hidden="false" customHeight="false" outlineLevel="0" collapsed="false">
      <c r="B347" s="2" t="n">
        <v>345</v>
      </c>
      <c r="C347" s="2" t="n">
        <v>1.71661376953125E-018</v>
      </c>
      <c r="D347" s="2" t="n">
        <v>0.0504619193260719</v>
      </c>
      <c r="E347" s="2" t="n">
        <v>0.409743479588125</v>
      </c>
    </row>
    <row r="348" customFormat="false" ht="13.8" hidden="false" customHeight="false" outlineLevel="0" collapsed="false">
      <c r="B348" s="2" t="n">
        <v>346</v>
      </c>
      <c r="C348" s="2" t="n">
        <v>0</v>
      </c>
      <c r="D348" s="2" t="n">
        <v>0.0409112258017961</v>
      </c>
      <c r="E348" s="2" t="n">
        <v>0.344099084382815</v>
      </c>
    </row>
    <row r="349" customFormat="false" ht="13.8" hidden="false" customHeight="false" outlineLevel="0" collapsed="false">
      <c r="B349" s="2" t="n">
        <v>347</v>
      </c>
      <c r="C349" s="2" t="n">
        <v>9.53674316406152E-019</v>
      </c>
      <c r="D349" s="2" t="n">
        <v>0.0490122000046921</v>
      </c>
      <c r="E349" s="2" t="n">
        <v>0.326336238116999</v>
      </c>
    </row>
    <row r="350" customFormat="false" ht="13.8" hidden="false" customHeight="false" outlineLevel="0" collapsed="false">
      <c r="B350" s="2" t="n">
        <v>348</v>
      </c>
      <c r="C350" s="2" t="n">
        <v>0</v>
      </c>
      <c r="D350" s="2" t="n">
        <v>0.0445116912828387</v>
      </c>
      <c r="E350" s="2" t="n">
        <v>0.2563079414426</v>
      </c>
    </row>
    <row r="351" customFormat="false" ht="13.8" hidden="false" customHeight="false" outlineLevel="0" collapsed="false">
      <c r="B351" s="2" t="n">
        <v>349</v>
      </c>
      <c r="C351" s="2" t="n">
        <v>0</v>
      </c>
      <c r="D351" s="2" t="n">
        <v>0.0400111825609854</v>
      </c>
      <c r="E351" s="2" t="n">
        <v>0.251012794768201</v>
      </c>
    </row>
    <row r="352" customFormat="false" ht="13.8" hidden="false" customHeight="false" outlineLevel="0" collapsed="false">
      <c r="B352" s="2" t="n">
        <v>350</v>
      </c>
      <c r="C352" s="2" t="n">
        <v>0</v>
      </c>
      <c r="D352" s="2" t="n">
        <v>0.0323239662887281</v>
      </c>
      <c r="E352" s="2" t="n">
        <v>0.163955716999983</v>
      </c>
    </row>
    <row r="353" customFormat="false" ht="13.8" hidden="false" customHeight="false" outlineLevel="0" collapsed="false">
      <c r="B353" s="2" t="n">
        <v>351</v>
      </c>
      <c r="C353" s="2" t="n">
        <v>0</v>
      </c>
      <c r="D353" s="2" t="n">
        <v>0.0246367500164709</v>
      </c>
      <c r="E353" s="2" t="n">
        <v>0.121898739231766</v>
      </c>
    </row>
    <row r="354" customFormat="false" ht="13.8" hidden="false" customHeight="false" outlineLevel="0" collapsed="false">
      <c r="B354" s="2" t="n">
        <v>352</v>
      </c>
      <c r="C354" s="2" t="n">
        <v>1.71661376953125E-018</v>
      </c>
      <c r="D354" s="2" t="n">
        <v>0.0169495337442137</v>
      </c>
      <c r="E354" s="2" t="n">
        <v>0.0248417114635488</v>
      </c>
    </row>
    <row r="355" customFormat="false" ht="13.8" hidden="false" customHeight="false" outlineLevel="0" collapsed="false">
      <c r="B355" s="2" t="n">
        <v>353</v>
      </c>
      <c r="C355" s="2" t="n">
        <v>0</v>
      </c>
      <c r="D355" s="2" t="n">
        <v>0.00204696783395467</v>
      </c>
      <c r="E355" s="2" t="n">
        <v>0</v>
      </c>
    </row>
    <row r="356" customFormat="false" ht="13.8" hidden="false" customHeight="false" outlineLevel="0" collapsed="false">
      <c r="B356" s="2" t="n">
        <v>354</v>
      </c>
      <c r="C356" s="2" t="n">
        <v>0</v>
      </c>
      <c r="D356" s="2" t="n">
        <v>0</v>
      </c>
      <c r="E356" s="2" t="n">
        <v>5.44548034667969E-017</v>
      </c>
    </row>
    <row r="357" customFormat="false" ht="13.8" hidden="false" customHeight="false" outlineLevel="0" collapsed="false">
      <c r="B357" s="2" t="n">
        <v>355</v>
      </c>
      <c r="C357" s="2" t="n">
        <v>4.76837158203122E-019</v>
      </c>
      <c r="D357" s="2" t="n">
        <v>0</v>
      </c>
      <c r="E357" s="2" t="n">
        <v>0</v>
      </c>
    </row>
    <row r="358" customFormat="false" ht="13.8" hidden="false" customHeight="false" outlineLevel="0" collapsed="false">
      <c r="B358" s="2" t="n">
        <v>356</v>
      </c>
      <c r="C358" s="2" t="n">
        <v>0</v>
      </c>
      <c r="D358" s="2" t="n">
        <v>0</v>
      </c>
      <c r="E358" s="2" t="n">
        <v>0</v>
      </c>
    </row>
    <row r="359" customFormat="false" ht="13.8" hidden="false" customHeight="false" outlineLevel="0" collapsed="false">
      <c r="B359" s="2" t="n">
        <v>357</v>
      </c>
      <c r="C359" s="2" t="n">
        <v>0</v>
      </c>
      <c r="D359" s="2" t="n">
        <v>0</v>
      </c>
      <c r="E359" s="2" t="n">
        <v>2.38418579101562E-019</v>
      </c>
    </row>
    <row r="360" customFormat="false" ht="13.8" hidden="false" customHeight="false" outlineLevel="0" collapsed="false">
      <c r="B360" s="2" t="n">
        <v>358</v>
      </c>
      <c r="C360" s="2" t="n">
        <v>0</v>
      </c>
      <c r="D360" s="2" t="n">
        <v>0</v>
      </c>
      <c r="E360" s="2" t="n">
        <v>0</v>
      </c>
    </row>
    <row r="361" customFormat="false" ht="13.8" hidden="false" customHeight="false" outlineLevel="0" collapsed="false">
      <c r="B361" s="2" t="n">
        <v>359</v>
      </c>
      <c r="C361" s="2" t="n">
        <v>0</v>
      </c>
      <c r="D361" s="2" t="n">
        <v>0</v>
      </c>
      <c r="E361" s="2" t="n">
        <v>2.38418579101562E-019</v>
      </c>
    </row>
    <row r="362" customFormat="false" ht="13.8" hidden="false" customHeight="false" outlineLevel="0" collapsed="false">
      <c r="B362" s="2" t="n">
        <v>360</v>
      </c>
      <c r="C362" s="2" t="n">
        <v>0</v>
      </c>
      <c r="D362" s="2" t="n">
        <v>0</v>
      </c>
      <c r="E362" s="2" t="n">
        <v>5.58853149414063E-017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8.58306884765626E-019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2.1606683731079E-019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1.63912773132324E-019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1.19209289550779E-018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5.960464477539E-019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7.45058059692383E-020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4.17232513427732E-019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1.37090682983395E-018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5.48087060451508E-017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4.76837158203121E-019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6.86645507812501E-018</v>
      </c>
      <c r="E382" s="2" t="n">
        <v>7.45058059692383E-020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4.17232513427732E-019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3.43322753906251E-018</v>
      </c>
      <c r="E387" s="2" t="n">
        <v>2.70061653282028E-017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7.45058059692383E-020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8.58306884765626E-019</v>
      </c>
      <c r="E390" s="2" t="n">
        <v>2.79426574707032E-017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7.45058059692383E-020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2.50816345214843E-017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9.53674316406233E-019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9.53674316406234E-019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9.53674316406234E-019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9.53674316406234E-019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9.53674316406234E-019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9.53674316406234E-019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9.53674316406234E-019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1.71661376953125E-018</v>
      </c>
    </row>
    <row r="408" customFormat="false" ht="13.8" hidden="false" customHeight="false" outlineLevel="0" collapsed="false">
      <c r="B408" s="2" t="n">
        <v>406</v>
      </c>
      <c r="C408" s="2" t="n">
        <v>0</v>
      </c>
      <c r="D408" s="2" t="n">
        <v>0</v>
      </c>
      <c r="E408" s="2" t="n">
        <v>0</v>
      </c>
    </row>
    <row r="409" customFormat="false" ht="13.8" hidden="false" customHeight="false" outlineLevel="0" collapsed="false">
      <c r="B409" s="2" t="n">
        <v>407</v>
      </c>
      <c r="C409" s="2" t="n">
        <v>0</v>
      </c>
      <c r="D409" s="2" t="n">
        <v>0</v>
      </c>
      <c r="E409" s="2" t="n">
        <v>0</v>
      </c>
    </row>
    <row r="410" customFormat="false" ht="13.8" hidden="false" customHeight="false" outlineLevel="0" collapsed="false">
      <c r="B410" s="2" t="n">
        <v>408</v>
      </c>
      <c r="C410" s="2" t="n">
        <v>0</v>
      </c>
      <c r="D410" s="2" t="n">
        <v>0</v>
      </c>
      <c r="E410" s="2" t="n">
        <v>4.29153442382813E-019</v>
      </c>
    </row>
    <row r="411" customFormat="false" ht="13.8" hidden="false" customHeight="false" outlineLevel="0" collapsed="false">
      <c r="B411" s="2" t="n">
        <v>409</v>
      </c>
      <c r="C411" s="2" t="n">
        <v>0</v>
      </c>
      <c r="D411" s="2" t="n">
        <v>0</v>
      </c>
      <c r="E411" s="2" t="n">
        <v>0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0.0377501687871307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0.0288019249551293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0.0601316690009584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0.0660989162637368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0.0720661635265153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0.0780334107892937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0.0820589682833284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0.0860845257773631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0.0901100832713982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0.094135640765433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0.095872901688546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0.097610162611659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0.0993474235347719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0</v>
      </c>
      <c r="D431" s="2" t="n">
        <v>0.101084684457885</v>
      </c>
      <c r="E431" s="2" t="n">
        <v>0.710697114302335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0.103588553552113</v>
      </c>
      <c r="E432" s="2" t="n">
        <v>0.729137080077422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0.106092422646341</v>
      </c>
      <c r="E433" s="2" t="n">
        <v>0.781160162519172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0.108596291740568</v>
      </c>
      <c r="E434" s="2" t="n">
        <v>0.799516811627592</v>
      </c>
    </row>
    <row r="435" customFormat="false" ht="13.8" hidden="false" customHeight="false" outlineLevel="0" collapsed="false">
      <c r="B435" s="2" t="n">
        <v>433</v>
      </c>
      <c r="C435" s="2" t="n">
        <v>0.00407612997154487</v>
      </c>
      <c r="D435" s="2" t="n">
        <v>0.111100160834796</v>
      </c>
      <c r="E435" s="2" t="n">
        <v>1.51185322757066E-009</v>
      </c>
    </row>
    <row r="436" customFormat="false" ht="13.8" hidden="false" customHeight="false" outlineLevel="0" collapsed="false">
      <c r="B436" s="2" t="n">
        <v>434</v>
      </c>
      <c r="C436" s="2" t="n">
        <v>0.0436774489833837</v>
      </c>
      <c r="D436" s="2" t="n">
        <v>0.110248630154499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0.037847074559246</v>
      </c>
      <c r="D437" s="2" t="n">
        <v>0.109397099474204</v>
      </c>
      <c r="E437" s="2" t="n">
        <v>0.77841463112963</v>
      </c>
    </row>
    <row r="438" customFormat="false" ht="13.8" hidden="false" customHeight="false" outlineLevel="0" collapsed="false">
      <c r="B438" s="2" t="n">
        <v>436</v>
      </c>
      <c r="C438" s="2" t="n">
        <v>0.0511669501351083</v>
      </c>
      <c r="D438" s="2" t="n">
        <v>0.108545568793909</v>
      </c>
      <c r="E438" s="2" t="n">
        <v>0.759143457993106</v>
      </c>
    </row>
    <row r="439" customFormat="false" ht="13.8" hidden="false" customHeight="false" outlineLevel="0" collapsed="false">
      <c r="B439" s="2" t="n">
        <v>437</v>
      </c>
      <c r="C439" s="2" t="n">
        <v>0.0372869923776372</v>
      </c>
      <c r="D439" s="2" t="n">
        <v>0.107694038113612</v>
      </c>
      <c r="E439" s="2" t="n">
        <v>0.765872284856583</v>
      </c>
    </row>
    <row r="440" customFormat="false" ht="13.8" hidden="false" customHeight="false" outlineLevel="0" collapsed="false">
      <c r="B440" s="2" t="n">
        <v>438</v>
      </c>
      <c r="C440" s="2" t="n">
        <v>0.0297197370647218</v>
      </c>
      <c r="D440" s="2" t="n">
        <v>0.0884362260316105</v>
      </c>
      <c r="E440" s="2" t="n">
        <v>0.647796221630032</v>
      </c>
    </row>
    <row r="441" customFormat="false" ht="13.8" hidden="false" customHeight="false" outlineLevel="0" collapsed="false">
      <c r="B441" s="2" t="n">
        <v>439</v>
      </c>
      <c r="C441" s="2" t="n">
        <v>0</v>
      </c>
      <c r="D441" s="2" t="n">
        <v>0.0662853023610451</v>
      </c>
      <c r="E441" s="2" t="n">
        <v>0.484250385077189</v>
      </c>
    </row>
    <row r="442" customFormat="false" ht="13.8" hidden="false" customHeight="false" outlineLevel="0" collapsed="false">
      <c r="B442" s="2" t="n">
        <v>440</v>
      </c>
      <c r="C442" s="2" t="n">
        <v>0</v>
      </c>
      <c r="D442" s="2" t="n">
        <v>0.0499206018676072</v>
      </c>
      <c r="E442" s="2" t="n">
        <v>0.314813938282496</v>
      </c>
    </row>
    <row r="443" customFormat="false" ht="13.8" hidden="false" customHeight="false" outlineLevel="0" collapsed="false">
      <c r="B443" s="2" t="n">
        <v>441</v>
      </c>
      <c r="C443" s="2" t="n">
        <v>0</v>
      </c>
      <c r="D443" s="2" t="n">
        <v>0.0306627897856055</v>
      </c>
      <c r="E443" s="2" t="n">
        <v>0.16425436974303</v>
      </c>
    </row>
    <row r="444" customFormat="false" ht="13.8" hidden="false" customHeight="false" outlineLevel="0" collapsed="false">
      <c r="B444" s="2" t="n">
        <v>442</v>
      </c>
      <c r="C444" s="2" t="n">
        <v>0</v>
      </c>
      <c r="D444" s="2" t="n">
        <v>0.033780713946221</v>
      </c>
      <c r="E444" s="2" t="n">
        <v>0.170921959848569</v>
      </c>
    </row>
    <row r="445" customFormat="false" ht="13.8" hidden="false" customHeight="false" outlineLevel="0" collapsed="false">
      <c r="B445" s="2" t="n">
        <v>443</v>
      </c>
      <c r="C445" s="2" t="n">
        <v>0</v>
      </c>
      <c r="D445" s="2" t="n">
        <v>0.0368986381068347</v>
      </c>
      <c r="E445" s="2" t="n">
        <v>0.241972799954111</v>
      </c>
    </row>
    <row r="446" customFormat="false" ht="13.8" hidden="false" customHeight="false" outlineLevel="0" collapsed="false">
      <c r="B446" s="2" t="n">
        <v>444</v>
      </c>
      <c r="C446" s="2" t="n">
        <v>0.000768488634562121</v>
      </c>
      <c r="D446" s="2" t="n">
        <v>0.0400165622674493</v>
      </c>
      <c r="E446" s="2" t="n">
        <v>0.283872151425086</v>
      </c>
    </row>
    <row r="447" customFormat="false" ht="13.8" hidden="false" customHeight="false" outlineLevel="0" collapsed="false">
      <c r="B447" s="2" t="n">
        <v>445</v>
      </c>
      <c r="C447" s="2" t="n">
        <v>0</v>
      </c>
      <c r="D447" s="2" t="n">
        <v>0.0431344864280639</v>
      </c>
      <c r="E447" s="2" t="n">
        <v>0.221575380165187</v>
      </c>
    </row>
    <row r="448" customFormat="false" ht="13.8" hidden="false" customHeight="false" outlineLevel="0" collapsed="false">
      <c r="B448" s="2" t="n">
        <v>446</v>
      </c>
      <c r="C448" s="2" t="n">
        <v>1.71661376953125E-018</v>
      </c>
      <c r="D448" s="2" t="n">
        <v>0.0392995242487524</v>
      </c>
      <c r="E448" s="2" t="n">
        <v>0.267786058118527</v>
      </c>
    </row>
    <row r="449" customFormat="false" ht="13.8" hidden="false" customHeight="false" outlineLevel="0" collapsed="false">
      <c r="B449" s="2" t="n">
        <v>447</v>
      </c>
      <c r="C449" s="2" t="n">
        <v>0</v>
      </c>
      <c r="D449" s="2" t="n">
        <v>0.0354645620694409</v>
      </c>
      <c r="E449" s="2" t="n">
        <v>0.156746986071863</v>
      </c>
    </row>
    <row r="450" customFormat="false" ht="13.8" hidden="false" customHeight="false" outlineLevel="0" collapsed="false">
      <c r="B450" s="2" t="n">
        <v>448</v>
      </c>
      <c r="C450" s="2" t="n">
        <v>0.000601990072033367</v>
      </c>
      <c r="D450" s="2" t="n">
        <v>0.0316295998901293</v>
      </c>
      <c r="E450" s="2" t="n">
        <v>0.215438990619833</v>
      </c>
    </row>
    <row r="451" customFormat="false" ht="13.8" hidden="false" customHeight="false" outlineLevel="0" collapsed="false">
      <c r="B451" s="2" t="n">
        <v>449</v>
      </c>
      <c r="C451" s="2" t="n">
        <v>1.71661376953125E-018</v>
      </c>
      <c r="D451" s="2" t="n">
        <v>0.027794637710818</v>
      </c>
      <c r="E451" s="2" t="n">
        <v>0.092168541978541</v>
      </c>
    </row>
    <row r="452" customFormat="false" ht="13.8" hidden="false" customHeight="false" outlineLevel="0" collapsed="false">
      <c r="B452" s="2" t="n">
        <v>450</v>
      </c>
      <c r="C452" s="2" t="n">
        <v>0</v>
      </c>
      <c r="D452" s="2" t="n">
        <v>0.0243766027824632</v>
      </c>
      <c r="E452" s="2" t="n">
        <v>0.134963713352449</v>
      </c>
    </row>
    <row r="453" customFormat="false" ht="13.8" hidden="false" customHeight="false" outlineLevel="0" collapsed="false">
      <c r="B453" s="2" t="n">
        <v>451</v>
      </c>
      <c r="C453" s="2" t="n">
        <v>0</v>
      </c>
      <c r="D453" s="2" t="n">
        <v>0.020958567854109</v>
      </c>
      <c r="E453" s="2" t="n">
        <v>0.0257591680596921</v>
      </c>
    </row>
    <row r="454" customFormat="false" ht="13.8" hidden="false" customHeight="false" outlineLevel="0" collapsed="false">
      <c r="B454" s="2" t="n">
        <v>452</v>
      </c>
      <c r="C454" s="2" t="n">
        <v>8.2046738293171E-006</v>
      </c>
      <c r="D454" s="2" t="n">
        <v>0.0175405329257549</v>
      </c>
      <c r="E454" s="2" t="n">
        <v>0.0598501010371839</v>
      </c>
    </row>
    <row r="455" customFormat="false" ht="13.8" hidden="false" customHeight="false" outlineLevel="0" collapsed="false">
      <c r="B455" s="2" t="n">
        <v>453</v>
      </c>
      <c r="C455" s="2" t="n">
        <v>1.71661376953125E-018</v>
      </c>
      <c r="D455" s="2" t="n">
        <v>0</v>
      </c>
      <c r="E455" s="2" t="n">
        <v>0</v>
      </c>
    </row>
    <row r="456" customFormat="false" ht="13.8" hidden="false" customHeight="false" outlineLevel="0" collapsed="false">
      <c r="B456" s="2" t="n">
        <v>454</v>
      </c>
      <c r="C456" s="2" t="n">
        <v>4.10237793821522E-006</v>
      </c>
      <c r="D456" s="2" t="n">
        <v>0.0106206933541074</v>
      </c>
      <c r="E456" s="2" t="n">
        <v>0.00946948867884304</v>
      </c>
    </row>
    <row r="457" customFormat="false" ht="13.8" hidden="false" customHeight="false" outlineLevel="0" collapsed="false">
      <c r="B457" s="2" t="n">
        <v>455</v>
      </c>
      <c r="C457" s="2" t="n">
        <v>1.31320953369139E-016</v>
      </c>
      <c r="D457" s="2" t="n">
        <v>0</v>
      </c>
      <c r="E457" s="2" t="n">
        <v>0</v>
      </c>
    </row>
    <row r="458" customFormat="false" ht="13.8" hidden="false" customHeight="false" outlineLevel="0" collapsed="false">
      <c r="B458" s="2" t="n">
        <v>456</v>
      </c>
      <c r="C458" s="2" t="n">
        <v>9.53674316406249E-020</v>
      </c>
      <c r="D458" s="2" t="n">
        <v>0</v>
      </c>
      <c r="E458" s="2" t="n">
        <v>0</v>
      </c>
    </row>
    <row r="459" customFormat="false" ht="13.8" hidden="false" customHeight="false" outlineLevel="0" collapsed="false">
      <c r="B459" s="2" t="n">
        <v>457</v>
      </c>
      <c r="C459" s="2" t="n">
        <v>0</v>
      </c>
      <c r="D459" s="2" t="n">
        <v>0</v>
      </c>
      <c r="E459" s="2" t="n">
        <v>5.49316406250001E-017</v>
      </c>
    </row>
    <row r="460" customFormat="false" ht="13.8" hidden="false" customHeight="false" outlineLevel="0" collapsed="false">
      <c r="B460" s="2" t="n">
        <v>458</v>
      </c>
      <c r="C460" s="2" t="n">
        <v>0</v>
      </c>
      <c r="D460" s="2" t="n">
        <v>0</v>
      </c>
      <c r="E460" s="2" t="n">
        <v>0</v>
      </c>
    </row>
    <row r="461" customFormat="false" ht="13.8" hidden="false" customHeight="false" outlineLevel="0" collapsed="false">
      <c r="B461" s="2" t="n">
        <v>459</v>
      </c>
      <c r="C461" s="2" t="n">
        <v>0</v>
      </c>
      <c r="D461" s="2" t="n">
        <v>2.74658203125E-017</v>
      </c>
      <c r="E461" s="2" t="n">
        <v>0</v>
      </c>
    </row>
    <row r="462" customFormat="false" ht="13.8" hidden="false" customHeight="false" outlineLevel="0" collapsed="false">
      <c r="B462" s="2" t="n">
        <v>460</v>
      </c>
      <c r="C462" s="2" t="n">
        <v>0</v>
      </c>
      <c r="D462" s="2" t="n">
        <v>2.74658203125E-017</v>
      </c>
      <c r="E462" s="2" t="n">
        <v>2.74658203125E-016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5.49316406250001E-017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1.373291015625E-017</v>
      </c>
      <c r="E464" s="2" t="n">
        <v>0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9.53674316406251E-019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9.53674316406251E-019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5.46932220458985E-017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2.74658203125E-017</v>
      </c>
      <c r="E469" s="2" t="n">
        <v>0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0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6.86645507812501E-018</v>
      </c>
      <c r="E471" s="2" t="n">
        <v>4.17232513427735E-019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5.46932220458985E-017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0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6.86645507812501E-018</v>
      </c>
      <c r="E475" s="2" t="n">
        <v>4.17232513427735E-019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3.43322753906251E-018</v>
      </c>
      <c r="E476" s="2" t="n">
        <v>5.2785873413086E-017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5.5229663848877E-017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4.9401933210902E-019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4.76837158203126E-019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3.43322753906251E-018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4.76837158203126E-019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1.63912773132324E-019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2.16066837310791E-019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9.53674316406251E-019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3.43322753906251E-018</v>
      </c>
      <c r="E486" s="2" t="n">
        <v>0</v>
      </c>
    </row>
    <row r="487" customFormat="false" ht="13.8" hidden="false" customHeight="false" outlineLevel="0" collapsed="false">
      <c r="B487" s="2" t="n">
        <v>485</v>
      </c>
      <c r="C487" s="2" t="n">
        <v>4.76837158203126E-019</v>
      </c>
      <c r="D487" s="2" t="n">
        <v>0</v>
      </c>
      <c r="E487" s="2" t="n">
        <v>8.3446502685547E-019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3.43322753906251E-018</v>
      </c>
      <c r="E489" s="2" t="n">
        <v>0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2.86579132080079E-017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3.43322753906251E-018</v>
      </c>
      <c r="E491" s="2" t="n">
        <v>8.3446502685547E-019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1.19209289550781E-018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2.67505645751954E-017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2.74181365966797E-018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8.3446502685547E-019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1.45673751831055E-017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2.74181365966797E-018</v>
      </c>
    </row>
    <row r="504" customFormat="false" ht="13.8" hidden="false" customHeight="false" outlineLevel="0" collapsed="false">
      <c r="B504" s="2" t="n">
        <v>502</v>
      </c>
      <c r="C504" s="2" t="n">
        <v>0</v>
      </c>
      <c r="D504" s="2" t="n">
        <v>0</v>
      </c>
      <c r="E504" s="2" t="n">
        <v>0</v>
      </c>
    </row>
    <row r="505" customFormat="false" ht="13.8" hidden="false" customHeight="false" outlineLevel="0" collapsed="false">
      <c r="B505" s="2" t="n">
        <v>503</v>
      </c>
      <c r="C505" s="2" t="n">
        <v>0</v>
      </c>
      <c r="D505" s="2" t="n">
        <v>0</v>
      </c>
      <c r="E505" s="2" t="n">
        <v>0</v>
      </c>
    </row>
    <row r="506" customFormat="false" ht="13.8" hidden="false" customHeight="false" outlineLevel="0" collapsed="false">
      <c r="B506" s="2" t="n">
        <v>504</v>
      </c>
      <c r="C506" s="2" t="n">
        <v>0</v>
      </c>
      <c r="D506" s="2" t="n">
        <v>3.43322753906251E-018</v>
      </c>
      <c r="E506" s="2" t="n">
        <v>0</v>
      </c>
    </row>
    <row r="507" customFormat="false" ht="13.8" hidden="false" customHeight="false" outlineLevel="0" collapsed="false">
      <c r="B507" s="2" t="n">
        <v>505</v>
      </c>
      <c r="C507" s="2" t="n">
        <v>0</v>
      </c>
      <c r="D507" s="2" t="n">
        <v>0</v>
      </c>
      <c r="E507" s="2" t="n">
        <v>0</v>
      </c>
    </row>
    <row r="508" customFormat="false" ht="13.8" hidden="false" customHeight="false" outlineLevel="0" collapsed="false">
      <c r="B508" s="2" t="n">
        <v>506</v>
      </c>
      <c r="C508" s="2" t="n">
        <v>0</v>
      </c>
      <c r="D508" s="2" t="n">
        <v>3.43322753906251E-018</v>
      </c>
      <c r="E508" s="2" t="n">
        <v>0</v>
      </c>
    </row>
    <row r="509" customFormat="false" ht="13.8" hidden="false" customHeight="false" outlineLevel="0" collapsed="false">
      <c r="B509" s="2" t="n">
        <v>507</v>
      </c>
      <c r="C509" s="2" t="n">
        <v>0</v>
      </c>
      <c r="D509" s="2" t="n">
        <v>0</v>
      </c>
      <c r="E509" s="2" t="n">
        <v>7.45058059692384E-020</v>
      </c>
    </row>
    <row r="510" customFormat="false" ht="13.8" hidden="false" customHeight="false" outlineLevel="0" collapsed="false">
      <c r="B510" s="2" t="n">
        <v>508</v>
      </c>
      <c r="C510" s="2" t="n">
        <v>0</v>
      </c>
      <c r="D510" s="2" t="n">
        <v>0</v>
      </c>
      <c r="E510" s="2" t="n">
        <v>0</v>
      </c>
    </row>
    <row r="511" customFormat="false" ht="13.8" hidden="false" customHeight="false" outlineLevel="0" collapsed="false">
      <c r="B511" s="2" t="n">
        <v>509</v>
      </c>
      <c r="C511" s="2" t="n">
        <v>0</v>
      </c>
      <c r="D511" s="2" t="n">
        <v>0</v>
      </c>
      <c r="E511" s="2" t="n">
        <v>8.3744525909424E-019</v>
      </c>
    </row>
    <row r="512" customFormat="false" ht="13.8" hidden="false" customHeight="false" outlineLevel="0" collapsed="false">
      <c r="B512" s="2" t="n">
        <v>510</v>
      </c>
      <c r="C512" s="2" t="n">
        <v>0</v>
      </c>
      <c r="D512" s="2" t="n">
        <v>0</v>
      </c>
      <c r="E512" s="2" t="n">
        <v>0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0.0149993901510267</v>
      </c>
      <c r="E513" s="2" t="n">
        <v>0.0146138099802345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0.0214800151163663</v>
      </c>
      <c r="E514" s="2" t="n">
        <v>0.105754484285541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0.0459940525777636</v>
      </c>
      <c r="E515" s="2" t="n">
        <v>0.110811579428122</v>
      </c>
    </row>
    <row r="516" customFormat="false" ht="13.8" hidden="false" customHeight="false" outlineLevel="0" collapsed="false">
      <c r="B516" s="2" t="n">
        <v>514</v>
      </c>
      <c r="C516" s="2" t="n">
        <v>0.00239938883134454</v>
      </c>
      <c r="D516" s="2" t="n">
        <v>0.0335309418603932</v>
      </c>
      <c r="E516" s="2" t="n">
        <v>0.20619134200951</v>
      </c>
    </row>
    <row r="517" customFormat="false" ht="13.8" hidden="false" customHeight="false" outlineLevel="0" collapsed="false">
      <c r="B517" s="2" t="n">
        <v>515</v>
      </c>
      <c r="C517" s="2" t="n">
        <v>8.04662704467775E-020</v>
      </c>
      <c r="D517" s="2" t="n">
        <v>0.26372056339661</v>
      </c>
      <c r="E517" s="2" t="n">
        <v>0</v>
      </c>
    </row>
    <row r="518" customFormat="false" ht="13.8" hidden="false" customHeight="false" outlineLevel="0" collapsed="false">
      <c r="B518" s="2" t="n">
        <v>516</v>
      </c>
      <c r="C518" s="2" t="n">
        <v>0.0176607214296906</v>
      </c>
      <c r="D518" s="2" t="n">
        <v>0.0446715454177679</v>
      </c>
      <c r="E518" s="2" t="n">
        <v>0.28823730391118</v>
      </c>
    </row>
    <row r="519" customFormat="false" ht="13.8" hidden="false" customHeight="false" outlineLevel="0" collapsed="false">
      <c r="B519" s="2" t="n">
        <v>517</v>
      </c>
      <c r="C519" s="2" t="n">
        <v>0.00710056272886357</v>
      </c>
      <c r="D519" s="2" t="n">
        <v>0.0502418471964553</v>
      </c>
      <c r="E519" s="2" t="n">
        <v>0.358510284862015</v>
      </c>
    </row>
    <row r="520" customFormat="false" ht="13.8" hidden="false" customHeight="false" outlineLevel="0" collapsed="false">
      <c r="B520" s="2" t="n">
        <v>518</v>
      </c>
      <c r="C520" s="2" t="n">
        <v>0</v>
      </c>
      <c r="D520" s="2" t="n">
        <v>0.052465971554557</v>
      </c>
      <c r="E520" s="2" t="n">
        <v>0.320205565226759</v>
      </c>
    </row>
    <row r="521" customFormat="false" ht="13.8" hidden="false" customHeight="false" outlineLevel="0" collapsed="false">
      <c r="B521" s="2" t="n">
        <v>519</v>
      </c>
      <c r="C521" s="2" t="n">
        <v>2.14576721191407E-019</v>
      </c>
      <c r="D521" s="2" t="n">
        <v>0.0546900959126587</v>
      </c>
      <c r="E521" s="2" t="n">
        <v>0.389000182862638</v>
      </c>
    </row>
    <row r="522" customFormat="false" ht="13.8" hidden="false" customHeight="false" outlineLevel="0" collapsed="false">
      <c r="B522" s="2" t="n">
        <v>520</v>
      </c>
      <c r="C522" s="2" t="n">
        <v>0</v>
      </c>
      <c r="D522" s="2" t="n">
        <v>0.0569142202707605</v>
      </c>
      <c r="E522" s="2" t="n">
        <v>0.366461533831852</v>
      </c>
    </row>
    <row r="523" customFormat="false" ht="13.8" hidden="false" customHeight="false" outlineLevel="0" collapsed="false">
      <c r="B523" s="2" t="n">
        <v>521</v>
      </c>
      <c r="C523" s="2" t="n">
        <v>0</v>
      </c>
      <c r="D523" s="2" t="n">
        <v>0.0591383446288622</v>
      </c>
      <c r="E523" s="2" t="n">
        <v>0.416089851467731</v>
      </c>
    </row>
    <row r="524" customFormat="false" ht="13.8" hidden="false" customHeight="false" outlineLevel="0" collapsed="false">
      <c r="B524" s="2" t="n">
        <v>522</v>
      </c>
      <c r="C524" s="2" t="n">
        <v>0</v>
      </c>
      <c r="D524" s="2" t="n">
        <v>0.0667233464783041</v>
      </c>
      <c r="E524" s="2" t="n">
        <v>0.364588552031766</v>
      </c>
    </row>
    <row r="525" customFormat="false" ht="13.8" hidden="false" customHeight="false" outlineLevel="0" collapsed="false">
      <c r="B525" s="2" t="n">
        <v>523</v>
      </c>
      <c r="C525" s="2" t="n">
        <v>0.0125372213105785</v>
      </c>
      <c r="D525" s="2" t="n">
        <v>0.074308348327746</v>
      </c>
      <c r="E525" s="2" t="n">
        <v>0.528083247951888</v>
      </c>
    </row>
    <row r="526" customFormat="false" ht="13.8" hidden="false" customHeight="false" outlineLevel="0" collapsed="false">
      <c r="B526" s="2" t="n">
        <v>524</v>
      </c>
      <c r="C526" s="2" t="n">
        <v>0.0116256870933951</v>
      </c>
      <c r="D526" s="2" t="n">
        <v>0.0818933501771879</v>
      </c>
      <c r="E526" s="2" t="n">
        <v>0.556443649399773</v>
      </c>
    </row>
    <row r="527" customFormat="false" ht="13.8" hidden="false" customHeight="false" outlineLevel="0" collapsed="false">
      <c r="B527" s="2" t="n">
        <v>525</v>
      </c>
      <c r="C527" s="2" t="n">
        <v>0.0244643528762117</v>
      </c>
      <c r="D527" s="2" t="n">
        <v>0.0894783520266299</v>
      </c>
      <c r="E527" s="2" t="n">
        <v>0.55572093418099</v>
      </c>
    </row>
    <row r="528" customFormat="false" ht="13.8" hidden="false" customHeight="false" outlineLevel="0" collapsed="false">
      <c r="B528" s="2" t="n">
        <v>526</v>
      </c>
      <c r="C528" s="2" t="n">
        <v>0.0142780667092772</v>
      </c>
      <c r="D528" s="2" t="n">
        <v>0.0854274330592649</v>
      </c>
      <c r="E528" s="2" t="n">
        <v>0.492387599220746</v>
      </c>
    </row>
    <row r="529" customFormat="false" ht="13.8" hidden="false" customHeight="false" outlineLevel="0" collapsed="false">
      <c r="B529" s="2" t="n">
        <v>527</v>
      </c>
      <c r="C529" s="2" t="n">
        <v>0.0160916805423428</v>
      </c>
      <c r="D529" s="2" t="n">
        <v>0.0813765140918999</v>
      </c>
      <c r="E529" s="2" t="n">
        <v>0.578803997593835</v>
      </c>
    </row>
    <row r="530" customFormat="false" ht="13.8" hidden="false" customHeight="false" outlineLevel="0" collapsed="false">
      <c r="B530" s="2" t="n">
        <v>528</v>
      </c>
      <c r="C530" s="2" t="n">
        <v>0.00040509437540831</v>
      </c>
      <c r="D530" s="2" t="n">
        <v>0.077325595124535</v>
      </c>
      <c r="E530" s="2" t="n">
        <v>0.569203912633591</v>
      </c>
    </row>
    <row r="531" customFormat="false" ht="13.8" hidden="false" customHeight="false" outlineLevel="0" collapsed="false">
      <c r="B531" s="2" t="n">
        <v>529</v>
      </c>
      <c r="C531" s="2" t="n">
        <v>0.00788517487514051</v>
      </c>
      <c r="D531" s="2" t="n">
        <v>0.0732746761571701</v>
      </c>
      <c r="E531" s="2" t="n">
        <v>0.51267076100668</v>
      </c>
    </row>
    <row r="532" customFormat="false" ht="13.8" hidden="false" customHeight="false" outlineLevel="0" collapsed="false">
      <c r="B532" s="2" t="n">
        <v>530</v>
      </c>
      <c r="C532" s="2" t="n">
        <v>0.0385668421447221</v>
      </c>
      <c r="D532" s="2" t="n">
        <v>0.0714989887593145</v>
      </c>
      <c r="E532" s="2" t="n">
        <v>0.464643937181223</v>
      </c>
    </row>
    <row r="533" customFormat="false" ht="13.8" hidden="false" customHeight="false" outlineLevel="0" collapsed="false">
      <c r="B533" s="2" t="n">
        <v>531</v>
      </c>
      <c r="C533" s="2" t="n">
        <v>0</v>
      </c>
      <c r="D533" s="2" t="n">
        <v>0.0697233013614589</v>
      </c>
      <c r="E533" s="2" t="n">
        <v>0.411965506103405</v>
      </c>
    </row>
    <row r="534" customFormat="false" ht="13.8" hidden="false" customHeight="false" outlineLevel="0" collapsed="false">
      <c r="B534" s="2" t="n">
        <v>532</v>
      </c>
      <c r="C534" s="2" t="n">
        <v>0.025713743350552</v>
      </c>
      <c r="D534" s="2" t="n">
        <v>0.0679476139636033</v>
      </c>
      <c r="E534" s="2" t="n">
        <v>0.400405972863645</v>
      </c>
    </row>
    <row r="535" customFormat="false" ht="13.8" hidden="false" customHeight="false" outlineLevel="0" collapsed="false">
      <c r="B535" s="2" t="n">
        <v>533</v>
      </c>
      <c r="C535" s="2" t="n">
        <v>0</v>
      </c>
      <c r="D535" s="2" t="n">
        <v>0.0661719265657478</v>
      </c>
      <c r="E535" s="2" t="n">
        <v>0.348540959658323</v>
      </c>
    </row>
    <row r="536" customFormat="false" ht="13.8" hidden="false" customHeight="false" outlineLevel="0" collapsed="false">
      <c r="B536" s="2" t="n">
        <v>534</v>
      </c>
      <c r="C536" s="2" t="n">
        <v>0</v>
      </c>
      <c r="D536" s="2" t="n">
        <v>0.055299155537329</v>
      </c>
      <c r="E536" s="2" t="n">
        <v>0.256148765263503</v>
      </c>
    </row>
    <row r="537" customFormat="false" ht="13.8" hidden="false" customHeight="false" outlineLevel="0" collapsed="false">
      <c r="B537" s="2" t="n">
        <v>535</v>
      </c>
      <c r="C537" s="2" t="n">
        <v>0.0264075261908519</v>
      </c>
      <c r="D537" s="2" t="n">
        <v>0.0444263845089101</v>
      </c>
      <c r="E537" s="2" t="n">
        <v>0.190182044677831</v>
      </c>
    </row>
    <row r="538" customFormat="false" ht="13.8" hidden="false" customHeight="false" outlineLevel="0" collapsed="false">
      <c r="B538" s="2" t="n">
        <v>536</v>
      </c>
      <c r="C538" s="2" t="n">
        <v>2.05119922509859E-006</v>
      </c>
      <c r="D538" s="2" t="n">
        <v>0.193994407710766</v>
      </c>
      <c r="E538" s="2" t="n">
        <v>8.80477110302064E-005</v>
      </c>
    </row>
    <row r="539" customFormat="false" ht="13.8" hidden="false" customHeight="false" outlineLevel="0" collapsed="false">
      <c r="B539" s="2" t="n">
        <v>537</v>
      </c>
      <c r="C539" s="2" t="n">
        <v>1.71661376953125E-018</v>
      </c>
      <c r="D539" s="2" t="n">
        <v>0.111681193486752</v>
      </c>
      <c r="E539" s="2" t="n">
        <v>8.80477110302123E-005</v>
      </c>
    </row>
    <row r="540" customFormat="false" ht="13.8" hidden="false" customHeight="false" outlineLevel="0" collapsed="false">
      <c r="B540" s="2" t="n">
        <v>538</v>
      </c>
      <c r="C540" s="2" t="n">
        <v>0</v>
      </c>
      <c r="D540" s="2" t="n">
        <v>0.0691018136038657</v>
      </c>
      <c r="E540" s="2" t="n">
        <v>8.80477110302499E-005</v>
      </c>
    </row>
    <row r="541" customFormat="false" ht="13.8" hidden="false" customHeight="false" outlineLevel="0" collapsed="false">
      <c r="B541" s="2" t="n">
        <v>539</v>
      </c>
      <c r="C541" s="2" t="n">
        <v>0</v>
      </c>
      <c r="D541" s="2" t="n">
        <v>0.0291891837209795</v>
      </c>
      <c r="E541" s="2" t="n">
        <v>8.80477110301638E-005</v>
      </c>
    </row>
    <row r="542" customFormat="false" ht="13.8" hidden="false" customHeight="false" outlineLevel="0" collapsed="false">
      <c r="B542" s="2" t="n">
        <v>540</v>
      </c>
      <c r="C542" s="2" t="n">
        <v>8.20467382931097E-006</v>
      </c>
      <c r="D542" s="2" t="n">
        <v>0.0155349658309295</v>
      </c>
      <c r="E542" s="2" t="n">
        <v>8.80477110302327E-005</v>
      </c>
    </row>
    <row r="543" customFormat="false" ht="13.8" hidden="false" customHeight="false" outlineLevel="0" collapsed="false">
      <c r="B543" s="2" t="n">
        <v>541</v>
      </c>
      <c r="C543" s="2" t="n">
        <v>1.00135803222656E-018</v>
      </c>
      <c r="D543" s="2" t="n">
        <v>0</v>
      </c>
      <c r="E543" s="2" t="n">
        <v>0</v>
      </c>
    </row>
    <row r="544" customFormat="false" ht="13.8" hidden="false" customHeight="false" outlineLevel="0" collapsed="false">
      <c r="B544" s="2" t="n">
        <v>542</v>
      </c>
      <c r="C544" s="2" t="n">
        <v>0</v>
      </c>
      <c r="D544" s="2" t="n">
        <v>0</v>
      </c>
      <c r="E544" s="2" t="n">
        <v>0</v>
      </c>
    </row>
    <row r="545" customFormat="false" ht="13.8" hidden="false" customHeight="false" outlineLevel="0" collapsed="false">
      <c r="B545" s="2" t="n">
        <v>543</v>
      </c>
      <c r="C545" s="2" t="n">
        <v>1.38282775878906E-018</v>
      </c>
      <c r="D545" s="2" t="n">
        <v>0</v>
      </c>
      <c r="E545" s="2" t="n">
        <v>0</v>
      </c>
    </row>
    <row r="546" customFormat="false" ht="13.8" hidden="false" customHeight="false" outlineLevel="0" collapsed="false">
      <c r="B546" s="2" t="n">
        <v>544</v>
      </c>
      <c r="C546" s="2" t="n">
        <v>0</v>
      </c>
      <c r="D546" s="2" t="n">
        <v>0</v>
      </c>
      <c r="E546" s="2" t="n">
        <v>0</v>
      </c>
    </row>
    <row r="547" customFormat="false" ht="13.8" hidden="false" customHeight="false" outlineLevel="0" collapsed="false">
      <c r="B547" s="2" t="n">
        <v>545</v>
      </c>
      <c r="C547" s="2" t="n">
        <v>0</v>
      </c>
      <c r="D547" s="2" t="n">
        <v>0</v>
      </c>
      <c r="E547" s="2" t="n">
        <v>7.87734985351563E-017</v>
      </c>
    </row>
    <row r="548" customFormat="false" ht="13.8" hidden="false" customHeight="false" outlineLevel="0" collapsed="false">
      <c r="B548" s="2" t="n">
        <v>546</v>
      </c>
      <c r="C548" s="2" t="n">
        <v>0</v>
      </c>
      <c r="D548" s="2" t="n">
        <v>0</v>
      </c>
      <c r="E548" s="2" t="n">
        <v>0</v>
      </c>
    </row>
    <row r="549" customFormat="false" ht="13.8" hidden="false" customHeight="false" outlineLevel="0" collapsed="false">
      <c r="B549" s="2" t="n">
        <v>547</v>
      </c>
      <c r="C549" s="2" t="n">
        <v>0</v>
      </c>
      <c r="D549" s="2" t="n">
        <v>0</v>
      </c>
      <c r="E549" s="2" t="n">
        <v>0</v>
      </c>
    </row>
    <row r="550" customFormat="false" ht="13.8" hidden="false" customHeight="false" outlineLevel="0" collapsed="false">
      <c r="B550" s="2" t="n">
        <v>548</v>
      </c>
      <c r="C550" s="2" t="n">
        <v>0</v>
      </c>
      <c r="D550" s="2" t="n">
        <v>0</v>
      </c>
      <c r="E550" s="2" t="n">
        <v>5.49316406250001E-017</v>
      </c>
    </row>
    <row r="551" customFormat="false" ht="13.8" hidden="false" customHeight="false" outlineLevel="0" collapsed="false">
      <c r="B551" s="2" t="n">
        <v>549</v>
      </c>
      <c r="C551" s="2" t="n">
        <v>0</v>
      </c>
      <c r="D551" s="2" t="n">
        <v>0</v>
      </c>
      <c r="E551" s="2" t="n">
        <v>1.45339965820311E-016</v>
      </c>
    </row>
    <row r="552" customFormat="false" ht="13.8" hidden="false" customHeight="false" outlineLevel="0" collapsed="false">
      <c r="B552" s="2" t="n">
        <v>550</v>
      </c>
      <c r="C552" s="2" t="n">
        <v>0</v>
      </c>
      <c r="D552" s="2" t="n">
        <v>0</v>
      </c>
      <c r="E552" s="2" t="n">
        <v>9.53674316406251E-019</v>
      </c>
    </row>
    <row r="553" customFormat="false" ht="13.8" hidden="false" customHeight="false" outlineLevel="0" collapsed="false">
      <c r="B553" s="2" t="n">
        <v>551</v>
      </c>
      <c r="C553" s="2" t="n">
        <v>0</v>
      </c>
      <c r="D553" s="2" t="n">
        <v>0</v>
      </c>
      <c r="E553" s="2" t="n">
        <v>5.49316406250001E-017</v>
      </c>
    </row>
    <row r="554" customFormat="false" ht="13.8" hidden="false" customHeight="false" outlineLevel="0" collapsed="false">
      <c r="B554" s="2" t="n">
        <v>552</v>
      </c>
      <c r="C554" s="2" t="n">
        <v>0</v>
      </c>
      <c r="D554" s="2" t="n">
        <v>0</v>
      </c>
      <c r="E554" s="2" t="n">
        <v>0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5.37395477294923E-017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2.74658203125E-017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9.53674316406251E-019</v>
      </c>
      <c r="D560" s="2" t="n">
        <v>0</v>
      </c>
      <c r="E560" s="2" t="n">
        <v>0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1.373291015625E-017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5.48124313354493E-017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1.373291015625E-017</v>
      </c>
      <c r="E564" s="2" t="n">
        <v>1.34110450744629E-019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1.373291015625E-017</v>
      </c>
      <c r="E566" s="2" t="n">
        <v>4.17232513427735E-019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2.38418579101563E-019</v>
      </c>
    </row>
    <row r="569" customFormat="false" ht="13.8" hidden="false" customHeight="false" outlineLevel="0" collapsed="false">
      <c r="B569" s="2" t="n">
        <v>567</v>
      </c>
      <c r="C569" s="2" t="n">
        <v>0</v>
      </c>
      <c r="D569" s="2" t="n">
        <v>1.373291015625E-017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0</v>
      </c>
      <c r="D570" s="2" t="n">
        <v>6.86645507812501E-018</v>
      </c>
      <c r="E570" s="2" t="n">
        <v>2.38418579101563E-019</v>
      </c>
    </row>
    <row r="571" customFormat="false" ht="13.8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2.38418579101563E-019</v>
      </c>
    </row>
    <row r="573" customFormat="false" ht="13.8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2.68220901489258E-019</v>
      </c>
    </row>
    <row r="574" customFormat="false" ht="13.8" hidden="false" customHeight="false" outlineLevel="0" collapsed="false">
      <c r="B574" s="2" t="n">
        <v>572</v>
      </c>
      <c r="C574" s="2" t="n">
        <v>0</v>
      </c>
      <c r="D574" s="2" t="n">
        <v>1.71661376953125E-018</v>
      </c>
      <c r="E574" s="2" t="n">
        <v>1.9371509552002E-019</v>
      </c>
    </row>
    <row r="575" customFormat="false" ht="13.8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2.38418579101563E-019</v>
      </c>
    </row>
    <row r="576" customFormat="false" ht="13.8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7.15255737304689E-019</v>
      </c>
    </row>
    <row r="577" customFormat="false" ht="13.8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4.9401933210902E-019</v>
      </c>
    </row>
    <row r="579" customFormat="false" ht="13.8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1.71821739058942E-020</v>
      </c>
    </row>
    <row r="580" customFormat="false" ht="13.8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2.75813043117524E-017</v>
      </c>
    </row>
    <row r="581" customFormat="false" ht="13.8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7.45058059692384E-020</v>
      </c>
    </row>
    <row r="582" customFormat="false" ht="13.8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8.94069671630861E-020</v>
      </c>
    </row>
    <row r="584" customFormat="false" ht="13.8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8.3446502685547E-019</v>
      </c>
    </row>
    <row r="585" customFormat="false" ht="13.8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8.3446502685547E-019</v>
      </c>
    </row>
    <row r="587" customFormat="false" ht="13.8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2.7763843536377E-017</v>
      </c>
    </row>
    <row r="588" customFormat="false" ht="13.8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1.13487243652344E-017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8.3446502685547E-019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2.38418579101563E-019</v>
      </c>
      <c r="D595" s="2" t="n">
        <v>0</v>
      </c>
      <c r="E595" s="2" t="n">
        <v>2.68220901489258E-019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5.96046447753907E-019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2.38418579101563E-019</v>
      </c>
      <c r="D598" s="2" t="n">
        <v>0</v>
      </c>
      <c r="E598" s="2" t="n">
        <v>3.07559967041016E-018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0</v>
      </c>
      <c r="D600" s="2" t="n">
        <v>0</v>
      </c>
      <c r="E600" s="2" t="n">
        <v>0</v>
      </c>
    </row>
    <row r="601" customFormat="false" ht="13.8" hidden="false" customHeight="false" outlineLevel="0" collapsed="false">
      <c r="B601" s="2" t="n">
        <v>599</v>
      </c>
      <c r="C601" s="2" t="n">
        <v>0</v>
      </c>
      <c r="D601" s="2" t="n">
        <v>0</v>
      </c>
      <c r="E601" s="2" t="n">
        <v>0</v>
      </c>
    </row>
    <row r="602" customFormat="false" ht="13.8" hidden="false" customHeight="false" outlineLevel="0" collapsed="false">
      <c r="B602" s="2" t="n">
        <v>600</v>
      </c>
      <c r="C602" s="2" t="n">
        <v>0</v>
      </c>
      <c r="D602" s="2" t="n">
        <v>0</v>
      </c>
      <c r="E602" s="2" t="n">
        <v>0</v>
      </c>
    </row>
    <row r="603" customFormat="false" ht="13.8" hidden="false" customHeight="false" outlineLevel="0" collapsed="false">
      <c r="B603" s="2" t="n">
        <v>601</v>
      </c>
      <c r="C603" s="2" t="n">
        <v>0</v>
      </c>
      <c r="D603" s="2" t="n">
        <v>0</v>
      </c>
      <c r="E603" s="2" t="n">
        <v>4.76837158203126E-019</v>
      </c>
    </row>
    <row r="604" customFormat="false" ht="13.8" hidden="false" customHeight="false" outlineLevel="0" collapsed="false">
      <c r="B604" s="2" t="n">
        <v>602</v>
      </c>
      <c r="C604" s="2" t="n">
        <v>0</v>
      </c>
      <c r="D604" s="2" t="n">
        <v>0.00805572616503877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0.0125224195891187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0.0169891130131985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0.0214558064372784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0.0291030591758033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0.0367503119143283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0.0443975646528532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0.0520448173913781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9.53674316406152E-019</v>
      </c>
      <c r="D612" s="2" t="n">
        <v>0.0584812519107637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0.0649176864301493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0.0713541209495349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0.0777905554689204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0.0826522730533543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0.0875139906377881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0.0923757082222219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0.0972374258066557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0.100114800235382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0.102992174664108</v>
      </c>
      <c r="E621" s="2" t="n">
        <v>0.710843944920433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0.105869549092834</v>
      </c>
      <c r="E622" s="2" t="n">
        <v>6.87201639384032E-010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0.108746923521559</v>
      </c>
      <c r="E623" s="2" t="n">
        <v>1.37441015084088E-009</v>
      </c>
    </row>
    <row r="624" customFormat="false" ht="13.8" hidden="false" customHeight="false" outlineLevel="0" collapsed="false">
      <c r="B624" s="2" t="n">
        <v>622</v>
      </c>
      <c r="C624" s="2" t="n">
        <v>0</v>
      </c>
      <c r="D624" s="2" t="n">
        <v>0.106764885954336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0.0061832926776132</v>
      </c>
      <c r="D625" s="2" t="n">
        <v>0.104782848387113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0</v>
      </c>
      <c r="D626" s="2" t="n">
        <v>0.102800810819889</v>
      </c>
      <c r="E626" s="2" t="n">
        <v>0.6151492742841</v>
      </c>
    </row>
    <row r="627" customFormat="false" ht="13.8" hidden="false" customHeight="false" outlineLevel="0" collapsed="false">
      <c r="B627" s="2" t="n">
        <v>625</v>
      </c>
      <c r="C627" s="2" t="n">
        <v>0.0682493070903301</v>
      </c>
      <c r="D627" s="2" t="n">
        <v>0.100818773252666</v>
      </c>
      <c r="E627" s="2" t="n">
        <v>6.87201639384032E-010</v>
      </c>
    </row>
    <row r="628" customFormat="false" ht="13.8" hidden="false" customHeight="false" outlineLevel="0" collapsed="false">
      <c r="B628" s="2" t="n">
        <v>626</v>
      </c>
      <c r="C628" s="2" t="n">
        <v>0</v>
      </c>
      <c r="D628" s="2" t="n">
        <v>0.0896120761587341</v>
      </c>
      <c r="E628" s="2" t="n">
        <v>0</v>
      </c>
    </row>
    <row r="629" customFormat="false" ht="13.8" hidden="false" customHeight="false" outlineLevel="0" collapsed="false">
      <c r="B629" s="2" t="n">
        <v>627</v>
      </c>
      <c r="C629" s="2" t="n">
        <v>0.0432706586196142</v>
      </c>
      <c r="D629" s="2" t="n">
        <v>0.0784053790648021</v>
      </c>
      <c r="E629" s="2" t="n">
        <v>0.0730853964757454</v>
      </c>
    </row>
    <row r="630" customFormat="false" ht="13.8" hidden="false" customHeight="false" outlineLevel="0" collapsed="false">
      <c r="B630" s="2" t="n">
        <v>628</v>
      </c>
      <c r="C630" s="2" t="n">
        <v>0</v>
      </c>
      <c r="D630" s="2" t="n">
        <v>0.0671986819708701</v>
      </c>
      <c r="E630" s="2" t="n">
        <v>0.452429472902346</v>
      </c>
    </row>
    <row r="631" customFormat="false" ht="13.8" hidden="false" customHeight="false" outlineLevel="0" collapsed="false">
      <c r="B631" s="2" t="n">
        <v>629</v>
      </c>
      <c r="C631" s="2" t="n">
        <v>0.0228590934822317</v>
      </c>
      <c r="D631" s="2" t="n">
        <v>0.055991984876938</v>
      </c>
      <c r="E631" s="2" t="n">
        <v>0.347357266577543</v>
      </c>
    </row>
    <row r="632" customFormat="false" ht="13.8" hidden="false" customHeight="false" outlineLevel="0" collapsed="false">
      <c r="B632" s="2" t="n">
        <v>630</v>
      </c>
      <c r="C632" s="2" t="n">
        <v>0</v>
      </c>
      <c r="D632" s="2" t="n">
        <v>0.0547277538579065</v>
      </c>
      <c r="E632" s="2" t="n">
        <v>0.326299749902776</v>
      </c>
    </row>
    <row r="633" customFormat="false" ht="13.8" hidden="false" customHeight="false" outlineLevel="0" collapsed="false">
      <c r="B633" s="2" t="n">
        <v>631</v>
      </c>
      <c r="C633" s="2" t="n">
        <v>0.0299798225236759</v>
      </c>
      <c r="D633" s="2" t="n">
        <v>0.0534635228388749</v>
      </c>
      <c r="E633" s="2" t="n">
        <v>0.328736350555434</v>
      </c>
    </row>
    <row r="634" customFormat="false" ht="13.8" hidden="false" customHeight="false" outlineLevel="0" collapsed="false">
      <c r="B634" s="2" t="n">
        <v>632</v>
      </c>
      <c r="C634" s="2" t="n">
        <v>0.00287410371106469</v>
      </c>
      <c r="D634" s="2" t="n">
        <v>0.0521992918198434</v>
      </c>
      <c r="E634" s="2" t="n">
        <v>0.35059244254438</v>
      </c>
    </row>
    <row r="635" customFormat="false" ht="13.8" hidden="false" customHeight="false" outlineLevel="0" collapsed="false">
      <c r="B635" s="2" t="n">
        <v>633</v>
      </c>
      <c r="C635" s="2" t="n">
        <v>0.0209678348984535</v>
      </c>
      <c r="D635" s="2" t="n">
        <v>0.0509350608008118</v>
      </c>
      <c r="E635" s="2" t="n">
        <v>0.321448184533325</v>
      </c>
    </row>
    <row r="636" customFormat="false" ht="13.8" hidden="false" customHeight="false" outlineLevel="0" collapsed="false">
      <c r="B636" s="2" t="n">
        <v>634</v>
      </c>
      <c r="C636" s="2" t="n">
        <v>1.71661376953125E-018</v>
      </c>
      <c r="D636" s="2" t="n">
        <v>0.0469809765497983</v>
      </c>
      <c r="E636" s="2" t="n">
        <v>0.276110180217334</v>
      </c>
    </row>
    <row r="637" customFormat="false" ht="13.8" hidden="false" customHeight="false" outlineLevel="0" collapsed="false">
      <c r="B637" s="2" t="n">
        <v>635</v>
      </c>
      <c r="C637" s="2" t="n">
        <v>0.00946288069474341</v>
      </c>
      <c r="D637" s="2" t="n">
        <v>0.0430268922987846</v>
      </c>
      <c r="E637" s="2" t="n">
        <v>0.26514124364148</v>
      </c>
    </row>
    <row r="638" customFormat="false" ht="13.8" hidden="false" customHeight="false" outlineLevel="0" collapsed="false">
      <c r="B638" s="2" t="n">
        <v>636</v>
      </c>
      <c r="C638" s="2" t="n">
        <v>0</v>
      </c>
      <c r="D638" s="2" t="n">
        <v>0.039072808047771</v>
      </c>
      <c r="E638" s="2" t="n">
        <v>0.180631185121779</v>
      </c>
    </row>
    <row r="639" customFormat="false" ht="13.8" hidden="false" customHeight="false" outlineLevel="0" collapsed="false">
      <c r="B639" s="2" t="n">
        <v>637</v>
      </c>
      <c r="C639" s="2" t="n">
        <v>0.00129110982436671</v>
      </c>
      <c r="D639" s="2" t="n">
        <v>0.0351187237967575</v>
      </c>
      <c r="E639" s="2" t="n">
        <v>0.133633869416302</v>
      </c>
    </row>
    <row r="640" customFormat="false" ht="13.8" hidden="false" customHeight="false" outlineLevel="0" collapsed="false">
      <c r="B640" s="2" t="n">
        <v>638</v>
      </c>
      <c r="C640" s="2" t="n">
        <v>1.71661376953125E-018</v>
      </c>
      <c r="D640" s="2" t="n">
        <v>0.0277166319670903</v>
      </c>
      <c r="E640" s="2" t="n">
        <v>0.134762251919207</v>
      </c>
    </row>
    <row r="641" customFormat="false" ht="13.8" hidden="false" customHeight="false" outlineLevel="0" collapsed="false">
      <c r="B641" s="2" t="n">
        <v>639</v>
      </c>
      <c r="C641" s="2" t="n">
        <v>4.76837158203122E-019</v>
      </c>
      <c r="D641" s="2" t="n">
        <v>0</v>
      </c>
      <c r="E641" s="2" t="n">
        <v>0</v>
      </c>
    </row>
    <row r="642" customFormat="false" ht="13.8" hidden="false" customHeight="false" outlineLevel="0" collapsed="false">
      <c r="B642" s="2" t="n">
        <v>640</v>
      </c>
      <c r="C642" s="2" t="n">
        <v>0</v>
      </c>
      <c r="D642" s="2" t="n">
        <v>0</v>
      </c>
      <c r="E642" s="2" t="n">
        <v>2.74658203125E-017</v>
      </c>
    </row>
    <row r="643" customFormat="false" ht="13.8" hidden="false" customHeight="false" outlineLevel="0" collapsed="false">
      <c r="B643" s="2" t="n">
        <v>641</v>
      </c>
      <c r="C643" s="2" t="n">
        <v>4.76837158203089E-020</v>
      </c>
      <c r="D643" s="2" t="n">
        <v>0</v>
      </c>
      <c r="E643" s="2" t="n">
        <v>0</v>
      </c>
    </row>
    <row r="644" customFormat="false" ht="13.8" hidden="false" customHeight="false" outlineLevel="0" collapsed="false">
      <c r="B644" s="2" t="n">
        <v>642</v>
      </c>
      <c r="C644" s="2" t="n">
        <v>6.91413879394529E-019</v>
      </c>
      <c r="D644" s="2" t="n">
        <v>0</v>
      </c>
      <c r="E644" s="2" t="n">
        <v>2.74658203125E-017</v>
      </c>
    </row>
    <row r="645" customFormat="false" ht="13.8" hidden="false" customHeight="false" outlineLevel="0" collapsed="false">
      <c r="B645" s="2" t="n">
        <v>643</v>
      </c>
      <c r="C645" s="2" t="n">
        <v>0</v>
      </c>
      <c r="D645" s="2" t="n">
        <v>0</v>
      </c>
      <c r="E645" s="2" t="n">
        <v>4.76837158203121E-019</v>
      </c>
    </row>
    <row r="646" customFormat="false" ht="13.8" hidden="false" customHeight="false" outlineLevel="0" collapsed="false">
      <c r="B646" s="2" t="n">
        <v>644</v>
      </c>
      <c r="C646" s="2" t="n">
        <v>0</v>
      </c>
      <c r="D646" s="2" t="n">
        <v>0</v>
      </c>
      <c r="E646" s="2" t="n">
        <v>0</v>
      </c>
    </row>
    <row r="647" customFormat="false" ht="13.8" hidden="false" customHeight="false" outlineLevel="0" collapsed="false">
      <c r="B647" s="2" t="n">
        <v>645</v>
      </c>
      <c r="C647" s="2" t="n">
        <v>9.53674316406237E-019</v>
      </c>
      <c r="D647" s="2" t="n">
        <v>0</v>
      </c>
      <c r="E647" s="2" t="n">
        <v>0</v>
      </c>
    </row>
    <row r="648" customFormat="false" ht="13.8" hidden="false" customHeight="false" outlineLevel="0" collapsed="false">
      <c r="B648" s="2" t="n">
        <v>646</v>
      </c>
      <c r="C648" s="2" t="n">
        <v>0</v>
      </c>
      <c r="D648" s="2" t="n">
        <v>0</v>
      </c>
      <c r="E648" s="2" t="n">
        <v>0</v>
      </c>
    </row>
    <row r="649" customFormat="false" ht="13.8" hidden="false" customHeight="false" outlineLevel="0" collapsed="false">
      <c r="B649" s="2" t="n">
        <v>647</v>
      </c>
      <c r="C649" s="2" t="n">
        <v>0</v>
      </c>
      <c r="D649" s="2" t="n">
        <v>0</v>
      </c>
      <c r="E649" s="2" t="n">
        <v>4.76837158203121E-019</v>
      </c>
    </row>
    <row r="650" customFormat="false" ht="13.8" hidden="false" customHeight="false" outlineLevel="0" collapsed="false">
      <c r="B650" s="2" t="n">
        <v>648</v>
      </c>
      <c r="C650" s="2" t="n">
        <v>0</v>
      </c>
      <c r="D650" s="2" t="n">
        <v>0</v>
      </c>
      <c r="E650" s="2" t="n">
        <v>0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2.69889831542969E-017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9.53674316406234E-019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4.76837158203121E-019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1.373291015625E-017</v>
      </c>
      <c r="E655" s="2" t="n">
        <v>1.19209289550781E-019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</v>
      </c>
    </row>
    <row r="657" customFormat="false" ht="13.8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1.44481658935547E-017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1.373291015625E-017</v>
      </c>
      <c r="E659" s="2" t="n">
        <v>7.45058059692383E-020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4.76837158203121E-019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1.38074159622193E-017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1.373291015625E-017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1.32732551719528E-017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3.43322753906251E-018</v>
      </c>
      <c r="E667" s="2" t="n">
        <v>7.58171081542969E-018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7.03036785125733E-018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1.71661376953125E-018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2.71797180175781E-018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4.45842742919908E-018</v>
      </c>
    </row>
    <row r="674" customFormat="false" ht="13.8" hidden="false" customHeight="false" outlineLevel="0" collapsed="false">
      <c r="B674" s="2" t="n">
        <v>672</v>
      </c>
      <c r="C674" s="2" t="n">
        <v>4.76837158203116E-019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0.0120024666666667</v>
      </c>
      <c r="D3" s="2" t="n">
        <v>0</v>
      </c>
      <c r="E3" s="2" t="n">
        <v>0.0233334666666667</v>
      </c>
    </row>
    <row r="4" customFormat="false" ht="13.8" hidden="false" customHeight="false" outlineLevel="0" collapsed="false">
      <c r="B4" s="2" t="n">
        <v>2</v>
      </c>
      <c r="C4" s="2" t="n">
        <v>0.0483854833333333</v>
      </c>
      <c r="D4" s="2" t="n">
        <v>0</v>
      </c>
      <c r="E4" s="2" t="n">
        <v>0.011</v>
      </c>
    </row>
    <row r="5" customFormat="false" ht="13.8" hidden="false" customHeight="false" outlineLevel="0" collapsed="false">
      <c r="B5" s="2" t="n">
        <v>3</v>
      </c>
      <c r="C5" s="2" t="n">
        <v>0.0551852666666667</v>
      </c>
      <c r="D5" s="2" t="n">
        <v>0</v>
      </c>
      <c r="E5" s="2" t="n">
        <v>0.0140000500000001</v>
      </c>
    </row>
    <row r="6" customFormat="false" ht="13.8" hidden="false" customHeight="false" outlineLevel="0" collapsed="false">
      <c r="B6" s="2" t="n">
        <v>4</v>
      </c>
      <c r="C6" s="2" t="n">
        <v>0.000728169970633083</v>
      </c>
      <c r="D6" s="2" t="n">
        <v>0.0333333333333333</v>
      </c>
      <c r="E6" s="2" t="n">
        <v>0.0624396300293669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0.1</v>
      </c>
      <c r="E7" s="2" t="n">
        <v>0.0782504333333333</v>
      </c>
    </row>
    <row r="8" customFormat="false" ht="13.8" hidden="false" customHeight="false" outlineLevel="0" collapsed="false">
      <c r="B8" s="2" t="n">
        <v>6</v>
      </c>
      <c r="C8" s="2" t="n">
        <v>1.05268044486642E-010</v>
      </c>
      <c r="D8" s="2" t="n">
        <v>0.1</v>
      </c>
      <c r="E8" s="2" t="n">
        <v>0.05073355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0.1</v>
      </c>
      <c r="E9" s="2" t="n">
        <v>0.0780334666666667</v>
      </c>
    </row>
    <row r="10" customFormat="false" ht="13.8" hidden="false" customHeight="false" outlineLevel="0" collapsed="false">
      <c r="B10" s="2" t="n">
        <v>8</v>
      </c>
      <c r="C10" s="2" t="n">
        <v>1.05264652192593E-010</v>
      </c>
      <c r="D10" s="2" t="n">
        <v>0.1</v>
      </c>
      <c r="E10" s="2" t="n">
        <v>0.0521168333333334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0.1</v>
      </c>
      <c r="E11" s="2" t="n">
        <v>0.0792501166666667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0.1</v>
      </c>
      <c r="E12" s="2" t="n">
        <v>0.0510502666666667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0.1</v>
      </c>
      <c r="E13" s="2" t="n">
        <v>0.0345003</v>
      </c>
    </row>
    <row r="14" customFormat="false" ht="13.8" hidden="false" customHeight="false" outlineLevel="0" collapsed="false">
      <c r="B14" s="2" t="n">
        <v>12</v>
      </c>
      <c r="C14" s="2" t="n">
        <v>1.33989654420763E-008</v>
      </c>
      <c r="D14" s="2" t="n">
        <v>0.1</v>
      </c>
      <c r="E14" s="2" t="n">
        <v>0.0682668333333333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0.1</v>
      </c>
      <c r="E15" s="2" t="n">
        <v>0.0905501166666667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0.1</v>
      </c>
      <c r="E16" s="2" t="n">
        <v>0.0981333666666667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0.1</v>
      </c>
      <c r="E17" s="2" t="n">
        <v>0.0680666833333334</v>
      </c>
    </row>
    <row r="18" customFormat="false" ht="13.8" hidden="false" customHeight="false" outlineLevel="0" collapsed="false">
      <c r="B18" s="2" t="n">
        <v>16</v>
      </c>
      <c r="C18" s="2" t="n">
        <v>1.33995014141053E-008</v>
      </c>
      <c r="D18" s="2" t="n">
        <v>0.1</v>
      </c>
      <c r="E18" s="2" t="n">
        <v>0.0844835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0.1</v>
      </c>
      <c r="E19" s="2" t="n">
        <v>0.0432004666666666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0.1</v>
      </c>
      <c r="E20" s="2" t="n">
        <v>0.1066169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0.0127623692989479</v>
      </c>
      <c r="E21" s="2" t="n">
        <v>0.129471147367719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1.05244297280908E-010</v>
      </c>
      <c r="E22" s="2" t="n">
        <v>0.180350433333333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0.175300433333333</v>
      </c>
    </row>
    <row r="24" customFormat="false" ht="13.8" hidden="false" customHeight="false" outlineLevel="0" collapsed="false">
      <c r="B24" s="2" t="n">
        <v>22</v>
      </c>
      <c r="C24" s="2" t="n">
        <v>1.34003054123074E-008</v>
      </c>
      <c r="D24" s="2" t="n">
        <v>0</v>
      </c>
      <c r="E24" s="2" t="n">
        <v>0.0938680660885785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0.0482362655104903</v>
      </c>
    </row>
    <row r="26" customFormat="false" ht="13.8" hidden="false" customHeight="false" outlineLevel="0" collapsed="false">
      <c r="B26" s="2" t="n">
        <v>24</v>
      </c>
      <c r="C26" s="2" t="n">
        <v>1.34005734214634E-008</v>
      </c>
      <c r="D26" s="2" t="n">
        <v>0</v>
      </c>
      <c r="E26" s="2" t="n">
        <v>0.108437681599069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0.0632056476876472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0.0946078065742509</v>
      </c>
    </row>
    <row r="29" customFormat="false" ht="13.8" hidden="false" customHeight="false" outlineLevel="0" collapsed="false">
      <c r="B29" s="2" t="n">
        <v>27</v>
      </c>
      <c r="C29" s="2" t="n">
        <v>1.34009754476547E-008</v>
      </c>
      <c r="D29" s="2" t="n">
        <v>0</v>
      </c>
      <c r="E29" s="2" t="n">
        <v>0.0390100487941878</v>
      </c>
    </row>
    <row r="30" customFormat="false" ht="13.8" hidden="false" customHeight="false" outlineLevel="0" collapsed="false">
      <c r="B30" s="2" t="n">
        <v>28</v>
      </c>
      <c r="C30" s="2" t="n">
        <v>1.34011094596684E-008</v>
      </c>
      <c r="D30" s="2" t="n">
        <v>0</v>
      </c>
      <c r="E30" s="2" t="n">
        <v>0.0620292743474582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0.00531466656739522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3.39084201388889E-017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9.53674316406351E-019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4.23855251736112E-018</v>
      </c>
      <c r="E43" s="2" t="n">
        <v>3.39084201388889E-017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3.39084201388889E-017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8.47710503472224E-018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3.39084201388889E-017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1.69542100694445E-017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1.69542100694445E-017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4.38830210680969E-017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0</v>
      </c>
      <c r="E57" s="2" t="n">
        <v>0</v>
      </c>
    </row>
    <row r="58" customFormat="false" ht="13.8" hidden="false" customHeight="false" outlineLevel="0" collapsed="false">
      <c r="B58" s="2" t="n">
        <v>56</v>
      </c>
      <c r="C58" s="2" t="n">
        <v>2.11927625868056E-018</v>
      </c>
      <c r="D58" s="2" t="n">
        <v>0</v>
      </c>
      <c r="E58" s="2" t="n">
        <v>1.1920928986097E-018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1.69542100694445E-017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2.11927625868056E-018</v>
      </c>
      <c r="D61" s="2" t="n">
        <v>1.69542100694445E-017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0</v>
      </c>
      <c r="E62" s="2" t="n">
        <v>3.33867074442218E-017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0</v>
      </c>
      <c r="D64" s="2" t="n">
        <v>0</v>
      </c>
      <c r="E64" s="2" t="n">
        <v>2.65632882572622E-016</v>
      </c>
    </row>
    <row r="65" customFormat="false" ht="13.8" hidden="false" customHeight="false" outlineLevel="0" collapsed="false">
      <c r="B65" s="2" t="n">
        <v>63</v>
      </c>
      <c r="C65" s="2" t="n">
        <v>0</v>
      </c>
      <c r="D65" s="2" t="n">
        <v>0</v>
      </c>
      <c r="E65" s="2" t="n">
        <v>0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0</v>
      </c>
    </row>
    <row r="68" customFormat="false" ht="13.8" hidden="false" customHeight="false" outlineLevel="0" collapsed="false">
      <c r="B68" s="2" t="n">
        <v>66</v>
      </c>
      <c r="C68" s="2" t="n">
        <v>2.11927625868056E-018</v>
      </c>
      <c r="D68" s="2" t="n">
        <v>0</v>
      </c>
      <c r="E68" s="2" t="n">
        <v>0</v>
      </c>
    </row>
    <row r="69" customFormat="false" ht="13.8" hidden="false" customHeight="false" outlineLevel="0" collapsed="false">
      <c r="B69" s="2" t="n">
        <v>67</v>
      </c>
      <c r="C69" s="2" t="n">
        <v>0</v>
      </c>
      <c r="D69" s="2" t="n">
        <v>3.39084201388889E-017</v>
      </c>
      <c r="E69" s="2" t="n">
        <v>0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0</v>
      </c>
      <c r="E70" s="2" t="n">
        <v>6.87705145941848E-017</v>
      </c>
    </row>
    <row r="71" customFormat="false" ht="13.8" hidden="false" customHeight="false" outlineLevel="0" collapsed="false">
      <c r="B71" s="2" t="n">
        <v>69</v>
      </c>
      <c r="C71" s="2" t="n">
        <v>8.24625475004317E-010</v>
      </c>
      <c r="D71" s="2" t="n">
        <v>0</v>
      </c>
      <c r="E71" s="2" t="n">
        <v>0.0274684787731492</v>
      </c>
    </row>
    <row r="72" customFormat="false" ht="13.8" hidden="false" customHeight="false" outlineLevel="0" collapsed="false">
      <c r="B72" s="2" t="n">
        <v>70</v>
      </c>
      <c r="C72" s="2" t="n">
        <v>5.49753065079451E-010</v>
      </c>
      <c r="D72" s="2" t="n">
        <v>0</v>
      </c>
      <c r="E72" s="2" t="n">
        <v>0.100734917413195</v>
      </c>
    </row>
    <row r="73" customFormat="false" ht="13.8" hidden="false" customHeight="false" outlineLevel="0" collapsed="false">
      <c r="B73" s="2" t="n">
        <v>71</v>
      </c>
      <c r="C73" s="2" t="n">
        <v>2.74877906903625E-010</v>
      </c>
      <c r="D73" s="2" t="n">
        <v>0</v>
      </c>
      <c r="E73" s="2" t="n">
        <v>0.134651339386575</v>
      </c>
    </row>
    <row r="74" customFormat="false" ht="13.8" hidden="false" customHeight="false" outlineLevel="0" collapsed="false">
      <c r="B74" s="2" t="n">
        <v>72</v>
      </c>
      <c r="C74" s="2" t="n">
        <v>0.0500862487305668</v>
      </c>
      <c r="D74" s="2" t="n">
        <v>0</v>
      </c>
      <c r="E74" s="2" t="n">
        <v>0.12671494596272</v>
      </c>
    </row>
    <row r="75" customFormat="false" ht="13.8" hidden="false" customHeight="false" outlineLevel="0" collapsed="false">
      <c r="B75" s="2" t="n">
        <v>73</v>
      </c>
      <c r="C75" s="2" t="n">
        <v>0.0705839166666667</v>
      </c>
      <c r="D75" s="2" t="n">
        <v>0</v>
      </c>
      <c r="E75" s="2" t="n">
        <v>0.114167133333333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0.198917966666667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0.183335183333333</v>
      </c>
    </row>
    <row r="78" customFormat="false" ht="13.8" hidden="false" customHeight="false" outlineLevel="0" collapsed="false">
      <c r="B78" s="2" t="n">
        <v>76</v>
      </c>
      <c r="C78" s="2" t="n">
        <v>0.04545285</v>
      </c>
      <c r="D78" s="2" t="n">
        <v>0</v>
      </c>
      <c r="E78" s="2" t="n">
        <v>0.0920000666666667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0.158069833333333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0.0333333333333333</v>
      </c>
      <c r="E80" s="2" t="n">
        <v>0.101703033333333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0.1</v>
      </c>
      <c r="E81" s="2" t="n">
        <v>0.162003333333333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0.1</v>
      </c>
      <c r="E82" s="2" t="n">
        <v>0.0878211500000001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0.1</v>
      </c>
      <c r="E83" s="2" t="n">
        <v>0.137537566666667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0.1</v>
      </c>
      <c r="E84" s="2" t="n">
        <v>0.100720683333333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0.1</v>
      </c>
      <c r="E85" s="2" t="n">
        <v>0.130053616666667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0.1</v>
      </c>
      <c r="E86" s="2" t="n">
        <v>0.142836916666667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0.1</v>
      </c>
      <c r="E87" s="2" t="n">
        <v>0.120720733333333</v>
      </c>
    </row>
    <row r="88" customFormat="false" ht="13.8" hidden="false" customHeight="false" outlineLevel="0" collapsed="false">
      <c r="B88" s="2" t="n">
        <v>86</v>
      </c>
      <c r="C88" s="2" t="n">
        <v>8.24625474497677E-010</v>
      </c>
      <c r="D88" s="2" t="n">
        <v>0.1</v>
      </c>
      <c r="E88" s="2" t="n">
        <v>0.1150373</v>
      </c>
    </row>
    <row r="89" customFormat="false" ht="13.8" hidden="false" customHeight="false" outlineLevel="0" collapsed="false">
      <c r="B89" s="2" t="n">
        <v>87</v>
      </c>
      <c r="C89" s="2" t="n">
        <v>5.4975306506455E-010</v>
      </c>
      <c r="D89" s="2" t="n">
        <v>0.1</v>
      </c>
      <c r="E89" s="2" t="n">
        <v>0.102670133333333</v>
      </c>
    </row>
    <row r="90" customFormat="false" ht="13.8" hidden="false" customHeight="false" outlineLevel="0" collapsed="false">
      <c r="B90" s="2" t="n">
        <v>88</v>
      </c>
      <c r="C90" s="2" t="n">
        <v>2.74877906918526E-010</v>
      </c>
      <c r="D90" s="2" t="n">
        <v>0.1</v>
      </c>
      <c r="E90" s="2" t="n">
        <v>0.1316864</v>
      </c>
    </row>
    <row r="91" customFormat="false" ht="13.8" hidden="false" customHeight="false" outlineLevel="0" collapsed="false">
      <c r="B91" s="2" t="n">
        <v>89</v>
      </c>
      <c r="C91" s="2" t="n">
        <v>9.53674316406266E-019</v>
      </c>
      <c r="D91" s="2" t="n">
        <v>0.1</v>
      </c>
      <c r="E91" s="2" t="n">
        <v>0.0958533166666667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0.1</v>
      </c>
      <c r="E92" s="2" t="n">
        <v>0.0595206166666667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0.1</v>
      </c>
      <c r="E93" s="2" t="n">
        <v>0.0555035833333333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0.1</v>
      </c>
      <c r="E94" s="2" t="n">
        <v>0.11666985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0.1</v>
      </c>
      <c r="E95" s="2" t="n">
        <v>0.0543021166666667</v>
      </c>
    </row>
    <row r="96" customFormat="false" ht="13.8" hidden="false" customHeight="false" outlineLevel="0" collapsed="false">
      <c r="B96" s="2" t="n">
        <v>94</v>
      </c>
      <c r="C96" s="2" t="n">
        <v>2.74877906903625E-010</v>
      </c>
      <c r="D96" s="2" t="n">
        <v>0.1</v>
      </c>
      <c r="E96" s="2" t="n">
        <v>0.144101933333333</v>
      </c>
    </row>
    <row r="97" customFormat="false" ht="13.8" hidden="false" customHeight="false" outlineLevel="0" collapsed="false">
      <c r="B97" s="2" t="n">
        <v>95</v>
      </c>
      <c r="C97" s="2" t="n">
        <v>2.74877906933427E-010</v>
      </c>
      <c r="D97" s="2" t="n">
        <v>0.1</v>
      </c>
      <c r="E97" s="2" t="n">
        <v>0.0413024333333333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0.0933333333333333</v>
      </c>
      <c r="E98" s="2" t="n">
        <v>0.03575285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0.1</v>
      </c>
      <c r="E99" s="2" t="n">
        <v>0.0443532500000001</v>
      </c>
    </row>
    <row r="100" customFormat="false" ht="13.8" hidden="false" customHeight="false" outlineLevel="0" collapsed="false">
      <c r="B100" s="2" t="n">
        <v>98</v>
      </c>
      <c r="C100" s="2" t="n">
        <v>2.74877906933427E-010</v>
      </c>
      <c r="D100" s="2" t="n">
        <v>0.1</v>
      </c>
      <c r="E100" s="2" t="n">
        <v>0.131335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0.0389754631480138</v>
      </c>
      <c r="E101" s="2" t="n">
        <v>0.115025903518653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0.181701216666667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0.154233483333333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0.148017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0.1816334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0.142550183333333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0.1542504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0.144416683333333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0.179050133333333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0.146666966666667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0.16850025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0.161883566666667</v>
      </c>
    </row>
    <row r="113" customFormat="false" ht="13.8" hidden="false" customHeight="false" outlineLevel="0" collapsed="false">
      <c r="B113" s="2" t="n">
        <v>111</v>
      </c>
      <c r="C113" s="2" t="n">
        <v>4.76837158203129E-019</v>
      </c>
      <c r="D113" s="2" t="n">
        <v>0</v>
      </c>
      <c r="E113" s="2" t="n">
        <v>0.149383516666667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0.171233583333333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0.1435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0.16855015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0.159333416666667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0.12591695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0.185950016666667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0.115268923647805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0.13953739729561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0.173806004276749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1.63912773134312E-019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0.0448147367698729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2.11927625868056E-018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8.47710503472224E-018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8.47710503472224E-018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0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0</v>
      </c>
      <c r="D153" s="2" t="n">
        <v>0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1.05963812934028E-018</v>
      </c>
      <c r="D154" s="2" t="n">
        <v>0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9.53674317398843E-019</v>
      </c>
      <c r="D155" s="2" t="n">
        <v>0</v>
      </c>
      <c r="E155" s="2" t="n">
        <v>4.62687702304702E-017</v>
      </c>
    </row>
    <row r="156" customFormat="false" ht="13.8" hidden="false" customHeight="false" outlineLevel="0" collapsed="false">
      <c r="B156" s="2" t="n">
        <v>154</v>
      </c>
      <c r="C156" s="2" t="n">
        <v>2.11927625868056E-018</v>
      </c>
      <c r="D156" s="2" t="n">
        <v>0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1.69542100694445E-017</v>
      </c>
      <c r="E158" s="2" t="n">
        <v>3.42263523481656E-016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4.76837158255363E-019</v>
      </c>
      <c r="E159" s="2" t="n">
        <v>0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0</v>
      </c>
      <c r="E160" s="2" t="n">
        <v>8.34465030655293E-019</v>
      </c>
    </row>
    <row r="161" customFormat="false" ht="13.8" hidden="false" customHeight="false" outlineLevel="0" collapsed="false">
      <c r="B161" s="2" t="n">
        <v>159</v>
      </c>
      <c r="C161" s="2" t="n">
        <v>2.11927625868056E-018</v>
      </c>
      <c r="D161" s="2" t="n">
        <v>0</v>
      </c>
      <c r="E161" s="2" t="n">
        <v>0</v>
      </c>
    </row>
    <row r="162" customFormat="false" ht="13.8" hidden="false" customHeight="false" outlineLevel="0" collapsed="false">
      <c r="B162" s="2" t="n">
        <v>160</v>
      </c>
      <c r="C162" s="2" t="n">
        <v>0</v>
      </c>
      <c r="D162" s="2" t="n">
        <v>0</v>
      </c>
      <c r="E162" s="2" t="n">
        <v>0</v>
      </c>
    </row>
    <row r="163" customFormat="false" ht="13.8" hidden="false" customHeight="false" outlineLevel="0" collapsed="false">
      <c r="B163" s="2" t="n">
        <v>161</v>
      </c>
      <c r="C163" s="2" t="n">
        <v>2.11927625868056E-018</v>
      </c>
      <c r="D163" s="2" t="n">
        <v>0</v>
      </c>
      <c r="E163" s="2" t="n">
        <v>0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6.78168402777779E-017</v>
      </c>
    </row>
    <row r="165" customFormat="false" ht="13.8" hidden="false" customHeight="false" outlineLevel="0" collapsed="false">
      <c r="B165" s="2" t="n">
        <v>163</v>
      </c>
      <c r="C165" s="2" t="n">
        <v>0</v>
      </c>
      <c r="D165" s="2" t="n">
        <v>0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5.77185883875192E-009</v>
      </c>
      <c r="D166" s="2" t="n">
        <v>0</v>
      </c>
      <c r="E166" s="2" t="n">
        <v>0.0267429690556312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</v>
      </c>
      <c r="E167" s="2" t="n">
        <v>0</v>
      </c>
    </row>
    <row r="168" customFormat="false" ht="13.8" hidden="false" customHeight="false" outlineLevel="0" collapsed="false">
      <c r="B168" s="2" t="n">
        <v>166</v>
      </c>
      <c r="C168" s="2" t="n">
        <v>5.22221021738649E-009</v>
      </c>
      <c r="D168" s="2" t="n">
        <v>0</v>
      </c>
      <c r="E168" s="2" t="n">
        <v>0.00369953705428715</v>
      </c>
    </row>
    <row r="169" customFormat="false" ht="13.8" hidden="false" customHeight="false" outlineLevel="0" collapsed="false">
      <c r="B169" s="2" t="n">
        <v>167</v>
      </c>
      <c r="C169" s="2" t="n">
        <v>4.94738178472222E-009</v>
      </c>
      <c r="D169" s="2" t="n">
        <v>0</v>
      </c>
      <c r="E169" s="2" t="n">
        <v>0.0202806294653594</v>
      </c>
    </row>
    <row r="170" customFormat="false" ht="13.8" hidden="false" customHeight="false" outlineLevel="0" collapsed="false">
      <c r="B170" s="2" t="n">
        <v>168</v>
      </c>
      <c r="C170" s="2" t="n">
        <v>4.67255060489808E-009</v>
      </c>
      <c r="D170" s="2" t="n">
        <v>0</v>
      </c>
      <c r="E170" s="2" t="n">
        <v>0.0971608718764316</v>
      </c>
    </row>
    <row r="171" customFormat="false" ht="13.8" hidden="false" customHeight="false" outlineLevel="0" collapsed="false">
      <c r="B171" s="2" t="n">
        <v>169</v>
      </c>
      <c r="C171" s="2" t="n">
        <v>4.39771667088238E-009</v>
      </c>
      <c r="D171" s="2" t="n">
        <v>0</v>
      </c>
      <c r="E171" s="2" t="n">
        <v>0.0801579809541706</v>
      </c>
    </row>
    <row r="172" customFormat="false" ht="13.8" hidden="false" customHeight="false" outlineLevel="0" collapsed="false">
      <c r="B172" s="2" t="n">
        <v>170</v>
      </c>
      <c r="C172" s="2" t="n">
        <v>4.12287999485434E-009</v>
      </c>
      <c r="D172" s="2" t="n">
        <v>0</v>
      </c>
      <c r="E172" s="2" t="n">
        <v>0.0945526648822945</v>
      </c>
    </row>
    <row r="173" customFormat="false" ht="13.8" hidden="false" customHeight="false" outlineLevel="0" collapsed="false">
      <c r="B173" s="2" t="n">
        <v>171</v>
      </c>
      <c r="C173" s="2" t="n">
        <v>3.84804056833685E-009</v>
      </c>
      <c r="D173" s="2" t="n">
        <v>0</v>
      </c>
      <c r="E173" s="2" t="n">
        <v>0.0442139154770853</v>
      </c>
    </row>
    <row r="174" customFormat="false" ht="13.8" hidden="false" customHeight="false" outlineLevel="0" collapsed="false">
      <c r="B174" s="2" t="n">
        <v>172</v>
      </c>
      <c r="C174" s="2" t="n">
        <v>3.57319839338959E-009</v>
      </c>
      <c r="D174" s="2" t="n">
        <v>0</v>
      </c>
      <c r="E174" s="2" t="n">
        <v>0.0892918827385426</v>
      </c>
    </row>
    <row r="175" customFormat="false" ht="13.8" hidden="false" customHeight="false" outlineLevel="0" collapsed="false">
      <c r="B175" s="2" t="n">
        <v>173</v>
      </c>
      <c r="C175" s="2" t="n">
        <v>3.29835346996785E-009</v>
      </c>
      <c r="D175" s="2" t="n">
        <v>0</v>
      </c>
      <c r="E175" s="2" t="n">
        <v>0.1231202</v>
      </c>
    </row>
    <row r="176" customFormat="false" ht="13.8" hidden="false" customHeight="false" outlineLevel="0" collapsed="false">
      <c r="B176" s="2" t="n">
        <v>174</v>
      </c>
      <c r="C176" s="2" t="n">
        <v>3.02350579807163E-009</v>
      </c>
      <c r="D176" s="2" t="n">
        <v>0.0733333333333333</v>
      </c>
      <c r="E176" s="2" t="n">
        <v>0.119786916666667</v>
      </c>
    </row>
    <row r="177" customFormat="false" ht="13.8" hidden="false" customHeight="false" outlineLevel="0" collapsed="false">
      <c r="B177" s="2" t="n">
        <v>175</v>
      </c>
      <c r="C177" s="2" t="n">
        <v>2.74865537773073E-009</v>
      </c>
      <c r="D177" s="2" t="n">
        <v>0.1</v>
      </c>
      <c r="E177" s="2" t="n">
        <v>0.125704183333333</v>
      </c>
    </row>
    <row r="178" customFormat="false" ht="13.8" hidden="false" customHeight="false" outlineLevel="0" collapsed="false">
      <c r="B178" s="2" t="n">
        <v>176</v>
      </c>
      <c r="C178" s="2" t="n">
        <v>2.47380220873654E-009</v>
      </c>
      <c r="D178" s="2" t="n">
        <v>0.1</v>
      </c>
      <c r="E178" s="2" t="n">
        <v>0.1071371</v>
      </c>
    </row>
    <row r="179" customFormat="false" ht="13.8" hidden="false" customHeight="false" outlineLevel="0" collapsed="false">
      <c r="B179" s="2" t="n">
        <v>177</v>
      </c>
      <c r="C179" s="2" t="n">
        <v>2.19894629131258E-009</v>
      </c>
      <c r="D179" s="2" t="n">
        <v>0.1</v>
      </c>
      <c r="E179" s="2" t="n">
        <v>0.123187466666667</v>
      </c>
    </row>
    <row r="180" customFormat="false" ht="13.8" hidden="false" customHeight="false" outlineLevel="0" collapsed="false">
      <c r="B180" s="2" t="n">
        <v>178</v>
      </c>
      <c r="C180" s="2" t="n">
        <v>1.92408762525022E-009</v>
      </c>
      <c r="D180" s="2" t="n">
        <v>0.1</v>
      </c>
      <c r="E180" s="2" t="n">
        <v>0.10970445</v>
      </c>
    </row>
    <row r="181" customFormat="false" ht="13.8" hidden="false" customHeight="false" outlineLevel="0" collapsed="false">
      <c r="B181" s="2" t="n">
        <v>179</v>
      </c>
      <c r="C181" s="2" t="n">
        <v>1.64922621053458E-009</v>
      </c>
      <c r="D181" s="2" t="n">
        <v>0.1</v>
      </c>
      <c r="E181" s="2" t="n">
        <v>0.120904366666667</v>
      </c>
    </row>
    <row r="182" customFormat="false" ht="13.8" hidden="false" customHeight="false" outlineLevel="0" collapsed="false">
      <c r="B182" s="2" t="n">
        <v>180</v>
      </c>
      <c r="C182" s="2" t="n">
        <v>1.37436204718054E-009</v>
      </c>
      <c r="D182" s="2" t="n">
        <v>0.1</v>
      </c>
      <c r="E182" s="2" t="n">
        <v>0.0981710833333333</v>
      </c>
    </row>
    <row r="183" customFormat="false" ht="13.8" hidden="false" customHeight="false" outlineLevel="0" collapsed="false">
      <c r="B183" s="2" t="n">
        <v>181</v>
      </c>
      <c r="C183" s="2" t="n">
        <v>1.09949513520301E-009</v>
      </c>
      <c r="D183" s="2" t="n">
        <v>0.1</v>
      </c>
      <c r="E183" s="2" t="n">
        <v>0.110737366666667</v>
      </c>
    </row>
    <row r="184" customFormat="false" ht="13.8" hidden="false" customHeight="false" outlineLevel="0" collapsed="false">
      <c r="B184" s="2" t="n">
        <v>182</v>
      </c>
      <c r="C184" s="2" t="n">
        <v>8.24625474527479E-010</v>
      </c>
      <c r="D184" s="2" t="n">
        <v>0.1</v>
      </c>
      <c r="E184" s="2" t="n">
        <v>0.0990873</v>
      </c>
    </row>
    <row r="185" customFormat="false" ht="13.8" hidden="false" customHeight="false" outlineLevel="0" collapsed="false">
      <c r="B185" s="2" t="n">
        <v>183</v>
      </c>
      <c r="C185" s="2" t="n">
        <v>0.0627867166666667</v>
      </c>
      <c r="D185" s="2" t="n">
        <v>0.1</v>
      </c>
      <c r="E185" s="2" t="n">
        <v>0.011</v>
      </c>
    </row>
    <row r="186" customFormat="false" ht="13.8" hidden="false" customHeight="false" outlineLevel="0" collapsed="false">
      <c r="B186" s="2" t="n">
        <v>184</v>
      </c>
      <c r="C186" s="2" t="n">
        <v>0.0442373</v>
      </c>
      <c r="D186" s="2" t="n">
        <v>0.1</v>
      </c>
      <c r="E186" s="2" t="n">
        <v>0.01400005</v>
      </c>
    </row>
    <row r="187" customFormat="false" ht="13.8" hidden="false" customHeight="false" outlineLevel="0" collapsed="false">
      <c r="B187" s="2" t="n">
        <v>185</v>
      </c>
      <c r="C187" s="2" t="n">
        <v>0.0590849479416292</v>
      </c>
      <c r="D187" s="2" t="n">
        <v>0.1</v>
      </c>
      <c r="E187" s="2" t="n">
        <v>0.0823856853917042</v>
      </c>
    </row>
    <row r="188" customFormat="false" ht="13.8" hidden="false" customHeight="false" outlineLevel="0" collapsed="false">
      <c r="B188" s="2" t="n">
        <v>186</v>
      </c>
      <c r="C188" s="2" t="n">
        <v>1.69721842437983E-010</v>
      </c>
      <c r="D188" s="2" t="n">
        <v>0.1</v>
      </c>
      <c r="E188" s="2" t="n">
        <v>0.0497875333333333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0.1</v>
      </c>
      <c r="E189" s="2" t="n">
        <v>0.1075033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0.1</v>
      </c>
      <c r="E190" s="2" t="n">
        <v>0.0960863666666667</v>
      </c>
    </row>
    <row r="191" customFormat="false" ht="13.8" hidden="false" customHeight="false" outlineLevel="0" collapsed="false">
      <c r="B191" s="2" t="n">
        <v>189</v>
      </c>
      <c r="C191" s="2" t="n">
        <v>1.69726934224367E-010</v>
      </c>
      <c r="D191" s="2" t="n">
        <v>0.1</v>
      </c>
      <c r="E191" s="2" t="n">
        <v>0.102319716666667</v>
      </c>
    </row>
    <row r="192" customFormat="false" ht="13.8" hidden="false" customHeight="false" outlineLevel="0" collapsed="false">
      <c r="B192" s="2" t="n">
        <v>190</v>
      </c>
      <c r="C192" s="2" t="n">
        <v>1.69728631511331E-010</v>
      </c>
      <c r="D192" s="2" t="n">
        <v>0.1</v>
      </c>
      <c r="E192" s="2" t="n">
        <v>0.0924534666666667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0.08</v>
      </c>
      <c r="E193" s="2" t="n">
        <v>0.0198188333333333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6.78928104668857E-010</v>
      </c>
      <c r="E194" s="2" t="n">
        <v>0.05158595</v>
      </c>
    </row>
    <row r="195" customFormat="false" ht="13.8" hidden="false" customHeight="false" outlineLevel="0" collapsed="false">
      <c r="B195" s="2" t="n">
        <v>193</v>
      </c>
      <c r="C195" s="2" t="n">
        <v>4.44611630395055E-010</v>
      </c>
      <c r="D195" s="2" t="n">
        <v>0</v>
      </c>
      <c r="E195" s="2" t="n">
        <v>0.0103525666666667</v>
      </c>
    </row>
    <row r="196" customFormat="false" ht="13.8" hidden="false" customHeight="false" outlineLevel="0" collapsed="false">
      <c r="B196" s="2" t="n">
        <v>194</v>
      </c>
      <c r="C196" s="2" t="n">
        <v>4.44613327741624E-010</v>
      </c>
      <c r="D196" s="2" t="n">
        <v>4.23855251736112E-018</v>
      </c>
      <c r="E196" s="2" t="n">
        <v>0.0562023833333334</v>
      </c>
    </row>
    <row r="197" customFormat="false" ht="13.8" hidden="false" customHeight="false" outlineLevel="0" collapsed="false">
      <c r="B197" s="2" t="n">
        <v>195</v>
      </c>
      <c r="C197" s="2" t="n">
        <v>1.69737118169666E-010</v>
      </c>
      <c r="D197" s="2" t="n">
        <v>0.0933333333333333</v>
      </c>
      <c r="E197" s="2" t="n">
        <v>0.08951805</v>
      </c>
    </row>
    <row r="198" customFormat="false" ht="13.8" hidden="false" customHeight="false" outlineLevel="0" collapsed="false">
      <c r="B198" s="2" t="n">
        <v>196</v>
      </c>
      <c r="C198" s="2" t="n">
        <v>1.69738815590739E-010</v>
      </c>
      <c r="D198" s="2" t="n">
        <v>0.1</v>
      </c>
      <c r="E198" s="2" t="n">
        <v>0.0405004833333333</v>
      </c>
    </row>
    <row r="199" customFormat="false" ht="13.8" hidden="false" customHeight="false" outlineLevel="0" collapsed="false">
      <c r="B199" s="2" t="n">
        <v>197</v>
      </c>
      <c r="C199" s="2" t="n">
        <v>4.44618419930339E-010</v>
      </c>
      <c r="D199" s="2" t="n">
        <v>0.1</v>
      </c>
      <c r="E199" s="2" t="n">
        <v>0.0853668833333333</v>
      </c>
    </row>
    <row r="200" customFormat="false" ht="13.8" hidden="false" customHeight="false" outlineLevel="0" collapsed="false">
      <c r="B200" s="2" t="n">
        <v>198</v>
      </c>
      <c r="C200" s="2" t="n">
        <v>1.69742210403085E-010</v>
      </c>
      <c r="D200" s="2" t="n">
        <v>0.0189943469362441</v>
      </c>
      <c r="E200" s="2" t="n">
        <v>0.122005769730423</v>
      </c>
    </row>
    <row r="201" customFormat="false" ht="13.8" hidden="false" customHeight="false" outlineLevel="0" collapsed="false">
      <c r="B201" s="2" t="n">
        <v>199</v>
      </c>
      <c r="C201" s="2" t="n">
        <v>4.7683715820313E-019</v>
      </c>
      <c r="D201" s="2" t="n">
        <v>0</v>
      </c>
      <c r="E201" s="2" t="n">
        <v>0.154333583333333</v>
      </c>
    </row>
    <row r="202" customFormat="false" ht="13.8" hidden="false" customHeight="false" outlineLevel="0" collapsed="false">
      <c r="B202" s="2" t="n">
        <v>200</v>
      </c>
      <c r="C202" s="2" t="n">
        <v>6.11084177941085E-011</v>
      </c>
      <c r="D202" s="2" t="n">
        <v>6.11084179133178E-011</v>
      </c>
      <c r="E202" s="2" t="n">
        <v>0.1425</v>
      </c>
    </row>
    <row r="203" customFormat="false" ht="13.8" hidden="false" customHeight="false" outlineLevel="0" collapsed="false">
      <c r="B203" s="2" t="n">
        <v>201</v>
      </c>
      <c r="C203" s="2" t="n">
        <v>1.69747302770615E-010</v>
      </c>
      <c r="D203" s="2" t="n">
        <v>1.69747302770615E-010</v>
      </c>
      <c r="E203" s="2" t="n">
        <v>0.18766675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0.115900233333333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0.134966916666667</v>
      </c>
    </row>
    <row r="206" customFormat="false" ht="13.8" hidden="false" customHeight="false" outlineLevel="0" collapsed="false">
      <c r="B206" s="2" t="n">
        <v>204</v>
      </c>
      <c r="C206" s="2" t="n">
        <v>6.11108622998E-011</v>
      </c>
      <c r="D206" s="2" t="n">
        <v>6.11108622998E-011</v>
      </c>
      <c r="E206" s="2" t="n">
        <v>0.184250133333333</v>
      </c>
    </row>
    <row r="207" customFormat="false" ht="13.8" hidden="false" customHeight="false" outlineLevel="0" collapsed="false">
      <c r="B207" s="2" t="n">
        <v>205</v>
      </c>
      <c r="C207" s="2" t="n">
        <v>1.69754092887044E-010</v>
      </c>
      <c r="D207" s="2" t="n">
        <v>1.69754092887044E-010</v>
      </c>
      <c r="E207" s="2" t="n">
        <v>0.142700033333333</v>
      </c>
    </row>
    <row r="208" customFormat="false" ht="13.8" hidden="false" customHeight="false" outlineLevel="0" collapsed="false">
      <c r="B208" s="2" t="n">
        <v>206</v>
      </c>
      <c r="C208" s="2" t="n">
        <v>1.69755790442229E-010</v>
      </c>
      <c r="D208" s="2" t="n">
        <v>1.69755790442229E-010</v>
      </c>
      <c r="E208" s="2" t="n">
        <v>0.184500133333333</v>
      </c>
    </row>
    <row r="209" customFormat="false" ht="13.8" hidden="false" customHeight="false" outlineLevel="0" collapsed="false">
      <c r="B209" s="2" t="n">
        <v>207</v>
      </c>
      <c r="C209" s="2" t="n">
        <v>1.69757487967611E-010</v>
      </c>
      <c r="D209" s="2" t="n">
        <v>1.69757487967611E-010</v>
      </c>
      <c r="E209" s="2" t="n">
        <v>0.123166816666667</v>
      </c>
    </row>
    <row r="210" customFormat="false" ht="13.8" hidden="false" customHeight="false" outlineLevel="0" collapsed="false">
      <c r="B210" s="2" t="n">
        <v>208</v>
      </c>
      <c r="C210" s="2" t="n">
        <v>1.69759185552597E-010</v>
      </c>
      <c r="D210" s="2" t="n">
        <v>1.69759185552597E-010</v>
      </c>
      <c r="E210" s="2" t="n">
        <v>0.171466966666667</v>
      </c>
    </row>
    <row r="211" customFormat="false" ht="13.8" hidden="false" customHeight="false" outlineLevel="0" collapsed="false">
      <c r="B211" s="2" t="n">
        <v>209</v>
      </c>
      <c r="C211" s="2" t="n">
        <v>4.44638790115715E-010</v>
      </c>
      <c r="D211" s="2" t="n">
        <v>6.11139179170133E-011</v>
      </c>
      <c r="E211" s="2" t="n">
        <v>0.119783716666667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0.177933583333333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0.142083416666667</v>
      </c>
    </row>
    <row r="214" customFormat="false" ht="13.8" hidden="false" customHeight="false" outlineLevel="0" collapsed="false">
      <c r="B214" s="2" t="n">
        <v>212</v>
      </c>
      <c r="C214" s="2" t="n">
        <v>1.69765976130963E-010</v>
      </c>
      <c r="D214" s="2" t="n">
        <v>1.69765976130963E-010</v>
      </c>
      <c r="E214" s="2" t="n">
        <v>0.167166933333333</v>
      </c>
    </row>
    <row r="215" customFormat="false" ht="13.8" hidden="false" customHeight="false" outlineLevel="0" collapsed="false">
      <c r="B215" s="2" t="n">
        <v>213</v>
      </c>
      <c r="C215" s="2" t="n">
        <v>1.69767673805356E-010</v>
      </c>
      <c r="D215" s="2" t="n">
        <v>1.69767673805356E-010</v>
      </c>
      <c r="E215" s="2" t="n">
        <v>0.183916833333333</v>
      </c>
    </row>
    <row r="216" customFormat="false" ht="13.8" hidden="false" customHeight="false" outlineLevel="0" collapsed="false">
      <c r="B216" s="2" t="n">
        <v>214</v>
      </c>
      <c r="C216" s="2" t="n">
        <v>1.69769371509552E-010</v>
      </c>
      <c r="D216" s="2" t="n">
        <v>1.69769371509552E-010</v>
      </c>
      <c r="E216" s="2" t="n">
        <v>0.182369868810143</v>
      </c>
    </row>
    <row r="217" customFormat="false" ht="13.8" hidden="false" customHeight="false" outlineLevel="0" collapsed="false">
      <c r="B217" s="2" t="n">
        <v>215</v>
      </c>
      <c r="C217" s="2" t="n">
        <v>1.69771069273353E-010</v>
      </c>
      <c r="D217" s="2" t="n">
        <v>1.69771069273353E-010</v>
      </c>
      <c r="E217" s="2" t="n">
        <v>0.193006470953618</v>
      </c>
    </row>
    <row r="218" customFormat="false" ht="13.8" hidden="false" customHeight="false" outlineLevel="0" collapsed="false">
      <c r="B218" s="2" t="n">
        <v>216</v>
      </c>
      <c r="C218" s="2" t="n">
        <v>0</v>
      </c>
      <c r="D218" s="2" t="n">
        <v>0</v>
      </c>
      <c r="E218" s="2" t="n">
        <v>0.161242773097094</v>
      </c>
    </row>
    <row r="219" customFormat="false" ht="13.8" hidden="false" customHeight="false" outlineLevel="0" collapsed="false">
      <c r="B219" s="2" t="n">
        <v>217</v>
      </c>
      <c r="C219" s="2" t="n">
        <v>1.69774464681745E-010</v>
      </c>
      <c r="D219" s="2" t="n">
        <v>1.69774464681745E-010</v>
      </c>
      <c r="E219" s="2" t="n">
        <v>0.173912841907237</v>
      </c>
    </row>
    <row r="220" customFormat="false" ht="13.8" hidden="false" customHeight="false" outlineLevel="0" collapsed="false">
      <c r="B220" s="2" t="n">
        <v>218</v>
      </c>
      <c r="C220" s="2" t="n">
        <v>0</v>
      </c>
      <c r="D220" s="2" t="n">
        <v>0</v>
      </c>
      <c r="E220" s="2" t="n">
        <v>0.104064333595489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0.0651656919504084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2.11927625868056E-018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0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0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0</v>
      </c>
      <c r="E243" s="2" t="n">
        <v>0</v>
      </c>
    </row>
    <row r="244" customFormat="false" ht="13.8" hidden="false" customHeight="false" outlineLevel="0" collapsed="false">
      <c r="B244" s="2" t="n">
        <v>242</v>
      </c>
      <c r="C244" s="2" t="n">
        <v>0</v>
      </c>
      <c r="D244" s="2" t="n">
        <v>0</v>
      </c>
      <c r="E244" s="2" t="n">
        <v>0</v>
      </c>
    </row>
    <row r="245" customFormat="false" ht="13.8" hidden="false" customHeight="false" outlineLevel="0" collapsed="false">
      <c r="B245" s="2" t="n">
        <v>243</v>
      </c>
      <c r="C245" s="2" t="n">
        <v>0</v>
      </c>
      <c r="D245" s="2" t="n">
        <v>1.69542100694445E-017</v>
      </c>
      <c r="E245" s="2" t="n">
        <v>0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0</v>
      </c>
      <c r="E246" s="2" t="n">
        <v>0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0</v>
      </c>
      <c r="E247" s="2" t="n">
        <v>0</v>
      </c>
    </row>
    <row r="248" customFormat="false" ht="13.8" hidden="false" customHeight="false" outlineLevel="0" collapsed="false">
      <c r="B248" s="2" t="n">
        <v>246</v>
      </c>
      <c r="C248" s="2" t="n">
        <v>5.2981906467014E-019</v>
      </c>
      <c r="D248" s="2" t="n">
        <v>0</v>
      </c>
      <c r="E248" s="2" t="n">
        <v>0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0</v>
      </c>
    </row>
    <row r="250" customFormat="false" ht="13.8" hidden="false" customHeight="false" outlineLevel="0" collapsed="false">
      <c r="B250" s="2" t="n">
        <v>248</v>
      </c>
      <c r="C250" s="2" t="n">
        <v>0</v>
      </c>
      <c r="D250" s="2" t="n">
        <v>1.69542100694445E-017</v>
      </c>
      <c r="E250" s="2" t="n">
        <v>0</v>
      </c>
    </row>
    <row r="251" customFormat="false" ht="13.8" hidden="false" customHeight="false" outlineLevel="0" collapsed="false">
      <c r="B251" s="2" t="n">
        <v>249</v>
      </c>
      <c r="C251" s="2" t="n">
        <v>1.16560194359777E-018</v>
      </c>
      <c r="D251" s="2" t="n">
        <v>0</v>
      </c>
      <c r="E251" s="2" t="n">
        <v>4.76837158699427E-019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0</v>
      </c>
      <c r="E252" s="2" t="n">
        <v>0</v>
      </c>
    </row>
    <row r="253" customFormat="false" ht="13.8" hidden="false" customHeight="false" outlineLevel="0" collapsed="false">
      <c r="B253" s="2" t="n">
        <v>251</v>
      </c>
      <c r="C253" s="2" t="n">
        <v>0</v>
      </c>
      <c r="D253" s="2" t="n">
        <v>0</v>
      </c>
      <c r="E253" s="2" t="n">
        <v>6.73400031198229E-017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0</v>
      </c>
      <c r="E254" s="2" t="n">
        <v>9.53674317200321E-019</v>
      </c>
    </row>
    <row r="255" customFormat="false" ht="13.8" hidden="false" customHeight="false" outlineLevel="0" collapsed="false">
      <c r="B255" s="2" t="n">
        <v>253</v>
      </c>
      <c r="C255" s="2" t="n">
        <v>2.11927625868056E-018</v>
      </c>
      <c r="D255" s="2" t="n">
        <v>0</v>
      </c>
      <c r="E255" s="2" t="n">
        <v>0</v>
      </c>
    </row>
    <row r="256" customFormat="false" ht="13.8" hidden="false" customHeight="false" outlineLevel="0" collapsed="false">
      <c r="B256" s="2" t="n">
        <v>254</v>
      </c>
      <c r="C256" s="2" t="n">
        <v>0</v>
      </c>
      <c r="D256" s="2" t="n">
        <v>0</v>
      </c>
      <c r="E256" s="2" t="n">
        <v>0</v>
      </c>
    </row>
    <row r="257" customFormat="false" ht="13.8" hidden="false" customHeight="false" outlineLevel="0" collapsed="false">
      <c r="B257" s="2" t="n">
        <v>255</v>
      </c>
      <c r="C257" s="2" t="n">
        <v>0</v>
      </c>
      <c r="D257" s="2" t="n">
        <v>0</v>
      </c>
      <c r="E257" s="2" t="n">
        <v>0</v>
      </c>
    </row>
    <row r="258" customFormat="false" ht="13.8" hidden="false" customHeight="false" outlineLevel="0" collapsed="false">
      <c r="B258" s="2" t="n">
        <v>256</v>
      </c>
      <c r="C258" s="2" t="n">
        <v>0</v>
      </c>
      <c r="D258" s="2" t="n">
        <v>0</v>
      </c>
      <c r="E258" s="2" t="n">
        <v>4.76837158313411E-019</v>
      </c>
    </row>
    <row r="259" customFormat="false" ht="13.8" hidden="false" customHeight="false" outlineLevel="0" collapsed="false">
      <c r="B259" s="2" t="n">
        <v>257</v>
      </c>
      <c r="C259" s="2" t="n">
        <v>0.00191156547014931</v>
      </c>
      <c r="D259" s="2" t="n">
        <v>0</v>
      </c>
      <c r="E259" s="2" t="n">
        <v>0</v>
      </c>
    </row>
    <row r="260" customFormat="false" ht="13.8" hidden="false" customHeight="false" outlineLevel="0" collapsed="false">
      <c r="B260" s="2" t="n">
        <v>258</v>
      </c>
      <c r="C260" s="2" t="n">
        <v>0.0405586042336122</v>
      </c>
      <c r="D260" s="2" t="n">
        <v>0</v>
      </c>
      <c r="E260" s="2" t="n">
        <v>0</v>
      </c>
    </row>
    <row r="261" customFormat="false" ht="13.8" hidden="false" customHeight="false" outlineLevel="0" collapsed="false">
      <c r="B261" s="2" t="n">
        <v>259</v>
      </c>
      <c r="C261" s="2" t="n">
        <v>0.0204554763304084</v>
      </c>
      <c r="D261" s="2" t="n">
        <v>0</v>
      </c>
      <c r="E261" s="2" t="n">
        <v>0</v>
      </c>
    </row>
    <row r="262" customFormat="false" ht="13.8" hidden="false" customHeight="false" outlineLevel="0" collapsed="false">
      <c r="B262" s="2" t="n">
        <v>260</v>
      </c>
      <c r="C262" s="2" t="n">
        <v>0.0557687317605379</v>
      </c>
      <c r="D262" s="2" t="n">
        <v>0</v>
      </c>
      <c r="E262" s="2" t="n">
        <v>0</v>
      </c>
    </row>
    <row r="263" customFormat="false" ht="13.8" hidden="false" customHeight="false" outlineLevel="0" collapsed="false">
      <c r="B263" s="2" t="n">
        <v>261</v>
      </c>
      <c r="C263" s="2" t="n">
        <v>0.0402648097771235</v>
      </c>
      <c r="D263" s="2" t="n">
        <v>0</v>
      </c>
      <c r="E263" s="2" t="n">
        <v>0.010600427413544</v>
      </c>
    </row>
    <row r="264" customFormat="false" ht="13.8" hidden="false" customHeight="false" outlineLevel="0" collapsed="false">
      <c r="B264" s="2" t="n">
        <v>262</v>
      </c>
      <c r="C264" s="2" t="n">
        <v>0.00717850792875098</v>
      </c>
      <c r="D264" s="2" t="n">
        <v>0</v>
      </c>
      <c r="E264" s="2" t="n">
        <v>0.0974081699642496</v>
      </c>
    </row>
    <row r="265" customFormat="false" ht="13.8" hidden="false" customHeight="false" outlineLevel="0" collapsed="false">
      <c r="B265" s="2" t="n">
        <v>263</v>
      </c>
      <c r="C265" s="2" t="n">
        <v>0</v>
      </c>
      <c r="D265" s="2" t="n">
        <v>0</v>
      </c>
      <c r="E265" s="2" t="n">
        <v>0.0797081852620004</v>
      </c>
    </row>
    <row r="266" customFormat="false" ht="13.8" hidden="false" customHeight="false" outlineLevel="0" collapsed="false">
      <c r="B266" s="2" t="n">
        <v>264</v>
      </c>
      <c r="C266" s="2" t="n">
        <v>0</v>
      </c>
      <c r="D266" s="2" t="n">
        <v>0.0657156114167873</v>
      </c>
      <c r="E266" s="2" t="n">
        <v>0.0989475145475462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0.1</v>
      </c>
      <c r="E267" s="2" t="n">
        <v>0.0913852333333333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0.1</v>
      </c>
      <c r="E268" s="2" t="n">
        <v>0.12988575</v>
      </c>
    </row>
    <row r="269" customFormat="false" ht="13.8" hidden="false" customHeight="false" outlineLevel="0" collapsed="false">
      <c r="B269" s="2" t="n">
        <v>267</v>
      </c>
      <c r="C269" s="2" t="n">
        <v>0</v>
      </c>
      <c r="D269" s="2" t="n">
        <v>0.1</v>
      </c>
      <c r="E269" s="2" t="n">
        <v>0.0692366166666667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0.1</v>
      </c>
      <c r="E270" s="2" t="n">
        <v>0.117070183333333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0.1</v>
      </c>
      <c r="E271" s="2" t="n">
        <v>0.132252983333333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0.1</v>
      </c>
      <c r="E272" s="2" t="n">
        <v>0.153085333333333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0.1</v>
      </c>
      <c r="E273" s="2" t="n">
        <v>0.124952983333333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0.1</v>
      </c>
      <c r="E274" s="2" t="n">
        <v>0.14677025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0.1</v>
      </c>
      <c r="E275" s="2" t="n">
        <v>0.148053983333333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0.1</v>
      </c>
      <c r="E276" s="2" t="n">
        <v>0.14908695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0.1</v>
      </c>
      <c r="E277" s="2" t="n">
        <v>0.133637116666667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0.1</v>
      </c>
      <c r="E278" s="2" t="n">
        <v>0.127320216666667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0.1</v>
      </c>
      <c r="E279" s="2" t="n">
        <v>0.12583745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0.1</v>
      </c>
      <c r="E280" s="2" t="n">
        <v>0.13103675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0.1</v>
      </c>
      <c r="E281" s="2" t="n">
        <v>0.152353133333333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0.1</v>
      </c>
      <c r="E282" s="2" t="n">
        <v>0.127503283333333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0.1</v>
      </c>
      <c r="E283" s="2" t="n">
        <v>0.1013204</v>
      </c>
    </row>
    <row r="284" customFormat="false" ht="13.8" hidden="false" customHeight="false" outlineLevel="0" collapsed="false">
      <c r="B284" s="2" t="n">
        <v>282</v>
      </c>
      <c r="C284" s="2" t="n">
        <v>9.53674316406266E-019</v>
      </c>
      <c r="D284" s="2" t="n">
        <v>0.1</v>
      </c>
      <c r="E284" s="2" t="n">
        <v>0.109720833333333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0.1</v>
      </c>
      <c r="E285" s="2" t="n">
        <v>0.03692115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0.0999748268690869</v>
      </c>
      <c r="E286" s="2" t="n">
        <v>0.0652957564642464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0.16733705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0.175453166666667</v>
      </c>
    </row>
    <row r="289" customFormat="false" ht="13.8" hidden="false" customHeight="false" outlineLevel="0" collapsed="false">
      <c r="B289" s="2" t="n">
        <v>287</v>
      </c>
      <c r="C289" s="2" t="n">
        <v>2.7487790696323E-010</v>
      </c>
      <c r="D289" s="2" t="n">
        <v>0</v>
      </c>
      <c r="E289" s="2" t="n">
        <v>0.158485566666667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0.184936466666667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0.0152196166666667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0.0774688333333333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0.166784783333333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9.89560464769603E-011</v>
      </c>
      <c r="E294" s="2" t="n">
        <v>0.14471715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0.172350166666667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0.14865025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9.88150146603586E-011</v>
      </c>
      <c r="E297" s="2" t="n">
        <v>0.155100416666667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0.14140035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0.1552334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4.50798008173705E-010</v>
      </c>
      <c r="E300" s="2" t="n">
        <v>0.152800166666667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1.75921860441566E-010</v>
      </c>
      <c r="E301" s="2" t="n">
        <v>0.1441336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0.14618375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4.50798008143902E-010</v>
      </c>
      <c r="E303" s="2" t="n">
        <v>0.142650266666667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1.75921860441566E-010</v>
      </c>
      <c r="E304" s="2" t="n">
        <v>0.13241675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0.1781167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0.1427336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0.17986675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0.14308355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2.74877906888724E-010</v>
      </c>
      <c r="E309" s="2" t="n">
        <v>0.174883533333333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0.1425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0.143183433333333</v>
      </c>
    </row>
    <row r="312" customFormat="false" ht="13.8" hidden="false" customHeight="false" outlineLevel="0" collapsed="false">
      <c r="B312" s="2" t="n">
        <v>310</v>
      </c>
      <c r="C312" s="2" t="n">
        <v>0</v>
      </c>
      <c r="D312" s="2" t="n">
        <v>0</v>
      </c>
      <c r="E312" s="2" t="n">
        <v>0.00508760760933413</v>
      </c>
    </row>
    <row r="313" customFormat="false" ht="13.8" hidden="false" customHeight="false" outlineLevel="0" collapsed="false">
      <c r="B313" s="2" t="n">
        <v>311</v>
      </c>
      <c r="C313" s="2" t="n">
        <v>0</v>
      </c>
      <c r="D313" s="2" t="n">
        <v>0</v>
      </c>
      <c r="E313" s="2" t="n">
        <v>0.0469245652186683</v>
      </c>
    </row>
    <row r="314" customFormat="false" ht="13.8" hidden="false" customHeight="false" outlineLevel="0" collapsed="false">
      <c r="B314" s="2" t="n">
        <v>312</v>
      </c>
      <c r="C314" s="2" t="n">
        <v>0</v>
      </c>
      <c r="D314" s="2" t="n">
        <v>0</v>
      </c>
      <c r="E314" s="2" t="n">
        <v>0.0102616061613357</v>
      </c>
    </row>
    <row r="315" customFormat="false" ht="13.8" hidden="false" customHeight="false" outlineLevel="0" collapsed="false">
      <c r="B315" s="2" t="n">
        <v>313</v>
      </c>
      <c r="C315" s="2" t="n">
        <v>0</v>
      </c>
      <c r="D315" s="2" t="n">
        <v>0</v>
      </c>
      <c r="E315" s="2" t="n">
        <v>0.0260654804373365</v>
      </c>
    </row>
    <row r="316" customFormat="false" ht="13.8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0.0076744301812432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1.32454766167535E-019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4.76837158203151E-019</v>
      </c>
      <c r="D318" s="2" t="n">
        <v>0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1.05963812934028E-018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0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0</v>
      </c>
      <c r="D335" s="2" t="n">
        <v>0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0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0</v>
      </c>
      <c r="E337" s="2" t="n">
        <v>0</v>
      </c>
    </row>
    <row r="338" customFormat="false" ht="13.8" hidden="false" customHeight="false" outlineLevel="0" collapsed="false">
      <c r="B338" s="2" t="n">
        <v>336</v>
      </c>
      <c r="C338" s="2" t="n">
        <v>0</v>
      </c>
      <c r="D338" s="2" t="n">
        <v>0</v>
      </c>
      <c r="E338" s="2" t="n">
        <v>0</v>
      </c>
    </row>
    <row r="339" customFormat="false" ht="13.8" hidden="false" customHeight="false" outlineLevel="0" collapsed="false">
      <c r="B339" s="2" t="n">
        <v>337</v>
      </c>
      <c r="C339" s="2" t="n">
        <v>3.72033634735373E-017</v>
      </c>
      <c r="D339" s="2" t="n">
        <v>0</v>
      </c>
      <c r="E339" s="2" t="n">
        <v>6.67896276284497E-017</v>
      </c>
    </row>
    <row r="340" customFormat="false" ht="13.8" hidden="false" customHeight="false" outlineLevel="0" collapsed="false">
      <c r="B340" s="2" t="n">
        <v>338</v>
      </c>
      <c r="C340" s="2" t="n">
        <v>0</v>
      </c>
      <c r="D340" s="2" t="n">
        <v>0</v>
      </c>
      <c r="E340" s="2" t="n">
        <v>0</v>
      </c>
    </row>
    <row r="341" customFormat="false" ht="13.8" hidden="false" customHeight="false" outlineLevel="0" collapsed="false">
      <c r="B341" s="2" t="n">
        <v>339</v>
      </c>
      <c r="C341" s="2" t="n">
        <v>0</v>
      </c>
      <c r="D341" s="2" t="n">
        <v>0</v>
      </c>
      <c r="E341" s="2" t="n">
        <v>0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0</v>
      </c>
      <c r="E342" s="2" t="n">
        <v>0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1.69542100694445E-017</v>
      </c>
      <c r="E343" s="2" t="n">
        <v>2.8610229849526E-018</v>
      </c>
    </row>
    <row r="344" customFormat="false" ht="13.8" hidden="false" customHeight="false" outlineLevel="0" collapsed="false">
      <c r="B344" s="2" t="n">
        <v>342</v>
      </c>
      <c r="C344" s="2" t="n">
        <v>0</v>
      </c>
      <c r="D344" s="2" t="n">
        <v>0</v>
      </c>
      <c r="E344" s="2" t="n">
        <v>3.1047397207537E-017</v>
      </c>
    </row>
    <row r="345" customFormat="false" ht="13.8" hidden="false" customHeight="false" outlineLevel="0" collapsed="false">
      <c r="B345" s="2" t="n">
        <v>343</v>
      </c>
      <c r="C345" s="2" t="n">
        <v>0</v>
      </c>
      <c r="D345" s="2" t="n">
        <v>0</v>
      </c>
      <c r="E345" s="2" t="n">
        <v>2.86102296112992E-018</v>
      </c>
    </row>
    <row r="346" customFormat="false" ht="13.8" hidden="false" customHeight="false" outlineLevel="0" collapsed="false">
      <c r="B346" s="2" t="n">
        <v>344</v>
      </c>
      <c r="C346" s="2" t="n">
        <v>2.11927625868056E-018</v>
      </c>
      <c r="D346" s="2" t="n">
        <v>0</v>
      </c>
      <c r="E346" s="2" t="n">
        <v>0</v>
      </c>
    </row>
    <row r="347" customFormat="false" ht="13.8" hidden="false" customHeight="false" outlineLevel="0" collapsed="false">
      <c r="B347" s="2" t="n">
        <v>345</v>
      </c>
      <c r="C347" s="2" t="n">
        <v>0</v>
      </c>
      <c r="D347" s="2" t="n">
        <v>0</v>
      </c>
      <c r="E347" s="2" t="n">
        <v>6.68631659621657E-017</v>
      </c>
    </row>
    <row r="348" customFormat="false" ht="13.8" hidden="false" customHeight="false" outlineLevel="0" collapsed="false">
      <c r="B348" s="2" t="n">
        <v>346</v>
      </c>
      <c r="C348" s="2" t="n">
        <v>0</v>
      </c>
      <c r="D348" s="2" t="n">
        <v>0</v>
      </c>
      <c r="E348" s="2" t="n">
        <v>0</v>
      </c>
    </row>
    <row r="349" customFormat="false" ht="13.8" hidden="false" customHeight="false" outlineLevel="0" collapsed="false">
      <c r="B349" s="2" t="n">
        <v>347</v>
      </c>
      <c r="C349" s="2" t="n">
        <v>0</v>
      </c>
      <c r="D349" s="2" t="n">
        <v>0</v>
      </c>
      <c r="E349" s="2" t="n">
        <v>0</v>
      </c>
    </row>
    <row r="350" customFormat="false" ht="13.8" hidden="false" customHeight="false" outlineLevel="0" collapsed="false">
      <c r="B350" s="2" t="n">
        <v>348</v>
      </c>
      <c r="C350" s="2" t="n">
        <v>0</v>
      </c>
      <c r="D350" s="2" t="n">
        <v>0</v>
      </c>
      <c r="E350" s="2" t="n">
        <v>7.25852118722163E-017</v>
      </c>
    </row>
    <row r="351" customFormat="false" ht="13.8" hidden="false" customHeight="false" outlineLevel="0" collapsed="false">
      <c r="B351" s="2" t="n">
        <v>349</v>
      </c>
      <c r="C351" s="2" t="n">
        <v>0</v>
      </c>
      <c r="D351" s="2" t="n">
        <v>0</v>
      </c>
      <c r="E351" s="2" t="n">
        <v>0</v>
      </c>
    </row>
    <row r="352" customFormat="false" ht="13.8" hidden="false" customHeight="false" outlineLevel="0" collapsed="false">
      <c r="B352" s="2" t="n">
        <v>350</v>
      </c>
      <c r="C352" s="2" t="n">
        <v>0</v>
      </c>
      <c r="D352" s="2" t="n">
        <v>0</v>
      </c>
      <c r="E352" s="2" t="n">
        <v>0</v>
      </c>
    </row>
    <row r="353" customFormat="false" ht="13.8" hidden="false" customHeight="false" outlineLevel="0" collapsed="false">
      <c r="B353" s="2" t="n">
        <v>351</v>
      </c>
      <c r="C353" s="2" t="n">
        <v>2.11927625868056E-018</v>
      </c>
      <c r="D353" s="2" t="n">
        <v>0</v>
      </c>
      <c r="E353" s="2" t="n">
        <v>0</v>
      </c>
    </row>
    <row r="354" customFormat="false" ht="13.8" hidden="false" customHeight="false" outlineLevel="0" collapsed="false">
      <c r="B354" s="2" t="n">
        <v>352</v>
      </c>
      <c r="C354" s="2" t="n">
        <v>0</v>
      </c>
      <c r="D354" s="2" t="n">
        <v>0</v>
      </c>
      <c r="E354" s="2" t="n">
        <v>0</v>
      </c>
    </row>
    <row r="355" customFormat="false" ht="13.8" hidden="false" customHeight="false" outlineLevel="0" collapsed="false">
      <c r="B355" s="2" t="n">
        <v>353</v>
      </c>
      <c r="C355" s="2" t="n">
        <v>0</v>
      </c>
      <c r="D355" s="2" t="n">
        <v>0</v>
      </c>
      <c r="E355" s="2" t="n">
        <v>6.78168402777779E-017</v>
      </c>
    </row>
    <row r="356" customFormat="false" ht="13.8" hidden="false" customHeight="false" outlineLevel="0" collapsed="false">
      <c r="B356" s="2" t="n">
        <v>354</v>
      </c>
      <c r="C356" s="2" t="n">
        <v>2.19894629128278E-009</v>
      </c>
      <c r="D356" s="2" t="n">
        <v>0</v>
      </c>
      <c r="E356" s="2" t="n">
        <v>0.0453152500700771</v>
      </c>
    </row>
    <row r="357" customFormat="false" ht="13.8" hidden="false" customHeight="false" outlineLevel="0" collapsed="false">
      <c r="B357" s="2" t="n">
        <v>355</v>
      </c>
      <c r="C357" s="2" t="n">
        <v>1.92408762474358E-009</v>
      </c>
      <c r="D357" s="2" t="n">
        <v>0</v>
      </c>
      <c r="E357" s="2" t="n">
        <v>0.0115108179741091</v>
      </c>
    </row>
    <row r="358" customFormat="false" ht="13.8" hidden="false" customHeight="false" outlineLevel="0" collapsed="false">
      <c r="B358" s="2" t="n">
        <v>356</v>
      </c>
      <c r="C358" s="2" t="n">
        <v>1.64922621053458E-009</v>
      </c>
      <c r="D358" s="2" t="n">
        <v>0</v>
      </c>
      <c r="E358" s="2" t="n">
        <v>0.0831229692114743</v>
      </c>
    </row>
    <row r="359" customFormat="false" ht="13.8" hidden="false" customHeight="false" outlineLevel="0" collapsed="false">
      <c r="B359" s="2" t="n">
        <v>357</v>
      </c>
      <c r="C359" s="2" t="n">
        <v>1.37436204719544E-009</v>
      </c>
      <c r="D359" s="2" t="n">
        <v>0</v>
      </c>
      <c r="E359" s="2" t="n">
        <v>0.0317684204488396</v>
      </c>
    </row>
    <row r="360" customFormat="false" ht="13.8" hidden="false" customHeight="false" outlineLevel="0" collapsed="false">
      <c r="B360" s="2" t="n">
        <v>358</v>
      </c>
      <c r="C360" s="2" t="n">
        <v>1.09949513523281E-009</v>
      </c>
      <c r="D360" s="2" t="n">
        <v>0</v>
      </c>
      <c r="E360" s="2" t="n">
        <v>0.118284769503296</v>
      </c>
    </row>
    <row r="361" customFormat="false" ht="13.8" hidden="false" customHeight="false" outlineLevel="0" collapsed="false">
      <c r="B361" s="2" t="n">
        <v>359</v>
      </c>
      <c r="C361" s="2" t="n">
        <v>8.24625474527479E-010</v>
      </c>
      <c r="D361" s="2" t="n">
        <v>0</v>
      </c>
      <c r="E361" s="2" t="n">
        <v>0.0680342852244198</v>
      </c>
    </row>
    <row r="362" customFormat="false" ht="13.8" hidden="false" customHeight="false" outlineLevel="0" collapsed="false">
      <c r="B362" s="2" t="n">
        <v>360</v>
      </c>
      <c r="C362" s="2" t="n">
        <v>5.49753065109254E-010</v>
      </c>
      <c r="D362" s="2" t="n">
        <v>0</v>
      </c>
      <c r="E362" s="2" t="n">
        <v>0.140917384278877</v>
      </c>
    </row>
    <row r="363" customFormat="false" ht="13.8" hidden="false" customHeight="false" outlineLevel="0" collapsed="false">
      <c r="B363" s="2" t="n">
        <v>361</v>
      </c>
      <c r="C363" s="2" t="n">
        <v>2.7487790696323E-010</v>
      </c>
      <c r="D363" s="2" t="n">
        <v>0</v>
      </c>
      <c r="E363" s="2" t="n">
        <v>0.0685007000000001</v>
      </c>
    </row>
    <row r="364" customFormat="false" ht="13.8" hidden="false" customHeight="false" outlineLevel="0" collapsed="false">
      <c r="B364" s="2" t="n">
        <v>362</v>
      </c>
      <c r="C364" s="2" t="n">
        <v>0.0107926418667964</v>
      </c>
      <c r="D364" s="2" t="n">
        <v>0</v>
      </c>
      <c r="E364" s="2" t="n">
        <v>0.129208558133204</v>
      </c>
    </row>
    <row r="365" customFormat="false" ht="13.8" hidden="false" customHeight="false" outlineLevel="0" collapsed="false">
      <c r="B365" s="2" t="n">
        <v>363</v>
      </c>
      <c r="C365" s="2" t="n">
        <v>0.06301815</v>
      </c>
      <c r="D365" s="2" t="n">
        <v>0</v>
      </c>
      <c r="E365" s="2" t="n">
        <v>0.0175</v>
      </c>
    </row>
    <row r="366" customFormat="false" ht="13.8" hidden="false" customHeight="false" outlineLevel="0" collapsed="false">
      <c r="B366" s="2" t="n">
        <v>364</v>
      </c>
      <c r="C366" s="2" t="n">
        <v>0.0923039651304737</v>
      </c>
      <c r="D366" s="2" t="n">
        <v>0</v>
      </c>
      <c r="E366" s="2" t="n">
        <v>0.074848101536193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0.1</v>
      </c>
      <c r="E367" s="2" t="n">
        <v>0.114569816666667</v>
      </c>
    </row>
    <row r="368" customFormat="false" ht="13.8" hidden="false" customHeight="false" outlineLevel="0" collapsed="false">
      <c r="B368" s="2" t="n">
        <v>366</v>
      </c>
      <c r="C368" s="2" t="n">
        <v>9.53674316406266E-019</v>
      </c>
      <c r="D368" s="2" t="n">
        <v>0.1</v>
      </c>
      <c r="E368" s="2" t="n">
        <v>0.17375415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0.1</v>
      </c>
      <c r="E369" s="2" t="n">
        <v>0.0918541333333333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0.1</v>
      </c>
      <c r="E370" s="2" t="n">
        <v>0.133520933333333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0.1</v>
      </c>
      <c r="E371" s="2" t="n">
        <v>0.131003866666667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0.1</v>
      </c>
      <c r="E372" s="2" t="n">
        <v>0.161203283333333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0.1</v>
      </c>
      <c r="E373" s="2" t="n">
        <v>0.111986633333333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0.1</v>
      </c>
      <c r="E374" s="2" t="n">
        <v>0.172987283333333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0.1</v>
      </c>
      <c r="E375" s="2" t="n">
        <v>0.0972044166666667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0.1</v>
      </c>
      <c r="E376" s="2" t="n">
        <v>0.106488266666667</v>
      </c>
    </row>
    <row r="377" customFormat="false" ht="13.8" hidden="false" customHeight="false" outlineLevel="0" collapsed="false">
      <c r="B377" s="2" t="n">
        <v>375</v>
      </c>
      <c r="C377" s="2" t="n">
        <v>9.53674316406266E-019</v>
      </c>
      <c r="D377" s="2" t="n">
        <v>0.1</v>
      </c>
      <c r="E377" s="2" t="n">
        <v>0.0910041833333333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0.1</v>
      </c>
      <c r="E378" s="2" t="n">
        <v>0.0781542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0.1</v>
      </c>
      <c r="E379" s="2" t="n">
        <v>0.0469879999999999</v>
      </c>
    </row>
    <row r="380" customFormat="false" ht="13.8" hidden="false" customHeight="false" outlineLevel="0" collapsed="false">
      <c r="B380" s="2" t="n">
        <v>378</v>
      </c>
      <c r="C380" s="2" t="n">
        <v>4.7683715820313E-019</v>
      </c>
      <c r="D380" s="2" t="n">
        <v>0.1</v>
      </c>
      <c r="E380" s="2" t="n">
        <v>0.0451040833333334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0.1</v>
      </c>
      <c r="E381" s="2" t="n">
        <v>0.113337033333333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0.1</v>
      </c>
      <c r="E382" s="2" t="n">
        <v>0.0729363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0.1</v>
      </c>
      <c r="E383" s="2" t="n">
        <v>0.105003216666667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0.0133333333333333</v>
      </c>
      <c r="E384" s="2" t="n">
        <v>0.0672539333333334</v>
      </c>
    </row>
    <row r="385" customFormat="false" ht="13.8" hidden="false" customHeight="false" outlineLevel="0" collapsed="false">
      <c r="B385" s="2" t="n">
        <v>383</v>
      </c>
      <c r="C385" s="2" t="n">
        <v>2.7487790696323E-010</v>
      </c>
      <c r="D385" s="2" t="n">
        <v>0</v>
      </c>
      <c r="E385" s="2" t="n">
        <v>0.0494192666666667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0.0905529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0.0751866166666666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0.0666666666666667</v>
      </c>
      <c r="E388" s="2" t="n">
        <v>0.0469359666666667</v>
      </c>
    </row>
    <row r="389" customFormat="false" ht="13.8" hidden="false" customHeight="false" outlineLevel="0" collapsed="false">
      <c r="B389" s="2" t="n">
        <v>387</v>
      </c>
      <c r="C389" s="2" t="n">
        <v>9.53674316406266E-019</v>
      </c>
      <c r="D389" s="2" t="n">
        <v>0.1</v>
      </c>
      <c r="E389" s="2" t="n">
        <v>0.09181805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0.1</v>
      </c>
      <c r="E390" s="2" t="n">
        <v>0.05790095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0.0855999854468441</v>
      </c>
      <c r="E391" s="2" t="n">
        <v>0.118700364553156</v>
      </c>
    </row>
    <row r="392" customFormat="false" ht="13.8" hidden="false" customHeight="false" outlineLevel="0" collapsed="false">
      <c r="B392" s="2" t="n">
        <v>390</v>
      </c>
      <c r="C392" s="2" t="n">
        <v>2.74877906933427E-010</v>
      </c>
      <c r="D392" s="2" t="n">
        <v>0</v>
      </c>
      <c r="E392" s="2" t="n">
        <v>0.124250133333333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0.16725025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0.1711838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0.15133345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0.16940025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0.150933516666667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0.1401009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0.18586705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0.1345668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0.183616933333333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0.12266725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0.179466933333333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0.139483416666667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0.1766004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0.138616933333333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0.0859168166666667</v>
      </c>
    </row>
    <row r="408" customFormat="false" ht="13.8" hidden="false" customHeight="false" outlineLevel="0" collapsed="false">
      <c r="B408" s="2" t="n">
        <v>406</v>
      </c>
      <c r="C408" s="2" t="n">
        <v>0</v>
      </c>
      <c r="D408" s="2" t="n">
        <v>0</v>
      </c>
      <c r="E408" s="2" t="n">
        <v>0.0536202593310719</v>
      </c>
    </row>
    <row r="409" customFormat="false" ht="13.8" hidden="false" customHeight="false" outlineLevel="0" collapsed="false">
      <c r="B409" s="2" t="n">
        <v>407</v>
      </c>
      <c r="C409" s="2" t="n">
        <v>0</v>
      </c>
      <c r="D409" s="2" t="n">
        <v>0</v>
      </c>
      <c r="E409" s="2" t="n">
        <v>0.0680728853288104</v>
      </c>
    </row>
    <row r="410" customFormat="false" ht="13.8" hidden="false" customHeight="false" outlineLevel="0" collapsed="false">
      <c r="B410" s="2" t="n">
        <v>408</v>
      </c>
      <c r="C410" s="2" t="n">
        <v>0</v>
      </c>
      <c r="D410" s="2" t="n">
        <v>0</v>
      </c>
      <c r="E410" s="2" t="n">
        <v>0.0387926779932156</v>
      </c>
    </row>
    <row r="411" customFormat="false" ht="13.8" hidden="false" customHeight="false" outlineLevel="0" collapsed="false">
      <c r="B411" s="2" t="n">
        <v>409</v>
      </c>
      <c r="C411" s="2" t="n">
        <v>0</v>
      </c>
      <c r="D411" s="2" t="n">
        <v>0</v>
      </c>
      <c r="E411" s="2" t="n">
        <v>0.0368294206576208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0</v>
      </c>
      <c r="D431" s="2" t="n">
        <v>8.47710503472224E-018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0</v>
      </c>
      <c r="E432" s="2" t="n">
        <v>5.24721051731676E-017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0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1.69542100694445E-017</v>
      </c>
      <c r="E434" s="2" t="n">
        <v>1.49756670814051E-018</v>
      </c>
    </row>
    <row r="435" customFormat="false" ht="13.8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0</v>
      </c>
    </row>
    <row r="436" customFormat="false" ht="13.8" hidden="false" customHeight="false" outlineLevel="0" collapsed="false">
      <c r="B436" s="2" t="n">
        <v>434</v>
      </c>
      <c r="C436" s="2" t="n">
        <v>0</v>
      </c>
      <c r="D436" s="2" t="n">
        <v>1.69542100694445E-017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0</v>
      </c>
    </row>
    <row r="438" customFormat="false" ht="13.8" hidden="false" customHeight="false" outlineLevel="0" collapsed="false">
      <c r="B438" s="2" t="n">
        <v>436</v>
      </c>
      <c r="C438" s="2" t="n">
        <v>0</v>
      </c>
      <c r="D438" s="2" t="n">
        <v>0</v>
      </c>
      <c r="E438" s="2" t="n">
        <v>0</v>
      </c>
    </row>
    <row r="439" customFormat="false" ht="13.8" hidden="false" customHeight="false" outlineLevel="0" collapsed="false">
      <c r="B439" s="2" t="n">
        <v>437</v>
      </c>
      <c r="C439" s="2" t="n">
        <v>0</v>
      </c>
      <c r="D439" s="2" t="n">
        <v>0</v>
      </c>
      <c r="E439" s="2" t="n">
        <v>0</v>
      </c>
    </row>
    <row r="440" customFormat="false" ht="13.8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0</v>
      </c>
    </row>
    <row r="441" customFormat="false" ht="13.8" hidden="false" customHeight="false" outlineLevel="0" collapsed="false">
      <c r="B441" s="2" t="n">
        <v>439</v>
      </c>
      <c r="C441" s="2" t="n">
        <v>0</v>
      </c>
      <c r="D441" s="2" t="n">
        <v>0</v>
      </c>
      <c r="E441" s="2" t="n">
        <v>4.34058811617895E-017</v>
      </c>
    </row>
    <row r="442" customFormat="false" ht="13.8" hidden="false" customHeight="false" outlineLevel="0" collapsed="false">
      <c r="B442" s="2" t="n">
        <v>440</v>
      </c>
      <c r="C442" s="2" t="n">
        <v>0</v>
      </c>
      <c r="D442" s="2" t="n">
        <v>0</v>
      </c>
      <c r="E442" s="2" t="n">
        <v>2.55102793509975E-016</v>
      </c>
    </row>
    <row r="443" customFormat="false" ht="13.8" hidden="false" customHeight="false" outlineLevel="0" collapsed="false">
      <c r="B443" s="2" t="n">
        <v>441</v>
      </c>
      <c r="C443" s="2" t="n">
        <v>0</v>
      </c>
      <c r="D443" s="2" t="n">
        <v>0</v>
      </c>
      <c r="E443" s="2" t="n">
        <v>0</v>
      </c>
    </row>
    <row r="444" customFormat="false" ht="13.8" hidden="false" customHeight="false" outlineLevel="0" collapsed="false">
      <c r="B444" s="2" t="n">
        <v>442</v>
      </c>
      <c r="C444" s="2" t="n">
        <v>0</v>
      </c>
      <c r="D444" s="2" t="n">
        <v>0</v>
      </c>
      <c r="E444" s="2" t="n">
        <v>0</v>
      </c>
    </row>
    <row r="445" customFormat="false" ht="13.8" hidden="false" customHeight="false" outlineLevel="0" collapsed="false">
      <c r="B445" s="2" t="n">
        <v>443</v>
      </c>
      <c r="C445" s="2" t="n">
        <v>0</v>
      </c>
      <c r="D445" s="2" t="n">
        <v>0</v>
      </c>
      <c r="E445" s="2" t="n">
        <v>1.9803784650646E-016</v>
      </c>
    </row>
    <row r="446" customFormat="false" ht="13.8" hidden="false" customHeight="false" outlineLevel="0" collapsed="false">
      <c r="B446" s="2" t="n">
        <v>444</v>
      </c>
      <c r="C446" s="2" t="n">
        <v>2.11927625868056E-018</v>
      </c>
      <c r="D446" s="2" t="n">
        <v>0</v>
      </c>
      <c r="E446" s="2" t="n">
        <v>0</v>
      </c>
    </row>
    <row r="447" customFormat="false" ht="13.8" hidden="false" customHeight="false" outlineLevel="0" collapsed="false">
      <c r="B447" s="2" t="n">
        <v>445</v>
      </c>
      <c r="C447" s="2" t="n">
        <v>0</v>
      </c>
      <c r="D447" s="2" t="n">
        <v>0</v>
      </c>
      <c r="E447" s="2" t="n">
        <v>0</v>
      </c>
    </row>
    <row r="448" customFormat="false" ht="13.8" hidden="false" customHeight="false" outlineLevel="0" collapsed="false">
      <c r="B448" s="2" t="n">
        <v>446</v>
      </c>
      <c r="C448" s="2" t="n">
        <v>0</v>
      </c>
      <c r="D448" s="2" t="n">
        <v>0</v>
      </c>
      <c r="E448" s="2" t="n">
        <v>1.66139680816493E-016</v>
      </c>
    </row>
    <row r="449" customFormat="false" ht="13.8" hidden="false" customHeight="false" outlineLevel="0" collapsed="false">
      <c r="B449" s="2" t="n">
        <v>447</v>
      </c>
      <c r="C449" s="2" t="n">
        <v>0</v>
      </c>
      <c r="D449" s="2" t="n">
        <v>0</v>
      </c>
      <c r="E449" s="2" t="n">
        <v>0</v>
      </c>
    </row>
    <row r="450" customFormat="false" ht="13.8" hidden="false" customHeight="false" outlineLevel="0" collapsed="false">
      <c r="B450" s="2" t="n">
        <v>448</v>
      </c>
      <c r="C450" s="2" t="n">
        <v>2.11927625868056E-018</v>
      </c>
      <c r="D450" s="2" t="n">
        <v>0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0</v>
      </c>
      <c r="D451" s="2" t="n">
        <v>0</v>
      </c>
      <c r="E451" s="2" t="n">
        <v>1.96737727071482E-016</v>
      </c>
    </row>
    <row r="452" customFormat="false" ht="13.8" hidden="false" customHeight="false" outlineLevel="0" collapsed="false">
      <c r="B452" s="2" t="n">
        <v>450</v>
      </c>
      <c r="C452" s="2" t="n">
        <v>4.76837158203151E-019</v>
      </c>
      <c r="D452" s="2" t="n">
        <v>0</v>
      </c>
      <c r="E452" s="2" t="n">
        <v>0</v>
      </c>
    </row>
    <row r="453" customFormat="false" ht="13.8" hidden="false" customHeight="false" outlineLevel="0" collapsed="false">
      <c r="B453" s="2" t="n">
        <v>451</v>
      </c>
      <c r="C453" s="2" t="n">
        <v>0</v>
      </c>
      <c r="D453" s="2" t="n">
        <v>0</v>
      </c>
      <c r="E453" s="2" t="n">
        <v>2.6371820181086E-016</v>
      </c>
    </row>
    <row r="454" customFormat="false" ht="13.8" hidden="false" customHeight="false" outlineLevel="0" collapsed="false">
      <c r="B454" s="2" t="n">
        <v>452</v>
      </c>
      <c r="C454" s="2" t="n">
        <v>2.11927625868056E-018</v>
      </c>
      <c r="D454" s="2" t="n">
        <v>0</v>
      </c>
      <c r="E454" s="2" t="n">
        <v>2.56060008159403E-016</v>
      </c>
    </row>
    <row r="455" customFormat="false" ht="13.8" hidden="false" customHeight="false" outlineLevel="0" collapsed="false">
      <c r="B455" s="2" t="n">
        <v>453</v>
      </c>
      <c r="C455" s="2" t="n">
        <v>0</v>
      </c>
      <c r="D455" s="2" t="n">
        <v>0</v>
      </c>
      <c r="E455" s="2" t="n">
        <v>0.00752772452842536</v>
      </c>
    </row>
    <row r="456" customFormat="false" ht="13.8" hidden="false" customHeight="false" outlineLevel="0" collapsed="false">
      <c r="B456" s="2" t="n">
        <v>454</v>
      </c>
      <c r="C456" s="2" t="n">
        <v>2.59611341688371E-018</v>
      </c>
      <c r="D456" s="2" t="n">
        <v>0</v>
      </c>
      <c r="E456" s="2" t="n">
        <v>0</v>
      </c>
    </row>
    <row r="457" customFormat="false" ht="13.8" hidden="false" customHeight="false" outlineLevel="0" collapsed="false">
      <c r="B457" s="2" t="n">
        <v>455</v>
      </c>
      <c r="C457" s="2" t="n">
        <v>0.0741083191344452</v>
      </c>
      <c r="D457" s="2" t="n">
        <v>0</v>
      </c>
      <c r="E457" s="2" t="n">
        <v>0.0105723633902339</v>
      </c>
    </row>
    <row r="458" customFormat="false" ht="13.8" hidden="false" customHeight="false" outlineLevel="0" collapsed="false">
      <c r="B458" s="2" t="n">
        <v>456</v>
      </c>
      <c r="C458" s="2" t="n">
        <v>0.0319576448561367</v>
      </c>
      <c r="D458" s="2" t="n">
        <v>0</v>
      </c>
      <c r="E458" s="2" t="n">
        <v>0</v>
      </c>
    </row>
    <row r="459" customFormat="false" ht="13.8" hidden="false" customHeight="false" outlineLevel="0" collapsed="false">
      <c r="B459" s="2" t="n">
        <v>457</v>
      </c>
      <c r="C459" s="2" t="n">
        <v>0.0586323888114134</v>
      </c>
      <c r="D459" s="2" t="n">
        <v>0.0798847205757722</v>
      </c>
      <c r="E459" s="2" t="n">
        <v>0.049151014467077</v>
      </c>
    </row>
    <row r="460" customFormat="false" ht="13.8" hidden="false" customHeight="false" outlineLevel="0" collapsed="false">
      <c r="B460" s="2" t="n">
        <v>458</v>
      </c>
      <c r="C460" s="2" t="n">
        <v>0.00144558734798665</v>
      </c>
      <c r="D460" s="2" t="n">
        <v>0.0999135404318292</v>
      </c>
      <c r="E460" s="2" t="n">
        <v>0.0648138276108813</v>
      </c>
    </row>
    <row r="461" customFormat="false" ht="13.8" hidden="false" customHeight="false" outlineLevel="0" collapsed="false">
      <c r="B461" s="2" t="n">
        <v>459</v>
      </c>
      <c r="C461" s="2" t="n">
        <v>0</v>
      </c>
      <c r="D461" s="2" t="n">
        <v>0.0999423602878861</v>
      </c>
      <c r="E461" s="2" t="n">
        <v>0.128534626639245</v>
      </c>
    </row>
    <row r="462" customFormat="false" ht="13.8" hidden="false" customHeight="false" outlineLevel="0" collapsed="false">
      <c r="B462" s="2" t="n">
        <v>460</v>
      </c>
      <c r="C462" s="2" t="n">
        <v>0</v>
      </c>
      <c r="D462" s="2" t="n">
        <v>0.099971180143943</v>
      </c>
      <c r="E462" s="2" t="n">
        <v>0.0882606216529556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0.1</v>
      </c>
      <c r="E463" s="2" t="n">
        <v>0.136052533333333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0.1</v>
      </c>
      <c r="E464" s="2" t="n">
        <v>0.0886198833333334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0.1</v>
      </c>
      <c r="E465" s="2" t="n">
        <v>0.15451965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0.1</v>
      </c>
      <c r="E466" s="2" t="n">
        <v>0.120152883333333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0.1</v>
      </c>
      <c r="E467" s="2" t="n">
        <v>0.1674201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0.1</v>
      </c>
      <c r="E468" s="2" t="n">
        <v>0.0843210166666666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0.1</v>
      </c>
      <c r="E469" s="2" t="n">
        <v>0.107637833333333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0.1</v>
      </c>
      <c r="E470" s="2" t="n">
        <v>0.1050204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0.1</v>
      </c>
      <c r="E471" s="2" t="n">
        <v>0.0971377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0.1</v>
      </c>
      <c r="E472" s="2" t="n">
        <v>0.1269537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0.1</v>
      </c>
      <c r="E473" s="2" t="n">
        <v>0.0705041333333334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0.1</v>
      </c>
      <c r="E474" s="2" t="n">
        <v>0.11875405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0.1</v>
      </c>
      <c r="E475" s="2" t="n">
        <v>0.0738538166666667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0.0385548046558531</v>
      </c>
      <c r="E476" s="2" t="n">
        <v>0.180865712010813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0.15883705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0.155704433333333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4.23855251736112E-018</v>
      </c>
      <c r="E479" s="2" t="n">
        <v>0.163752883333333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0.154469116666667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0.179069016666667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0.11612005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0.0751863666666667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0.139102733333333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8.47710503472224E-018</v>
      </c>
      <c r="E485" s="2" t="n">
        <v>0.18756815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0.158384483333333</v>
      </c>
    </row>
    <row r="487" customFormat="false" ht="13.8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0.1662337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4.23855251736112E-018</v>
      </c>
      <c r="E488" s="2" t="n">
        <v>0.1366003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0.135250516666667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4.23855251736112E-018</v>
      </c>
      <c r="E490" s="2" t="n">
        <v>0.13310005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0.20828335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0.132733366666667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0.2041167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0.134850166666667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0.215116833333333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0.163933483333333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0.217750083333333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0.158750233333333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4.23855251736112E-018</v>
      </c>
      <c r="E499" s="2" t="n">
        <v>0.213066783333333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0.152583516666667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4.23855251736112E-018</v>
      </c>
      <c r="E501" s="2" t="n">
        <v>0.2063667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0.15125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0.206300133333333</v>
      </c>
    </row>
    <row r="504" customFormat="false" ht="13.8" hidden="false" customHeight="false" outlineLevel="0" collapsed="false">
      <c r="B504" s="2" t="n">
        <v>502</v>
      </c>
      <c r="C504" s="2" t="n">
        <v>0</v>
      </c>
      <c r="D504" s="2" t="n">
        <v>0</v>
      </c>
      <c r="E504" s="2" t="n">
        <v>0.151634749421912</v>
      </c>
    </row>
    <row r="505" customFormat="false" ht="13.8" hidden="false" customHeight="false" outlineLevel="0" collapsed="false">
      <c r="B505" s="2" t="n">
        <v>503</v>
      </c>
      <c r="C505" s="2" t="n">
        <v>0</v>
      </c>
      <c r="D505" s="2" t="n">
        <v>0</v>
      </c>
      <c r="E505" s="2" t="n">
        <v>0.178619698843824</v>
      </c>
    </row>
    <row r="506" customFormat="false" ht="13.8" hidden="false" customHeight="false" outlineLevel="0" collapsed="false">
      <c r="B506" s="2" t="n">
        <v>504</v>
      </c>
      <c r="C506" s="2" t="n">
        <v>0</v>
      </c>
      <c r="D506" s="2" t="n">
        <v>0</v>
      </c>
      <c r="E506" s="2" t="n">
        <v>0.0291876315990687</v>
      </c>
    </row>
    <row r="507" customFormat="false" ht="13.8" hidden="false" customHeight="false" outlineLevel="0" collapsed="false">
      <c r="B507" s="2" t="n">
        <v>505</v>
      </c>
      <c r="C507" s="2" t="n">
        <v>0</v>
      </c>
      <c r="D507" s="2" t="n">
        <v>4.23855251736112E-018</v>
      </c>
      <c r="E507" s="2" t="n">
        <v>0.0908387976876472</v>
      </c>
    </row>
    <row r="508" customFormat="false" ht="13.8" hidden="false" customHeight="false" outlineLevel="0" collapsed="false">
      <c r="B508" s="2" t="n">
        <v>506</v>
      </c>
      <c r="C508" s="2" t="n">
        <v>0</v>
      </c>
      <c r="D508" s="2" t="n">
        <v>0</v>
      </c>
      <c r="E508" s="2" t="n">
        <v>0.0567490020349096</v>
      </c>
    </row>
    <row r="509" customFormat="false" ht="13.8" hidden="false" customHeight="false" outlineLevel="0" collapsed="false">
      <c r="B509" s="2" t="n">
        <v>507</v>
      </c>
      <c r="C509" s="2" t="n">
        <v>1.21221279203892E-010</v>
      </c>
      <c r="D509" s="2" t="n">
        <v>4.23855251736112E-018</v>
      </c>
      <c r="E509" s="2" t="n">
        <v>0.0828259897155054</v>
      </c>
    </row>
    <row r="510" customFormat="false" ht="13.8" hidden="false" customHeight="false" outlineLevel="0" collapsed="false">
      <c r="B510" s="2" t="n">
        <v>508</v>
      </c>
      <c r="C510" s="2" t="n">
        <v>0</v>
      </c>
      <c r="D510" s="2" t="n">
        <v>0</v>
      </c>
      <c r="E510" s="2" t="n">
        <v>0.0493861940627679</v>
      </c>
    </row>
    <row r="511" customFormat="false" ht="13.8" hidden="false" customHeight="false" outlineLevel="0" collapsed="false">
      <c r="B511" s="2" t="n">
        <v>509</v>
      </c>
      <c r="C511" s="2" t="n">
        <v>0</v>
      </c>
      <c r="D511" s="2" t="n">
        <v>0</v>
      </c>
      <c r="E511" s="2" t="n">
        <v>0.0906963984100304</v>
      </c>
    </row>
    <row r="512" customFormat="false" ht="13.8" hidden="false" customHeight="false" outlineLevel="0" collapsed="false">
      <c r="B512" s="2" t="n">
        <v>510</v>
      </c>
      <c r="C512" s="2" t="n">
        <v>0</v>
      </c>
      <c r="D512" s="2" t="n">
        <v>0</v>
      </c>
      <c r="E512" s="2" t="n">
        <v>0.00215853247271792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</v>
      </c>
      <c r="E513" s="2" t="n">
        <v>0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0</v>
      </c>
      <c r="E514" s="2" t="n">
        <v>8.47710503472224E-019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4.71538967556424E-018</v>
      </c>
      <c r="E515" s="2" t="n">
        <v>6.67439566718208E-017</v>
      </c>
    </row>
    <row r="516" customFormat="false" ht="13.8" hidden="false" customHeight="false" outlineLevel="0" collapsed="false">
      <c r="B516" s="2" t="n">
        <v>514</v>
      </c>
      <c r="C516" s="2" t="n">
        <v>0</v>
      </c>
      <c r="D516" s="2" t="n">
        <v>0</v>
      </c>
      <c r="E516" s="2" t="n">
        <v>0</v>
      </c>
    </row>
    <row r="517" customFormat="false" ht="13.8" hidden="false" customHeight="false" outlineLevel="0" collapsed="false">
      <c r="B517" s="2" t="n">
        <v>515</v>
      </c>
      <c r="C517" s="2" t="n">
        <v>0</v>
      </c>
      <c r="D517" s="2" t="n">
        <v>0</v>
      </c>
      <c r="E517" s="2" t="n">
        <v>7.15255737304689E-019</v>
      </c>
    </row>
    <row r="518" customFormat="false" ht="13.8" hidden="false" customHeight="false" outlineLevel="0" collapsed="false">
      <c r="B518" s="2" t="n">
        <v>516</v>
      </c>
      <c r="C518" s="2" t="n">
        <v>0</v>
      </c>
      <c r="D518" s="2" t="n">
        <v>8.47710503472224E-018</v>
      </c>
      <c r="E518" s="2" t="n">
        <v>0</v>
      </c>
    </row>
    <row r="519" customFormat="false" ht="13.8" hidden="false" customHeight="false" outlineLevel="0" collapsed="false">
      <c r="B519" s="2" t="n">
        <v>517</v>
      </c>
      <c r="C519" s="2" t="n">
        <v>2.11927625868056E-019</v>
      </c>
      <c r="D519" s="2" t="n">
        <v>0</v>
      </c>
      <c r="E519" s="2" t="n">
        <v>9.19236077202692E-018</v>
      </c>
    </row>
    <row r="520" customFormat="false" ht="13.8" hidden="false" customHeight="false" outlineLevel="0" collapsed="false">
      <c r="B520" s="2" t="n">
        <v>518</v>
      </c>
      <c r="C520" s="2" t="n">
        <v>2.6490953233507E-019</v>
      </c>
      <c r="D520" s="2" t="n">
        <v>0</v>
      </c>
      <c r="E520" s="2" t="n">
        <v>0</v>
      </c>
    </row>
    <row r="521" customFormat="false" ht="13.8" hidden="false" customHeight="false" outlineLevel="0" collapsed="false">
      <c r="B521" s="2" t="n">
        <v>519</v>
      </c>
      <c r="C521" s="2" t="n">
        <v>0</v>
      </c>
      <c r="D521" s="2" t="n">
        <v>0</v>
      </c>
      <c r="E521" s="2" t="n">
        <v>7.15255737304689E-019</v>
      </c>
    </row>
    <row r="522" customFormat="false" ht="13.8" hidden="false" customHeight="false" outlineLevel="0" collapsed="false">
      <c r="B522" s="2" t="n">
        <v>520</v>
      </c>
      <c r="C522" s="2" t="n">
        <v>0</v>
      </c>
      <c r="D522" s="2" t="n">
        <v>0</v>
      </c>
      <c r="E522" s="2" t="n">
        <v>0</v>
      </c>
    </row>
    <row r="523" customFormat="false" ht="13.8" hidden="false" customHeight="false" outlineLevel="0" collapsed="false">
      <c r="B523" s="2" t="n">
        <v>521</v>
      </c>
      <c r="C523" s="2" t="n">
        <v>0</v>
      </c>
      <c r="D523" s="2" t="n">
        <v>0</v>
      </c>
      <c r="E523" s="2" t="n">
        <v>2.38418579101563E-019</v>
      </c>
    </row>
    <row r="524" customFormat="false" ht="13.8" hidden="false" customHeight="false" outlineLevel="0" collapsed="false">
      <c r="B524" s="2" t="n">
        <v>522</v>
      </c>
      <c r="C524" s="2" t="n">
        <v>0</v>
      </c>
      <c r="D524" s="2" t="n">
        <v>0</v>
      </c>
      <c r="E524" s="2" t="n">
        <v>1.9073486328125E-018</v>
      </c>
    </row>
    <row r="525" customFormat="false" ht="13.8" hidden="false" customHeight="false" outlineLevel="0" collapsed="false">
      <c r="B525" s="2" t="n">
        <v>523</v>
      </c>
      <c r="C525" s="2" t="n">
        <v>0</v>
      </c>
      <c r="D525" s="2" t="n">
        <v>1.69542100694445E-017</v>
      </c>
      <c r="E525" s="2" t="n">
        <v>3.09944152832032E-018</v>
      </c>
    </row>
    <row r="526" customFormat="false" ht="13.8" hidden="false" customHeight="false" outlineLevel="0" collapsed="false">
      <c r="B526" s="2" t="n">
        <v>524</v>
      </c>
      <c r="C526" s="2" t="n">
        <v>0</v>
      </c>
      <c r="D526" s="2" t="n">
        <v>1.69542100694445E-017</v>
      </c>
      <c r="E526" s="2" t="n">
        <v>0</v>
      </c>
    </row>
    <row r="527" customFormat="false" ht="13.8" hidden="false" customHeight="false" outlineLevel="0" collapsed="false">
      <c r="B527" s="2" t="n">
        <v>525</v>
      </c>
      <c r="C527" s="2" t="n">
        <v>1.05963812934028E-018</v>
      </c>
      <c r="D527" s="2" t="n">
        <v>0</v>
      </c>
      <c r="E527" s="2" t="n">
        <v>3.81469726562501E-018</v>
      </c>
    </row>
    <row r="528" customFormat="false" ht="13.8" hidden="false" customHeight="false" outlineLevel="0" collapsed="false">
      <c r="B528" s="2" t="n">
        <v>526</v>
      </c>
      <c r="C528" s="2" t="n">
        <v>0</v>
      </c>
      <c r="D528" s="2" t="n">
        <v>0</v>
      </c>
      <c r="E528" s="2" t="n">
        <v>0</v>
      </c>
    </row>
    <row r="529" customFormat="false" ht="13.8" hidden="false" customHeight="false" outlineLevel="0" collapsed="false">
      <c r="B529" s="2" t="n">
        <v>527</v>
      </c>
      <c r="C529" s="2" t="n">
        <v>0</v>
      </c>
      <c r="D529" s="2" t="n">
        <v>0</v>
      </c>
      <c r="E529" s="2" t="n">
        <v>0</v>
      </c>
    </row>
    <row r="530" customFormat="false" ht="13.8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0</v>
      </c>
    </row>
    <row r="531" customFormat="false" ht="13.8" hidden="false" customHeight="false" outlineLevel="0" collapsed="false">
      <c r="B531" s="2" t="n">
        <v>529</v>
      </c>
      <c r="C531" s="2" t="n">
        <v>1.05963812934028E-018</v>
      </c>
      <c r="D531" s="2" t="n">
        <v>0</v>
      </c>
      <c r="E531" s="2" t="n">
        <v>1.66893005371094E-018</v>
      </c>
    </row>
    <row r="532" customFormat="false" ht="13.8" hidden="false" customHeight="false" outlineLevel="0" collapsed="false">
      <c r="B532" s="2" t="n">
        <v>530</v>
      </c>
      <c r="C532" s="2" t="n">
        <v>0</v>
      </c>
      <c r="D532" s="2" t="n">
        <v>0</v>
      </c>
      <c r="E532" s="2" t="n">
        <v>0</v>
      </c>
    </row>
    <row r="533" customFormat="false" ht="13.8" hidden="false" customHeight="false" outlineLevel="0" collapsed="false">
      <c r="B533" s="2" t="n">
        <v>531</v>
      </c>
      <c r="C533" s="2" t="n">
        <v>0</v>
      </c>
      <c r="D533" s="2" t="n">
        <v>0</v>
      </c>
      <c r="E533" s="2" t="n">
        <v>0</v>
      </c>
    </row>
    <row r="534" customFormat="false" ht="13.8" hidden="false" customHeight="false" outlineLevel="0" collapsed="false">
      <c r="B534" s="2" t="n">
        <v>532</v>
      </c>
      <c r="C534" s="2" t="n">
        <v>0</v>
      </c>
      <c r="D534" s="2" t="n">
        <v>0</v>
      </c>
      <c r="E534" s="2" t="n">
        <v>7.06778632269966E-017</v>
      </c>
    </row>
    <row r="535" customFormat="false" ht="13.8" hidden="false" customHeight="false" outlineLevel="0" collapsed="false">
      <c r="B535" s="2" t="n">
        <v>533</v>
      </c>
      <c r="C535" s="2" t="n">
        <v>0</v>
      </c>
      <c r="D535" s="2" t="n">
        <v>1.69542100694445E-017</v>
      </c>
      <c r="E535" s="2" t="n">
        <v>0</v>
      </c>
    </row>
    <row r="536" customFormat="false" ht="13.8" hidden="false" customHeight="false" outlineLevel="0" collapsed="false">
      <c r="B536" s="2" t="n">
        <v>534</v>
      </c>
      <c r="C536" s="2" t="n">
        <v>0</v>
      </c>
      <c r="D536" s="2" t="n">
        <v>0</v>
      </c>
      <c r="E536" s="2" t="n">
        <v>0</v>
      </c>
    </row>
    <row r="537" customFormat="false" ht="13.8" hidden="false" customHeight="false" outlineLevel="0" collapsed="false">
      <c r="B537" s="2" t="n">
        <v>535</v>
      </c>
      <c r="C537" s="2" t="n">
        <v>8.47710503472224E-018</v>
      </c>
      <c r="D537" s="2" t="n">
        <v>0</v>
      </c>
      <c r="E537" s="2" t="n">
        <v>0</v>
      </c>
    </row>
    <row r="538" customFormat="false" ht="13.8" hidden="false" customHeight="false" outlineLevel="0" collapsed="false">
      <c r="B538" s="2" t="n">
        <v>536</v>
      </c>
      <c r="C538" s="2" t="n">
        <v>0</v>
      </c>
      <c r="D538" s="2" t="n">
        <v>0</v>
      </c>
      <c r="E538" s="2" t="n">
        <v>4.52995300292972E-017</v>
      </c>
    </row>
    <row r="539" customFormat="false" ht="13.8" hidden="false" customHeight="false" outlineLevel="0" collapsed="false">
      <c r="B539" s="2" t="n">
        <v>537</v>
      </c>
      <c r="C539" s="2" t="n">
        <v>0</v>
      </c>
      <c r="D539" s="2" t="n">
        <v>0</v>
      </c>
      <c r="E539" s="2" t="n">
        <v>2.38418579101563E-018</v>
      </c>
    </row>
    <row r="540" customFormat="false" ht="13.8" hidden="false" customHeight="false" outlineLevel="0" collapsed="false">
      <c r="B540" s="2" t="n">
        <v>538</v>
      </c>
      <c r="C540" s="2" t="n">
        <v>0</v>
      </c>
      <c r="D540" s="2" t="n">
        <v>7.77774386935767E-017</v>
      </c>
      <c r="E540" s="2" t="n">
        <v>0</v>
      </c>
    </row>
    <row r="541" customFormat="false" ht="13.8" hidden="false" customHeight="false" outlineLevel="0" collapsed="false">
      <c r="B541" s="2" t="n">
        <v>539</v>
      </c>
      <c r="C541" s="2" t="n">
        <v>0</v>
      </c>
      <c r="D541" s="2" t="n">
        <v>3.41468387179905E-017</v>
      </c>
      <c r="E541" s="2" t="n">
        <v>0</v>
      </c>
    </row>
    <row r="542" customFormat="false" ht="13.8" hidden="false" customHeight="false" outlineLevel="0" collapsed="false">
      <c r="B542" s="2" t="n">
        <v>540</v>
      </c>
      <c r="C542" s="2" t="n">
        <v>2.11927625868056E-018</v>
      </c>
      <c r="D542" s="2" t="n">
        <v>6.98036617702928E-018</v>
      </c>
      <c r="E542" s="2" t="n">
        <v>4.76837158203126E-019</v>
      </c>
    </row>
    <row r="543" customFormat="false" ht="13.8" hidden="false" customHeight="false" outlineLevel="0" collapsed="false">
      <c r="B543" s="2" t="n">
        <v>541</v>
      </c>
      <c r="C543" s="2" t="n">
        <v>0.0173154450004316</v>
      </c>
      <c r="D543" s="2" t="n">
        <v>0</v>
      </c>
      <c r="E543" s="2" t="n">
        <v>6.78168402777779E-017</v>
      </c>
    </row>
    <row r="544" customFormat="false" ht="13.8" hidden="false" customHeight="false" outlineLevel="0" collapsed="false">
      <c r="B544" s="2" t="n">
        <v>542</v>
      </c>
      <c r="C544" s="2" t="n">
        <v>0.054151834399954</v>
      </c>
      <c r="D544" s="2" t="n">
        <v>0</v>
      </c>
      <c r="E544" s="2" t="n">
        <v>0.00675956990834772</v>
      </c>
    </row>
    <row r="545" customFormat="false" ht="13.8" hidden="false" customHeight="false" outlineLevel="0" collapsed="false">
      <c r="B545" s="2" t="n">
        <v>543</v>
      </c>
      <c r="C545" s="2" t="n">
        <v>0.0544405136161717</v>
      </c>
      <c r="D545" s="2" t="n">
        <v>0</v>
      </c>
      <c r="E545" s="2" t="n">
        <v>0</v>
      </c>
    </row>
    <row r="546" customFormat="false" ht="13.8" hidden="false" customHeight="false" outlineLevel="0" collapsed="false">
      <c r="B546" s="2" t="n">
        <v>544</v>
      </c>
      <c r="C546" s="2" t="n">
        <v>0.0295816293378782</v>
      </c>
      <c r="D546" s="2" t="n">
        <v>0</v>
      </c>
      <c r="E546" s="2" t="n">
        <v>0.0384549602528303</v>
      </c>
    </row>
    <row r="547" customFormat="false" ht="13.8" hidden="false" customHeight="false" outlineLevel="0" collapsed="false">
      <c r="B547" s="2" t="n">
        <v>545</v>
      </c>
      <c r="C547" s="2" t="n">
        <v>0.0106531094570199</v>
      </c>
      <c r="D547" s="2" t="n">
        <v>0</v>
      </c>
      <c r="E547" s="2" t="n">
        <v>0.0972788894415588</v>
      </c>
    </row>
    <row r="548" customFormat="false" ht="13.8" hidden="false" customHeight="false" outlineLevel="0" collapsed="false">
      <c r="B548" s="2" t="n">
        <v>546</v>
      </c>
      <c r="C548" s="2" t="n">
        <v>0</v>
      </c>
      <c r="D548" s="2" t="n">
        <v>0</v>
      </c>
      <c r="E548" s="2" t="n">
        <v>0.137234531524379</v>
      </c>
    </row>
    <row r="549" customFormat="false" ht="13.8" hidden="false" customHeight="false" outlineLevel="0" collapsed="false">
      <c r="B549" s="2" t="n">
        <v>547</v>
      </c>
      <c r="C549" s="2" t="n">
        <v>1.15114364683628E-010</v>
      </c>
      <c r="D549" s="2" t="n">
        <v>0</v>
      </c>
      <c r="E549" s="2" t="n">
        <v>0.10128766415018</v>
      </c>
    </row>
    <row r="550" customFormat="false" ht="13.8" hidden="false" customHeight="false" outlineLevel="0" collapsed="false">
      <c r="B550" s="2" t="n">
        <v>548</v>
      </c>
      <c r="C550" s="2" t="n">
        <v>0</v>
      </c>
      <c r="D550" s="2" t="n">
        <v>0</v>
      </c>
      <c r="E550" s="2" t="n">
        <v>0.211589896775981</v>
      </c>
    </row>
    <row r="551" customFormat="false" ht="13.8" hidden="false" customHeight="false" outlineLevel="0" collapsed="false">
      <c r="B551" s="2" t="n">
        <v>549</v>
      </c>
      <c r="C551" s="2" t="n">
        <v>0</v>
      </c>
      <c r="D551" s="2" t="n">
        <v>3.39084201388889E-017</v>
      </c>
      <c r="E551" s="2" t="n">
        <v>0.188475879401784</v>
      </c>
    </row>
    <row r="552" customFormat="false" ht="13.8" hidden="false" customHeight="false" outlineLevel="0" collapsed="false">
      <c r="B552" s="2" t="n">
        <v>550</v>
      </c>
      <c r="C552" s="2" t="n">
        <v>0</v>
      </c>
      <c r="D552" s="2" t="n">
        <v>0</v>
      </c>
      <c r="E552" s="2" t="n">
        <v>0.140469905384669</v>
      </c>
    </row>
    <row r="553" customFormat="false" ht="13.8" hidden="false" customHeight="false" outlineLevel="0" collapsed="false">
      <c r="B553" s="2" t="n">
        <v>551</v>
      </c>
      <c r="C553" s="2" t="n">
        <v>2.70432113707066E-010</v>
      </c>
      <c r="D553" s="2" t="n">
        <v>0</v>
      </c>
      <c r="E553" s="2" t="n">
        <v>0.122646948034224</v>
      </c>
    </row>
    <row r="554" customFormat="false" ht="13.8" hidden="false" customHeight="false" outlineLevel="0" collapsed="false">
      <c r="B554" s="2" t="n">
        <v>552</v>
      </c>
      <c r="C554" s="2" t="n">
        <v>9.95984802842142E-011</v>
      </c>
      <c r="D554" s="2" t="n">
        <v>0.0127984368049163</v>
      </c>
      <c r="E554" s="2" t="n">
        <v>0.113191953878862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0.1</v>
      </c>
      <c r="E555" s="2" t="n">
        <v>0.115201133333333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0.1</v>
      </c>
      <c r="E556" s="2" t="n">
        <v>0.118150966666667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0.1</v>
      </c>
      <c r="E557" s="2" t="n">
        <v>0.142201566666667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0.1</v>
      </c>
      <c r="E558" s="2" t="n">
        <v>0.130869133333333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0.1</v>
      </c>
      <c r="E559" s="2" t="n">
        <v>0.161569433333333</v>
      </c>
    </row>
    <row r="560" customFormat="false" ht="13.8" hidden="false" customHeight="false" outlineLevel="0" collapsed="false">
      <c r="B560" s="2" t="n">
        <v>558</v>
      </c>
      <c r="C560" s="2" t="n">
        <v>0</v>
      </c>
      <c r="D560" s="2" t="n">
        <v>0.1</v>
      </c>
      <c r="E560" s="2" t="n">
        <v>0.129636533333333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0.1</v>
      </c>
      <c r="E561" s="2" t="n">
        <v>0.08630405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0.1</v>
      </c>
      <c r="E562" s="2" t="n">
        <v>0.1299372</v>
      </c>
    </row>
    <row r="563" customFormat="false" ht="13.8" hidden="false" customHeight="false" outlineLevel="0" collapsed="false">
      <c r="B563" s="2" t="n">
        <v>561</v>
      </c>
      <c r="C563" s="2" t="n">
        <v>0</v>
      </c>
      <c r="D563" s="2" t="n">
        <v>0.1</v>
      </c>
      <c r="E563" s="2" t="n">
        <v>0.11503735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0.1</v>
      </c>
      <c r="E564" s="2" t="n">
        <v>0.0709715833333333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0.1</v>
      </c>
      <c r="E565" s="2" t="n">
        <v>0.101954133333333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0.1</v>
      </c>
      <c r="E566" s="2" t="n">
        <v>0.117686783333333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0.1</v>
      </c>
      <c r="E567" s="2" t="n">
        <v>0.143703616666667</v>
      </c>
    </row>
    <row r="568" customFormat="false" ht="13.8" hidden="false" customHeight="false" outlineLevel="0" collapsed="false">
      <c r="B568" s="2" t="n">
        <v>566</v>
      </c>
      <c r="C568" s="2" t="n">
        <v>1.88781929075718E-010</v>
      </c>
      <c r="D568" s="2" t="n">
        <v>0.1</v>
      </c>
      <c r="E568" s="2" t="n">
        <v>0.0938205666666667</v>
      </c>
    </row>
    <row r="569" customFormat="false" ht="13.8" hidden="false" customHeight="false" outlineLevel="0" collapsed="false">
      <c r="B569" s="2" t="n">
        <v>567</v>
      </c>
      <c r="C569" s="2" t="n">
        <v>1.15137397825718E-010</v>
      </c>
      <c r="D569" s="2" t="n">
        <v>0.1</v>
      </c>
      <c r="E569" s="2" t="n">
        <v>0.09697015</v>
      </c>
    </row>
    <row r="570" customFormat="false" ht="13.8" hidden="false" customHeight="false" outlineLevel="0" collapsed="false">
      <c r="B570" s="2" t="n">
        <v>568</v>
      </c>
      <c r="C570" s="2" t="n">
        <v>0</v>
      </c>
      <c r="D570" s="2" t="n">
        <v>0.1</v>
      </c>
      <c r="E570" s="2" t="n">
        <v>0.111837766666667</v>
      </c>
    </row>
    <row r="571" customFormat="false" ht="13.8" hidden="false" customHeight="false" outlineLevel="0" collapsed="false">
      <c r="B571" s="2" t="n">
        <v>569</v>
      </c>
      <c r="C571" s="2" t="n">
        <v>0</v>
      </c>
      <c r="D571" s="2" t="n">
        <v>0.1</v>
      </c>
      <c r="E571" s="2" t="n">
        <v>0.0770378833333333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0.1</v>
      </c>
      <c r="E572" s="2" t="n">
        <v>0.106787866666667</v>
      </c>
    </row>
    <row r="573" customFormat="false" ht="13.8" hidden="false" customHeight="false" outlineLevel="0" collapsed="false">
      <c r="B573" s="2" t="n">
        <v>571</v>
      </c>
      <c r="C573" s="2" t="n">
        <v>0</v>
      </c>
      <c r="D573" s="2" t="n">
        <v>0.1</v>
      </c>
      <c r="E573" s="2" t="n">
        <v>0.0961877666666667</v>
      </c>
    </row>
    <row r="574" customFormat="false" ht="13.8" hidden="false" customHeight="false" outlineLevel="0" collapsed="false">
      <c r="B574" s="2" t="n">
        <v>572</v>
      </c>
      <c r="C574" s="2" t="n">
        <v>9.96184006333353E-011</v>
      </c>
      <c r="D574" s="2" t="n">
        <v>0.1</v>
      </c>
      <c r="E574" s="2" t="n">
        <v>0.0740538166666667</v>
      </c>
    </row>
    <row r="575" customFormat="false" ht="13.8" hidden="false" customHeight="false" outlineLevel="0" collapsed="false">
      <c r="B575" s="2" t="n">
        <v>573</v>
      </c>
      <c r="C575" s="2" t="n">
        <v>0</v>
      </c>
      <c r="D575" s="2" t="n">
        <v>0.0527982728103659</v>
      </c>
      <c r="E575" s="2" t="n">
        <v>0.127305893856301</v>
      </c>
    </row>
    <row r="576" customFormat="false" ht="13.8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0.1643702</v>
      </c>
    </row>
    <row r="577" customFormat="false" ht="13.8" hidden="false" customHeight="false" outlineLevel="0" collapsed="false">
      <c r="B577" s="2" t="n">
        <v>575</v>
      </c>
      <c r="C577" s="2" t="n">
        <v>1.18502204954624E-010</v>
      </c>
      <c r="D577" s="2" t="n">
        <v>0</v>
      </c>
      <c r="E577" s="2" t="n">
        <v>0.159486316666667</v>
      </c>
    </row>
    <row r="578" customFormat="false" ht="13.8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0.152003683333333</v>
      </c>
    </row>
    <row r="579" customFormat="false" ht="13.8" hidden="false" customHeight="false" outlineLevel="0" collapsed="false">
      <c r="B579" s="2" t="n">
        <v>577</v>
      </c>
      <c r="C579" s="2" t="n">
        <v>1.15148910582066E-010</v>
      </c>
      <c r="D579" s="2" t="n">
        <v>0</v>
      </c>
      <c r="E579" s="2" t="n">
        <v>0.0454859</v>
      </c>
    </row>
    <row r="580" customFormat="false" ht="13.8" hidden="false" customHeight="false" outlineLevel="0" collapsed="false">
      <c r="B580" s="2" t="n">
        <v>578</v>
      </c>
      <c r="C580" s="2" t="n">
        <v>1.1850576788187E-010</v>
      </c>
      <c r="D580" s="2" t="n">
        <v>0</v>
      </c>
      <c r="E580" s="2" t="n">
        <v>0.0287357833333333</v>
      </c>
    </row>
    <row r="581" customFormat="false" ht="13.8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0.0856680666666667</v>
      </c>
    </row>
    <row r="582" customFormat="false" ht="13.8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0.0611676666666667</v>
      </c>
    </row>
    <row r="583" customFormat="false" ht="13.8" hidden="false" customHeight="false" outlineLevel="0" collapsed="false">
      <c r="B583" s="2" t="n">
        <v>581</v>
      </c>
      <c r="C583" s="2" t="n">
        <v>6.56181030869485E-011</v>
      </c>
      <c r="D583" s="2" t="n">
        <v>6.56181030869485E-011</v>
      </c>
      <c r="E583" s="2" t="n">
        <v>0.17813375</v>
      </c>
    </row>
    <row r="584" customFormat="false" ht="13.8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0.141166816666667</v>
      </c>
    </row>
    <row r="585" customFormat="false" ht="13.8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0.162450133333333</v>
      </c>
    </row>
    <row r="586" customFormat="false" ht="13.8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0.1809003</v>
      </c>
    </row>
    <row r="587" customFormat="false" ht="13.8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0.13201695</v>
      </c>
    </row>
    <row r="588" customFormat="false" ht="13.8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0.1522335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0.185283433333333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0.130350033333333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0.174916883333333</v>
      </c>
    </row>
    <row r="592" customFormat="false" ht="13.8" hidden="false" customHeight="false" outlineLevel="0" collapsed="false">
      <c r="B592" s="2" t="n">
        <v>590</v>
      </c>
      <c r="C592" s="2" t="n">
        <v>9.96363449692728E-011</v>
      </c>
      <c r="D592" s="2" t="n">
        <v>9.96363449692728E-011</v>
      </c>
      <c r="E592" s="2" t="n">
        <v>0.1430001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0.1627334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0.16231675</v>
      </c>
    </row>
    <row r="595" customFormat="false" ht="13.8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0.125517016666667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0.157683433333333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0.162716833333333</v>
      </c>
    </row>
    <row r="598" customFormat="false" ht="13.8" hidden="false" customHeight="false" outlineLevel="0" collapsed="false">
      <c r="B598" s="2" t="n">
        <v>596</v>
      </c>
      <c r="C598" s="2" t="n">
        <v>1.18527099430561E-010</v>
      </c>
      <c r="D598" s="2" t="n">
        <v>1.1852709966898E-010</v>
      </c>
      <c r="E598" s="2" t="n">
        <v>0.135666966666667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9.96433258652689E-011</v>
      </c>
      <c r="E599" s="2" t="n">
        <v>0.175016833333333</v>
      </c>
    </row>
    <row r="600" customFormat="false" ht="13.8" hidden="false" customHeight="false" outlineLevel="0" collapsed="false">
      <c r="B600" s="2" t="n">
        <v>598</v>
      </c>
      <c r="C600" s="2" t="n">
        <v>0</v>
      </c>
      <c r="D600" s="2" t="n">
        <v>0</v>
      </c>
      <c r="E600" s="2" t="n">
        <v>0.114768092610122</v>
      </c>
    </row>
    <row r="601" customFormat="false" ht="13.8" hidden="false" customHeight="false" outlineLevel="0" collapsed="false">
      <c r="B601" s="2" t="n">
        <v>599</v>
      </c>
      <c r="C601" s="2" t="n">
        <v>0</v>
      </c>
      <c r="D601" s="2" t="n">
        <v>0</v>
      </c>
      <c r="E601" s="2" t="n">
        <v>0.0691351852202442</v>
      </c>
    </row>
    <row r="602" customFormat="false" ht="13.8" hidden="false" customHeight="false" outlineLevel="0" collapsed="false">
      <c r="B602" s="2" t="n">
        <v>600</v>
      </c>
      <c r="C602" s="2" t="n">
        <v>9.53674316406251E-019</v>
      </c>
      <c r="D602" s="2" t="n">
        <v>1.18531822264195E-010</v>
      </c>
      <c r="E602" s="2" t="n">
        <v>0.0509528111636996</v>
      </c>
    </row>
    <row r="603" customFormat="false" ht="13.8" hidden="false" customHeight="false" outlineLevel="0" collapsed="false">
      <c r="B603" s="2" t="n">
        <v>601</v>
      </c>
      <c r="C603" s="2" t="n">
        <v>0</v>
      </c>
      <c r="D603" s="2" t="n">
        <v>0</v>
      </c>
      <c r="E603" s="2" t="n">
        <v>0.0310375537738216</v>
      </c>
    </row>
    <row r="604" customFormat="false" ht="13.8" hidden="false" customHeight="false" outlineLevel="0" collapsed="false">
      <c r="B604" s="2" t="n">
        <v>602</v>
      </c>
      <c r="C604" s="2" t="n">
        <v>0</v>
      </c>
      <c r="D604" s="2" t="n">
        <v>6.62273830837675E-020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1.05963812934028E-018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4.23855251736112E-018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9.53674316406351E-019</v>
      </c>
      <c r="D624" s="2" t="n">
        <v>0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6.62273830837675E-020</v>
      </c>
      <c r="D626" s="2" t="n">
        <v>0</v>
      </c>
      <c r="E626" s="2" t="n">
        <v>0</v>
      </c>
    </row>
    <row r="627" customFormat="false" ht="13.8" hidden="false" customHeight="false" outlineLevel="0" collapsed="false">
      <c r="B627" s="2" t="n">
        <v>625</v>
      </c>
      <c r="C627" s="2" t="n">
        <v>0</v>
      </c>
      <c r="D627" s="2" t="n">
        <v>0</v>
      </c>
      <c r="E627" s="2" t="n">
        <v>0</v>
      </c>
    </row>
    <row r="628" customFormat="false" ht="13.8" hidden="false" customHeight="false" outlineLevel="0" collapsed="false">
      <c r="B628" s="2" t="n">
        <v>626</v>
      </c>
      <c r="C628" s="2" t="n">
        <v>9.53674316406351E-019</v>
      </c>
      <c r="D628" s="2" t="n">
        <v>0</v>
      </c>
      <c r="E628" s="2" t="n">
        <v>0</v>
      </c>
    </row>
    <row r="629" customFormat="false" ht="13.8" hidden="false" customHeight="false" outlineLevel="0" collapsed="false">
      <c r="B629" s="2" t="n">
        <v>627</v>
      </c>
      <c r="C629" s="2" t="n">
        <v>0</v>
      </c>
      <c r="D629" s="2" t="n">
        <v>0</v>
      </c>
      <c r="E629" s="2" t="n">
        <v>0</v>
      </c>
    </row>
    <row r="630" customFormat="false" ht="13.8" hidden="false" customHeight="false" outlineLevel="0" collapsed="false">
      <c r="B630" s="2" t="n">
        <v>628</v>
      </c>
      <c r="C630" s="2" t="n">
        <v>0</v>
      </c>
      <c r="D630" s="2" t="n">
        <v>0</v>
      </c>
      <c r="E630" s="2" t="n">
        <v>4.29153450422928E-018</v>
      </c>
    </row>
    <row r="631" customFormat="false" ht="13.8" hidden="false" customHeight="false" outlineLevel="0" collapsed="false">
      <c r="B631" s="2" t="n">
        <v>629</v>
      </c>
      <c r="C631" s="2" t="n">
        <v>0</v>
      </c>
      <c r="D631" s="2" t="n">
        <v>0</v>
      </c>
      <c r="E631" s="2" t="n">
        <v>9.53674318391455E-019</v>
      </c>
    </row>
    <row r="632" customFormat="false" ht="13.8" hidden="false" customHeight="false" outlineLevel="0" collapsed="false">
      <c r="B632" s="2" t="n">
        <v>630</v>
      </c>
      <c r="C632" s="2" t="n">
        <v>0</v>
      </c>
      <c r="D632" s="2" t="n">
        <v>1.69542100694445E-017</v>
      </c>
      <c r="E632" s="2" t="n">
        <v>9.53674317729714E-019</v>
      </c>
    </row>
    <row r="633" customFormat="false" ht="13.8" hidden="false" customHeight="false" outlineLevel="0" collapsed="false">
      <c r="B633" s="2" t="n">
        <v>631</v>
      </c>
      <c r="C633" s="2" t="n">
        <v>2.38418579132581E-019</v>
      </c>
      <c r="D633" s="2" t="n">
        <v>0</v>
      </c>
      <c r="E633" s="2" t="n">
        <v>0</v>
      </c>
    </row>
    <row r="634" customFormat="false" ht="13.8" hidden="false" customHeight="false" outlineLevel="0" collapsed="false">
      <c r="B634" s="2" t="n">
        <v>632</v>
      </c>
      <c r="C634" s="2" t="n">
        <v>0</v>
      </c>
      <c r="D634" s="2" t="n">
        <v>0</v>
      </c>
      <c r="E634" s="2" t="n">
        <v>4.76837158401643E-019</v>
      </c>
    </row>
    <row r="635" customFormat="false" ht="13.8" hidden="false" customHeight="false" outlineLevel="0" collapsed="false">
      <c r="B635" s="2" t="n">
        <v>633</v>
      </c>
      <c r="C635" s="2" t="n">
        <v>2.11927625868056E-018</v>
      </c>
      <c r="D635" s="2" t="n">
        <v>1.69542100694445E-017</v>
      </c>
      <c r="E635" s="2" t="n">
        <v>3.48620944559569E-017</v>
      </c>
    </row>
    <row r="636" customFormat="false" ht="13.8" hidden="false" customHeight="false" outlineLevel="0" collapsed="false">
      <c r="B636" s="2" t="n">
        <v>634</v>
      </c>
      <c r="C636" s="2" t="n">
        <v>0</v>
      </c>
      <c r="D636" s="2" t="n">
        <v>0</v>
      </c>
      <c r="E636" s="2" t="n">
        <v>3.8146972747E-018</v>
      </c>
    </row>
    <row r="637" customFormat="false" ht="13.8" hidden="false" customHeight="false" outlineLevel="0" collapsed="false">
      <c r="B637" s="2" t="n">
        <v>635</v>
      </c>
      <c r="C637" s="2" t="n">
        <v>4.76837158285838E-019</v>
      </c>
      <c r="D637" s="2" t="n">
        <v>0</v>
      </c>
      <c r="E637" s="2" t="n">
        <v>9.53674316902537E-019</v>
      </c>
    </row>
    <row r="638" customFormat="false" ht="13.8" hidden="false" customHeight="false" outlineLevel="0" collapsed="false">
      <c r="B638" s="2" t="n">
        <v>636</v>
      </c>
      <c r="C638" s="2" t="n">
        <v>0</v>
      </c>
      <c r="D638" s="2" t="n">
        <v>0</v>
      </c>
      <c r="E638" s="2" t="n">
        <v>0</v>
      </c>
    </row>
    <row r="639" customFormat="false" ht="13.8" hidden="false" customHeight="false" outlineLevel="0" collapsed="false">
      <c r="B639" s="2" t="n">
        <v>637</v>
      </c>
      <c r="C639" s="2" t="n">
        <v>2.11927625868056E-018</v>
      </c>
      <c r="D639" s="2" t="n">
        <v>0</v>
      </c>
      <c r="E639" s="2" t="n">
        <v>0</v>
      </c>
    </row>
    <row r="640" customFormat="false" ht="13.8" hidden="false" customHeight="false" outlineLevel="0" collapsed="false">
      <c r="B640" s="2" t="n">
        <v>638</v>
      </c>
      <c r="C640" s="2" t="n">
        <v>0</v>
      </c>
      <c r="D640" s="2" t="n">
        <v>0</v>
      </c>
      <c r="E640" s="2" t="n">
        <v>0</v>
      </c>
    </row>
    <row r="641" customFormat="false" ht="13.8" hidden="false" customHeight="false" outlineLevel="0" collapsed="false">
      <c r="B641" s="2" t="n">
        <v>639</v>
      </c>
      <c r="C641" s="2" t="n">
        <v>0.0181927492098395</v>
      </c>
      <c r="D641" s="2" t="n">
        <v>0</v>
      </c>
      <c r="E641" s="2" t="n">
        <v>0.0305593527216582</v>
      </c>
    </row>
    <row r="642" customFormat="false" ht="13.8" hidden="false" customHeight="false" outlineLevel="0" collapsed="false">
      <c r="B642" s="2" t="n">
        <v>640</v>
      </c>
      <c r="C642" s="2" t="n">
        <v>0.0592440406253213</v>
      </c>
      <c r="D642" s="2" t="n">
        <v>0</v>
      </c>
      <c r="E642" s="2" t="n">
        <v>0.0499061137906382</v>
      </c>
    </row>
    <row r="643" customFormat="false" ht="13.8" hidden="false" customHeight="false" outlineLevel="0" collapsed="false">
      <c r="B643" s="2" t="n">
        <v>641</v>
      </c>
      <c r="C643" s="2" t="n">
        <v>0.0482953320408031</v>
      </c>
      <c r="D643" s="2" t="n">
        <v>0</v>
      </c>
      <c r="E643" s="2" t="n">
        <v>0.134885924859618</v>
      </c>
    </row>
    <row r="644" customFormat="false" ht="13.8" hidden="false" customHeight="false" outlineLevel="0" collapsed="false">
      <c r="B644" s="2" t="n">
        <v>642</v>
      </c>
      <c r="C644" s="2" t="n">
        <v>0.0259856938278706</v>
      </c>
      <c r="D644" s="2" t="n">
        <v>0</v>
      </c>
      <c r="E644" s="2" t="n">
        <v>0.0953767616867149</v>
      </c>
    </row>
    <row r="645" customFormat="false" ht="13.8" hidden="false" customHeight="false" outlineLevel="0" collapsed="false">
      <c r="B645" s="2" t="n">
        <v>643</v>
      </c>
      <c r="C645" s="2" t="n">
        <v>0.0144230837132494</v>
      </c>
      <c r="D645" s="2" t="n">
        <v>0</v>
      </c>
      <c r="E645" s="2" t="n">
        <v>0.0556203537488337</v>
      </c>
    </row>
    <row r="646" customFormat="false" ht="13.8" hidden="false" customHeight="false" outlineLevel="0" collapsed="false">
      <c r="B646" s="2" t="n">
        <v>644</v>
      </c>
      <c r="C646" s="2" t="n">
        <v>4.7683715820313E-019</v>
      </c>
      <c r="D646" s="2" t="n">
        <v>0</v>
      </c>
      <c r="E646" s="2" t="n">
        <v>0.0670076360762473</v>
      </c>
    </row>
    <row r="647" customFormat="false" ht="13.8" hidden="false" customHeight="false" outlineLevel="0" collapsed="false">
      <c r="B647" s="2" t="n">
        <v>645</v>
      </c>
      <c r="C647" s="2" t="n">
        <v>0</v>
      </c>
      <c r="D647" s="2" t="n">
        <v>0</v>
      </c>
      <c r="E647" s="2" t="n">
        <v>0.109205118023745</v>
      </c>
    </row>
    <row r="648" customFormat="false" ht="13.8" hidden="false" customHeight="false" outlineLevel="0" collapsed="false">
      <c r="B648" s="2" t="n">
        <v>646</v>
      </c>
      <c r="C648" s="2" t="n">
        <v>0</v>
      </c>
      <c r="D648" s="2" t="n">
        <v>0</v>
      </c>
      <c r="E648" s="2" t="n">
        <v>0.0639543301844753</v>
      </c>
    </row>
    <row r="649" customFormat="false" ht="13.8" hidden="false" customHeight="false" outlineLevel="0" collapsed="false">
      <c r="B649" s="2" t="n">
        <v>647</v>
      </c>
      <c r="C649" s="2" t="n">
        <v>0</v>
      </c>
      <c r="D649" s="2" t="n">
        <v>0</v>
      </c>
      <c r="E649" s="2" t="n">
        <v>0.121636859011872</v>
      </c>
    </row>
    <row r="650" customFormat="false" ht="13.8" hidden="false" customHeight="false" outlineLevel="0" collapsed="false">
      <c r="B650" s="2" t="n">
        <v>648</v>
      </c>
      <c r="C650" s="2" t="n">
        <v>0</v>
      </c>
      <c r="D650" s="2" t="n">
        <v>0</v>
      </c>
      <c r="E650" s="2" t="n">
        <v>0.10736898783927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0.11896865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0.1259687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0.0933333333333333</v>
      </c>
      <c r="E653" s="2" t="n">
        <v>0.146651783333333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0.1</v>
      </c>
      <c r="E654" s="2" t="n">
        <v>0.136419316666667</v>
      </c>
    </row>
    <row r="655" customFormat="false" ht="13.8" hidden="false" customHeight="false" outlineLevel="0" collapsed="false">
      <c r="B655" s="2" t="n">
        <v>653</v>
      </c>
      <c r="C655" s="2" t="n">
        <v>2.74877906918526E-010</v>
      </c>
      <c r="D655" s="2" t="n">
        <v>0.1</v>
      </c>
      <c r="E655" s="2" t="n">
        <v>0.09732015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0.1</v>
      </c>
      <c r="E656" s="2" t="n">
        <v>0.115269833333333</v>
      </c>
    </row>
    <row r="657" customFormat="false" ht="13.8" hidden="false" customHeight="false" outlineLevel="0" collapsed="false">
      <c r="B657" s="2" t="n">
        <v>655</v>
      </c>
      <c r="C657" s="2" t="n">
        <v>9.53674316406266E-019</v>
      </c>
      <c r="D657" s="2" t="n">
        <v>0.1</v>
      </c>
      <c r="E657" s="2" t="n">
        <v>0.167602516666667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0.1</v>
      </c>
      <c r="E658" s="2" t="n">
        <v>0.13750325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0.1</v>
      </c>
      <c r="E659" s="2" t="n">
        <v>0.0955536333333333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0.1</v>
      </c>
      <c r="E660" s="2" t="n">
        <v>0.151153483333333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0.1</v>
      </c>
      <c r="E661" s="2" t="n">
        <v>0.0905702333333333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0.1</v>
      </c>
      <c r="E662" s="2" t="n">
        <v>0.1450202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0.1</v>
      </c>
      <c r="E663" s="2" t="n">
        <v>0.10792055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0.1</v>
      </c>
      <c r="E664" s="2" t="n">
        <v>0.1277205</v>
      </c>
    </row>
    <row r="665" customFormat="false" ht="13.8" hidden="false" customHeight="false" outlineLevel="0" collapsed="false">
      <c r="B665" s="2" t="n">
        <v>663</v>
      </c>
      <c r="C665" s="2" t="n">
        <v>2.74877906933427E-010</v>
      </c>
      <c r="D665" s="2" t="n">
        <v>0.1</v>
      </c>
      <c r="E665" s="2" t="n">
        <v>0.103721233333333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0.1</v>
      </c>
      <c r="E666" s="2" t="n">
        <v>0.110454383333333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0.1</v>
      </c>
      <c r="E667" s="2" t="n">
        <v>0.09447125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0.1</v>
      </c>
      <c r="E668" s="2" t="n">
        <v>0.1025214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0.1</v>
      </c>
      <c r="E669" s="2" t="n">
        <v>0.0793206833333333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0.1</v>
      </c>
      <c r="E670" s="2" t="n">
        <v>0.129570366666667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0.1</v>
      </c>
      <c r="E671" s="2" t="n">
        <v>0.0759208166666667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0.0345032843455927</v>
      </c>
      <c r="E672" s="2" t="n">
        <v>0.172250598987741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0.1897371</v>
      </c>
    </row>
    <row r="674" customFormat="false" ht="13.8" hidden="false" customHeight="false" outlineLevel="0" collapsed="false">
      <c r="B674" s="2" t="n">
        <v>672</v>
      </c>
      <c r="C674" s="2" t="n">
        <v>0.0537541666666667</v>
      </c>
      <c r="D674" s="2" t="n">
        <v>0.0933333333333333</v>
      </c>
      <c r="E674" s="2" t="n">
        <v>2.5E-007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0.115889477108589</v>
      </c>
      <c r="D3" s="2" t="n">
        <v>1.60694001076388</v>
      </c>
      <c r="E3" s="2" t="n">
        <v>5.52107972085582</v>
      </c>
    </row>
    <row r="4" customFormat="false" ht="13.8" hidden="false" customHeight="false" outlineLevel="0" collapsed="false">
      <c r="B4" s="2" t="n">
        <v>2</v>
      </c>
      <c r="C4" s="2" t="n">
        <v>0.0621266700656699</v>
      </c>
      <c r="D4" s="2" t="n">
        <v>1.60692394136377</v>
      </c>
      <c r="E4" s="2" t="n">
        <v>5.50880228783639</v>
      </c>
    </row>
    <row r="5" customFormat="false" ht="13.8" hidden="false" customHeight="false" outlineLevel="0" collapsed="false">
      <c r="B5" s="2" t="n">
        <v>3</v>
      </c>
      <c r="C5" s="2" t="n">
        <v>0.000809085836006231</v>
      </c>
      <c r="D5" s="2" t="n">
        <v>1.60690787212436</v>
      </c>
      <c r="E5" s="2" t="n">
        <v>5.4931915887024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1.5698547660086</v>
      </c>
      <c r="E6" s="2" t="n">
        <v>5.42375929008722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1.45872795634983</v>
      </c>
      <c r="E7" s="2" t="n">
        <v>5.33676012656839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1.34760225795915</v>
      </c>
      <c r="E8" s="2" t="n">
        <v>5.28033614785602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1.23647767082546</v>
      </c>
      <c r="E9" s="2" t="n">
        <v>5.19357949264269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1.12535419493764</v>
      </c>
      <c r="E10" s="2" t="n">
        <v>5.13561996425517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1.01423183028458</v>
      </c>
      <c r="E11" s="2" t="n">
        <v>5.04751292287034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0.903110576855167</v>
      </c>
      <c r="E12" s="2" t="n">
        <v>4.99073992922259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0.791990434638288</v>
      </c>
      <c r="E13" s="2" t="n">
        <v>4.95235635515663</v>
      </c>
    </row>
    <row r="14" customFormat="false" ht="13.8" hidden="false" customHeight="false" outlineLevel="0" collapsed="false">
      <c r="B14" s="2" t="n">
        <v>12</v>
      </c>
      <c r="C14" s="2" t="n">
        <v>1.19643368171156E-008</v>
      </c>
      <c r="D14" s="2" t="n">
        <v>0.68087140362283</v>
      </c>
      <c r="E14" s="2" t="n">
        <v>4.87645479455605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0.569753483797683</v>
      </c>
      <c r="E15" s="2" t="n">
        <v>4.77579478926736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0.458636675151734</v>
      </c>
      <c r="E16" s="2" t="n">
        <v>4.66670995724539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0.347520977673871</v>
      </c>
      <c r="E17" s="2" t="n">
        <v>4.59103364199767</v>
      </c>
    </row>
    <row r="18" customFormat="false" ht="13.8" hidden="false" customHeight="false" outlineLevel="0" collapsed="false">
      <c r="B18" s="2" t="n">
        <v>16</v>
      </c>
      <c r="C18" s="2" t="n">
        <v>1.18121611564309E-008</v>
      </c>
      <c r="D18" s="2" t="n">
        <v>0.236406391352983</v>
      </c>
      <c r="E18" s="2" t="n">
        <v>4.4971171761057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0.125292916177959</v>
      </c>
      <c r="E19" s="2" t="n">
        <v>4.44907168641542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0.0141805521376857</v>
      </c>
      <c r="E20" s="2" t="n">
        <v>4.33056397347633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4.18666383742802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3.98623260041928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3.79141447883401</v>
      </c>
    </row>
    <row r="24" customFormat="false" ht="13.8" hidden="false" customHeight="false" outlineLevel="0" collapsed="false">
      <c r="B24" s="2" t="n">
        <v>22</v>
      </c>
      <c r="C24" s="2" t="n">
        <v>1.19655580569804E-008</v>
      </c>
      <c r="D24" s="2" t="n">
        <v>0</v>
      </c>
      <c r="E24" s="2" t="n">
        <v>3.68707871347969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3.63344599212535</v>
      </c>
    </row>
    <row r="26" customFormat="false" ht="13.8" hidden="false" customHeight="false" outlineLevel="0" collapsed="false">
      <c r="B26" s="2" t="n">
        <v>24</v>
      </c>
      <c r="C26" s="2" t="n">
        <v>1.19658023195565E-008</v>
      </c>
      <c r="D26" s="2" t="n">
        <v>0</v>
      </c>
      <c r="E26" s="2" t="n">
        <v>3.51292334477757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0</v>
      </c>
      <c r="E27" s="2" t="n">
        <v>3.44265971811341</v>
      </c>
    </row>
    <row r="28" customFormat="false" ht="13.8" hidden="false" customHeight="false" outlineLevel="0" collapsed="false">
      <c r="B28" s="2" t="n">
        <v>26</v>
      </c>
      <c r="C28" s="2" t="n">
        <v>0</v>
      </c>
      <c r="D28" s="2" t="n">
        <v>0</v>
      </c>
      <c r="E28" s="2" t="n">
        <v>3.33750550643373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3.29412763271845</v>
      </c>
    </row>
    <row r="30" customFormat="false" ht="13.8" hidden="false" customHeight="false" outlineLevel="0" collapsed="false">
      <c r="B30" s="2" t="n">
        <v>28</v>
      </c>
      <c r="C30" s="2" t="n">
        <v>1.19662908594608E-008</v>
      </c>
      <c r="D30" s="2" t="n">
        <v>0</v>
      </c>
      <c r="E30" s="2" t="n">
        <v>3.22517327550051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3.21923583869287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0.0100563343521978</v>
      </c>
      <c r="E32" s="2" t="n">
        <v>3.21920364633448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0.0265084520969492</v>
      </c>
      <c r="E33" s="2" t="n">
        <v>3.21917145429802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0.0485408516885426</v>
      </c>
      <c r="E34" s="2" t="n">
        <v>3.21913926258347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0.0761534773241594</v>
      </c>
      <c r="E35" s="2" t="n">
        <v>3.21910707119085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0.105479801312939</v>
      </c>
      <c r="E36" s="2" t="n">
        <v>3.21907488012014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0.136519806517897</v>
      </c>
      <c r="E37" s="2" t="n">
        <v>3.21904268937134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0.169273475802223</v>
      </c>
      <c r="E38" s="2" t="n">
        <v>3.21901049894444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0.203740792029274</v>
      </c>
      <c r="E39" s="2" t="n">
        <v>3.21897830883945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0.249997044460668</v>
      </c>
      <c r="E40" s="2" t="n">
        <v>3.21894611905636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0.308042115207042</v>
      </c>
      <c r="E41" s="2" t="n">
        <v>3.21891392959517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0.377875886380214</v>
      </c>
      <c r="E42" s="2" t="n">
        <v>3.21888174045588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0.459498240093178</v>
      </c>
      <c r="E43" s="2" t="n">
        <v>3.21884955163847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0.542814385118753</v>
      </c>
      <c r="E44" s="2" t="n">
        <v>3.21881736314296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0.627824304519027</v>
      </c>
      <c r="E45" s="2" t="n">
        <v>3.21878517496933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0.714527981356256</v>
      </c>
      <c r="E46" s="2" t="n">
        <v>3.21875298711758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0.802925398692865</v>
      </c>
      <c r="E47" s="2" t="n">
        <v>3.21872079958771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0.891647365869896</v>
      </c>
      <c r="E48" s="2" t="n">
        <v>3.8248983071428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0.98069387964185</v>
      </c>
      <c r="E49" s="2" t="n">
        <v>4.46271643908227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1.07006493676326</v>
      </c>
      <c r="E50" s="2" t="n">
        <v>4.46267181191788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1.1597605339887</v>
      </c>
      <c r="E51" s="2" t="n">
        <v>4.46262718519976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1.25011647703553</v>
      </c>
      <c r="E52" s="2" t="n">
        <v>4.46258255892791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1.3411327593003</v>
      </c>
      <c r="E53" s="2" t="n">
        <v>4.46253793310232</v>
      </c>
    </row>
    <row r="54" customFormat="false" ht="13.8" hidden="false" customHeight="false" outlineLevel="0" collapsed="false">
      <c r="B54" s="2" t="n">
        <v>52</v>
      </c>
      <c r="C54" s="2" t="n">
        <v>0.0159729432510012</v>
      </c>
      <c r="D54" s="2" t="n">
        <v>1.43280937417963</v>
      </c>
      <c r="E54" s="2" t="n">
        <v>4.46249330772299</v>
      </c>
    </row>
    <row r="55" customFormat="false" ht="13.8" hidden="false" customHeight="false" outlineLevel="0" collapsed="false">
      <c r="B55" s="2" t="n">
        <v>53</v>
      </c>
      <c r="C55" s="2" t="n">
        <v>0.041505486387833</v>
      </c>
      <c r="D55" s="2" t="n">
        <v>1.52514631507017</v>
      </c>
      <c r="E55" s="2" t="n">
        <v>4.46244868278992</v>
      </c>
    </row>
    <row r="56" customFormat="false" ht="13.8" hidden="false" customHeight="false" outlineLevel="0" collapsed="false">
      <c r="B56" s="2" t="n">
        <v>54</v>
      </c>
      <c r="C56" s="2" t="n">
        <v>0.0759482151079952</v>
      </c>
      <c r="D56" s="2" t="n">
        <v>1.61442028052497</v>
      </c>
      <c r="E56" s="2" t="n">
        <v>5.0119823318864</v>
      </c>
    </row>
    <row r="57" customFormat="false" ht="13.8" hidden="false" customHeight="false" outlineLevel="0" collapsed="false">
      <c r="B57" s="2" t="n">
        <v>55</v>
      </c>
      <c r="C57" s="2" t="n">
        <v>0.101376670309632</v>
      </c>
      <c r="D57" s="2" t="n">
        <v>1.70063130117377</v>
      </c>
      <c r="E57" s="2" t="n">
        <v>5.01193221206308</v>
      </c>
    </row>
    <row r="58" customFormat="false" ht="13.8" hidden="false" customHeight="false" outlineLevel="0" collapsed="false">
      <c r="B58" s="2" t="n">
        <v>56</v>
      </c>
      <c r="C58" s="2" t="n">
        <v>0.129491002135478</v>
      </c>
      <c r="D58" s="2" t="n">
        <v>1.78377940764603</v>
      </c>
      <c r="E58" s="2" t="n">
        <v>5.59968375387327</v>
      </c>
    </row>
    <row r="59" customFormat="false" ht="13.8" hidden="false" customHeight="false" outlineLevel="0" collapsed="false">
      <c r="B59" s="2" t="n">
        <v>57</v>
      </c>
      <c r="C59" s="2" t="n">
        <v>0.166740913726768</v>
      </c>
      <c r="D59" s="2" t="n">
        <v>1.86386463057088</v>
      </c>
      <c r="E59" s="2" t="n">
        <v>5.59962775703573</v>
      </c>
    </row>
    <row r="60" customFormat="false" ht="13.8" hidden="false" customHeight="false" outlineLevel="0" collapsed="false">
      <c r="B60" s="2" t="n">
        <v>58</v>
      </c>
      <c r="C60" s="2" t="n">
        <v>0.174188103759519</v>
      </c>
      <c r="D60" s="2" t="n">
        <v>1.9355033361863</v>
      </c>
      <c r="E60" s="2" t="n">
        <v>6.12621836606644</v>
      </c>
    </row>
    <row r="61" customFormat="false" ht="13.8" hidden="false" customHeight="false" outlineLevel="0" collapsed="false">
      <c r="B61" s="2" t="n">
        <v>59</v>
      </c>
      <c r="C61" s="2" t="n">
        <v>0.184607930260947</v>
      </c>
      <c r="D61" s="2" t="n">
        <v>1.99869560895747</v>
      </c>
      <c r="E61" s="2" t="n">
        <v>6.55838451209253</v>
      </c>
    </row>
    <row r="62" customFormat="false" ht="13.8" hidden="false" customHeight="false" outlineLevel="0" collapsed="false">
      <c r="B62" s="2" t="n">
        <v>60</v>
      </c>
      <c r="C62" s="2" t="n">
        <v>0.184606084181645</v>
      </c>
      <c r="D62" s="2" t="n">
        <v>2.05344153334871</v>
      </c>
      <c r="E62" s="2" t="n">
        <v>6.92275135868167</v>
      </c>
    </row>
    <row r="63" customFormat="false" ht="13.8" hidden="false" customHeight="false" outlineLevel="0" collapsed="false">
      <c r="B63" s="2" t="n">
        <v>61</v>
      </c>
      <c r="C63" s="2" t="n">
        <v>0.184604238120803</v>
      </c>
      <c r="D63" s="2" t="n">
        <v>2.0997411938235</v>
      </c>
      <c r="E63" s="2" t="n">
        <v>7.22167746044439</v>
      </c>
    </row>
    <row r="64" customFormat="false" ht="13.8" hidden="false" customHeight="false" outlineLevel="0" collapsed="false">
      <c r="B64" s="2" t="n">
        <v>62</v>
      </c>
      <c r="C64" s="2" t="n">
        <v>0.184602392078422</v>
      </c>
      <c r="D64" s="2" t="n">
        <v>2.14172917139441</v>
      </c>
      <c r="E64" s="2" t="n">
        <v>7.4464109004575</v>
      </c>
    </row>
    <row r="65" customFormat="false" ht="13.8" hidden="false" customHeight="false" outlineLevel="0" collapsed="false">
      <c r="B65" s="2" t="n">
        <v>63</v>
      </c>
      <c r="C65" s="2" t="n">
        <v>0.184600546054501</v>
      </c>
      <c r="D65" s="2" t="n">
        <v>2.17940550917828</v>
      </c>
      <c r="E65" s="2" t="n">
        <v>7.44633643634849</v>
      </c>
    </row>
    <row r="66" customFormat="false" ht="13.8" hidden="false" customHeight="false" outlineLevel="0" collapsed="false">
      <c r="B66" s="2" t="n">
        <v>64</v>
      </c>
      <c r="C66" s="2" t="n">
        <v>0.18459870004904</v>
      </c>
      <c r="D66" s="2" t="n">
        <v>2.2127702502915</v>
      </c>
      <c r="E66" s="2" t="n">
        <v>7.44626197298413</v>
      </c>
    </row>
    <row r="67" customFormat="false" ht="13.8" hidden="false" customHeight="false" outlineLevel="0" collapsed="false">
      <c r="B67" s="2" t="n">
        <v>65</v>
      </c>
      <c r="C67" s="2" t="n">
        <v>0.18459685406204</v>
      </c>
      <c r="D67" s="2" t="n">
        <v>2.24182343785004</v>
      </c>
      <c r="E67" s="2" t="n">
        <v>7.4461875103644</v>
      </c>
    </row>
    <row r="68" customFormat="false" ht="13.8" hidden="false" customHeight="false" outlineLevel="0" collapsed="false">
      <c r="B68" s="2" t="n">
        <v>66</v>
      </c>
      <c r="C68" s="2" t="n">
        <v>0.184595008093499</v>
      </c>
      <c r="D68" s="2" t="n">
        <v>2.26648522632844</v>
      </c>
      <c r="E68" s="2" t="n">
        <v>7.4461130484893</v>
      </c>
    </row>
    <row r="69" customFormat="false" ht="13.8" hidden="false" customHeight="false" outlineLevel="0" collapsed="false">
      <c r="B69" s="2" t="n">
        <v>67</v>
      </c>
      <c r="C69" s="2" t="n">
        <v>0.184593162143418</v>
      </c>
      <c r="D69" s="2" t="n">
        <v>2.28675565964069</v>
      </c>
      <c r="E69" s="2" t="n">
        <v>7.44603858735881</v>
      </c>
    </row>
    <row r="70" customFormat="false" ht="13.8" hidden="false" customHeight="false" outlineLevel="0" collapsed="false">
      <c r="B70" s="2" t="n">
        <v>68</v>
      </c>
      <c r="C70" s="2" t="n">
        <v>0.184591316211797</v>
      </c>
      <c r="D70" s="2" t="n">
        <v>2.29562858680554</v>
      </c>
      <c r="E70" s="2" t="n">
        <v>7.44596412697294</v>
      </c>
    </row>
    <row r="71" customFormat="false" ht="13.8" hidden="false" customHeight="false" outlineLevel="0" collapsed="false">
      <c r="B71" s="2" t="n">
        <v>69</v>
      </c>
      <c r="C71" s="2" t="n">
        <v>0.184589470298635</v>
      </c>
      <c r="D71" s="2" t="n">
        <v>2.29560563051967</v>
      </c>
      <c r="E71" s="2" t="n">
        <v>7.4153691353615</v>
      </c>
    </row>
    <row r="72" customFormat="false" ht="13.8" hidden="false" customHeight="false" outlineLevel="0" collapsed="false">
      <c r="B72" s="2" t="n">
        <v>70</v>
      </c>
      <c r="C72" s="2" t="n">
        <v>0.184587624403932</v>
      </c>
      <c r="D72" s="2" t="n">
        <v>2.29558267446337</v>
      </c>
      <c r="E72" s="2" t="n">
        <v>7.30336729565549</v>
      </c>
    </row>
    <row r="73" customFormat="false" ht="13.8" hidden="false" customHeight="false" outlineLevel="0" collapsed="false">
      <c r="B73" s="2" t="n">
        <v>71</v>
      </c>
      <c r="C73" s="2" t="n">
        <v>0.184585778527688</v>
      </c>
      <c r="D73" s="2" t="n">
        <v>2.29555971863662</v>
      </c>
      <c r="E73" s="2" t="n">
        <v>7.15368166266411</v>
      </c>
    </row>
    <row r="74" customFormat="false" ht="13.8" hidden="false" customHeight="false" outlineLevel="0" collapsed="false">
      <c r="B74" s="2" t="n">
        <v>72</v>
      </c>
      <c r="C74" s="2" t="n">
        <v>0.128932545191495</v>
      </c>
      <c r="D74" s="2" t="n">
        <v>2.29553676303944</v>
      </c>
      <c r="E74" s="2" t="n">
        <v>7.01281574144447</v>
      </c>
    </row>
    <row r="75" customFormat="false" ht="13.8" hidden="false" customHeight="false" outlineLevel="0" collapsed="false">
      <c r="B75" s="2" t="n">
        <v>73</v>
      </c>
      <c r="C75" s="2" t="n">
        <v>0.0505046817919691</v>
      </c>
      <c r="D75" s="2" t="n">
        <v>2.29551380767181</v>
      </c>
      <c r="E75" s="2" t="n">
        <v>6.88589324291668</v>
      </c>
    </row>
    <row r="76" customFormat="false" ht="13.8" hidden="false" customHeight="false" outlineLevel="0" collapsed="false">
      <c r="B76" s="2" t="n">
        <v>74</v>
      </c>
      <c r="C76" s="2" t="n">
        <v>0.0505041767451512</v>
      </c>
      <c r="D76" s="2" t="n">
        <v>2.29549085253373</v>
      </c>
      <c r="E76" s="2" t="n">
        <v>6.66480442102129</v>
      </c>
    </row>
    <row r="77" customFormat="false" ht="13.8" hidden="false" customHeight="false" outlineLevel="0" collapsed="false">
      <c r="B77" s="2" t="n">
        <v>75</v>
      </c>
      <c r="C77" s="2" t="n">
        <v>0.0505036717033837</v>
      </c>
      <c r="D77" s="2" t="n">
        <v>2.2954678976252</v>
      </c>
      <c r="E77" s="2" t="n">
        <v>6.46103201371782</v>
      </c>
    </row>
    <row r="78" customFormat="false" ht="13.8" hidden="false" customHeight="false" outlineLevel="0" collapsed="false">
      <c r="B78" s="2" t="n">
        <v>76</v>
      </c>
      <c r="C78" s="2" t="n">
        <v>4.76837158203126E-019</v>
      </c>
      <c r="D78" s="2" t="n">
        <v>2.29544494294623</v>
      </c>
      <c r="E78" s="2" t="n">
        <v>6.35874510710139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2.2954219884968</v>
      </c>
      <c r="E79" s="2" t="n">
        <v>6.18304837150217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2.25836199723988</v>
      </c>
      <c r="E80" s="2" t="n">
        <v>6.06998317064808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2.14722830250879</v>
      </c>
      <c r="E81" s="2" t="n">
        <v>5.88991876711267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2.03609571911466</v>
      </c>
      <c r="E82" s="2" t="n">
        <v>5.79228081236945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1.92496424704635</v>
      </c>
      <c r="E83" s="2" t="n">
        <v>5.63940337104281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1.81383388629277</v>
      </c>
      <c r="E84" s="2" t="n">
        <v>5.52743510663872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1.7027046368428</v>
      </c>
      <c r="E85" s="2" t="n">
        <v>5.38287581376914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1.59157649868532</v>
      </c>
      <c r="E86" s="2" t="n">
        <v>5.22411429982582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1.48044947180922</v>
      </c>
      <c r="E87" s="2" t="n">
        <v>5.08992791053467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1.36932355620339</v>
      </c>
      <c r="E88" s="2" t="n">
        <v>4.96205778903334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1.25819875185672</v>
      </c>
      <c r="E89" s="2" t="n">
        <v>4.84793024252953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1.14707505875809</v>
      </c>
      <c r="E90" s="2" t="n">
        <v>4.70156354100488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1.03595247689639</v>
      </c>
      <c r="E91" s="2" t="n">
        <v>4.59501284018429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0.92483100626051</v>
      </c>
      <c r="E92" s="2" t="n">
        <v>4.52883287153737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0.813710646839336</v>
      </c>
      <c r="E93" s="2" t="n">
        <v>4.4671169350605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0.702591398621757</v>
      </c>
      <c r="E94" s="2" t="n">
        <v>4.33743909722449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0.59147326159666</v>
      </c>
      <c r="E95" s="2" t="n">
        <v>4.27706003764833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0.480356235752932</v>
      </c>
      <c r="E96" s="2" t="n">
        <v>4.11690400778869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0.369240321079464</v>
      </c>
      <c r="E97" s="2" t="n">
        <v>4.07097124615602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0.265532924972549</v>
      </c>
      <c r="E98" s="2" t="n">
        <v>4.03120514755467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0.154419158532189</v>
      </c>
      <c r="E99" s="2" t="n">
        <v>3.98188344661431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0.0433065032294921</v>
      </c>
      <c r="E100" s="2" t="n">
        <v>3.83591585000206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3.70807093137839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3.50614360992834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3.3347380114552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3.17024133074176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2.96839473943956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2.80997596289957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2.63855852980661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2.47806916273983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2.27909978945561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2.11611370216142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1.9288700410244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1.74898012269436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1.58298094770795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1.39270558086143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1.23324720936118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1.04595693244464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0.868909343245688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0.728992931930033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0.522374512371084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0.394292706795066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0.23924721131732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0.046127036315486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0</v>
      </c>
      <c r="E123" s="2" t="n">
        <v>0.0497946499130245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3.05403098906577E-009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0.0770866593045855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0.158190496794614</v>
      </c>
      <c r="E137" s="2" t="n">
        <v>1.27522305971235E-008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0.243311472298303</v>
      </c>
      <c r="E138" s="2" t="n">
        <v>9.89407095581295E-010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0.332449545644273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0.384325387182359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0.477022801244728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0.571499663760731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0.667755956935883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0.765261492903854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0.864016259172216</v>
      </c>
      <c r="E145" s="2" t="n">
        <v>0.705743908736781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0.964020243248665</v>
      </c>
      <c r="E146" s="2" t="n">
        <v>0.705736851297694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1.06527343264102</v>
      </c>
      <c r="E147" s="2" t="n">
        <v>0.705729793929181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1.16486212740988</v>
      </c>
      <c r="E148" s="2" t="n">
        <v>0.705722736631242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1.26278634420019</v>
      </c>
      <c r="E149" s="2" t="n">
        <v>0.705715679403875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1.35904609965671</v>
      </c>
      <c r="E150" s="2" t="n">
        <v>0.705708622247081</v>
      </c>
    </row>
    <row r="151" customFormat="false" ht="13.8" hidden="false" customHeight="false" outlineLevel="0" collapsed="false">
      <c r="B151" s="2" t="n">
        <v>149</v>
      </c>
      <c r="C151" s="2" t="n">
        <v>0.0406915906371832</v>
      </c>
      <c r="D151" s="2" t="n">
        <v>1.45364141042408</v>
      </c>
      <c r="E151" s="2" t="n">
        <v>1.37793152514643</v>
      </c>
    </row>
    <row r="152" customFormat="false" ht="13.8" hidden="false" customHeight="false" outlineLevel="0" collapsed="false">
      <c r="B152" s="2" t="n">
        <v>150</v>
      </c>
      <c r="C152" s="2" t="n">
        <v>0.0482387922444337</v>
      </c>
      <c r="D152" s="2" t="n">
        <v>1.54477324245223</v>
      </c>
      <c r="E152" s="2" t="n">
        <v>2.01294754634987</v>
      </c>
    </row>
    <row r="153" customFormat="false" ht="13.8" hidden="false" customHeight="false" outlineLevel="0" collapsed="false">
      <c r="B153" s="2" t="n">
        <v>151</v>
      </c>
      <c r="C153" s="2" t="n">
        <v>0.0964277941192798</v>
      </c>
      <c r="D153" s="2" t="n">
        <v>1.63244163037596</v>
      </c>
      <c r="E153" s="2" t="n">
        <v>2.63415699792623</v>
      </c>
    </row>
    <row r="154" customFormat="false" ht="13.8" hidden="false" customHeight="false" outlineLevel="0" collapsed="false">
      <c r="B154" s="2" t="n">
        <v>152</v>
      </c>
      <c r="C154" s="2" t="n">
        <v>0.0964268298413386</v>
      </c>
      <c r="D154" s="2" t="n">
        <v>1.71318337383208</v>
      </c>
      <c r="E154" s="2" t="n">
        <v>3.2181602579412</v>
      </c>
    </row>
    <row r="155" customFormat="false" ht="13.8" hidden="false" customHeight="false" outlineLevel="0" collapsed="false">
      <c r="B155" s="2" t="n">
        <v>153</v>
      </c>
      <c r="C155" s="2" t="n">
        <v>0.151229851315032</v>
      </c>
      <c r="D155" s="2" t="n">
        <v>1.79392501208228</v>
      </c>
      <c r="E155" s="2" t="n">
        <v>3.7881175784567</v>
      </c>
    </row>
    <row r="156" customFormat="false" ht="13.8" hidden="false" customHeight="false" outlineLevel="0" collapsed="false">
      <c r="B156" s="2" t="n">
        <v>154</v>
      </c>
      <c r="C156" s="2" t="n">
        <v>0.169881720298926</v>
      </c>
      <c r="D156" s="2" t="n">
        <v>1.86827821001963</v>
      </c>
      <c r="E156" s="2" t="n">
        <v>4.32799206101974</v>
      </c>
    </row>
    <row r="157" customFormat="false" ht="13.8" hidden="false" customHeight="false" outlineLevel="0" collapsed="false">
      <c r="B157" s="2" t="n">
        <v>155</v>
      </c>
      <c r="C157" s="2" t="n">
        <v>0.173082828304543</v>
      </c>
      <c r="D157" s="2" t="n">
        <v>1.93624303152855</v>
      </c>
      <c r="E157" s="2" t="n">
        <v>4.78271887145869</v>
      </c>
    </row>
    <row r="158" customFormat="false" ht="13.8" hidden="false" customHeight="false" outlineLevel="0" collapsed="false">
      <c r="B158" s="2" t="n">
        <v>156</v>
      </c>
      <c r="C158" s="2" t="n">
        <v>0.178233074839496</v>
      </c>
      <c r="D158" s="2" t="n">
        <v>1.99781954049278</v>
      </c>
      <c r="E158" s="2" t="n">
        <v>5.21970871125028</v>
      </c>
    </row>
    <row r="159" customFormat="false" ht="13.8" hidden="false" customHeight="false" outlineLevel="0" collapsed="false">
      <c r="B159" s="2" t="n">
        <v>157</v>
      </c>
      <c r="C159" s="2" t="n">
        <v>0.178231292508747</v>
      </c>
      <c r="D159" s="2" t="n">
        <v>2.04638408369911</v>
      </c>
      <c r="E159" s="2" t="n">
        <v>5.58124157776421</v>
      </c>
    </row>
    <row r="160" customFormat="false" ht="13.8" hidden="false" customHeight="false" outlineLevel="0" collapsed="false">
      <c r="B160" s="2" t="n">
        <v>158</v>
      </c>
      <c r="C160" s="2" t="n">
        <v>0.178229510195822</v>
      </c>
      <c r="D160" s="2" t="n">
        <v>2.09710535706466</v>
      </c>
      <c r="E160" s="2" t="n">
        <v>5.91101242362824</v>
      </c>
    </row>
    <row r="161" customFormat="false" ht="13.8" hidden="false" customHeight="false" outlineLevel="0" collapsed="false">
      <c r="B161" s="2" t="n">
        <v>159</v>
      </c>
      <c r="C161" s="2" t="n">
        <v>0.180297718300791</v>
      </c>
      <c r="D161" s="2" t="n">
        <v>2.14335962192576</v>
      </c>
      <c r="E161" s="2" t="n">
        <v>6.25007051815885</v>
      </c>
    </row>
    <row r="162" customFormat="false" ht="13.8" hidden="false" customHeight="false" outlineLevel="0" collapsed="false">
      <c r="B162" s="2" t="n">
        <v>160</v>
      </c>
      <c r="C162" s="2" t="n">
        <v>0.180295915323608</v>
      </c>
      <c r="D162" s="2" t="n">
        <v>2.18514692295251</v>
      </c>
      <c r="E162" s="2" t="n">
        <v>6.47786110928371</v>
      </c>
    </row>
    <row r="163" customFormat="false" ht="13.8" hidden="false" customHeight="false" outlineLevel="0" collapsed="false">
      <c r="B163" s="2" t="n">
        <v>161</v>
      </c>
      <c r="C163" s="2" t="n">
        <v>0.184607930260947</v>
      </c>
      <c r="D163" s="2" t="n">
        <v>2.22246730481455</v>
      </c>
      <c r="E163" s="2" t="n">
        <v>6.48744253577724</v>
      </c>
    </row>
    <row r="164" customFormat="false" ht="13.8" hidden="false" customHeight="false" outlineLevel="0" collapsed="false">
      <c r="B164" s="2" t="n">
        <v>162</v>
      </c>
      <c r="C164" s="2" t="n">
        <v>0.184606084181645</v>
      </c>
      <c r="D164" s="2" t="n">
        <v>2.25424802185919</v>
      </c>
      <c r="E164" s="2" t="n">
        <v>6.48737766135189</v>
      </c>
    </row>
    <row r="165" customFormat="false" ht="13.8" hidden="false" customHeight="false" outlineLevel="0" collapsed="false">
      <c r="B165" s="2" t="n">
        <v>163</v>
      </c>
      <c r="C165" s="2" t="n">
        <v>0.184604238120803</v>
      </c>
      <c r="D165" s="2" t="n">
        <v>2.2804891294831</v>
      </c>
      <c r="E165" s="2" t="n">
        <v>6.48731278757527</v>
      </c>
    </row>
    <row r="166" customFormat="false" ht="13.8" hidden="false" customHeight="false" outlineLevel="0" collapsed="false">
      <c r="B166" s="2" t="n">
        <v>164</v>
      </c>
      <c r="C166" s="2" t="n">
        <v>0.184602392078422</v>
      </c>
      <c r="D166" s="2" t="n">
        <v>2.2804663245918</v>
      </c>
      <c r="E166" s="2" t="n">
        <v>6.45753350438558</v>
      </c>
    </row>
    <row r="167" customFormat="false" ht="13.8" hidden="false" customHeight="false" outlineLevel="0" collapsed="false">
      <c r="B167" s="2" t="n">
        <v>165</v>
      </c>
      <c r="C167" s="2" t="n">
        <v>0.184600546054501</v>
      </c>
      <c r="D167" s="2" t="n">
        <v>2.29562858680554</v>
      </c>
      <c r="E167" s="2" t="n">
        <v>6.45746892905054</v>
      </c>
    </row>
    <row r="168" customFormat="false" ht="13.8" hidden="false" customHeight="false" outlineLevel="0" collapsed="false">
      <c r="B168" s="2" t="n">
        <v>166</v>
      </c>
      <c r="C168" s="2" t="n">
        <v>0.18459870004904</v>
      </c>
      <c r="D168" s="2" t="n">
        <v>2.29560563051967</v>
      </c>
      <c r="E168" s="2" t="n">
        <v>6.45329375763426</v>
      </c>
    </row>
    <row r="169" customFormat="false" ht="13.8" hidden="false" customHeight="false" outlineLevel="0" collapsed="false">
      <c r="B169" s="2" t="n">
        <v>167</v>
      </c>
      <c r="C169" s="2" t="n">
        <v>0.18459685406204</v>
      </c>
      <c r="D169" s="2" t="n">
        <v>2.29558267446337</v>
      </c>
      <c r="E169" s="2" t="n">
        <v>6.4306951919574</v>
      </c>
    </row>
    <row r="170" customFormat="false" ht="13.8" hidden="false" customHeight="false" outlineLevel="0" collapsed="false">
      <c r="B170" s="2" t="n">
        <v>168</v>
      </c>
      <c r="C170" s="2" t="n">
        <v>0.184595008093499</v>
      </c>
      <c r="D170" s="2" t="n">
        <v>2.29555971863662</v>
      </c>
      <c r="E170" s="2" t="n">
        <v>6.32267436069834</v>
      </c>
    </row>
    <row r="171" customFormat="false" ht="13.8" hidden="false" customHeight="false" outlineLevel="0" collapsed="false">
      <c r="B171" s="2" t="n">
        <v>169</v>
      </c>
      <c r="C171" s="2" t="n">
        <v>0.184593162143418</v>
      </c>
      <c r="D171" s="2" t="n">
        <v>2.29553676303944</v>
      </c>
      <c r="E171" s="2" t="n">
        <v>6.23354671067232</v>
      </c>
    </row>
    <row r="172" customFormat="false" ht="13.8" hidden="false" customHeight="false" outlineLevel="0" collapsed="false">
      <c r="B172" s="2" t="n">
        <v>170</v>
      </c>
      <c r="C172" s="2" t="n">
        <v>0.184591316211797</v>
      </c>
      <c r="D172" s="2" t="n">
        <v>2.29551380767181</v>
      </c>
      <c r="E172" s="2" t="n">
        <v>6.12842585866933</v>
      </c>
    </row>
    <row r="173" customFormat="false" ht="13.8" hidden="false" customHeight="false" outlineLevel="0" collapsed="false">
      <c r="B173" s="2" t="n">
        <v>171</v>
      </c>
      <c r="C173" s="2" t="n">
        <v>0.184589470298635</v>
      </c>
      <c r="D173" s="2" t="n">
        <v>2.29549085253373</v>
      </c>
      <c r="E173" s="2" t="n">
        <v>6.07923800165843</v>
      </c>
    </row>
    <row r="174" customFormat="false" ht="13.8" hidden="false" customHeight="false" outlineLevel="0" collapsed="false">
      <c r="B174" s="2" t="n">
        <v>172</v>
      </c>
      <c r="C174" s="2" t="n">
        <v>0.184587624403932</v>
      </c>
      <c r="D174" s="2" t="n">
        <v>2.2954678976252</v>
      </c>
      <c r="E174" s="2" t="n">
        <v>5.97996400623558</v>
      </c>
    </row>
    <row r="175" customFormat="false" ht="13.8" hidden="false" customHeight="false" outlineLevel="0" collapsed="false">
      <c r="B175" s="2" t="n">
        <v>173</v>
      </c>
      <c r="C175" s="2" t="n">
        <v>0.184585778527688</v>
      </c>
      <c r="D175" s="2" t="n">
        <v>2.29544494294623</v>
      </c>
      <c r="E175" s="2" t="n">
        <v>5.8431039843733</v>
      </c>
    </row>
    <row r="176" customFormat="false" ht="13.8" hidden="false" customHeight="false" outlineLevel="0" collapsed="false">
      <c r="B176" s="2" t="n">
        <v>174</v>
      </c>
      <c r="C176" s="2" t="n">
        <v>0.184583932669903</v>
      </c>
      <c r="D176" s="2" t="n">
        <v>2.21394050701532</v>
      </c>
      <c r="E176" s="2" t="n">
        <v>5.70994897925938</v>
      </c>
    </row>
    <row r="177" customFormat="false" ht="13.8" hidden="false" customHeight="false" outlineLevel="0" collapsed="false">
      <c r="B177" s="2" t="n">
        <v>175</v>
      </c>
      <c r="C177" s="2" t="n">
        <v>0.184582086830576</v>
      </c>
      <c r="D177" s="2" t="n">
        <v>2.10280725649914</v>
      </c>
      <c r="E177" s="2" t="n">
        <v>5.57022056495478</v>
      </c>
    </row>
    <row r="178" customFormat="false" ht="13.8" hidden="false" customHeight="false" outlineLevel="0" collapsed="false">
      <c r="B178" s="2" t="n">
        <v>176</v>
      </c>
      <c r="C178" s="2" t="n">
        <v>0.184580241009708</v>
      </c>
      <c r="D178" s="2" t="n">
        <v>1.99167511731546</v>
      </c>
      <c r="E178" s="2" t="n">
        <v>5.4511236405269</v>
      </c>
    </row>
    <row r="179" customFormat="false" ht="13.8" hidden="false" customHeight="false" outlineLevel="0" collapsed="false">
      <c r="B179" s="2" t="n">
        <v>177</v>
      </c>
      <c r="C179" s="2" t="n">
        <v>0.184578395207298</v>
      </c>
      <c r="D179" s="2" t="n">
        <v>1.88054408945317</v>
      </c>
      <c r="E179" s="2" t="n">
        <v>5.31419416632754</v>
      </c>
    </row>
    <row r="180" customFormat="false" ht="13.8" hidden="false" customHeight="false" outlineLevel="0" collapsed="false">
      <c r="B180" s="2" t="n">
        <v>178</v>
      </c>
      <c r="C180" s="2" t="n">
        <v>0.184576549423346</v>
      </c>
      <c r="D180" s="2" t="n">
        <v>1.76941417290117</v>
      </c>
      <c r="E180" s="2" t="n">
        <v>5.19224719105254</v>
      </c>
    </row>
    <row r="181" customFormat="false" ht="13.8" hidden="false" customHeight="false" outlineLevel="0" collapsed="false">
      <c r="B181" s="2" t="n">
        <v>179</v>
      </c>
      <c r="C181" s="2" t="n">
        <v>0.184574703657851</v>
      </c>
      <c r="D181" s="2" t="n">
        <v>1.65828536764833</v>
      </c>
      <c r="E181" s="2" t="n">
        <v>5.05785708339545</v>
      </c>
    </row>
    <row r="182" customFormat="false" ht="13.8" hidden="false" customHeight="false" outlineLevel="0" collapsed="false">
      <c r="B182" s="2" t="n">
        <v>180</v>
      </c>
      <c r="C182" s="2" t="n">
        <v>0.184572857910815</v>
      </c>
      <c r="D182" s="2" t="n">
        <v>1.54715767368354</v>
      </c>
      <c r="E182" s="2" t="n">
        <v>4.94872752334313</v>
      </c>
    </row>
    <row r="183" customFormat="false" ht="13.8" hidden="false" customHeight="false" outlineLevel="0" collapsed="false">
      <c r="B183" s="2" t="n">
        <v>181</v>
      </c>
      <c r="C183" s="2" t="n">
        <v>0.184571012182236</v>
      </c>
      <c r="D183" s="2" t="n">
        <v>1.43603109099569</v>
      </c>
      <c r="E183" s="2" t="n">
        <v>4.82563651754938</v>
      </c>
    </row>
    <row r="184" customFormat="false" ht="13.8" hidden="false" customHeight="false" outlineLevel="0" collapsed="false">
      <c r="B184" s="2" t="n">
        <v>182</v>
      </c>
      <c r="C184" s="2" t="n">
        <v>0.184569166472114</v>
      </c>
      <c r="D184" s="2" t="n">
        <v>1.32490561957367</v>
      </c>
      <c r="E184" s="2" t="n">
        <v>4.7154912611842</v>
      </c>
    </row>
    <row r="185" customFormat="false" ht="13.8" hidden="false" customHeight="false" outlineLevel="0" collapsed="false">
      <c r="B185" s="2" t="n">
        <v>183</v>
      </c>
      <c r="C185" s="2" t="n">
        <v>0.114804302261931</v>
      </c>
      <c r="D185" s="2" t="n">
        <v>1.21378125940637</v>
      </c>
      <c r="E185" s="2" t="n">
        <v>4.70322188404937</v>
      </c>
    </row>
    <row r="186" customFormat="false" ht="13.8" hidden="false" customHeight="false" outlineLevel="0" collapsed="false">
      <c r="B186" s="2" t="n">
        <v>184</v>
      </c>
      <c r="C186" s="2" t="n">
        <v>0.0656505986633524</v>
      </c>
      <c r="D186" s="2" t="n">
        <v>1.10265801048266</v>
      </c>
      <c r="E186" s="2" t="n">
        <v>4.68761924071942</v>
      </c>
    </row>
    <row r="187" customFormat="false" ht="13.8" hidden="false" customHeight="false" outlineLevel="0" collapsed="false">
      <c r="B187" s="2" t="n">
        <v>185</v>
      </c>
      <c r="C187" s="2" t="n">
        <v>9.53674316406251E-019</v>
      </c>
      <c r="D187" s="2" t="n">
        <v>0.991535872791445</v>
      </c>
      <c r="E187" s="2" t="n">
        <v>4.59603271409178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0.880414846321606</v>
      </c>
      <c r="E188" s="2" t="n">
        <v>4.54066727228316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0.769294931062031</v>
      </c>
      <c r="E189" s="2" t="n">
        <v>4.42117375449933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0.658176127001609</v>
      </c>
      <c r="E190" s="2" t="n">
        <v>4.31436691313215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0.547058434129228</v>
      </c>
      <c r="E191" s="2" t="n">
        <v>4.20063519538895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0.435941852433776</v>
      </c>
      <c r="E192" s="2" t="n">
        <v>4.09786711496292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0.347048604126363</v>
      </c>
      <c r="E193" s="2" t="n">
        <v>4.07580521036585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0.347045133640321</v>
      </c>
      <c r="E194" s="2" t="n">
        <v>4.01844673009152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0.347041663188985</v>
      </c>
      <c r="E195" s="2" t="n">
        <v>4.00690369377237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0.347038192772353</v>
      </c>
      <c r="E196" s="2" t="n">
        <v>3.94441653214284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0.243331018686722</v>
      </c>
      <c r="E197" s="2" t="n">
        <v>3.84491258797752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0.132217474265424</v>
      </c>
      <c r="E198" s="2" t="n">
        <v>3.7998736018146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0.0211050409795699</v>
      </c>
      <c r="E199" s="2" t="n">
        <v>3.70498351048599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3.56938449428375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3.39786704117955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3.2394997291758</v>
      </c>
    </row>
    <row r="203" customFormat="false" ht="13.8" hidden="false" customHeight="false" outlineLevel="0" collapsed="false">
      <c r="B203" s="2" t="n">
        <v>201</v>
      </c>
      <c r="C203" s="2" t="n">
        <v>5.16472746416927E-010</v>
      </c>
      <c r="D203" s="2" t="n">
        <v>5.16472746416927E-010</v>
      </c>
      <c r="E203" s="2" t="n">
        <v>3.0309487230674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2.90214037654313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2.75214811439863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2.54739822254711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2.38881715597229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2.18379311965259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2.04691926320287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1.85637994215839</v>
      </c>
    </row>
    <row r="211" customFormat="false" ht="13.8" hidden="false" customHeight="false" outlineLevel="0" collapsed="false">
      <c r="B211" s="2" t="n">
        <v>209</v>
      </c>
      <c r="C211" s="2" t="n">
        <v>7.63923974439503E-010</v>
      </c>
      <c r="D211" s="2" t="n">
        <v>4.18751589462162E-010</v>
      </c>
      <c r="E211" s="2" t="n">
        <v>1.72326835984045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1.52554714567537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1.36766142724095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1.18190671358964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0.977542857485465</v>
      </c>
    </row>
    <row r="216" customFormat="false" ht="13.8" hidden="false" customHeight="false" outlineLevel="0" collapsed="false">
      <c r="B216" s="2" t="n">
        <v>214</v>
      </c>
      <c r="C216" s="2" t="n">
        <v>0</v>
      </c>
      <c r="D216" s="2" t="n">
        <v>0</v>
      </c>
      <c r="E216" s="2" t="n">
        <v>0.774899894490065</v>
      </c>
    </row>
    <row r="217" customFormat="false" ht="13.8" hidden="false" customHeight="false" outlineLevel="0" collapsed="false">
      <c r="B217" s="2" t="n">
        <v>215</v>
      </c>
      <c r="C217" s="2" t="n">
        <v>5.16579695254565E-010</v>
      </c>
      <c r="D217" s="2" t="n">
        <v>5.16579695254565E-010</v>
      </c>
      <c r="E217" s="2" t="n">
        <v>0.560440511098211</v>
      </c>
    </row>
    <row r="218" customFormat="false" ht="13.8" hidden="false" customHeight="false" outlineLevel="0" collapsed="false">
      <c r="B218" s="2" t="n">
        <v>216</v>
      </c>
      <c r="C218" s="2" t="n">
        <v>0</v>
      </c>
      <c r="D218" s="2" t="n">
        <v>0</v>
      </c>
      <c r="E218" s="2" t="n">
        <v>0.38127626991855</v>
      </c>
    </row>
    <row r="219" customFormat="false" ht="13.8" hidden="false" customHeight="false" outlineLevel="0" collapsed="false">
      <c r="B219" s="2" t="n">
        <v>217</v>
      </c>
      <c r="C219" s="2" t="n">
        <v>2.76764775067568E-010</v>
      </c>
      <c r="D219" s="2" t="n">
        <v>2.76764775067568E-010</v>
      </c>
      <c r="E219" s="2" t="n">
        <v>0.18803596614781</v>
      </c>
    </row>
    <row r="220" customFormat="false" ht="13.8" hidden="false" customHeight="false" outlineLevel="0" collapsed="false">
      <c r="B220" s="2" t="n">
        <v>218</v>
      </c>
      <c r="C220" s="2" t="n">
        <v>0</v>
      </c>
      <c r="D220" s="2" t="n">
        <v>0</v>
      </c>
      <c r="E220" s="2" t="n">
        <v>0.0724070484598273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2.2905805067718E-009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0.0725084522508026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0.149151367643558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0.229928704833635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0.314840422476816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0.403886479229296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0.495301329365634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0.589084949197899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0.685237315038391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0.783758403199652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0.882709420637795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0.982090363053527</v>
      </c>
      <c r="E241" s="2" t="n">
        <v>3.81755782431365E-009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1.0819012261476</v>
      </c>
      <c r="E242" s="2" t="n">
        <v>0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1.1821420056208</v>
      </c>
      <c r="E243" s="2" t="n">
        <v>0</v>
      </c>
    </row>
    <row r="244" customFormat="false" ht="13.8" hidden="false" customHeight="false" outlineLevel="0" collapsed="false">
      <c r="B244" s="2" t="n">
        <v>242</v>
      </c>
      <c r="C244" s="2" t="n">
        <v>0</v>
      </c>
      <c r="D244" s="2" t="n">
        <v>1.28112811894773</v>
      </c>
      <c r="E244" s="2" t="n">
        <v>0.698223731180543</v>
      </c>
    </row>
    <row r="245" customFormat="false" ht="13.8" hidden="false" customHeight="false" outlineLevel="0" collapsed="false">
      <c r="B245" s="2" t="n">
        <v>243</v>
      </c>
      <c r="C245" s="2" t="n">
        <v>0</v>
      </c>
      <c r="D245" s="2" t="n">
        <v>1.35759690091319</v>
      </c>
      <c r="E245" s="2" t="n">
        <v>1.38768764245324</v>
      </c>
    </row>
    <row r="246" customFormat="false" ht="13.8" hidden="false" customHeight="false" outlineLevel="0" collapsed="false">
      <c r="B246" s="2" t="n">
        <v>244</v>
      </c>
      <c r="C246" s="2" t="n">
        <v>0</v>
      </c>
      <c r="D246" s="2" t="n">
        <v>1.45407393221422</v>
      </c>
      <c r="E246" s="2" t="n">
        <v>2.06791194141628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1.54929633500645</v>
      </c>
      <c r="E247" s="2" t="n">
        <v>2.7388967204658</v>
      </c>
    </row>
    <row r="248" customFormat="false" ht="13.8" hidden="false" customHeight="false" outlineLevel="0" collapsed="false">
      <c r="B248" s="2" t="n">
        <v>246</v>
      </c>
      <c r="C248" s="2" t="n">
        <v>0.0469612059872003</v>
      </c>
      <c r="D248" s="2" t="n">
        <v>1.64168779098929</v>
      </c>
      <c r="E248" s="2" t="n">
        <v>3.3890330438198</v>
      </c>
    </row>
    <row r="249" customFormat="false" ht="13.8" hidden="false" customHeight="false" outlineLevel="0" collapsed="false">
      <c r="B249" s="2" t="n">
        <v>247</v>
      </c>
      <c r="C249" s="2" t="n">
        <v>0.0584520932768787</v>
      </c>
      <c r="D249" s="2" t="n">
        <v>1.7312483284722</v>
      </c>
      <c r="E249" s="2" t="n">
        <v>3.39766426001664</v>
      </c>
    </row>
    <row r="250" customFormat="false" ht="13.8" hidden="false" customHeight="false" outlineLevel="0" collapsed="false">
      <c r="B250" s="2" t="n">
        <v>248</v>
      </c>
      <c r="C250" s="2" t="n">
        <v>0.0990438309390709</v>
      </c>
      <c r="D250" s="2" t="n">
        <v>1.81797797576436</v>
      </c>
      <c r="E250" s="2" t="n">
        <v>4.0061105039998</v>
      </c>
    </row>
    <row r="251" customFormat="false" ht="13.8" hidden="false" customHeight="false" outlineLevel="0" collapsed="false">
      <c r="B251" s="2" t="n">
        <v>249</v>
      </c>
      <c r="C251" s="2" t="n">
        <v>0.117511202965273</v>
      </c>
      <c r="D251" s="2" t="n">
        <v>1.90187676117469</v>
      </c>
      <c r="E251" s="2" t="n">
        <v>4.5929890376728</v>
      </c>
    </row>
    <row r="252" customFormat="false" ht="13.8" hidden="false" customHeight="false" outlineLevel="0" collapsed="false">
      <c r="B252" s="2" t="n">
        <v>250</v>
      </c>
      <c r="C252" s="2" t="n">
        <v>0.135023344655472</v>
      </c>
      <c r="D252" s="2" t="n">
        <v>1.98077181114452</v>
      </c>
      <c r="E252" s="2" t="n">
        <v>5.14274747340267</v>
      </c>
    </row>
    <row r="253" customFormat="false" ht="13.8" hidden="false" customHeight="false" outlineLevel="0" collapsed="false">
      <c r="B253" s="2" t="n">
        <v>251</v>
      </c>
      <c r="C253" s="2" t="n">
        <v>0.156575505561971</v>
      </c>
      <c r="D253" s="2" t="n">
        <v>2.05466317571122</v>
      </c>
      <c r="E253" s="2" t="n">
        <v>5.65664586739039</v>
      </c>
    </row>
    <row r="254" customFormat="false" ht="13.8" hidden="false" customHeight="false" outlineLevel="0" collapsed="false">
      <c r="B254" s="2" t="n">
        <v>252</v>
      </c>
      <c r="C254" s="2" t="n">
        <v>0.164107615284579</v>
      </c>
      <c r="D254" s="2" t="n">
        <v>2.12355090491163</v>
      </c>
      <c r="E254" s="2" t="n">
        <v>6.13174502823638</v>
      </c>
    </row>
    <row r="255" customFormat="false" ht="13.8" hidden="false" customHeight="false" outlineLevel="0" collapsed="false">
      <c r="B255" s="2" t="n">
        <v>253</v>
      </c>
      <c r="C255" s="2" t="n">
        <v>0.178394694023806</v>
      </c>
      <c r="D255" s="2" t="n">
        <v>2.18743504878211</v>
      </c>
      <c r="E255" s="2" t="n">
        <v>6.55199537393298</v>
      </c>
    </row>
    <row r="256" customFormat="false" ht="13.8" hidden="false" customHeight="false" outlineLevel="0" collapsed="false">
      <c r="B256" s="2" t="n">
        <v>254</v>
      </c>
      <c r="C256" s="2" t="n">
        <v>0.184607930260947</v>
      </c>
      <c r="D256" s="2" t="n">
        <v>2.2374092843221</v>
      </c>
      <c r="E256" s="2" t="n">
        <v>6.85255546968025</v>
      </c>
    </row>
    <row r="257" customFormat="false" ht="13.8" hidden="false" customHeight="false" outlineLevel="0" collapsed="false">
      <c r="B257" s="2" t="n">
        <v>255</v>
      </c>
      <c r="C257" s="2" t="n">
        <v>0.184606084181645</v>
      </c>
      <c r="D257" s="2" t="n">
        <v>2.27347375063068</v>
      </c>
      <c r="E257" s="2" t="n">
        <v>7.07566763793345</v>
      </c>
    </row>
    <row r="258" customFormat="false" ht="13.8" hidden="false" customHeight="false" outlineLevel="0" collapsed="false">
      <c r="B258" s="2" t="n">
        <v>256</v>
      </c>
      <c r="C258" s="2" t="n">
        <v>0.184604238120803</v>
      </c>
      <c r="D258" s="2" t="n">
        <v>2.29562858680554</v>
      </c>
      <c r="E258" s="2" t="n">
        <v>7.1590178279878</v>
      </c>
    </row>
    <row r="259" customFormat="false" ht="13.8" hidden="false" customHeight="false" outlineLevel="0" collapsed="false">
      <c r="B259" s="2" t="n">
        <v>257</v>
      </c>
      <c r="C259" s="2" t="n">
        <v>0.182478430444923</v>
      </c>
      <c r="D259" s="2" t="n">
        <v>2.29560563051967</v>
      </c>
      <c r="E259" s="2" t="n">
        <v>7.15894623780952</v>
      </c>
    </row>
    <row r="260" customFormat="false" ht="13.8" hidden="false" customHeight="false" outlineLevel="0" collapsed="false">
      <c r="B260" s="2" t="n">
        <v>258</v>
      </c>
      <c r="C260" s="2" t="n">
        <v>0.137411489845493</v>
      </c>
      <c r="D260" s="2" t="n">
        <v>2.29558267446337</v>
      </c>
      <c r="E260" s="2" t="n">
        <v>7.15887464834715</v>
      </c>
    </row>
    <row r="261" customFormat="false" ht="13.8" hidden="false" customHeight="false" outlineLevel="0" collapsed="false">
      <c r="B261" s="2" t="n">
        <v>259</v>
      </c>
      <c r="C261" s="2" t="n">
        <v>0.114681808696808</v>
      </c>
      <c r="D261" s="2" t="n">
        <v>2.29555971863662</v>
      </c>
      <c r="E261" s="2" t="n">
        <v>7.15880305960066</v>
      </c>
    </row>
    <row r="262" customFormat="false" ht="13.8" hidden="false" customHeight="false" outlineLevel="0" collapsed="false">
      <c r="B262" s="2" t="n">
        <v>260</v>
      </c>
      <c r="C262" s="2" t="n">
        <v>0.0527154043670121</v>
      </c>
      <c r="D262" s="2" t="n">
        <v>2.29553676303944</v>
      </c>
      <c r="E262" s="2" t="n">
        <v>7.15873147157007</v>
      </c>
    </row>
    <row r="263" customFormat="false" ht="13.8" hidden="false" customHeight="false" outlineLevel="0" collapsed="false">
      <c r="B263" s="2" t="n">
        <v>261</v>
      </c>
      <c r="C263" s="2" t="n">
        <v>0.00797619968283125</v>
      </c>
      <c r="D263" s="2" t="n">
        <v>2.29551380767181</v>
      </c>
      <c r="E263" s="2" t="n">
        <v>7.14688163157364</v>
      </c>
    </row>
    <row r="264" customFormat="false" ht="13.8" hidden="false" customHeight="false" outlineLevel="0" collapsed="false">
      <c r="B264" s="2" t="n">
        <v>262</v>
      </c>
      <c r="C264" s="2" t="n">
        <v>1.19209289550781E-019</v>
      </c>
      <c r="D264" s="2" t="n">
        <v>2.29549085253373</v>
      </c>
      <c r="E264" s="2" t="n">
        <v>7.03857886279704</v>
      </c>
    </row>
    <row r="265" customFormat="false" ht="13.8" hidden="false" customHeight="false" outlineLevel="0" collapsed="false">
      <c r="B265" s="2" t="n">
        <v>263</v>
      </c>
      <c r="C265" s="2" t="n">
        <v>0</v>
      </c>
      <c r="D265" s="2" t="n">
        <v>2.2954678976252</v>
      </c>
      <c r="E265" s="2" t="n">
        <v>6.94994382671731</v>
      </c>
    </row>
    <row r="266" customFormat="false" ht="13.8" hidden="false" customHeight="false" outlineLevel="0" collapsed="false">
      <c r="B266" s="2" t="n">
        <v>264</v>
      </c>
      <c r="C266" s="2" t="n">
        <v>0</v>
      </c>
      <c r="D266" s="2" t="n">
        <v>2.22242759692757</v>
      </c>
      <c r="E266" s="2" t="n">
        <v>6.83993264444843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2.11129426154049</v>
      </c>
      <c r="E267" s="2" t="n">
        <v>6.73832509697384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2.00016203748677</v>
      </c>
      <c r="E268" s="2" t="n">
        <v>6.59394021372287</v>
      </c>
    </row>
    <row r="269" customFormat="false" ht="13.8" hidden="false" customHeight="false" outlineLevel="0" collapsed="false">
      <c r="B269" s="2" t="n">
        <v>267</v>
      </c>
      <c r="C269" s="2" t="n">
        <v>3.63380724772811E-010</v>
      </c>
      <c r="D269" s="2" t="n">
        <v>1.88903092475528</v>
      </c>
      <c r="E269" s="2" t="n">
        <v>6.51694470024666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1.77790092333492</v>
      </c>
      <c r="E270" s="2" t="n">
        <v>6.38680154931818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1.66677203321458</v>
      </c>
      <c r="E271" s="2" t="n">
        <v>6.23978992204342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1.55564425438314</v>
      </c>
      <c r="E272" s="2" t="n">
        <v>6.06963270932939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1.44451758682948</v>
      </c>
      <c r="E273" s="2" t="n">
        <v>5.93073536485415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1.3333920305425</v>
      </c>
      <c r="E274" s="2" t="n">
        <v>5.76759800194494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1.22226758551109</v>
      </c>
      <c r="E275" s="2" t="n">
        <v>5.603035900039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1.11114425172412</v>
      </c>
      <c r="E276" s="2" t="n">
        <v>5.43732770301333</v>
      </c>
    </row>
    <row r="277" customFormat="false" ht="13.8" hidden="false" customHeight="false" outlineLevel="0" collapsed="false">
      <c r="B277" s="2" t="n">
        <v>275</v>
      </c>
      <c r="C277" s="2" t="n">
        <v>3.63627874970437E-010</v>
      </c>
      <c r="D277" s="2" t="n">
        <v>1.00002202917049</v>
      </c>
      <c r="E277" s="2" t="n">
        <v>5.28878764455112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0.888900917839088</v>
      </c>
      <c r="E278" s="2" t="n">
        <v>5.14726784926726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0.777780917718798</v>
      </c>
      <c r="E279" s="2" t="n">
        <v>5.00739698769988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0.66666202879851</v>
      </c>
      <c r="E280" s="2" t="n">
        <v>4.86175052484112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0.555544251067111</v>
      </c>
      <c r="E281" s="2" t="n">
        <v>4.69242064807661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0.444427584513489</v>
      </c>
      <c r="E282" s="2" t="n">
        <v>4.55070340905531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0.333312029126533</v>
      </c>
      <c r="E283" s="2" t="n">
        <v>4.438079679799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0.22219758489513</v>
      </c>
      <c r="E284" s="2" t="n">
        <v>4.31612326196517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0.11108425180817</v>
      </c>
      <c r="E285" s="2" t="n">
        <v>4.27505660073255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9.53674316406251E-019</v>
      </c>
      <c r="E286" s="2" t="n">
        <v>4.20246300965071</v>
      </c>
    </row>
    <row r="287" customFormat="false" ht="13.8" hidden="false" customHeight="false" outlineLevel="0" collapsed="false">
      <c r="B287" s="2" t="n">
        <v>285</v>
      </c>
      <c r="C287" s="2" t="n">
        <v>3.63674702078105E-010</v>
      </c>
      <c r="D287" s="2" t="n">
        <v>3.63674702078105E-010</v>
      </c>
      <c r="E287" s="2" t="n">
        <v>4.01649092946506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3.8215028015928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3.64536951249071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3.43984809583262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5.1402896642685E-015</v>
      </c>
      <c r="E291" s="2" t="n">
        <v>3.42290301216648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3.33679230165488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3.15144250780593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2.99061416004752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2.79908406872074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2.63388913343561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2.46152899824798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2.30439288295799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2.13188828347361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1.96208900162781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1.80192093629335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1.6394765281951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1.48095983713352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1.33381530531293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1.13589452271543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0.977290274881312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0.777428557534119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0.618439061026321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0.424117839598674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0.265780265086945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0.10668490358059</v>
      </c>
    </row>
    <row r="312" customFormat="false" ht="13.8" hidden="false" customHeight="false" outlineLevel="0" collapsed="false">
      <c r="B312" s="2" t="n">
        <v>310</v>
      </c>
      <c r="C312" s="2" t="n">
        <v>0</v>
      </c>
      <c r="D312" s="2" t="n">
        <v>0</v>
      </c>
      <c r="E312" s="2" t="n">
        <v>0.10103093938785</v>
      </c>
    </row>
    <row r="313" customFormat="false" ht="13.8" hidden="false" customHeight="false" outlineLevel="0" collapsed="false">
      <c r="B313" s="2" t="n">
        <v>311</v>
      </c>
      <c r="C313" s="2" t="n">
        <v>0</v>
      </c>
      <c r="D313" s="2" t="n">
        <v>0</v>
      </c>
      <c r="E313" s="2" t="n">
        <v>0.0488915232799354</v>
      </c>
    </row>
    <row r="314" customFormat="false" ht="13.8" hidden="false" customHeight="false" outlineLevel="0" collapsed="false">
      <c r="B314" s="2" t="n">
        <v>312</v>
      </c>
      <c r="C314" s="2" t="n">
        <v>0</v>
      </c>
      <c r="D314" s="2" t="n">
        <v>0</v>
      </c>
      <c r="E314" s="2" t="n">
        <v>0.0374892497409963</v>
      </c>
    </row>
    <row r="315" customFormat="false" ht="13.8" hidden="false" customHeight="false" outlineLevel="0" collapsed="false">
      <c r="B315" s="2" t="n">
        <v>313</v>
      </c>
      <c r="C315" s="2" t="n">
        <v>0</v>
      </c>
      <c r="D315" s="2" t="n">
        <v>0</v>
      </c>
      <c r="E315" s="2" t="n">
        <v>0.00852722991812496</v>
      </c>
    </row>
    <row r="316" customFormat="false" ht="13.8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0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0.0114216547936421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0.02639045853365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0.0449063757485341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0.0707504208024075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0.103922520413992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0.144422601302741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0.192250590188843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0.244840293809906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0.302191664548784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0.364304654788805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0.431179216913774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0.503164254125109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0.580259715318061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0.662465549388389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0.749781705232364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0.825097463068749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0.91414325898664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1.0040537976431</v>
      </c>
      <c r="E334" s="2" t="n">
        <v>3.80042790915073E-009</v>
      </c>
    </row>
    <row r="335" customFormat="false" ht="13.8" hidden="false" customHeight="false" outlineLevel="0" collapsed="false">
      <c r="B335" s="2" t="n">
        <v>333</v>
      </c>
      <c r="C335" s="2" t="n">
        <v>0</v>
      </c>
      <c r="D335" s="2" t="n">
        <v>1.0948290703907</v>
      </c>
      <c r="E335" s="2" t="n">
        <v>1.71300864815712E-011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1.18603158316715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1.27766133170006</v>
      </c>
      <c r="E337" s="2" t="n">
        <v>0.659152747368134</v>
      </c>
    </row>
    <row r="338" customFormat="false" ht="13.8" hidden="false" customHeight="false" outlineLevel="0" collapsed="false">
      <c r="B338" s="2" t="n">
        <v>336</v>
      </c>
      <c r="C338" s="2" t="n">
        <v>0</v>
      </c>
      <c r="D338" s="2" t="n">
        <v>1.36971831171706</v>
      </c>
      <c r="E338" s="2" t="n">
        <v>1.29220203547807</v>
      </c>
    </row>
    <row r="339" customFormat="false" ht="13.8" hidden="false" customHeight="false" outlineLevel="0" collapsed="false">
      <c r="B339" s="2" t="n">
        <v>337</v>
      </c>
      <c r="C339" s="2" t="n">
        <v>0.00542423450207968</v>
      </c>
      <c r="D339" s="2" t="n">
        <v>1.46220251894585</v>
      </c>
      <c r="E339" s="2" t="n">
        <v>1.9576481253644</v>
      </c>
    </row>
    <row r="340" customFormat="false" ht="13.8" hidden="false" customHeight="false" outlineLevel="0" collapsed="false">
      <c r="B340" s="2" t="n">
        <v>338</v>
      </c>
      <c r="C340" s="2" t="n">
        <v>0.0331524257125625</v>
      </c>
      <c r="D340" s="2" t="n">
        <v>1.5531800214933</v>
      </c>
      <c r="E340" s="2" t="n">
        <v>2.58274811175879</v>
      </c>
    </row>
    <row r="341" customFormat="false" ht="13.8" hidden="false" customHeight="false" outlineLevel="0" collapsed="false">
      <c r="B341" s="2" t="n">
        <v>339</v>
      </c>
      <c r="C341" s="2" t="n">
        <v>0.109873676595815</v>
      </c>
      <c r="D341" s="2" t="n">
        <v>1.64265083442646</v>
      </c>
      <c r="E341" s="2" t="n">
        <v>2.58272228427767</v>
      </c>
    </row>
    <row r="342" customFormat="false" ht="13.8" hidden="false" customHeight="false" outlineLevel="0" collapsed="false">
      <c r="B342" s="2" t="n">
        <v>340</v>
      </c>
      <c r="C342" s="2" t="n">
        <v>0.138328352221239</v>
      </c>
      <c r="D342" s="2" t="n">
        <v>1.73061497281223</v>
      </c>
      <c r="E342" s="2" t="n">
        <v>2.74958728091473</v>
      </c>
    </row>
    <row r="343" customFormat="false" ht="13.8" hidden="false" customHeight="false" outlineLevel="0" collapsed="false">
      <c r="B343" s="2" t="n">
        <v>341</v>
      </c>
      <c r="C343" s="2" t="n">
        <v>0.161282070254589</v>
      </c>
      <c r="D343" s="2" t="n">
        <v>1.81707245171735</v>
      </c>
      <c r="E343" s="2" t="n">
        <v>3.37066100082445</v>
      </c>
    </row>
    <row r="344" customFormat="false" ht="13.8" hidden="false" customHeight="false" outlineLevel="0" collapsed="false">
      <c r="B344" s="2" t="n">
        <v>342</v>
      </c>
      <c r="C344" s="2" t="n">
        <v>0.175863987594017</v>
      </c>
      <c r="D344" s="2" t="n">
        <v>1.89496334370986</v>
      </c>
      <c r="E344" s="2" t="n">
        <v>3.89939548895866</v>
      </c>
    </row>
    <row r="345" customFormat="false" ht="13.8" hidden="false" customHeight="false" outlineLevel="0" collapsed="false">
      <c r="B345" s="2" t="n">
        <v>343</v>
      </c>
      <c r="C345" s="2" t="n">
        <v>0.18255432295753</v>
      </c>
      <c r="D345" s="2" t="n">
        <v>1.96428773445563</v>
      </c>
      <c r="E345" s="2" t="n">
        <v>4.3942916687097</v>
      </c>
    </row>
    <row r="346" customFormat="false" ht="13.8" hidden="false" customHeight="false" outlineLevel="0" collapsed="false">
      <c r="B346" s="2" t="n">
        <v>344</v>
      </c>
      <c r="C346" s="2" t="n">
        <v>0.184607930260947</v>
      </c>
      <c r="D346" s="2" t="n">
        <v>2.02504570961967</v>
      </c>
      <c r="E346" s="2" t="n">
        <v>4.79684987846063</v>
      </c>
    </row>
    <row r="347" customFormat="false" ht="13.8" hidden="false" customHeight="false" outlineLevel="0" collapsed="false">
      <c r="B347" s="2" t="n">
        <v>345</v>
      </c>
      <c r="C347" s="2" t="n">
        <v>0.184606084181645</v>
      </c>
      <c r="D347" s="2" t="n">
        <v>2.07044118655603</v>
      </c>
      <c r="E347" s="2" t="n">
        <v>5.16557104159115</v>
      </c>
    </row>
    <row r="348" customFormat="false" ht="13.8" hidden="false" customHeight="false" outlineLevel="0" collapsed="false">
      <c r="B348" s="2" t="n">
        <v>346</v>
      </c>
      <c r="C348" s="2" t="n">
        <v>0.184604238120803</v>
      </c>
      <c r="D348" s="2" t="n">
        <v>2.10724058536578</v>
      </c>
      <c r="E348" s="2" t="n">
        <v>5.47520856182527</v>
      </c>
    </row>
    <row r="349" customFormat="false" ht="13.8" hidden="false" customHeight="false" outlineLevel="0" collapsed="false">
      <c r="B349" s="2" t="n">
        <v>347</v>
      </c>
      <c r="C349" s="2" t="n">
        <v>0.184602392078422</v>
      </c>
      <c r="D349" s="2" t="n">
        <v>2.15133049296415</v>
      </c>
      <c r="E349" s="2" t="n">
        <v>5.76885642404495</v>
      </c>
    </row>
    <row r="350" customFormat="false" ht="13.8" hidden="false" customHeight="false" outlineLevel="0" collapsed="false">
      <c r="B350" s="2" t="n">
        <v>348</v>
      </c>
      <c r="C350" s="2" t="n">
        <v>0.184600546054501</v>
      </c>
      <c r="D350" s="2" t="n">
        <v>2.19136950181378</v>
      </c>
      <c r="E350" s="2" t="n">
        <v>5.99947588277905</v>
      </c>
    </row>
    <row r="351" customFormat="false" ht="13.8" hidden="false" customHeight="false" outlineLevel="0" collapsed="false">
      <c r="B351" s="2" t="n">
        <v>349</v>
      </c>
      <c r="C351" s="2" t="n">
        <v>0.18459870004904</v>
      </c>
      <c r="D351" s="2" t="n">
        <v>2.22735765242365</v>
      </c>
      <c r="E351" s="2" t="n">
        <v>6.2253274033116</v>
      </c>
    </row>
    <row r="352" customFormat="false" ht="13.8" hidden="false" customHeight="false" outlineLevel="0" collapsed="false">
      <c r="B352" s="2" t="n">
        <v>350</v>
      </c>
      <c r="C352" s="2" t="n">
        <v>0.18459685406204</v>
      </c>
      <c r="D352" s="2" t="n">
        <v>2.25642694850698</v>
      </c>
      <c r="E352" s="2" t="n">
        <v>6.37282529533756</v>
      </c>
    </row>
    <row r="353" customFormat="false" ht="13.8" hidden="false" customHeight="false" outlineLevel="0" collapsed="false">
      <c r="B353" s="2" t="n">
        <v>351</v>
      </c>
      <c r="C353" s="2" t="n">
        <v>0.184595008093499</v>
      </c>
      <c r="D353" s="2" t="n">
        <v>2.27857745925232</v>
      </c>
      <c r="E353" s="2" t="n">
        <v>6.48247043239319</v>
      </c>
    </row>
    <row r="354" customFormat="false" ht="13.8" hidden="false" customHeight="false" outlineLevel="0" collapsed="false">
      <c r="B354" s="2" t="n">
        <v>352</v>
      </c>
      <c r="C354" s="2" t="n">
        <v>0.184593162143418</v>
      </c>
      <c r="D354" s="2" t="n">
        <v>2.29380925384752</v>
      </c>
      <c r="E354" s="2" t="n">
        <v>6.50476314800606</v>
      </c>
    </row>
    <row r="355" customFormat="false" ht="13.8" hidden="false" customHeight="false" outlineLevel="0" collapsed="false">
      <c r="B355" s="2" t="n">
        <v>353</v>
      </c>
      <c r="C355" s="2" t="n">
        <v>0.184591316211797</v>
      </c>
      <c r="D355" s="2" t="n">
        <v>2.29562858680554</v>
      </c>
      <c r="E355" s="2" t="n">
        <v>6.50469810037458</v>
      </c>
    </row>
    <row r="356" customFormat="false" ht="13.8" hidden="false" customHeight="false" outlineLevel="0" collapsed="false">
      <c r="B356" s="2" t="n">
        <v>354</v>
      </c>
      <c r="C356" s="2" t="n">
        <v>0.184589470298635</v>
      </c>
      <c r="D356" s="2" t="n">
        <v>2.29560563051967</v>
      </c>
      <c r="E356" s="2" t="n">
        <v>6.45428277553794</v>
      </c>
    </row>
    <row r="357" customFormat="false" ht="13.8" hidden="false" customHeight="false" outlineLevel="0" collapsed="false">
      <c r="B357" s="2" t="n">
        <v>355</v>
      </c>
      <c r="C357" s="2" t="n">
        <v>0.184587624403932</v>
      </c>
      <c r="D357" s="2" t="n">
        <v>2.29558267446337</v>
      </c>
      <c r="E357" s="2" t="n">
        <v>6.44142843496117</v>
      </c>
    </row>
    <row r="358" customFormat="false" ht="13.8" hidden="false" customHeight="false" outlineLevel="0" collapsed="false">
      <c r="B358" s="2" t="n">
        <v>356</v>
      </c>
      <c r="C358" s="2" t="n">
        <v>0.184585778527688</v>
      </c>
      <c r="D358" s="2" t="n">
        <v>2.29555971863662</v>
      </c>
      <c r="E358" s="2" t="n">
        <v>6.34900516599741</v>
      </c>
    </row>
    <row r="359" customFormat="false" ht="13.8" hidden="false" customHeight="false" outlineLevel="0" collapsed="false">
      <c r="B359" s="2" t="n">
        <v>357</v>
      </c>
      <c r="C359" s="2" t="n">
        <v>0.184583932669903</v>
      </c>
      <c r="D359" s="2" t="n">
        <v>2.29553676303944</v>
      </c>
      <c r="E359" s="2" t="n">
        <v>6.31364343100259</v>
      </c>
    </row>
    <row r="360" customFormat="false" ht="13.8" hidden="false" customHeight="false" outlineLevel="0" collapsed="false">
      <c r="B360" s="2" t="n">
        <v>358</v>
      </c>
      <c r="C360" s="2" t="n">
        <v>0.184582086830576</v>
      </c>
      <c r="D360" s="2" t="n">
        <v>2.29551380767181</v>
      </c>
      <c r="E360" s="2" t="n">
        <v>6.18215277289795</v>
      </c>
    </row>
    <row r="361" customFormat="false" ht="13.8" hidden="false" customHeight="false" outlineLevel="0" collapsed="false">
      <c r="B361" s="2" t="n">
        <v>359</v>
      </c>
      <c r="C361" s="2" t="n">
        <v>0.184580241009708</v>
      </c>
      <c r="D361" s="2" t="n">
        <v>2.29549085253373</v>
      </c>
      <c r="E361" s="2" t="n">
        <v>6.10649730112087</v>
      </c>
    </row>
    <row r="362" customFormat="false" ht="13.8" hidden="false" customHeight="false" outlineLevel="0" collapsed="false">
      <c r="B362" s="2" t="n">
        <v>360</v>
      </c>
      <c r="C362" s="2" t="n">
        <v>0.184578395207298</v>
      </c>
      <c r="D362" s="2" t="n">
        <v>2.2954678976252</v>
      </c>
      <c r="E362" s="2" t="n">
        <v>5.94986136472689</v>
      </c>
    </row>
    <row r="363" customFormat="false" ht="13.8" hidden="false" customHeight="false" outlineLevel="0" collapsed="false">
      <c r="B363" s="2" t="n">
        <v>361</v>
      </c>
      <c r="C363" s="2" t="n">
        <v>0.184576549423346</v>
      </c>
      <c r="D363" s="2" t="n">
        <v>2.29544494294623</v>
      </c>
      <c r="E363" s="2" t="n">
        <v>5.87368997722435</v>
      </c>
    </row>
    <row r="364" customFormat="false" ht="13.8" hidden="false" customHeight="false" outlineLevel="0" collapsed="false">
      <c r="B364" s="2" t="n">
        <v>362</v>
      </c>
      <c r="C364" s="2" t="n">
        <v>0.172582879361411</v>
      </c>
      <c r="D364" s="2" t="n">
        <v>2.2954219884968</v>
      </c>
      <c r="E364" s="2" t="n">
        <v>5.73006617573213</v>
      </c>
    </row>
    <row r="365" customFormat="false" ht="13.8" hidden="false" customHeight="false" outlineLevel="0" collapsed="false">
      <c r="B365" s="2" t="n">
        <v>363</v>
      </c>
      <c r="C365" s="2" t="n">
        <v>0.102560986865951</v>
      </c>
      <c r="D365" s="2" t="n">
        <v>2.29539903427691</v>
      </c>
      <c r="E365" s="2" t="n">
        <v>5.71056443062593</v>
      </c>
    </row>
    <row r="366" customFormat="false" ht="13.8" hidden="false" customHeight="false" outlineLevel="0" collapsed="false">
      <c r="B366" s="2" t="n">
        <v>364</v>
      </c>
      <c r="C366" s="2" t="n">
        <v>1.9073486328125E-018</v>
      </c>
      <c r="D366" s="2" t="n">
        <v>2.29537608028657</v>
      </c>
      <c r="E366" s="2" t="n">
        <v>5.62734276771919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2.18424201541466</v>
      </c>
      <c r="E367" s="2" t="n">
        <v>5.49998669799521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2.07310906188339</v>
      </c>
      <c r="E368" s="2" t="n">
        <v>5.30687153146157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1.96197721968166</v>
      </c>
      <c r="E369" s="2" t="n">
        <v>5.2047583145981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1.85084648879835</v>
      </c>
      <c r="E370" s="2" t="n">
        <v>5.05634967442236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1.73971686922235</v>
      </c>
      <c r="E371" s="2" t="n">
        <v>4.91073925907377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1.62858836094255</v>
      </c>
      <c r="E372" s="2" t="n">
        <v>4.73157539242192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1.51746096394783</v>
      </c>
      <c r="E373" s="2" t="n">
        <v>4.6070984840754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1.40633467822708</v>
      </c>
      <c r="E374" s="2" t="n">
        <v>4.41484432049797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1.29520950376919</v>
      </c>
      <c r="E375" s="2" t="n">
        <v>4.30679526464736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1.18408544056304</v>
      </c>
      <c r="E376" s="2" t="n">
        <v>4.18843190039841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1.07296248859752</v>
      </c>
      <c r="E377" s="2" t="n">
        <v>4.08727425682015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0.961840647861524</v>
      </c>
      <c r="E378" s="2" t="n">
        <v>4.00039538407758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0.850719918343935</v>
      </c>
      <c r="E379" s="2" t="n">
        <v>3.94814649123485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0.73960030003364</v>
      </c>
      <c r="E380" s="2" t="n">
        <v>3.89799136162179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0.628481792919528</v>
      </c>
      <c r="E381" s="2" t="n">
        <v>3.77202234467114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0.517364396990488</v>
      </c>
      <c r="E382" s="2" t="n">
        <v>3.69094429111436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0.406248112235407</v>
      </c>
      <c r="E383" s="2" t="n">
        <v>3.57423714093071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0.39142923493947</v>
      </c>
      <c r="E384" s="2" t="n">
        <v>3.49947480596671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0.391425320647121</v>
      </c>
      <c r="E385" s="2" t="n">
        <v>3.44452951492235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0.391421406393914</v>
      </c>
      <c r="E386" s="2" t="n">
        <v>3.34388073629387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0.39141749217985</v>
      </c>
      <c r="E387" s="2" t="n">
        <v>3.26030661230132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0.317339503930854</v>
      </c>
      <c r="E388" s="2" t="n">
        <v>3.20812293516113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0.206225219424704</v>
      </c>
      <c r="E389" s="2" t="n">
        <v>3.10607079837622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0.0951120460613986</v>
      </c>
      <c r="E390" s="2" t="n">
        <v>3.04170534877935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9.53674316406251E-019</v>
      </c>
      <c r="E391" s="2" t="n">
        <v>2.90978563777791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2.77170083621783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2.58583950809835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2.39560942748105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2.227437193609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2.03919241923706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1.87146811990546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1.7157817385576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1.50924563629577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1.35971187717274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1.15567946523915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1.01937096400005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0.81995306658671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0.66496329298197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0.468733976682373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0.314710474527792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0.219244197793417</v>
      </c>
    </row>
    <row r="408" customFormat="false" ht="13.8" hidden="false" customHeight="false" outlineLevel="0" collapsed="false">
      <c r="B408" s="2" t="n">
        <v>406</v>
      </c>
      <c r="C408" s="2" t="n">
        <v>0</v>
      </c>
      <c r="D408" s="2" t="n">
        <v>0</v>
      </c>
      <c r="E408" s="2" t="n">
        <v>0.159663939428026</v>
      </c>
    </row>
    <row r="409" customFormat="false" ht="13.8" hidden="false" customHeight="false" outlineLevel="0" collapsed="false">
      <c r="B409" s="2" t="n">
        <v>407</v>
      </c>
      <c r="C409" s="2" t="n">
        <v>0</v>
      </c>
      <c r="D409" s="2" t="n">
        <v>0</v>
      </c>
      <c r="E409" s="2" t="n">
        <v>0.0840258035343975</v>
      </c>
    </row>
    <row r="410" customFormat="false" ht="13.8" hidden="false" customHeight="false" outlineLevel="0" collapsed="false">
      <c r="B410" s="2" t="n">
        <v>408</v>
      </c>
      <c r="C410" s="2" t="n">
        <v>0</v>
      </c>
      <c r="D410" s="2" t="n">
        <v>0</v>
      </c>
      <c r="E410" s="2" t="n">
        <v>0.0409219877283449</v>
      </c>
    </row>
    <row r="411" customFormat="false" ht="13.8" hidden="false" customHeight="false" outlineLevel="0" collapsed="false">
      <c r="B411" s="2" t="n">
        <v>409</v>
      </c>
      <c r="C411" s="2" t="n">
        <v>0</v>
      </c>
      <c r="D411" s="2" t="n">
        <v>0</v>
      </c>
      <c r="E411" s="2" t="n">
        <v>0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2.67186295596362E-008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0.0339751519084177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0.0339748121568986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0.0598962048683934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0.114014108007207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0.17350199250349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0.238359804657429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0.308587490769747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0.382437476349835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0.459909725174698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0.541004201021705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0.625720867668584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0.712000221979599</v>
      </c>
      <c r="E428" s="2" t="n">
        <v>1.75591856229604E-008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0.799842248327872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0.889246931086684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0</v>
      </c>
      <c r="D431" s="2" t="n">
        <v>0.980214254629469</v>
      </c>
      <c r="E431" s="2" t="n">
        <v>0.639627402872102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1.07343415068382</v>
      </c>
      <c r="E432" s="2" t="n">
        <v>1.29584437866775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1.16890659672403</v>
      </c>
      <c r="E433" s="2" t="n">
        <v>1.99887556649122</v>
      </c>
    </row>
    <row r="434" customFormat="false" ht="13.8" hidden="false" customHeight="false" outlineLevel="0" collapsed="false">
      <c r="B434" s="2" t="n">
        <v>432</v>
      </c>
      <c r="C434" s="2" t="n">
        <v>2.98020243644715E-020</v>
      </c>
      <c r="D434" s="2" t="n">
        <v>1.26663157022457</v>
      </c>
      <c r="E434" s="2" t="n">
        <v>2.71842070820039</v>
      </c>
    </row>
    <row r="435" customFormat="false" ht="13.8" hidden="false" customHeight="false" outlineLevel="0" collapsed="false">
      <c r="B435" s="2" t="n">
        <v>433</v>
      </c>
      <c r="C435" s="2" t="n">
        <v>0.00366851697439038</v>
      </c>
      <c r="D435" s="2" t="n">
        <v>1.36660904866018</v>
      </c>
      <c r="E435" s="2" t="n">
        <v>2.71839352399331</v>
      </c>
    </row>
    <row r="436" customFormat="false" ht="13.8" hidden="false" customHeight="false" outlineLevel="0" collapsed="false">
      <c r="B436" s="2" t="n">
        <v>434</v>
      </c>
      <c r="C436" s="2" t="n">
        <v>0.042978184374266</v>
      </c>
      <c r="D436" s="2" t="n">
        <v>1.46581914970875</v>
      </c>
      <c r="E436" s="2" t="n">
        <v>2.71836634005807</v>
      </c>
    </row>
    <row r="437" customFormat="false" ht="13.8" hidden="false" customHeight="false" outlineLevel="0" collapsed="false">
      <c r="B437" s="2" t="n">
        <v>435</v>
      </c>
      <c r="C437" s="2" t="n">
        <v>0.0770401216957437</v>
      </c>
      <c r="D437" s="2" t="n">
        <v>1.56426188104403</v>
      </c>
      <c r="E437" s="2" t="n">
        <v>3.41891232441133</v>
      </c>
    </row>
    <row r="438" customFormat="false" ht="13.8" hidden="false" customHeight="false" outlineLevel="0" collapsed="false">
      <c r="B438" s="2" t="n">
        <v>436</v>
      </c>
      <c r="C438" s="2" t="n">
        <v>0.123089606416124</v>
      </c>
      <c r="D438" s="2" t="n">
        <v>1.66193725033974</v>
      </c>
      <c r="E438" s="2" t="n">
        <v>4.10210724748189</v>
      </c>
    </row>
    <row r="439" customFormat="false" ht="13.8" hidden="false" customHeight="false" outlineLevel="0" collapsed="false">
      <c r="B439" s="2" t="n">
        <v>437</v>
      </c>
      <c r="C439" s="2" t="n">
        <v>0.156646668659933</v>
      </c>
      <c r="D439" s="2" t="n">
        <v>1.75884526526949</v>
      </c>
      <c r="E439" s="2" t="n">
        <v>4.79135128278034</v>
      </c>
    </row>
    <row r="440" customFormat="false" ht="13.8" hidden="false" customHeight="false" outlineLevel="0" collapsed="false">
      <c r="B440" s="2" t="n">
        <v>438</v>
      </c>
      <c r="C440" s="2" t="n">
        <v>0.183392865551496</v>
      </c>
      <c r="D440" s="2" t="n">
        <v>1.83842028024529</v>
      </c>
      <c r="E440" s="2" t="n">
        <v>5.37431996873454</v>
      </c>
    </row>
    <row r="441" customFormat="false" ht="13.8" hidden="false" customHeight="false" outlineLevel="0" collapsed="false">
      <c r="B441" s="2" t="n">
        <v>439</v>
      </c>
      <c r="C441" s="2" t="n">
        <v>0.183391031622841</v>
      </c>
      <c r="D441" s="2" t="n">
        <v>1.89805866816742</v>
      </c>
      <c r="E441" s="2" t="n">
        <v>5.81009157210432</v>
      </c>
    </row>
    <row r="442" customFormat="false" ht="13.8" hidden="false" customHeight="false" outlineLevel="0" collapsed="false">
      <c r="B442" s="2" t="n">
        <v>440</v>
      </c>
      <c r="C442" s="2" t="n">
        <v>0.183389197712525</v>
      </c>
      <c r="D442" s="2" t="n">
        <v>1.94296822926159</v>
      </c>
      <c r="E442" s="2" t="n">
        <v>6.09336601564285</v>
      </c>
    </row>
    <row r="443" customFormat="false" ht="13.8" hidden="false" customHeight="false" outlineLevel="0" collapsed="false">
      <c r="B443" s="2" t="n">
        <v>441</v>
      </c>
      <c r="C443" s="2" t="n">
        <v>0.183387363820548</v>
      </c>
      <c r="D443" s="2" t="n">
        <v>1.97054531038634</v>
      </c>
      <c r="E443" s="2" t="n">
        <v>6.24113401475142</v>
      </c>
    </row>
    <row r="444" customFormat="false" ht="13.8" hidden="false" customHeight="false" outlineLevel="0" collapsed="false">
      <c r="B444" s="2" t="n">
        <v>442</v>
      </c>
      <c r="C444" s="2" t="n">
        <v>0.183385529946909</v>
      </c>
      <c r="D444" s="2" t="n">
        <v>2.00092824748484</v>
      </c>
      <c r="E444" s="2" t="n">
        <v>6.39490136727498</v>
      </c>
    </row>
    <row r="445" customFormat="false" ht="13.8" hidden="false" customHeight="false" outlineLevel="0" collapsed="false">
      <c r="B445" s="2" t="n">
        <v>443</v>
      </c>
      <c r="C445" s="2" t="n">
        <v>0.18338369609161</v>
      </c>
      <c r="D445" s="2" t="n">
        <v>2.03411701249851</v>
      </c>
      <c r="E445" s="2" t="n">
        <v>6.61261293822001</v>
      </c>
    </row>
    <row r="446" customFormat="false" ht="13.8" hidden="false" customHeight="false" outlineLevel="0" collapsed="false">
      <c r="B446" s="2" t="n">
        <v>444</v>
      </c>
      <c r="C446" s="2" t="n">
        <v>0.184073502025755</v>
      </c>
      <c r="D446" s="2" t="n">
        <v>2.07011157736909</v>
      </c>
      <c r="E446" s="2" t="n">
        <v>6.8680317483732</v>
      </c>
    </row>
    <row r="447" customFormat="false" ht="13.8" hidden="false" customHeight="false" outlineLevel="0" collapsed="false">
      <c r="B447" s="2" t="n">
        <v>445</v>
      </c>
      <c r="C447" s="2" t="n">
        <v>0.184071661290735</v>
      </c>
      <c r="D447" s="2" t="n">
        <v>2.10891191403858</v>
      </c>
      <c r="E447" s="2" t="n">
        <v>7.06738091020439</v>
      </c>
    </row>
    <row r="448" customFormat="false" ht="13.8" hidden="false" customHeight="false" outlineLevel="0" collapsed="false">
      <c r="B448" s="2" t="n">
        <v>446</v>
      </c>
      <c r="C448" s="2" t="n">
        <v>0.184069820574122</v>
      </c>
      <c r="D448" s="2" t="n">
        <v>2.14426039674331</v>
      </c>
      <c r="E448" s="2" t="n">
        <v>7.30831768870196</v>
      </c>
    </row>
    <row r="449" customFormat="false" ht="13.8" hidden="false" customHeight="false" outlineLevel="0" collapsed="false">
      <c r="B449" s="2" t="n">
        <v>447</v>
      </c>
      <c r="C449" s="2" t="n">
        <v>0.184067979875916</v>
      </c>
      <c r="D449" s="2" t="n">
        <v>2.17615706000184</v>
      </c>
      <c r="E449" s="2" t="n">
        <v>7.44931689298975</v>
      </c>
    </row>
    <row r="450" customFormat="false" ht="13.8" hidden="false" customHeight="false" outlineLevel="0" collapsed="false">
      <c r="B450" s="2" t="n">
        <v>448</v>
      </c>
      <c r="C450" s="2" t="n">
        <v>0.184607930260947</v>
      </c>
      <c r="D450" s="2" t="n">
        <v>2.20460193833236</v>
      </c>
      <c r="E450" s="2" t="n">
        <v>7.64313749137867</v>
      </c>
    </row>
    <row r="451" customFormat="false" ht="13.8" hidden="false" customHeight="false" outlineLevel="0" collapsed="false">
      <c r="B451" s="2" t="n">
        <v>449</v>
      </c>
      <c r="C451" s="2" t="n">
        <v>0.184606084181645</v>
      </c>
      <c r="D451" s="2" t="n">
        <v>2.22959506625271</v>
      </c>
      <c r="E451" s="2" t="n">
        <v>7.72601274778445</v>
      </c>
    </row>
    <row r="452" customFormat="false" ht="13.8" hidden="false" customHeight="false" outlineLevel="0" collapsed="false">
      <c r="B452" s="2" t="n">
        <v>450</v>
      </c>
      <c r="C452" s="2" t="n">
        <v>0.184604238120803</v>
      </c>
      <c r="D452" s="2" t="n">
        <v>2.25151171280627</v>
      </c>
      <c r="E452" s="2" t="n">
        <v>7.84740282967417</v>
      </c>
    </row>
    <row r="453" customFormat="false" ht="13.8" hidden="false" customHeight="false" outlineLevel="0" collapsed="false">
      <c r="B453" s="2" t="n">
        <v>451</v>
      </c>
      <c r="C453" s="2" t="n">
        <v>0.184602392078422</v>
      </c>
      <c r="D453" s="2" t="n">
        <v>2.27035190875784</v>
      </c>
      <c r="E453" s="2" t="n">
        <v>7.8705076068996</v>
      </c>
    </row>
    <row r="454" customFormat="false" ht="13.8" hidden="false" customHeight="false" outlineLevel="0" collapsed="false">
      <c r="B454" s="2" t="n">
        <v>452</v>
      </c>
      <c r="C454" s="2" t="n">
        <v>0.184607930260947</v>
      </c>
      <c r="D454" s="2" t="n">
        <v>2.28611568487193</v>
      </c>
      <c r="E454" s="2" t="n">
        <v>7.924293992757</v>
      </c>
    </row>
    <row r="455" customFormat="false" ht="13.8" hidden="false" customHeight="false" outlineLevel="0" collapsed="false">
      <c r="B455" s="2" t="n">
        <v>453</v>
      </c>
      <c r="C455" s="2" t="n">
        <v>0.184606084181645</v>
      </c>
      <c r="D455" s="2" t="n">
        <v>2.28609282371508</v>
      </c>
      <c r="E455" s="2" t="n">
        <v>7.91585061145215</v>
      </c>
    </row>
    <row r="456" customFormat="false" ht="13.8" hidden="false" customHeight="false" outlineLevel="0" collapsed="false">
      <c r="B456" s="2" t="n">
        <v>454</v>
      </c>
      <c r="C456" s="2" t="n">
        <v>0.184607930260947</v>
      </c>
      <c r="D456" s="2" t="n">
        <v>2.29562858680554</v>
      </c>
      <c r="E456" s="2" t="n">
        <v>7.924293992757</v>
      </c>
    </row>
    <row r="457" customFormat="false" ht="13.8" hidden="false" customHeight="false" outlineLevel="0" collapsed="false">
      <c r="B457" s="2" t="n">
        <v>455</v>
      </c>
      <c r="C457" s="2" t="n">
        <v>0.102263507365594</v>
      </c>
      <c r="D457" s="2" t="n">
        <v>2.29560563051967</v>
      </c>
      <c r="E457" s="2" t="n">
        <v>7.91246767938348</v>
      </c>
    </row>
    <row r="458" customFormat="false" ht="13.8" hidden="false" customHeight="false" outlineLevel="0" collapsed="false">
      <c r="B458" s="2" t="n">
        <v>456</v>
      </c>
      <c r="C458" s="2" t="n">
        <v>0.0667539904459245</v>
      </c>
      <c r="D458" s="2" t="n">
        <v>2.29558267446337</v>
      </c>
      <c r="E458" s="2" t="n">
        <v>7.91238855470668</v>
      </c>
    </row>
    <row r="459" customFormat="false" ht="13.8" hidden="false" customHeight="false" outlineLevel="0" collapsed="false">
      <c r="B459" s="2" t="n">
        <v>457</v>
      </c>
      <c r="C459" s="2" t="n">
        <v>0.00160622422667188</v>
      </c>
      <c r="D459" s="2" t="n">
        <v>2.20679891799687</v>
      </c>
      <c r="E459" s="2" t="n">
        <v>7.85769719252438</v>
      </c>
    </row>
    <row r="460" customFormat="false" ht="13.8" hidden="false" customHeight="false" outlineLevel="0" collapsed="false">
      <c r="B460" s="2" t="n">
        <v>458</v>
      </c>
      <c r="C460" s="2" t="n">
        <v>0</v>
      </c>
      <c r="D460" s="2" t="n">
        <v>2.09576180508344</v>
      </c>
      <c r="E460" s="2" t="n">
        <v>7.78560325154037</v>
      </c>
    </row>
    <row r="461" customFormat="false" ht="13.8" hidden="false" customHeight="false" outlineLevel="0" collapsed="false">
      <c r="B461" s="2" t="n">
        <v>459</v>
      </c>
      <c r="C461" s="2" t="n">
        <v>1.75398415145874E-008</v>
      </c>
      <c r="D461" s="2" t="n">
        <v>1.98469378047885</v>
      </c>
      <c r="E461" s="2" t="n">
        <v>7.64270914368647</v>
      </c>
    </row>
    <row r="462" customFormat="false" ht="13.8" hidden="false" customHeight="false" outlineLevel="0" collapsed="false">
      <c r="B462" s="2" t="n">
        <v>460</v>
      </c>
      <c r="C462" s="2" t="n">
        <v>0</v>
      </c>
      <c r="D462" s="2" t="n">
        <v>1.87359484449222</v>
      </c>
      <c r="E462" s="2" t="n">
        <v>7.54456535920286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1.76246499743266</v>
      </c>
      <c r="E463" s="2" t="n">
        <v>7.39332043206779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1.65133626167158</v>
      </c>
      <c r="E464" s="2" t="n">
        <v>7.29477996182643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1.54020863719785</v>
      </c>
      <c r="E465" s="2" t="n">
        <v>7.12301851402681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1.42908212400037</v>
      </c>
      <c r="E466" s="2" t="n">
        <v>6.98944408013797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1.31795672206802</v>
      </c>
      <c r="E467" s="2" t="n">
        <v>6.80335185236384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1.20683243138968</v>
      </c>
      <c r="E468" s="2" t="n">
        <v>6.70959380032679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1.09570925195426</v>
      </c>
      <c r="E469" s="2" t="n">
        <v>6.5899291117962</v>
      </c>
    </row>
    <row r="470" customFormat="false" ht="13.8" hidden="false" customHeight="false" outlineLevel="0" collapsed="false">
      <c r="B470" s="2" t="n">
        <v>468</v>
      </c>
      <c r="C470" s="2" t="n">
        <v>1.73607086296082E-008</v>
      </c>
      <c r="D470" s="2" t="n">
        <v>0.984587183750629</v>
      </c>
      <c r="E470" s="2" t="n">
        <v>6.47317387917175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0.87346622676768</v>
      </c>
      <c r="E471" s="2" t="n">
        <v>6.36517836965518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0.762346380994301</v>
      </c>
      <c r="E472" s="2" t="n">
        <v>6.22405505120482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0.65122764641938</v>
      </c>
      <c r="E473" s="2" t="n">
        <v>6.14565488472838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0.540110023031805</v>
      </c>
      <c r="E474" s="2" t="n">
        <v>6.01364448373509</v>
      </c>
    </row>
    <row r="475" customFormat="false" ht="13.8" hidden="false" customHeight="false" outlineLevel="0" collapsed="false">
      <c r="B475" s="2" t="n">
        <v>473</v>
      </c>
      <c r="C475" s="2" t="n">
        <v>1.7542331905365E-008</v>
      </c>
      <c r="D475" s="2" t="n">
        <v>0.428993510820464</v>
      </c>
      <c r="E475" s="2" t="n">
        <v>5.93152455099395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0.386150549045519</v>
      </c>
      <c r="E476" s="2" t="n">
        <v>5.73050333351421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0.386146687540028</v>
      </c>
      <c r="E477" s="2" t="n">
        <v>5.55396041736976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0.386142826073153</v>
      </c>
      <c r="E478" s="2" t="n">
        <v>5.38089995183966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0.386138964644892</v>
      </c>
      <c r="E479" s="2" t="n">
        <v>5.19889849469199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0.386135103255246</v>
      </c>
      <c r="E480" s="2" t="n">
        <v>5.0272141538552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0.386131241904213</v>
      </c>
      <c r="E481" s="2" t="n">
        <v>4.82819830763958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0.386127380591794</v>
      </c>
      <c r="E482" s="2" t="n">
        <v>4.69912774787873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0.386123519317988</v>
      </c>
      <c r="E483" s="2" t="n">
        <v>4.61554034919384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0.386119658082795</v>
      </c>
      <c r="E484" s="2" t="n">
        <v>4.46093560119776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0.386115796886214</v>
      </c>
      <c r="E485" s="2" t="n">
        <v>4.25248193628619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0.386111935728246</v>
      </c>
      <c r="E486" s="2" t="n">
        <v>4.07645665220757</v>
      </c>
    </row>
    <row r="487" customFormat="false" ht="13.8" hidden="false" customHeight="false" outlineLevel="0" collapsed="false">
      <c r="B487" s="2" t="n">
        <v>485</v>
      </c>
      <c r="C487" s="2" t="n">
        <v>0</v>
      </c>
      <c r="D487" s="2" t="n">
        <v>0.386108074608888</v>
      </c>
      <c r="E487" s="2" t="n">
        <v>3.89171177652994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0.386104213528142</v>
      </c>
      <c r="E488" s="2" t="n">
        <v>3.73989474830106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0.386100352486007</v>
      </c>
      <c r="E489" s="2" t="n">
        <v>3.58957899750172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0.386096491482482</v>
      </c>
      <c r="E490" s="2" t="n">
        <v>3.44165415726731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0.386092630517567</v>
      </c>
      <c r="E491" s="2" t="n">
        <v>3.21019379628129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0.386088769591262</v>
      </c>
      <c r="E492" s="2" t="n">
        <v>3.06268017582481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0.386084908703566</v>
      </c>
      <c r="E493" s="2" t="n">
        <v>2.83585321568972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0.386081047854479</v>
      </c>
      <c r="E494" s="2" t="n">
        <v>2.68599133863904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0.386077187044001</v>
      </c>
      <c r="E495" s="2" t="n">
        <v>2.44694577502195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0.38607332627213</v>
      </c>
      <c r="E496" s="2" t="n">
        <v>2.26477299074939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0.386069465538868</v>
      </c>
      <c r="E497" s="2" t="n">
        <v>2.02280580598244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0.386065604844212</v>
      </c>
      <c r="E498" s="2" t="n">
        <v>1.84639642977623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0.386061744188164</v>
      </c>
      <c r="E499" s="2" t="n">
        <v>1.60963709544156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0.386057883570722</v>
      </c>
      <c r="E500" s="2" t="n">
        <v>1.44008375832987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0.386054022991886</v>
      </c>
      <c r="E501" s="2" t="n">
        <v>1.21077302415895</v>
      </c>
    </row>
    <row r="502" customFormat="false" ht="13.8" hidden="false" customHeight="false" outlineLevel="0" collapsed="false">
      <c r="B502" s="2" t="n">
        <v>500</v>
      </c>
      <c r="C502" s="2" t="n">
        <v>1.75471358184815E-008</v>
      </c>
      <c r="D502" s="2" t="n">
        <v>0.386050162451656</v>
      </c>
      <c r="E502" s="2" t="n">
        <v>1.04270536087316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0.386046301950032</v>
      </c>
      <c r="E503" s="2" t="n">
        <v>0.813472563449177</v>
      </c>
    </row>
    <row r="504" customFormat="false" ht="13.8" hidden="false" customHeight="false" outlineLevel="0" collapsed="false">
      <c r="B504" s="2" t="n">
        <v>502</v>
      </c>
      <c r="C504" s="2" t="n">
        <v>0</v>
      </c>
      <c r="D504" s="2" t="n">
        <v>0.386042441487012</v>
      </c>
      <c r="E504" s="2" t="n">
        <v>0.644981373810307</v>
      </c>
    </row>
    <row r="505" customFormat="false" ht="13.8" hidden="false" customHeight="false" outlineLevel="0" collapsed="false">
      <c r="B505" s="2" t="n">
        <v>503</v>
      </c>
      <c r="C505" s="2" t="n">
        <v>0</v>
      </c>
      <c r="D505" s="2" t="n">
        <v>0.386038581062598</v>
      </c>
      <c r="E505" s="2" t="n">
        <v>0.446508591947876</v>
      </c>
    </row>
    <row r="506" customFormat="false" ht="13.8" hidden="false" customHeight="false" outlineLevel="0" collapsed="false">
      <c r="B506" s="2" t="n">
        <v>504</v>
      </c>
      <c r="C506" s="2" t="n">
        <v>0</v>
      </c>
      <c r="D506" s="2" t="n">
        <v>0.386034720676787</v>
      </c>
      <c r="E506" s="2" t="n">
        <v>0.414073425085213</v>
      </c>
    </row>
    <row r="507" customFormat="false" ht="13.8" hidden="false" customHeight="false" outlineLevel="0" collapsed="false">
      <c r="B507" s="2" t="n">
        <v>505</v>
      </c>
      <c r="C507" s="2" t="n">
        <v>0</v>
      </c>
      <c r="D507" s="2" t="n">
        <v>0.38603086032958</v>
      </c>
      <c r="E507" s="2" t="n">
        <v>0.313137286920243</v>
      </c>
    </row>
    <row r="508" customFormat="false" ht="13.8" hidden="false" customHeight="false" outlineLevel="0" collapsed="false">
      <c r="B508" s="2" t="n">
        <v>506</v>
      </c>
      <c r="C508" s="2" t="n">
        <v>0</v>
      </c>
      <c r="D508" s="2" t="n">
        <v>0.386027000020977</v>
      </c>
      <c r="E508" s="2" t="n">
        <v>0.250079708841919</v>
      </c>
    </row>
    <row r="509" customFormat="false" ht="13.8" hidden="false" customHeight="false" outlineLevel="0" collapsed="false">
      <c r="B509" s="2" t="n">
        <v>507</v>
      </c>
      <c r="C509" s="2" t="n">
        <v>0</v>
      </c>
      <c r="D509" s="2" t="n">
        <v>0.386023139750977</v>
      </c>
      <c r="E509" s="2" t="n">
        <v>0.158048330583158</v>
      </c>
    </row>
    <row r="510" customFormat="false" ht="13.8" hidden="false" customHeight="false" outlineLevel="0" collapsed="false">
      <c r="B510" s="2" t="n">
        <v>508</v>
      </c>
      <c r="C510" s="2" t="n">
        <v>1.74990242462158E-008</v>
      </c>
      <c r="D510" s="2" t="n">
        <v>0.386019279519579</v>
      </c>
      <c r="E510" s="2" t="n">
        <v>0.103173201141221</v>
      </c>
    </row>
    <row r="511" customFormat="false" ht="13.8" hidden="false" customHeight="false" outlineLevel="0" collapsed="false">
      <c r="B511" s="2" t="n">
        <v>509</v>
      </c>
      <c r="C511" s="2" t="n">
        <v>0</v>
      </c>
      <c r="D511" s="2" t="n">
        <v>0.386015419326784</v>
      </c>
      <c r="E511" s="2" t="n">
        <v>0.002398393398065</v>
      </c>
    </row>
    <row r="512" customFormat="false" ht="13.8" hidden="false" customHeight="false" outlineLevel="0" collapsed="false">
      <c r="B512" s="2" t="n">
        <v>510</v>
      </c>
      <c r="C512" s="2" t="n">
        <v>0</v>
      </c>
      <c r="D512" s="2" t="n">
        <v>0.386011559172591</v>
      </c>
      <c r="E512" s="2" t="n">
        <v>0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0.399507150192923</v>
      </c>
      <c r="E513" s="2" t="n">
        <v>0.0131524289822111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0.418835168726151</v>
      </c>
      <c r="E514" s="2" t="n">
        <v>0.108331333314908</v>
      </c>
    </row>
    <row r="515" customFormat="false" ht="13.8" hidden="false" customHeight="false" outlineLevel="0" collapsed="false">
      <c r="B515" s="2" t="n">
        <v>513</v>
      </c>
      <c r="C515" s="2" t="n">
        <v>2.98020243644715E-020</v>
      </c>
      <c r="D515" s="2" t="n">
        <v>0.460225627694451</v>
      </c>
      <c r="E515" s="2" t="n">
        <v>0.208060671486884</v>
      </c>
    </row>
    <row r="516" customFormat="false" ht="13.8" hidden="false" customHeight="false" outlineLevel="0" collapsed="false">
      <c r="B516" s="2" t="n">
        <v>514</v>
      </c>
      <c r="C516" s="2" t="n">
        <v>0.00215944994821008</v>
      </c>
      <c r="D516" s="2" t="n">
        <v>0.490398873112528</v>
      </c>
      <c r="E516" s="2" t="n">
        <v>0.393630798688728</v>
      </c>
    </row>
    <row r="517" customFormat="false" ht="13.8" hidden="false" customHeight="false" outlineLevel="0" collapsed="false">
      <c r="B517" s="2" t="n">
        <v>515</v>
      </c>
      <c r="C517" s="2" t="n">
        <v>0.0021594283537106</v>
      </c>
      <c r="D517" s="2" t="n">
        <v>0.727742476180746</v>
      </c>
      <c r="E517" s="2" t="n">
        <v>0.393626862380742</v>
      </c>
    </row>
    <row r="518" customFormat="false" ht="13.8" hidden="false" customHeight="false" outlineLevel="0" collapsed="false">
      <c r="B518" s="2" t="n">
        <v>516</v>
      </c>
      <c r="C518" s="2" t="n">
        <v>0.0180540560461486</v>
      </c>
      <c r="D518" s="2" t="n">
        <v>0.767939589631975</v>
      </c>
      <c r="E518" s="2" t="n">
        <v>0.65303649963218</v>
      </c>
    </row>
    <row r="519" customFormat="false" ht="13.8" hidden="false" customHeight="false" outlineLevel="0" collapsed="false">
      <c r="B519" s="2" t="n">
        <v>517</v>
      </c>
      <c r="C519" s="2" t="n">
        <v>0.0244443819615653</v>
      </c>
      <c r="D519" s="2" t="n">
        <v>0.813149572712889</v>
      </c>
      <c r="E519" s="2" t="n">
        <v>0.975689225642998</v>
      </c>
    </row>
    <row r="520" customFormat="false" ht="13.8" hidden="false" customHeight="false" outlineLevel="0" collapsed="false">
      <c r="B520" s="2" t="n">
        <v>518</v>
      </c>
      <c r="C520" s="2" t="n">
        <v>0.0244441375177457</v>
      </c>
      <c r="D520" s="2" t="n">
        <v>0.860360815616263</v>
      </c>
      <c r="E520" s="2" t="n">
        <v>1.26386447745482</v>
      </c>
    </row>
    <row r="521" customFormat="false" ht="13.8" hidden="false" customHeight="false" outlineLevel="0" collapsed="false">
      <c r="B521" s="2" t="n">
        <v>519</v>
      </c>
      <c r="C521" s="2" t="n">
        <v>0.0244438930763705</v>
      </c>
      <c r="D521" s="2" t="n">
        <v>0.9095732983295</v>
      </c>
      <c r="E521" s="2" t="n">
        <v>1.61395200338642</v>
      </c>
    </row>
    <row r="522" customFormat="false" ht="13.8" hidden="false" customHeight="false" outlineLevel="0" collapsed="false">
      <c r="B522" s="2" t="n">
        <v>520</v>
      </c>
      <c r="C522" s="2" t="n">
        <v>0.0244436486374398</v>
      </c>
      <c r="D522" s="2" t="n">
        <v>0.960787000840201</v>
      </c>
      <c r="E522" s="2" t="n">
        <v>1.94375124431506</v>
      </c>
    </row>
    <row r="523" customFormat="false" ht="13.8" hidden="false" customHeight="false" outlineLevel="0" collapsed="false">
      <c r="B523" s="2" t="n">
        <v>521</v>
      </c>
      <c r="C523" s="2" t="n">
        <v>0.0244434042009534</v>
      </c>
      <c r="D523" s="2" t="n">
        <v>1.01400190313617</v>
      </c>
      <c r="E523" s="2" t="n">
        <v>2.31821267312357</v>
      </c>
    </row>
    <row r="524" customFormat="false" ht="13.8" hidden="false" customHeight="false" outlineLevel="0" collapsed="false">
      <c r="B524" s="2" t="n">
        <v>522</v>
      </c>
      <c r="C524" s="2" t="n">
        <v>0.0244431597669114</v>
      </c>
      <c r="D524" s="2" t="n">
        <v>1.07404277494761</v>
      </c>
      <c r="E524" s="2" t="n">
        <v>2.64631918782543</v>
      </c>
    </row>
    <row r="525" customFormat="false" ht="13.8" hidden="false" customHeight="false" outlineLevel="0" collapsed="false">
      <c r="B525" s="2" t="n">
        <v>523</v>
      </c>
      <c r="C525" s="2" t="n">
        <v>0.0357264145148344</v>
      </c>
      <c r="D525" s="2" t="n">
        <v>1.14090954801483</v>
      </c>
      <c r="E525" s="2" t="n">
        <v>3.12156764779025</v>
      </c>
    </row>
    <row r="526" customFormat="false" ht="13.8" hidden="false" customHeight="false" outlineLevel="0" collapsed="false">
      <c r="B526" s="2" t="n">
        <v>524</v>
      </c>
      <c r="C526" s="2" t="n">
        <v>0.0461891756347448</v>
      </c>
      <c r="D526" s="2" t="n">
        <v>1.21460215407882</v>
      </c>
      <c r="E526" s="2" t="n">
        <v>3.62233571657357</v>
      </c>
    </row>
    <row r="527" customFormat="false" ht="13.8" hidden="false" customHeight="false" outlineLevel="0" collapsed="false">
      <c r="B527" s="2" t="n">
        <v>525</v>
      </c>
      <c r="C527" s="2" t="n">
        <v>0.068206631331579</v>
      </c>
      <c r="D527" s="2" t="n">
        <v>1.29512052488125</v>
      </c>
      <c r="E527" s="2" t="n">
        <v>4.1224483339793</v>
      </c>
    </row>
    <row r="528" customFormat="false" ht="13.8" hidden="false" customHeight="false" outlineLevel="0" collapsed="false">
      <c r="B528" s="2" t="n">
        <v>526</v>
      </c>
      <c r="C528" s="2" t="n">
        <v>0.0810562093036151</v>
      </c>
      <c r="D528" s="2" t="n">
        <v>1.37199226342934</v>
      </c>
      <c r="E528" s="2" t="n">
        <v>4.56555594879463</v>
      </c>
    </row>
    <row r="529" customFormat="false" ht="13.8" hidden="false" customHeight="false" outlineLevel="0" collapsed="false">
      <c r="B529" s="2" t="n">
        <v>527</v>
      </c>
      <c r="C529" s="2" t="n">
        <v>0.0955379112296306</v>
      </c>
      <c r="D529" s="2" t="n">
        <v>1.44521740618941</v>
      </c>
      <c r="E529" s="2" t="n">
        <v>5.08643389106959</v>
      </c>
    </row>
    <row r="530" customFormat="false" ht="13.8" hidden="false" customHeight="false" outlineLevel="0" collapsed="false">
      <c r="B530" s="2" t="n">
        <v>528</v>
      </c>
      <c r="C530" s="2" t="n">
        <v>0.0959015407883858</v>
      </c>
      <c r="D530" s="2" t="n">
        <v>1.51479598962743</v>
      </c>
      <c r="E530" s="2" t="n">
        <v>5.59866654810091</v>
      </c>
    </row>
    <row r="531" customFormat="false" ht="13.8" hidden="false" customHeight="false" outlineLevel="0" collapsed="false">
      <c r="B531" s="2" t="n">
        <v>529</v>
      </c>
      <c r="C531" s="2" t="n">
        <v>0.102997239160604</v>
      </c>
      <c r="D531" s="2" t="n">
        <v>1.58072805020899</v>
      </c>
      <c r="E531" s="2" t="n">
        <v>6.06001424634144</v>
      </c>
    </row>
    <row r="532" customFormat="false" ht="13.8" hidden="false" customHeight="false" outlineLevel="0" collapsed="false">
      <c r="B532" s="2" t="n">
        <v>530</v>
      </c>
      <c r="C532" s="2" t="n">
        <v>0.137706367118463</v>
      </c>
      <c r="D532" s="2" t="n">
        <v>1.64506133281187</v>
      </c>
      <c r="E532" s="2" t="n">
        <v>6.47813318966208</v>
      </c>
    </row>
    <row r="533" customFormat="false" ht="13.8" hidden="false" customHeight="false" outlineLevel="0" collapsed="false">
      <c r="B533" s="2" t="n">
        <v>531</v>
      </c>
      <c r="C533" s="2" t="n">
        <v>0.137704990054791</v>
      </c>
      <c r="D533" s="2" t="n">
        <v>1.70779585342386</v>
      </c>
      <c r="E533" s="2" t="n">
        <v>6.84883736382325</v>
      </c>
    </row>
    <row r="534" customFormat="false" ht="13.8" hidden="false" customHeight="false" outlineLevel="0" collapsed="false">
      <c r="B534" s="2" t="n">
        <v>532</v>
      </c>
      <c r="C534" s="2" t="n">
        <v>0.160845982020388</v>
      </c>
      <c r="D534" s="2" t="n">
        <v>1.76893162803256</v>
      </c>
      <c r="E534" s="2" t="n">
        <v>7.20913425102689</v>
      </c>
    </row>
    <row r="535" customFormat="false" ht="13.8" hidden="false" customHeight="false" outlineLevel="0" collapsed="false">
      <c r="B535" s="2" t="n">
        <v>533</v>
      </c>
      <c r="C535" s="2" t="n">
        <v>0.160844373560568</v>
      </c>
      <c r="D535" s="2" t="n">
        <v>1.82846867262546</v>
      </c>
      <c r="E535" s="2" t="n">
        <v>7.52274902337688</v>
      </c>
    </row>
    <row r="536" customFormat="false" ht="13.8" hidden="false" customHeight="false" outlineLevel="0" collapsed="false">
      <c r="B536" s="2" t="n">
        <v>534</v>
      </c>
      <c r="C536" s="2" t="n">
        <v>0.160842765116832</v>
      </c>
      <c r="D536" s="2" t="n">
        <v>1.87821962792233</v>
      </c>
      <c r="E536" s="2" t="n">
        <v>7.75320768462379</v>
      </c>
    </row>
    <row r="537" customFormat="false" ht="13.8" hidden="false" customHeight="false" outlineLevel="0" collapsed="false">
      <c r="B537" s="2" t="n">
        <v>535</v>
      </c>
      <c r="C537" s="2" t="n">
        <v>0.184607930260947</v>
      </c>
      <c r="D537" s="2" t="n">
        <v>1.91818459178407</v>
      </c>
      <c r="E537" s="2" t="n">
        <v>7.924293992757</v>
      </c>
    </row>
    <row r="538" customFormat="false" ht="13.8" hidden="false" customHeight="false" outlineLevel="0" collapsed="false">
      <c r="B538" s="2" t="n">
        <v>536</v>
      </c>
      <c r="C538" s="2" t="n">
        <v>0.184607930260947</v>
      </c>
      <c r="D538" s="2" t="n">
        <v>2.09276037687784</v>
      </c>
      <c r="E538" s="2" t="n">
        <v>7.924293992757</v>
      </c>
    </row>
    <row r="539" customFormat="false" ht="13.8" hidden="false" customHeight="false" outlineLevel="0" collapsed="false">
      <c r="B539" s="2" t="n">
        <v>537</v>
      </c>
      <c r="C539" s="2" t="n">
        <v>0.184606084181645</v>
      </c>
      <c r="D539" s="2" t="n">
        <v>2.19325252341215</v>
      </c>
      <c r="E539" s="2" t="n">
        <v>7.924293992757</v>
      </c>
    </row>
    <row r="540" customFormat="false" ht="13.8" hidden="false" customHeight="false" outlineLevel="0" collapsed="false">
      <c r="B540" s="2" t="n">
        <v>538</v>
      </c>
      <c r="C540" s="2" t="n">
        <v>0.184604238120803</v>
      </c>
      <c r="D540" s="2" t="n">
        <v>2.25542222313039</v>
      </c>
      <c r="E540" s="2" t="n">
        <v>7.924293992757</v>
      </c>
    </row>
    <row r="541" customFormat="false" ht="13.8" hidden="false" customHeight="false" outlineLevel="0" collapsed="false">
      <c r="B541" s="2" t="n">
        <v>539</v>
      </c>
      <c r="C541" s="2" t="n">
        <v>0.184602392078422</v>
      </c>
      <c r="D541" s="2" t="n">
        <v>2.28166993425704</v>
      </c>
      <c r="E541" s="2" t="n">
        <v>7.924293992757</v>
      </c>
    </row>
    <row r="542" customFormat="false" ht="13.8" hidden="false" customHeight="false" outlineLevel="0" collapsed="false">
      <c r="B542" s="2" t="n">
        <v>540</v>
      </c>
      <c r="C542" s="2" t="n">
        <v>0.184607930260947</v>
      </c>
      <c r="D542" s="2" t="n">
        <v>2.29562858680554</v>
      </c>
      <c r="E542" s="2" t="n">
        <v>7.924293992757</v>
      </c>
    </row>
    <row r="543" customFormat="false" ht="13.8" hidden="false" customHeight="false" outlineLevel="0" collapsed="false">
      <c r="B543" s="2" t="n">
        <v>541</v>
      </c>
      <c r="C543" s="2" t="n">
        <v>0.165366700847832</v>
      </c>
      <c r="D543" s="2" t="n">
        <v>2.29560563051967</v>
      </c>
      <c r="E543" s="2" t="n">
        <v>7.92421474981707</v>
      </c>
    </row>
    <row r="544" customFormat="false" ht="13.8" hidden="false" customHeight="false" outlineLevel="0" collapsed="false">
      <c r="B544" s="2" t="n">
        <v>542</v>
      </c>
      <c r="C544" s="2" t="n">
        <v>0.105196342291986</v>
      </c>
      <c r="D544" s="2" t="n">
        <v>2.29558267446337</v>
      </c>
      <c r="E544" s="2" t="n">
        <v>7.91662487443807</v>
      </c>
    </row>
    <row r="545" customFormat="false" ht="13.8" hidden="false" customHeight="false" outlineLevel="0" collapsed="false">
      <c r="B545" s="2" t="n">
        <v>543</v>
      </c>
      <c r="C545" s="2" t="n">
        <v>0.0447058307550387</v>
      </c>
      <c r="D545" s="2" t="n">
        <v>2.29555971863662</v>
      </c>
      <c r="E545" s="2" t="n">
        <v>7.91654570818933</v>
      </c>
    </row>
    <row r="546" customFormat="false" ht="13.8" hidden="false" customHeight="false" outlineLevel="0" collapsed="false">
      <c r="B546" s="2" t="n">
        <v>544</v>
      </c>
      <c r="C546" s="2" t="n">
        <v>0.0118369066546442</v>
      </c>
      <c r="D546" s="2" t="n">
        <v>2.29553676303944</v>
      </c>
      <c r="E546" s="2" t="n">
        <v>7.87373880911799</v>
      </c>
    </row>
    <row r="547" customFormat="false" ht="13.8" hidden="false" customHeight="false" outlineLevel="0" collapsed="false">
      <c r="B547" s="2" t="n">
        <v>545</v>
      </c>
      <c r="C547" s="2" t="n">
        <v>1.55629159545899E-009</v>
      </c>
      <c r="D547" s="2" t="n">
        <v>2.29551380767181</v>
      </c>
      <c r="E547" s="2" t="n">
        <v>7.76557241679484</v>
      </c>
    </row>
    <row r="548" customFormat="false" ht="13.8" hidden="false" customHeight="false" outlineLevel="0" collapsed="false">
      <c r="B548" s="2" t="n">
        <v>546</v>
      </c>
      <c r="C548" s="2" t="n">
        <v>0</v>
      </c>
      <c r="D548" s="2" t="n">
        <v>2.29549085253373</v>
      </c>
      <c r="E548" s="2" t="n">
        <v>7.6130119482658</v>
      </c>
    </row>
    <row r="549" customFormat="false" ht="13.8" hidden="false" customHeight="false" outlineLevel="0" collapsed="false">
      <c r="B549" s="2" t="n">
        <v>547</v>
      </c>
      <c r="C549" s="2" t="n">
        <v>6.53426644897462E-009</v>
      </c>
      <c r="D549" s="2" t="n">
        <v>2.2954678976252</v>
      </c>
      <c r="E549" s="2" t="n">
        <v>7.50039396909056</v>
      </c>
    </row>
    <row r="550" customFormat="false" ht="13.8" hidden="false" customHeight="false" outlineLevel="0" collapsed="false">
      <c r="B550" s="2" t="n">
        <v>548</v>
      </c>
      <c r="C550" s="2" t="n">
        <v>1.53096492004395E-009</v>
      </c>
      <c r="D550" s="2" t="n">
        <v>2.29544494294623</v>
      </c>
      <c r="E550" s="2" t="n">
        <v>7.26521907984423</v>
      </c>
    </row>
    <row r="551" customFormat="false" ht="13.8" hidden="false" customHeight="false" outlineLevel="0" collapsed="false">
      <c r="B551" s="2" t="n">
        <v>549</v>
      </c>
      <c r="C551" s="2" t="n">
        <v>0</v>
      </c>
      <c r="D551" s="2" t="n">
        <v>2.2954219884968</v>
      </c>
      <c r="E551" s="2" t="n">
        <v>7.05572878387367</v>
      </c>
    </row>
    <row r="552" customFormat="false" ht="13.8" hidden="false" customHeight="false" outlineLevel="0" collapsed="false">
      <c r="B552" s="2" t="n">
        <v>550</v>
      </c>
      <c r="C552" s="2" t="n">
        <v>0</v>
      </c>
      <c r="D552" s="2" t="n">
        <v>2.29539903427691</v>
      </c>
      <c r="E552" s="2" t="n">
        <v>6.8995805539362</v>
      </c>
    </row>
    <row r="553" customFormat="false" ht="13.8" hidden="false" customHeight="false" outlineLevel="0" collapsed="false">
      <c r="B553" s="2" t="n">
        <v>551</v>
      </c>
      <c r="C553" s="2" t="n">
        <v>0</v>
      </c>
      <c r="D553" s="2" t="n">
        <v>2.29537608028657</v>
      </c>
      <c r="E553" s="2" t="n">
        <v>6.76323717142597</v>
      </c>
    </row>
    <row r="554" customFormat="false" ht="13.8" hidden="false" customHeight="false" outlineLevel="0" collapsed="false">
      <c r="B554" s="2" t="n">
        <v>552</v>
      </c>
      <c r="C554" s="2" t="n">
        <v>8.05167459869386E-009</v>
      </c>
      <c r="D554" s="2" t="n">
        <v>2.28113264118697</v>
      </c>
      <c r="E554" s="2" t="n">
        <v>6.63740070141107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2.16999871874945</v>
      </c>
      <c r="E555" s="2" t="n">
        <v>6.5093330681448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2.05886590765115</v>
      </c>
      <c r="E556" s="2" t="n">
        <v>6.37798912296227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1.94773420788096</v>
      </c>
      <c r="E557" s="2" t="n">
        <v>6.2199236023303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1.83660361942777</v>
      </c>
      <c r="E558" s="2" t="n">
        <v>6.07445125494612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1.72547414228047</v>
      </c>
      <c r="E559" s="2" t="n">
        <v>5.89486891784098</v>
      </c>
    </row>
    <row r="560" customFormat="false" ht="13.8" hidden="false" customHeight="false" outlineLevel="0" collapsed="false">
      <c r="B560" s="2" t="n">
        <v>558</v>
      </c>
      <c r="C560" s="2" t="n">
        <v>7.98663957214357E-009</v>
      </c>
      <c r="D560" s="2" t="n">
        <v>1.61434577642793</v>
      </c>
      <c r="E560" s="2" t="n">
        <v>5.75076937655921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1.50321852185906</v>
      </c>
      <c r="E561" s="2" t="n">
        <v>5.65481847997656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1.39209237856273</v>
      </c>
      <c r="E562" s="2" t="n">
        <v>5.51038726512509</v>
      </c>
    </row>
    <row r="563" customFormat="false" ht="13.8" hidden="false" customHeight="false" outlineLevel="0" collapsed="false">
      <c r="B563" s="2" t="n">
        <v>561</v>
      </c>
      <c r="C563" s="2" t="n">
        <v>7.65568019866945E-009</v>
      </c>
      <c r="D563" s="2" t="n">
        <v>1.28096734652783</v>
      </c>
      <c r="E563" s="2" t="n">
        <v>5.38251288347466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1.16984342574326</v>
      </c>
      <c r="E564" s="2" t="n">
        <v>5.30360174353101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1.05872061619789</v>
      </c>
      <c r="E565" s="2" t="n">
        <v>5.19026633714321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0.947598917880614</v>
      </c>
      <c r="E566" s="2" t="n">
        <v>5.05945134188725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0.836478330780324</v>
      </c>
      <c r="E567" s="2" t="n">
        <v>4.89973006218864</v>
      </c>
    </row>
    <row r="568" customFormat="false" ht="13.8" hidden="false" customHeight="false" outlineLevel="0" collapsed="false">
      <c r="B568" s="2" t="n">
        <v>566</v>
      </c>
      <c r="C568" s="2" t="n">
        <v>0</v>
      </c>
      <c r="D568" s="2" t="n">
        <v>0.725358854885905</v>
      </c>
      <c r="E568" s="2" t="n">
        <v>4.79543599081395</v>
      </c>
    </row>
    <row r="569" customFormat="false" ht="13.8" hidden="false" customHeight="false" outlineLevel="0" collapsed="false">
      <c r="B569" s="2" t="n">
        <v>567</v>
      </c>
      <c r="C569" s="2" t="n">
        <v>4.10771377563477E-010</v>
      </c>
      <c r="D569" s="2" t="n">
        <v>0.614240490186245</v>
      </c>
      <c r="E569" s="2" t="n">
        <v>4.68764342534293</v>
      </c>
    </row>
    <row r="570" customFormat="false" ht="13.8" hidden="false" customHeight="false" outlineLevel="0" collapsed="false">
      <c r="B570" s="2" t="n">
        <v>568</v>
      </c>
      <c r="C570" s="2" t="n">
        <v>5.70019331359864E-009</v>
      </c>
      <c r="D570" s="2" t="n">
        <v>0.503123236670232</v>
      </c>
      <c r="E570" s="2" t="n">
        <v>4.56333236372349</v>
      </c>
    </row>
    <row r="571" customFormat="false" ht="13.8" hidden="false" customHeight="false" outlineLevel="0" collapsed="false">
      <c r="B571" s="2" t="n">
        <v>569</v>
      </c>
      <c r="C571" s="2" t="n">
        <v>1.4612819442749E-009</v>
      </c>
      <c r="D571" s="2" t="n">
        <v>0.392007094326755</v>
      </c>
      <c r="E571" s="2" t="n">
        <v>4.4776890822517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0.2808920631447</v>
      </c>
      <c r="E572" s="2" t="n">
        <v>4.35899112017569</v>
      </c>
    </row>
    <row r="573" customFormat="false" ht="13.8" hidden="false" customHeight="false" outlineLevel="0" collapsed="false">
      <c r="B573" s="2" t="n">
        <v>571</v>
      </c>
      <c r="C573" s="2" t="n">
        <v>0</v>
      </c>
      <c r="D573" s="2" t="n">
        <v>0.169778143112958</v>
      </c>
      <c r="E573" s="2" t="n">
        <v>4.2520722339682</v>
      </c>
    </row>
    <row r="574" customFormat="false" ht="13.8" hidden="false" customHeight="false" outlineLevel="0" collapsed="false">
      <c r="B574" s="2" t="n">
        <v>572</v>
      </c>
      <c r="C574" s="2" t="n">
        <v>1.58213157653809E-010</v>
      </c>
      <c r="D574" s="2" t="n">
        <v>0.0586653342204154</v>
      </c>
      <c r="E574" s="2" t="n">
        <v>4.16974769472734</v>
      </c>
    </row>
    <row r="575" customFormat="false" ht="13.8" hidden="false" customHeight="false" outlineLevel="0" collapsed="false">
      <c r="B575" s="2" t="n">
        <v>573</v>
      </c>
      <c r="C575" s="2" t="n">
        <v>9.37503509521486E-011</v>
      </c>
      <c r="D575" s="2" t="n">
        <v>4.09700218677521E-010</v>
      </c>
      <c r="E575" s="2" t="n">
        <v>4.02825500407672</v>
      </c>
    </row>
    <row r="576" customFormat="false" ht="13.8" hidden="false" customHeight="false" outlineLevel="0" collapsed="false">
      <c r="B576" s="2" t="n">
        <v>574</v>
      </c>
      <c r="C576" s="2" t="n">
        <v>0</v>
      </c>
      <c r="D576" s="2" t="n">
        <v>5.64321224975587E-009</v>
      </c>
      <c r="E576" s="2" t="n">
        <v>3.84558116597113</v>
      </c>
    </row>
    <row r="577" customFormat="false" ht="13.8" hidden="false" customHeight="false" outlineLevel="0" collapsed="false">
      <c r="B577" s="2" t="n">
        <v>575</v>
      </c>
      <c r="C577" s="2" t="n">
        <v>1.2674034576416E-009</v>
      </c>
      <c r="D577" s="2" t="n">
        <v>1.66360417938233E-009</v>
      </c>
      <c r="E577" s="2" t="n">
        <v>3.66833569164095</v>
      </c>
    </row>
    <row r="578" customFormat="false" ht="13.8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3.49940602680255</v>
      </c>
    </row>
    <row r="579" customFormat="false" ht="13.8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3.4488311438534</v>
      </c>
    </row>
    <row r="580" customFormat="false" ht="13.8" hidden="false" customHeight="false" outlineLevel="0" collapsed="false">
      <c r="B580" s="2" t="n">
        <v>578</v>
      </c>
      <c r="C580" s="2" t="n">
        <v>1.79669915771485E-009</v>
      </c>
      <c r="D580" s="2" t="n">
        <v>6.61254013061524E-010</v>
      </c>
      <c r="E580" s="2" t="n">
        <v>3.41686800739381</v>
      </c>
    </row>
    <row r="581" customFormat="false" ht="13.8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3.32164709797299</v>
      </c>
    </row>
    <row r="582" customFormat="false" ht="13.8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3.25364980742794</v>
      </c>
    </row>
    <row r="583" customFormat="false" ht="13.8" hidden="false" customHeight="false" outlineLevel="0" collapsed="false">
      <c r="B583" s="2" t="n">
        <v>581</v>
      </c>
      <c r="C583" s="2" t="n">
        <v>2.50322235107422E-010</v>
      </c>
      <c r="D583" s="2" t="n">
        <v>3.66109840393067E-010</v>
      </c>
      <c r="E583" s="2" t="n">
        <v>3.05569088204098</v>
      </c>
    </row>
    <row r="584" customFormat="false" ht="13.8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2.89880830661364</v>
      </c>
    </row>
    <row r="585" customFormat="false" ht="13.8" hidden="false" customHeight="false" outlineLevel="0" collapsed="false">
      <c r="B585" s="2" t="n">
        <v>583</v>
      </c>
      <c r="C585" s="2" t="n">
        <v>7.30754804992677E-009</v>
      </c>
      <c r="D585" s="2" t="n">
        <v>0</v>
      </c>
      <c r="E585" s="2" t="n">
        <v>2.71827917038243</v>
      </c>
    </row>
    <row r="586" customFormat="false" ht="13.8" hidden="false" customHeight="false" outlineLevel="0" collapsed="false">
      <c r="B586" s="2" t="n">
        <v>584</v>
      </c>
      <c r="C586" s="2" t="n">
        <v>0</v>
      </c>
      <c r="D586" s="2" t="n">
        <v>8.21213023376466E-009</v>
      </c>
      <c r="E586" s="2" t="n">
        <v>2.51725165425739</v>
      </c>
    </row>
    <row r="587" customFormat="false" ht="13.8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2.37054098174085</v>
      </c>
    </row>
    <row r="588" customFormat="false" ht="13.8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2.2013689429977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7.65790707397462E-009</v>
      </c>
      <c r="E589" s="2" t="n">
        <v>1.99547644782678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1.85062312269194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1.65625252386812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1.49734696134288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1.31651709898437</v>
      </c>
    </row>
    <row r="594" customFormat="false" ht="13.8" hidden="false" customHeight="false" outlineLevel="0" collapsed="false">
      <c r="B594" s="2" t="n">
        <v>592</v>
      </c>
      <c r="C594" s="2" t="n">
        <v>1.62386383056641E-010</v>
      </c>
      <c r="D594" s="2" t="n">
        <v>2.78558288574219E-010</v>
      </c>
      <c r="E594" s="2" t="n">
        <v>1.13615198936894</v>
      </c>
    </row>
    <row r="595" customFormat="false" ht="13.8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0.996677275997195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0.82146349440962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0.640658798293195</v>
      </c>
    </row>
    <row r="598" customFormat="false" ht="13.8" hidden="false" customHeight="false" outlineLevel="0" collapsed="false">
      <c r="B598" s="2" t="n">
        <v>596</v>
      </c>
      <c r="C598" s="2" t="n">
        <v>1.66423477172852E-010</v>
      </c>
      <c r="D598" s="2" t="n">
        <v>0</v>
      </c>
      <c r="E598" s="2" t="n">
        <v>0.489911317631138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3.96821273803711E-010</v>
      </c>
      <c r="E599" s="2" t="n">
        <v>0.295443270369813</v>
      </c>
    </row>
    <row r="600" customFormat="false" ht="13.8" hidden="false" customHeight="false" outlineLevel="0" collapsed="false">
      <c r="B600" s="2" t="n">
        <v>598</v>
      </c>
      <c r="C600" s="2" t="n">
        <v>7.65877671813966E-009</v>
      </c>
      <c r="D600" s="2" t="n">
        <v>0</v>
      </c>
      <c r="E600" s="2" t="n">
        <v>0.167920213036974</v>
      </c>
    </row>
    <row r="601" customFormat="false" ht="13.8" hidden="false" customHeight="false" outlineLevel="0" collapsed="false">
      <c r="B601" s="2" t="n">
        <v>599</v>
      </c>
      <c r="C601" s="2" t="n">
        <v>0</v>
      </c>
      <c r="D601" s="2" t="n">
        <v>0</v>
      </c>
      <c r="E601" s="2" t="n">
        <v>0.0911016613679056</v>
      </c>
    </row>
    <row r="602" customFormat="false" ht="13.8" hidden="false" customHeight="false" outlineLevel="0" collapsed="false">
      <c r="B602" s="2" t="n">
        <v>600</v>
      </c>
      <c r="C602" s="2" t="n">
        <v>0</v>
      </c>
      <c r="D602" s="2" t="n">
        <v>2.37909797668457E-010</v>
      </c>
      <c r="E602" s="2" t="n">
        <v>0.0344865157249591</v>
      </c>
    </row>
    <row r="603" customFormat="false" ht="13.8" hidden="false" customHeight="false" outlineLevel="0" collapsed="false">
      <c r="B603" s="2" t="n">
        <v>601</v>
      </c>
      <c r="C603" s="2" t="n">
        <v>0</v>
      </c>
      <c r="D603" s="2" t="n">
        <v>0</v>
      </c>
      <c r="E603" s="2" t="n">
        <v>0</v>
      </c>
    </row>
    <row r="604" customFormat="false" ht="13.8" hidden="false" customHeight="false" outlineLevel="0" collapsed="false">
      <c r="B604" s="2" t="n">
        <v>602</v>
      </c>
      <c r="C604" s="2" t="n">
        <v>0</v>
      </c>
      <c r="D604" s="2" t="n">
        <v>0.00725015354853489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0.0185202586772062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0.0338102751864981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0.0531201628772968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0.0793123849338911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0.112386872532937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0.15234355685178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0.199182369068452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0.251813503964448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0.310236903616543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0.374452510102088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0.444460265499016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0.518842866644379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0.597600269789722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0.680732431187024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0.768239307088702</v>
      </c>
      <c r="E619" s="2" t="n">
        <v>6.10806197935344E-009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0.858334944907475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0.951019318755723</v>
      </c>
      <c r="E621" s="2" t="n">
        <v>0.63975955042839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1.04629240274609</v>
      </c>
      <c r="E622" s="2" t="n">
        <v>0.639753152832885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1.14415417099146</v>
      </c>
      <c r="E623" s="2" t="n">
        <v>0.639746755301357</v>
      </c>
    </row>
    <row r="624" customFormat="false" ht="13.8" hidden="false" customHeight="false" outlineLevel="0" collapsed="false">
      <c r="B624" s="2" t="n">
        <v>622</v>
      </c>
      <c r="C624" s="2" t="n">
        <v>0</v>
      </c>
      <c r="D624" s="2" t="n">
        <v>1.24023112680865</v>
      </c>
      <c r="E624" s="2" t="n">
        <v>0.639740357833804</v>
      </c>
    </row>
    <row r="625" customFormat="false" ht="13.8" hidden="false" customHeight="false" outlineLevel="0" collapsed="false">
      <c r="B625" s="2" t="n">
        <v>623</v>
      </c>
      <c r="C625" s="2" t="n">
        <v>0.00556496340985188</v>
      </c>
      <c r="D625" s="2" t="n">
        <v>1.33452328804579</v>
      </c>
      <c r="E625" s="2" t="n">
        <v>0.639733960430226</v>
      </c>
    </row>
    <row r="626" customFormat="false" ht="13.8" hidden="false" customHeight="false" outlineLevel="0" collapsed="false">
      <c r="B626" s="2" t="n">
        <v>624</v>
      </c>
      <c r="C626" s="2" t="n">
        <v>0.00556490776021778</v>
      </c>
      <c r="D626" s="2" t="n">
        <v>1.42703067255081</v>
      </c>
      <c r="E626" s="2" t="n">
        <v>1.19336190994631</v>
      </c>
    </row>
    <row r="627" customFormat="false" ht="13.8" hidden="false" customHeight="false" outlineLevel="0" collapsed="false">
      <c r="B627" s="2" t="n">
        <v>625</v>
      </c>
      <c r="C627" s="2" t="n">
        <v>0.0669892284924373</v>
      </c>
      <c r="D627" s="2" t="n">
        <v>1.51775329817148</v>
      </c>
      <c r="E627" s="2" t="n">
        <v>1.19334997632721</v>
      </c>
    </row>
    <row r="628" customFormat="false" ht="13.8" hidden="false" customHeight="false" outlineLevel="0" collapsed="false">
      <c r="B628" s="2" t="n">
        <v>626</v>
      </c>
      <c r="C628" s="2" t="n">
        <v>0.0669885586001523</v>
      </c>
      <c r="D628" s="2" t="n">
        <v>1.59838898918136</v>
      </c>
      <c r="E628" s="2" t="n">
        <v>1.19333804282745</v>
      </c>
    </row>
    <row r="629" customFormat="false" ht="13.8" hidden="false" customHeight="false" outlineLevel="0" collapsed="false">
      <c r="B629" s="2" t="n">
        <v>627</v>
      </c>
      <c r="C629" s="2" t="n">
        <v>0.105931481472219</v>
      </c>
      <c r="D629" s="2" t="n">
        <v>1.66893784644979</v>
      </c>
      <c r="E629" s="2" t="n">
        <v>1.25910296627519</v>
      </c>
    </row>
    <row r="630" customFormat="false" ht="13.8" hidden="false" customHeight="false" outlineLevel="0" collapsed="false">
      <c r="B630" s="2" t="n">
        <v>628</v>
      </c>
      <c r="C630" s="2" t="n">
        <v>0.105930422157404</v>
      </c>
      <c r="D630" s="2" t="n">
        <v>1.72939997084511</v>
      </c>
      <c r="E630" s="2" t="n">
        <v>1.66627690085764</v>
      </c>
    </row>
    <row r="631" customFormat="false" ht="13.8" hidden="false" customHeight="false" outlineLevel="0" collapsed="false">
      <c r="B631" s="2" t="n">
        <v>629</v>
      </c>
      <c r="C631" s="2" t="n">
        <v>0.126502546987191</v>
      </c>
      <c r="D631" s="2" t="n">
        <v>1.77977546323465</v>
      </c>
      <c r="E631" s="2" t="n">
        <v>1.97888177800842</v>
      </c>
    </row>
    <row r="632" customFormat="false" ht="13.8" hidden="false" customHeight="false" outlineLevel="0" collapsed="false">
      <c r="B632" s="2" t="n">
        <v>630</v>
      </c>
      <c r="C632" s="2" t="n">
        <v>0.126501281961722</v>
      </c>
      <c r="D632" s="2" t="n">
        <v>1.82901264395213</v>
      </c>
      <c r="E632" s="2" t="n">
        <v>2.27253176410314</v>
      </c>
    </row>
    <row r="633" customFormat="false" ht="13.8" hidden="false" customHeight="false" outlineLevel="0" collapsed="false">
      <c r="B633" s="2" t="n">
        <v>631</v>
      </c>
      <c r="C633" s="2" t="n">
        <v>0.15348185722021</v>
      </c>
      <c r="D633" s="2" t="n">
        <v>1.87711152438068</v>
      </c>
      <c r="E633" s="2" t="n">
        <v>2.56837175428539</v>
      </c>
    </row>
    <row r="634" customFormat="false" ht="13.8" hidden="false" customHeight="false" outlineLevel="0" collapsed="false">
      <c r="B634" s="2" t="n">
        <v>632</v>
      </c>
      <c r="C634" s="2" t="n">
        <v>0.156067015741596</v>
      </c>
      <c r="D634" s="2" t="n">
        <v>1.92407211590329</v>
      </c>
      <c r="E634" s="2" t="n">
        <v>2.88387926885779</v>
      </c>
    </row>
    <row r="635" customFormat="false" ht="13.8" hidden="false" customHeight="false" outlineLevel="0" collapsed="false">
      <c r="B635" s="2" t="n">
        <v>633</v>
      </c>
      <c r="C635" s="2" t="n">
        <v>0.174936506480047</v>
      </c>
      <c r="D635" s="2" t="n">
        <v>1.96989442990286</v>
      </c>
      <c r="E635" s="2" t="n">
        <v>3.17315379614509</v>
      </c>
    </row>
    <row r="636" customFormat="false" ht="13.8" hidden="false" customHeight="false" outlineLevel="0" collapsed="false">
      <c r="B636" s="2" t="n">
        <v>634</v>
      </c>
      <c r="C636" s="2" t="n">
        <v>0.174934757114982</v>
      </c>
      <c r="D636" s="2" t="n">
        <v>2.01215760985338</v>
      </c>
      <c r="E636" s="2" t="n">
        <v>3.42162122680273</v>
      </c>
    </row>
    <row r="637" customFormat="false" ht="13.8" hidden="false" customHeight="false" outlineLevel="0" collapsed="false">
      <c r="B637" s="2" t="n">
        <v>635</v>
      </c>
      <c r="C637" s="2" t="n">
        <v>0.18344960039268</v>
      </c>
      <c r="D637" s="2" t="n">
        <v>2.05086169134619</v>
      </c>
      <c r="E637" s="2" t="n">
        <v>3.6602141298678</v>
      </c>
    </row>
    <row r="638" customFormat="false" ht="13.8" hidden="false" customHeight="false" outlineLevel="0" collapsed="false">
      <c r="B638" s="2" t="n">
        <v>636</v>
      </c>
      <c r="C638" s="2" t="n">
        <v>0.183447765896676</v>
      </c>
      <c r="D638" s="2" t="n">
        <v>2.08600670997227</v>
      </c>
      <c r="E638" s="2" t="n">
        <v>3.8227455943361</v>
      </c>
    </row>
    <row r="639" customFormat="false" ht="13.8" hidden="false" customHeight="false" outlineLevel="0" collapsed="false">
      <c r="B639" s="2" t="n">
        <v>637</v>
      </c>
      <c r="C639" s="2" t="n">
        <v>0.184607930260947</v>
      </c>
      <c r="D639" s="2" t="n">
        <v>2.11759270132225</v>
      </c>
      <c r="E639" s="2" t="n">
        <v>3.94297784935483</v>
      </c>
    </row>
    <row r="640" customFormat="false" ht="13.8" hidden="false" customHeight="false" outlineLevel="0" collapsed="false">
      <c r="B640" s="2" t="n">
        <v>638</v>
      </c>
      <c r="C640" s="2" t="n">
        <v>0.184606084181645</v>
      </c>
      <c r="D640" s="2" t="n">
        <v>2.14251649416562</v>
      </c>
      <c r="E640" s="2" t="n">
        <v>4.06422444630362</v>
      </c>
    </row>
    <row r="641" customFormat="false" ht="13.8" hidden="false" customHeight="false" outlineLevel="0" collapsed="false">
      <c r="B641" s="2" t="n">
        <v>639</v>
      </c>
      <c r="C641" s="2" t="n">
        <v>0.164390072332092</v>
      </c>
      <c r="D641" s="2" t="n">
        <v>2.14249506900068</v>
      </c>
      <c r="E641" s="2" t="n">
        <v>4.03022896770176</v>
      </c>
    </row>
    <row r="642" customFormat="false" ht="13.8" hidden="false" customHeight="false" outlineLevel="0" collapsed="false">
      <c r="B642" s="2" t="n">
        <v>640</v>
      </c>
      <c r="C642" s="2" t="n">
        <v>0.0985617166254566</v>
      </c>
      <c r="D642" s="2" t="n">
        <v>2.14247364404999</v>
      </c>
      <c r="E642" s="2" t="n">
        <v>3.97473742786693</v>
      </c>
    </row>
    <row r="643" customFormat="false" ht="13.8" hidden="false" customHeight="false" outlineLevel="0" collapsed="false">
      <c r="B643" s="2" t="n">
        <v>641</v>
      </c>
      <c r="C643" s="2" t="n">
        <v>0.0448992509629535</v>
      </c>
      <c r="D643" s="2" t="n">
        <v>2.14245221931355</v>
      </c>
      <c r="E643" s="2" t="n">
        <v>3.82482443064863</v>
      </c>
    </row>
    <row r="644" customFormat="false" ht="13.8" hidden="false" customHeight="false" outlineLevel="0" collapsed="false">
      <c r="B644" s="2" t="n">
        <v>642</v>
      </c>
      <c r="C644" s="2" t="n">
        <v>0.0160258088283654</v>
      </c>
      <c r="D644" s="2" t="n">
        <v>2.14243079479136</v>
      </c>
      <c r="E644" s="2" t="n">
        <v>3.71881200275242</v>
      </c>
    </row>
    <row r="645" customFormat="false" ht="13.8" hidden="false" customHeight="false" outlineLevel="0" collapsed="false">
      <c r="B645" s="2" t="n">
        <v>643</v>
      </c>
      <c r="C645" s="2" t="n">
        <v>0</v>
      </c>
      <c r="D645" s="2" t="n">
        <v>2.14240937048341</v>
      </c>
      <c r="E645" s="2" t="n">
        <v>3.65697442157813</v>
      </c>
    </row>
    <row r="646" customFormat="false" ht="13.8" hidden="false" customHeight="false" outlineLevel="0" collapsed="false">
      <c r="B646" s="2" t="n">
        <v>644</v>
      </c>
      <c r="C646" s="2" t="n">
        <v>0</v>
      </c>
      <c r="D646" s="2" t="n">
        <v>2.1423879463897</v>
      </c>
      <c r="E646" s="2" t="n">
        <v>3.58248492286031</v>
      </c>
    </row>
    <row r="647" customFormat="false" ht="13.8" hidden="false" customHeight="false" outlineLevel="0" collapsed="false">
      <c r="B647" s="2" t="n">
        <v>645</v>
      </c>
      <c r="C647" s="2" t="n">
        <v>0</v>
      </c>
      <c r="D647" s="2" t="n">
        <v>2.14236652251024</v>
      </c>
      <c r="E647" s="2" t="n">
        <v>3.4611100779847</v>
      </c>
    </row>
    <row r="648" customFormat="false" ht="13.8" hidden="false" customHeight="false" outlineLevel="0" collapsed="false">
      <c r="B648" s="2" t="n">
        <v>646</v>
      </c>
      <c r="C648" s="2" t="n">
        <v>0</v>
      </c>
      <c r="D648" s="2" t="n">
        <v>2.14234509884502</v>
      </c>
      <c r="E648" s="2" t="n">
        <v>3.39001510001228</v>
      </c>
    </row>
    <row r="649" customFormat="false" ht="13.8" hidden="false" customHeight="false" outlineLevel="0" collapsed="false">
      <c r="B649" s="2" t="n">
        <v>647</v>
      </c>
      <c r="C649" s="2" t="n">
        <v>0</v>
      </c>
      <c r="D649" s="2" t="n">
        <v>2.14232367539403</v>
      </c>
      <c r="E649" s="2" t="n">
        <v>3.25482913429253</v>
      </c>
    </row>
    <row r="650" customFormat="false" ht="13.8" hidden="false" customHeight="false" outlineLevel="0" collapsed="false">
      <c r="B650" s="2" t="n">
        <v>648</v>
      </c>
      <c r="C650" s="2" t="n">
        <v>0</v>
      </c>
      <c r="D650" s="2" t="n">
        <v>2.14230225215727</v>
      </c>
      <c r="E650" s="2" t="n">
        <v>3.13549771062422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2.14228082913475</v>
      </c>
      <c r="E651" s="2" t="n">
        <v>3.00327896675823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2.14225940632646</v>
      </c>
      <c r="E652" s="2" t="n">
        <v>2.86328371174634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2.03853428002869</v>
      </c>
      <c r="E653" s="2" t="n">
        <v>2.70030865298329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1.92740278357478</v>
      </c>
      <c r="E654" s="2" t="n">
        <v>2.54870463137824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1.81627239843584</v>
      </c>
      <c r="E655" s="2" t="n">
        <v>2.44054564433193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1.70514312460074</v>
      </c>
      <c r="E656" s="2" t="n">
        <v>2.3124436462829</v>
      </c>
    </row>
    <row r="657" customFormat="false" ht="13.8" hidden="false" customHeight="false" outlineLevel="0" collapsed="false">
      <c r="B657" s="2" t="n">
        <v>655</v>
      </c>
      <c r="C657" s="2" t="n">
        <v>0</v>
      </c>
      <c r="D657" s="2" t="n">
        <v>1.59401496205838</v>
      </c>
      <c r="E657" s="2" t="n">
        <v>2.12619550332791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1.48288791079765</v>
      </c>
      <c r="E658" s="2" t="n">
        <v>1.97339285248399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1.37176197080743</v>
      </c>
      <c r="E659" s="2" t="n">
        <v>1.86720241485176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1.26063714207661</v>
      </c>
      <c r="E660" s="2" t="n">
        <v>1.6992354280128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1.14951342459408</v>
      </c>
      <c r="E661" s="2" t="n">
        <v>1.59858484306593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1.03839081834873</v>
      </c>
      <c r="E662" s="2" t="n">
        <v>1.43743530166194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0.92726932332943</v>
      </c>
      <c r="E663" s="2" t="n">
        <v>1.3175092050867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0.816148939525086</v>
      </c>
      <c r="E664" s="2" t="n">
        <v>1.17558436332799</v>
      </c>
    </row>
    <row r="665" customFormat="false" ht="13.8" hidden="false" customHeight="false" outlineLevel="0" collapsed="false">
      <c r="B665" s="2" t="n">
        <v>663</v>
      </c>
      <c r="C665" s="2" t="n">
        <v>0</v>
      </c>
      <c r="D665" s="2" t="n">
        <v>0.705029666924579</v>
      </c>
      <c r="E665" s="2" t="n">
        <v>1.06032679266954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0.593911505516799</v>
      </c>
      <c r="E666" s="2" t="n">
        <v>0.937589096809018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0.482794455290633</v>
      </c>
      <c r="E667" s="2" t="n">
        <v>0.832611665362494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0.371678516234969</v>
      </c>
      <c r="E668" s="2" t="n">
        <v>0.718690672579174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0.260563688338695</v>
      </c>
      <c r="E669" s="2" t="n">
        <v>0.630549393079856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0.149449971590701</v>
      </c>
      <c r="E670" s="2" t="n">
        <v>0.486576013511851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0.0383373659798739</v>
      </c>
      <c r="E671" s="2" t="n">
        <v>0.402214684788753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4.76837158203126E-019</v>
      </c>
      <c r="E672" s="2" t="n">
        <v>0.210821108211082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0.129225551182663</v>
      </c>
      <c r="D674" s="2" t="n">
        <v>1.60694001076388</v>
      </c>
      <c r="E674" s="2" t="n">
        <v>5.5470057949299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3.8" zeroHeight="false" outlineLevelRow="0" outlineLevelCol="0"/>
  <cols>
    <col collapsed="false" customWidth="true" hidden="false" outlineLevel="0" max="3" min="3" style="4" width="8.85"/>
  </cols>
  <sheetData>
    <row r="2" customFormat="false" ht="13.8" hidden="false" customHeight="false" outlineLevel="0" collapsed="false">
      <c r="B2" s="2" t="n">
        <v>1</v>
      </c>
      <c r="C2" s="4" t="n">
        <v>0.000608502499964696</v>
      </c>
      <c r="D2" s="5" t="n">
        <f aca="false">MAX(C2:C673)</f>
        <v>0.213932996116579</v>
      </c>
    </row>
    <row r="3" customFormat="false" ht="13.8" hidden="false" customHeight="false" outlineLevel="0" collapsed="false">
      <c r="B3" s="2" t="n">
        <v>2</v>
      </c>
      <c r="C3" s="4" t="n">
        <v>0.000608505585020546</v>
      </c>
    </row>
    <row r="4" customFormat="false" ht="13.8" hidden="false" customHeight="false" outlineLevel="0" collapsed="false">
      <c r="B4" s="2" t="n">
        <v>3</v>
      </c>
      <c r="C4" s="4" t="n">
        <v>0.000608508670107247</v>
      </c>
    </row>
    <row r="5" customFormat="false" ht="13.8" hidden="false" customHeight="false" outlineLevel="0" collapsed="false">
      <c r="B5" s="2" t="n">
        <v>4</v>
      </c>
      <c r="C5" s="4" t="n">
        <v>0.0006085117552248</v>
      </c>
    </row>
    <row r="6" customFormat="false" ht="13.8" hidden="false" customHeight="false" outlineLevel="0" collapsed="false">
      <c r="B6" s="2" t="n">
        <v>5</v>
      </c>
      <c r="C6" s="4" t="n">
        <v>0.000608514840373203</v>
      </c>
    </row>
    <row r="7" customFormat="false" ht="13.8" hidden="false" customHeight="false" outlineLevel="0" collapsed="false">
      <c r="B7" s="2" t="n">
        <v>6</v>
      </c>
      <c r="C7" s="4" t="n">
        <v>0.000608517925552459</v>
      </c>
    </row>
    <row r="8" customFormat="false" ht="13.8" hidden="false" customHeight="false" outlineLevel="0" collapsed="false">
      <c r="B8" s="2" t="n">
        <v>7</v>
      </c>
      <c r="C8" s="4" t="n">
        <v>0.000608521010762567</v>
      </c>
    </row>
    <row r="9" customFormat="false" ht="13.8" hidden="false" customHeight="false" outlineLevel="0" collapsed="false">
      <c r="B9" s="2" t="n">
        <v>8</v>
      </c>
      <c r="C9" s="4" t="n">
        <v>0.000608524096003527</v>
      </c>
    </row>
    <row r="10" customFormat="false" ht="13.8" hidden="false" customHeight="false" outlineLevel="0" collapsed="false">
      <c r="B10" s="2" t="n">
        <v>9</v>
      </c>
      <c r="C10" s="4" t="n">
        <v>0.000608527181275339</v>
      </c>
    </row>
    <row r="11" customFormat="false" ht="13.8" hidden="false" customHeight="false" outlineLevel="0" collapsed="false">
      <c r="B11" s="2" t="n">
        <v>10</v>
      </c>
      <c r="C11" s="4" t="n">
        <v>0.000608530266578005</v>
      </c>
    </row>
    <row r="12" customFormat="false" ht="13.8" hidden="false" customHeight="false" outlineLevel="0" collapsed="false">
      <c r="B12" s="2" t="n">
        <v>11</v>
      </c>
      <c r="C12" s="4" t="n">
        <v>0.000608533351911524</v>
      </c>
    </row>
    <row r="13" customFormat="false" ht="13.8" hidden="false" customHeight="false" outlineLevel="0" collapsed="false">
      <c r="B13" s="2" t="n">
        <v>12</v>
      </c>
      <c r="C13" s="4" t="n">
        <v>0.000608536437275897</v>
      </c>
    </row>
    <row r="14" customFormat="false" ht="13.8" hidden="false" customHeight="false" outlineLevel="0" collapsed="false">
      <c r="B14" s="2" t="n">
        <v>13</v>
      </c>
      <c r="C14" s="4" t="n">
        <v>0.000608539522671124</v>
      </c>
    </row>
    <row r="15" customFormat="false" ht="13.8" hidden="false" customHeight="false" outlineLevel="0" collapsed="false">
      <c r="B15" s="2" t="n">
        <v>14</v>
      </c>
      <c r="C15" s="4" t="n">
        <v>0.000608542608097204</v>
      </c>
    </row>
    <row r="16" customFormat="false" ht="13.8" hidden="false" customHeight="false" outlineLevel="0" collapsed="false">
      <c r="B16" s="2" t="n">
        <v>15</v>
      </c>
      <c r="C16" s="4" t="n">
        <v>0.00060854569355414</v>
      </c>
    </row>
    <row r="17" customFormat="false" ht="13.8" hidden="false" customHeight="false" outlineLevel="0" collapsed="false">
      <c r="B17" s="2" t="n">
        <v>16</v>
      </c>
      <c r="C17" s="4" t="n">
        <v>0.00060854877904193</v>
      </c>
    </row>
    <row r="18" customFormat="false" ht="13.8" hidden="false" customHeight="false" outlineLevel="0" collapsed="false">
      <c r="B18" s="2" t="n">
        <v>17</v>
      </c>
      <c r="C18" s="4" t="n">
        <v>0.000608551864560576</v>
      </c>
    </row>
    <row r="19" customFormat="false" ht="13.8" hidden="false" customHeight="false" outlineLevel="0" collapsed="false">
      <c r="B19" s="2" t="n">
        <v>18</v>
      </c>
      <c r="C19" s="4" t="n">
        <v>0.000608554950110077</v>
      </c>
    </row>
    <row r="20" customFormat="false" ht="13.8" hidden="false" customHeight="false" outlineLevel="0" collapsed="false">
      <c r="B20" s="2" t="n">
        <v>19</v>
      </c>
      <c r="C20" s="4" t="n">
        <v>0.000608558035690434</v>
      </c>
    </row>
    <row r="21" customFormat="false" ht="13.8" hidden="false" customHeight="false" outlineLevel="0" collapsed="false">
      <c r="B21" s="2" t="n">
        <v>20</v>
      </c>
      <c r="C21" s="4" t="n">
        <v>0.000608561121301647</v>
      </c>
    </row>
    <row r="22" customFormat="false" ht="13.8" hidden="false" customHeight="false" outlineLevel="0" collapsed="false">
      <c r="B22" s="2" t="n">
        <v>21</v>
      </c>
      <c r="C22" s="4" t="n">
        <v>0.000608564206943716</v>
      </c>
    </row>
    <row r="23" customFormat="false" ht="13.8" hidden="false" customHeight="false" outlineLevel="0" collapsed="false">
      <c r="B23" s="2" t="n">
        <v>22</v>
      </c>
      <c r="C23" s="4" t="n">
        <v>0.000608567292616643</v>
      </c>
    </row>
    <row r="24" customFormat="false" ht="13.8" hidden="false" customHeight="false" outlineLevel="0" collapsed="false">
      <c r="B24" s="2" t="n">
        <v>23</v>
      </c>
      <c r="C24" s="4" t="n">
        <v>0.000608570378320426</v>
      </c>
    </row>
    <row r="25" customFormat="false" ht="13.8" hidden="false" customHeight="false" outlineLevel="0" collapsed="false">
      <c r="B25" s="2" t="n">
        <v>24</v>
      </c>
      <c r="C25" s="4" t="n">
        <v>0.000608573464055066</v>
      </c>
    </row>
    <row r="26" customFormat="false" ht="13.8" hidden="false" customHeight="false" outlineLevel="0" collapsed="false">
      <c r="B26" s="2" t="n">
        <v>25</v>
      </c>
      <c r="C26" s="4" t="n">
        <v>0.000608576549820564</v>
      </c>
    </row>
    <row r="27" customFormat="false" ht="13.8" hidden="false" customHeight="false" outlineLevel="0" collapsed="false">
      <c r="B27" s="2" t="n">
        <v>26</v>
      </c>
      <c r="C27" s="4" t="n">
        <v>0.000608579635616921</v>
      </c>
    </row>
    <row r="28" customFormat="false" ht="13.8" hidden="false" customHeight="false" outlineLevel="0" collapsed="false">
      <c r="B28" s="2" t="n">
        <v>27</v>
      </c>
      <c r="C28" s="4" t="n">
        <v>0.000608582721444135</v>
      </c>
    </row>
    <row r="29" customFormat="false" ht="13.8" hidden="false" customHeight="false" outlineLevel="0" collapsed="false">
      <c r="B29" s="2" t="n">
        <v>28</v>
      </c>
      <c r="C29" s="4" t="n">
        <v>0.000608585807302208</v>
      </c>
    </row>
    <row r="30" customFormat="false" ht="13.8" hidden="false" customHeight="false" outlineLevel="0" collapsed="false">
      <c r="B30" s="2" t="n">
        <v>29</v>
      </c>
      <c r="C30" s="4" t="n">
        <v>0.00060858889319114</v>
      </c>
    </row>
    <row r="31" customFormat="false" ht="13.8" hidden="false" customHeight="false" outlineLevel="0" collapsed="false">
      <c r="B31" s="2" t="n">
        <v>30</v>
      </c>
      <c r="C31" s="4" t="n">
        <v>6.5744082360741E-005</v>
      </c>
    </row>
    <row r="32" customFormat="false" ht="13.8" hidden="false" customHeight="false" outlineLevel="0" collapsed="false">
      <c r="B32" s="2" t="n">
        <v>31</v>
      </c>
      <c r="C32" s="4" t="n">
        <v>5E-005</v>
      </c>
    </row>
    <row r="33" customFormat="false" ht="13.8" hidden="false" customHeight="false" outlineLevel="0" collapsed="false">
      <c r="B33" s="2" t="n">
        <v>32</v>
      </c>
      <c r="C33" s="4" t="n">
        <v>5E-005</v>
      </c>
    </row>
    <row r="34" customFormat="false" ht="13.8" hidden="false" customHeight="false" outlineLevel="0" collapsed="false">
      <c r="B34" s="2" t="n">
        <v>33</v>
      </c>
      <c r="C34" s="4" t="n">
        <v>5E-005</v>
      </c>
    </row>
    <row r="35" customFormat="false" ht="13.8" hidden="false" customHeight="false" outlineLevel="0" collapsed="false">
      <c r="B35" s="2" t="n">
        <v>34</v>
      </c>
      <c r="C35" s="4" t="n">
        <v>5E-005</v>
      </c>
    </row>
    <row r="36" customFormat="false" ht="13.8" hidden="false" customHeight="false" outlineLevel="0" collapsed="false">
      <c r="B36" s="2" t="n">
        <v>35</v>
      </c>
      <c r="C36" s="4" t="n">
        <v>5E-005</v>
      </c>
    </row>
    <row r="37" customFormat="false" ht="13.8" hidden="false" customHeight="false" outlineLevel="0" collapsed="false">
      <c r="B37" s="2" t="n">
        <v>36</v>
      </c>
      <c r="C37" s="4" t="n">
        <v>5E-005</v>
      </c>
    </row>
    <row r="38" customFormat="false" ht="13.8" hidden="false" customHeight="false" outlineLevel="0" collapsed="false">
      <c r="B38" s="2" t="n">
        <v>37</v>
      </c>
      <c r="C38" s="4" t="n">
        <v>5E-005</v>
      </c>
    </row>
    <row r="39" customFormat="false" ht="13.8" hidden="false" customHeight="false" outlineLevel="0" collapsed="false">
      <c r="B39" s="2" t="n">
        <v>38</v>
      </c>
      <c r="C39" s="4" t="n">
        <v>5E-005</v>
      </c>
    </row>
    <row r="40" customFormat="false" ht="13.8" hidden="false" customHeight="false" outlineLevel="0" collapsed="false">
      <c r="B40" s="2" t="n">
        <v>39</v>
      </c>
      <c r="C40" s="4" t="n">
        <v>5E-005</v>
      </c>
    </row>
    <row r="41" customFormat="false" ht="13.8" hidden="false" customHeight="false" outlineLevel="0" collapsed="false">
      <c r="B41" s="2" t="n">
        <v>40</v>
      </c>
      <c r="C41" s="4" t="n">
        <v>-3.42290179894869E-005</v>
      </c>
    </row>
    <row r="42" customFormat="false" ht="13.8" hidden="false" customHeight="false" outlineLevel="0" collapsed="false">
      <c r="B42" s="2" t="n">
        <v>41</v>
      </c>
      <c r="C42" s="4" t="n">
        <v>-3.42033963133769E-005</v>
      </c>
    </row>
    <row r="43" customFormat="false" ht="13.8" hidden="false" customHeight="false" outlineLevel="0" collapsed="false">
      <c r="B43" s="2" t="n">
        <v>42</v>
      </c>
      <c r="C43" s="4" t="n">
        <v>-3.420073832076E-005</v>
      </c>
    </row>
    <row r="44" customFormat="false" ht="13.8" hidden="false" customHeight="false" outlineLevel="0" collapsed="false">
      <c r="B44" s="2" t="n">
        <v>43</v>
      </c>
      <c r="C44" s="4" t="n">
        <v>-3.42207862419679E-005</v>
      </c>
    </row>
    <row r="45" customFormat="false" ht="13.8" hidden="false" customHeight="false" outlineLevel="0" collapsed="false">
      <c r="B45" s="2" t="n">
        <v>44</v>
      </c>
      <c r="C45" s="4" t="n">
        <v>-3.42183864423465E-005</v>
      </c>
    </row>
    <row r="46" customFormat="false" ht="13.8" hidden="false" customHeight="false" outlineLevel="0" collapsed="false">
      <c r="B46" s="2" t="n">
        <v>45</v>
      </c>
      <c r="C46" s="4" t="n">
        <v>-3.42159053268218E-005</v>
      </c>
    </row>
    <row r="47" customFormat="false" ht="13.8" hidden="false" customHeight="false" outlineLevel="0" collapsed="false">
      <c r="B47" s="2" t="n">
        <v>46</v>
      </c>
      <c r="C47" s="4" t="n">
        <v>-3.4212812706085E-005</v>
      </c>
    </row>
    <row r="48" customFormat="false" ht="13.8" hidden="false" customHeight="false" outlineLevel="0" collapsed="false">
      <c r="B48" s="2" t="n">
        <v>47</v>
      </c>
      <c r="C48" s="4" t="n">
        <v>-3.41874479589679E-005</v>
      </c>
    </row>
    <row r="49" customFormat="false" ht="13.8" hidden="false" customHeight="false" outlineLevel="0" collapsed="false">
      <c r="B49" s="2" t="n">
        <v>48</v>
      </c>
      <c r="C49" s="4" t="n">
        <v>-3.41847898068661E-005</v>
      </c>
    </row>
    <row r="50" customFormat="false" ht="13.8" hidden="false" customHeight="false" outlineLevel="0" collapsed="false">
      <c r="B50" s="2" t="n">
        <v>49</v>
      </c>
      <c r="C50" s="4" t="n">
        <v>-3.42052736972455E-005</v>
      </c>
    </row>
    <row r="51" customFormat="false" ht="13.8" hidden="false" customHeight="false" outlineLevel="0" collapsed="false">
      <c r="B51" s="2" t="n">
        <v>50</v>
      </c>
      <c r="C51" s="4" t="n">
        <v>-3.4202408875898E-005</v>
      </c>
    </row>
    <row r="52" customFormat="false" ht="13.8" hidden="false" customHeight="false" outlineLevel="0" collapsed="false">
      <c r="B52" s="2" t="n">
        <v>51</v>
      </c>
      <c r="C52" s="4" t="n">
        <v>-3.41768151910685E-005</v>
      </c>
    </row>
    <row r="53" customFormat="false" ht="13.8" hidden="false" customHeight="false" outlineLevel="0" collapsed="false">
      <c r="B53" s="2" t="n">
        <v>52</v>
      </c>
      <c r="C53" s="4" t="n">
        <v>-3.41974472172768E-005</v>
      </c>
    </row>
    <row r="54" customFormat="false" ht="13.8" hidden="false" customHeight="false" outlineLevel="0" collapsed="false">
      <c r="B54" s="2" t="n">
        <v>53</v>
      </c>
      <c r="C54" s="4" t="n">
        <v>-3.41944649010653E-005</v>
      </c>
    </row>
    <row r="55" customFormat="false" ht="13.8" hidden="false" customHeight="false" outlineLevel="0" collapsed="false">
      <c r="B55" s="2" t="n">
        <v>54</v>
      </c>
      <c r="C55" s="4" t="n">
        <v>-3.4191983562229E-005</v>
      </c>
    </row>
    <row r="56" customFormat="false" ht="13.8" hidden="false" customHeight="false" outlineLevel="0" collapsed="false">
      <c r="B56" s="2" t="n">
        <v>55</v>
      </c>
      <c r="C56" s="4" t="n">
        <v>-3.41888906631424E-005</v>
      </c>
    </row>
    <row r="57" customFormat="false" ht="13.8" hidden="false" customHeight="false" outlineLevel="0" collapsed="false">
      <c r="B57" s="2" t="n">
        <v>56</v>
      </c>
      <c r="C57" s="4" t="n">
        <v>-3.41861418654938E-005</v>
      </c>
    </row>
    <row r="58" customFormat="false" ht="13.8" hidden="false" customHeight="false" outlineLevel="0" collapsed="false">
      <c r="B58" s="2" t="n">
        <v>57</v>
      </c>
      <c r="C58" s="4" t="n">
        <v>-3.41838023002637E-005</v>
      </c>
    </row>
    <row r="59" customFormat="false" ht="13.8" hidden="false" customHeight="false" outlineLevel="0" collapsed="false">
      <c r="B59" s="2" t="n">
        <v>58</v>
      </c>
      <c r="C59" s="4" t="n">
        <v>-3.41582068238047E-005</v>
      </c>
    </row>
    <row r="60" customFormat="false" ht="13.8" hidden="false" customHeight="false" outlineLevel="0" collapsed="false">
      <c r="B60" s="2" t="n">
        <v>59</v>
      </c>
      <c r="C60" s="4" t="n">
        <v>-3.41782579529525E-005</v>
      </c>
    </row>
    <row r="61" customFormat="false" ht="13.8" hidden="false" customHeight="false" outlineLevel="0" collapsed="false">
      <c r="B61" s="2" t="n">
        <v>60</v>
      </c>
      <c r="C61" s="4" t="n">
        <v>5E-005</v>
      </c>
    </row>
    <row r="62" customFormat="false" ht="13.8" hidden="false" customHeight="false" outlineLevel="0" collapsed="false">
      <c r="B62" s="2" t="n">
        <v>61</v>
      </c>
      <c r="C62" s="4" t="n">
        <v>5E-005</v>
      </c>
    </row>
    <row r="63" customFormat="false" ht="13.8" hidden="false" customHeight="false" outlineLevel="0" collapsed="false">
      <c r="B63" s="2" t="n">
        <v>62</v>
      </c>
      <c r="C63" s="4" t="n">
        <v>5E-005</v>
      </c>
    </row>
    <row r="64" customFormat="false" ht="13.8" hidden="false" customHeight="false" outlineLevel="0" collapsed="false">
      <c r="B64" s="2" t="n">
        <v>63</v>
      </c>
      <c r="C64" s="4" t="n">
        <v>5E-005</v>
      </c>
    </row>
    <row r="65" customFormat="false" ht="13.8" hidden="false" customHeight="false" outlineLevel="0" collapsed="false">
      <c r="B65" s="2" t="n">
        <v>64</v>
      </c>
      <c r="C65" s="4" t="n">
        <v>5E-005</v>
      </c>
    </row>
    <row r="66" customFormat="false" ht="13.8" hidden="false" customHeight="false" outlineLevel="0" collapsed="false">
      <c r="B66" s="2" t="n">
        <v>65</v>
      </c>
      <c r="C66" s="4" t="n">
        <v>5E-005</v>
      </c>
    </row>
    <row r="67" customFormat="false" ht="13.8" hidden="false" customHeight="false" outlineLevel="0" collapsed="false">
      <c r="B67" s="2" t="n">
        <v>66</v>
      </c>
      <c r="C67" s="4" t="n">
        <v>5E-005</v>
      </c>
    </row>
    <row r="68" customFormat="false" ht="13.8" hidden="false" customHeight="false" outlineLevel="0" collapsed="false">
      <c r="B68" s="2" t="n">
        <v>67</v>
      </c>
      <c r="C68" s="4" t="n">
        <v>5E-005</v>
      </c>
    </row>
    <row r="69" customFormat="false" ht="13.8" hidden="false" customHeight="false" outlineLevel="0" collapsed="false">
      <c r="B69" s="2" t="n">
        <v>68</v>
      </c>
      <c r="C69" s="4" t="n">
        <v>6.58450848062998E-005</v>
      </c>
    </row>
    <row r="70" customFormat="false" ht="13.8" hidden="false" customHeight="false" outlineLevel="0" collapsed="false">
      <c r="B70" s="2" t="n">
        <v>69</v>
      </c>
      <c r="C70" s="4" t="n">
        <v>0.000608663581111137</v>
      </c>
    </row>
    <row r="71" customFormat="false" ht="13.8" hidden="false" customHeight="false" outlineLevel="0" collapsed="false">
      <c r="B71" s="2" t="n">
        <v>70</v>
      </c>
      <c r="C71" s="4" t="n">
        <v>0.000608666667777815</v>
      </c>
    </row>
    <row r="72" customFormat="false" ht="13.8" hidden="false" customHeight="false" outlineLevel="0" collapsed="false">
      <c r="B72" s="2" t="n">
        <v>71</v>
      </c>
      <c r="C72" s="4" t="n">
        <v>0.00060866975447536</v>
      </c>
    </row>
    <row r="73" customFormat="false" ht="13.8" hidden="false" customHeight="false" outlineLevel="0" collapsed="false">
      <c r="B73" s="2" t="n">
        <v>72</v>
      </c>
      <c r="C73" s="4" t="n">
        <v>0.000608672841203772</v>
      </c>
    </row>
    <row r="74" customFormat="false" ht="13.8" hidden="false" customHeight="false" outlineLevel="0" collapsed="false">
      <c r="B74" s="2" t="n">
        <v>73</v>
      </c>
      <c r="C74" s="4" t="n">
        <v>0.000608677027485674</v>
      </c>
    </row>
    <row r="75" customFormat="false" ht="13.8" hidden="false" customHeight="false" outlineLevel="0" collapsed="false">
      <c r="B75" s="2" t="n">
        <v>74</v>
      </c>
      <c r="C75" s="4" t="n">
        <v>0.000608679014753199</v>
      </c>
    </row>
    <row r="76" customFormat="false" ht="13.8" hidden="false" customHeight="false" outlineLevel="0" collapsed="false">
      <c r="B76" s="2" t="n">
        <v>75</v>
      </c>
      <c r="C76" s="4" t="n">
        <v>0.000608682101574215</v>
      </c>
    </row>
    <row r="77" customFormat="false" ht="13.8" hidden="false" customHeight="false" outlineLevel="0" collapsed="false">
      <c r="B77" s="2" t="n">
        <v>76</v>
      </c>
      <c r="C77" s="4" t="n">
        <v>0.000608689586582563</v>
      </c>
    </row>
    <row r="78" customFormat="false" ht="13.8" hidden="false" customHeight="false" outlineLevel="0" collapsed="false">
      <c r="B78" s="2" t="n">
        <v>77</v>
      </c>
      <c r="C78" s="4" t="n">
        <v>0.000608688275308852</v>
      </c>
    </row>
    <row r="79" customFormat="false" ht="13.8" hidden="false" customHeight="false" outlineLevel="0" collapsed="false">
      <c r="B79" s="2" t="n">
        <v>78</v>
      </c>
      <c r="C79" s="4" t="n">
        <v>0.000608691362222474</v>
      </c>
    </row>
    <row r="80" customFormat="false" ht="13.8" hidden="false" customHeight="false" outlineLevel="0" collapsed="false">
      <c r="B80" s="2" t="n">
        <v>79</v>
      </c>
      <c r="C80" s="4" t="n">
        <v>0.000608694449166966</v>
      </c>
    </row>
    <row r="81" customFormat="false" ht="13.8" hidden="false" customHeight="false" outlineLevel="0" collapsed="false">
      <c r="B81" s="2" t="n">
        <v>80</v>
      </c>
      <c r="C81" s="4" t="n">
        <v>0.000608697536142327</v>
      </c>
    </row>
    <row r="82" customFormat="false" ht="13.8" hidden="false" customHeight="false" outlineLevel="0" collapsed="false">
      <c r="B82" s="2" t="n">
        <v>81</v>
      </c>
      <c r="C82" s="4" t="n">
        <v>0.000608700623148559</v>
      </c>
    </row>
    <row r="83" customFormat="false" ht="13.8" hidden="false" customHeight="false" outlineLevel="0" collapsed="false">
      <c r="B83" s="2" t="n">
        <v>82</v>
      </c>
      <c r="C83" s="4" t="n">
        <v>0.00060870371018566</v>
      </c>
    </row>
    <row r="84" customFormat="false" ht="13.8" hidden="false" customHeight="false" outlineLevel="0" collapsed="false">
      <c r="B84" s="2" t="n">
        <v>83</v>
      </c>
      <c r="C84" s="4" t="n">
        <v>0.000608706797253633</v>
      </c>
    </row>
    <row r="85" customFormat="false" ht="13.8" hidden="false" customHeight="false" outlineLevel="0" collapsed="false">
      <c r="B85" s="2" t="n">
        <v>84</v>
      </c>
      <c r="C85" s="4" t="n">
        <v>0.000608709884352476</v>
      </c>
    </row>
    <row r="86" customFormat="false" ht="13.8" hidden="false" customHeight="false" outlineLevel="0" collapsed="false">
      <c r="B86" s="2" t="n">
        <v>85</v>
      </c>
      <c r="C86" s="4" t="n">
        <v>0.000608712971482191</v>
      </c>
    </row>
    <row r="87" customFormat="false" ht="13.8" hidden="false" customHeight="false" outlineLevel="0" collapsed="false">
      <c r="B87" s="2" t="n">
        <v>86</v>
      </c>
      <c r="C87" s="4" t="n">
        <v>0.000608716058642778</v>
      </c>
    </row>
    <row r="88" customFormat="false" ht="13.8" hidden="false" customHeight="false" outlineLevel="0" collapsed="false">
      <c r="B88" s="2" t="n">
        <v>87</v>
      </c>
      <c r="C88" s="4" t="n">
        <v>0.000608719145834236</v>
      </c>
    </row>
    <row r="89" customFormat="false" ht="13.8" hidden="false" customHeight="false" outlineLevel="0" collapsed="false">
      <c r="B89" s="2" t="n">
        <v>88</v>
      </c>
      <c r="C89" s="4" t="n">
        <v>0.000608722233056567</v>
      </c>
    </row>
    <row r="90" customFormat="false" ht="13.8" hidden="false" customHeight="false" outlineLevel="0" collapsed="false">
      <c r="B90" s="2" t="n">
        <v>89</v>
      </c>
      <c r="C90" s="4" t="n">
        <v>0.00060872532030977</v>
      </c>
    </row>
    <row r="91" customFormat="false" ht="13.8" hidden="false" customHeight="false" outlineLevel="0" collapsed="false">
      <c r="B91" s="2" t="n">
        <v>90</v>
      </c>
      <c r="C91" s="4" t="n">
        <v>0.000608728407593846</v>
      </c>
    </row>
    <row r="92" customFormat="false" ht="13.8" hidden="false" customHeight="false" outlineLevel="0" collapsed="false">
      <c r="B92" s="2" t="n">
        <v>91</v>
      </c>
      <c r="C92" s="4" t="n">
        <v>0.000608731494908795</v>
      </c>
    </row>
    <row r="93" customFormat="false" ht="13.8" hidden="false" customHeight="false" outlineLevel="0" collapsed="false">
      <c r="B93" s="2" t="n">
        <v>92</v>
      </c>
      <c r="C93" s="4" t="n">
        <v>0.000608734582254617</v>
      </c>
    </row>
    <row r="94" customFormat="false" ht="13.8" hidden="false" customHeight="false" outlineLevel="0" collapsed="false">
      <c r="B94" s="2" t="n">
        <v>93</v>
      </c>
      <c r="C94" s="4" t="n">
        <v>0.000608737669631313</v>
      </c>
    </row>
    <row r="95" customFormat="false" ht="13.8" hidden="false" customHeight="false" outlineLevel="0" collapsed="false">
      <c r="B95" s="2" t="n">
        <v>94</v>
      </c>
      <c r="C95" s="4" t="n">
        <v>0.000608740757038884</v>
      </c>
    </row>
    <row r="96" customFormat="false" ht="13.8" hidden="false" customHeight="false" outlineLevel="0" collapsed="false">
      <c r="B96" s="2" t="n">
        <v>95</v>
      </c>
      <c r="C96" s="4" t="n">
        <v>0.000608743844477329</v>
      </c>
    </row>
    <row r="97" customFormat="false" ht="13.8" hidden="false" customHeight="false" outlineLevel="0" collapsed="false">
      <c r="B97" s="2" t="n">
        <v>96</v>
      </c>
      <c r="C97" s="4" t="n">
        <v>0.000608746931946648</v>
      </c>
    </row>
    <row r="98" customFormat="false" ht="13.8" hidden="false" customHeight="false" outlineLevel="0" collapsed="false">
      <c r="B98" s="2" t="n">
        <v>97</v>
      </c>
      <c r="C98" s="4" t="n">
        <v>0.000608750019446842</v>
      </c>
    </row>
    <row r="99" customFormat="false" ht="13.8" hidden="false" customHeight="false" outlineLevel="0" collapsed="false">
      <c r="B99" s="2" t="n">
        <v>98</v>
      </c>
      <c r="C99" s="4" t="n">
        <v>0.000608753106977912</v>
      </c>
    </row>
    <row r="100" customFormat="false" ht="13.8" hidden="false" customHeight="false" outlineLevel="0" collapsed="false">
      <c r="B100" s="2" t="n">
        <v>99</v>
      </c>
      <c r="C100" s="4" t="n">
        <v>0.000608756194539857</v>
      </c>
    </row>
    <row r="101" customFormat="false" ht="13.8" hidden="false" customHeight="false" outlineLevel="0" collapsed="false">
      <c r="B101" s="2" t="n">
        <v>100</v>
      </c>
      <c r="C101" s="4" t="n">
        <v>0.000608759282132679</v>
      </c>
    </row>
    <row r="102" customFormat="false" ht="13.8" hidden="false" customHeight="false" outlineLevel="0" collapsed="false">
      <c r="B102" s="2" t="n">
        <v>101</v>
      </c>
      <c r="C102" s="4" t="n">
        <v>0.000608762369756376</v>
      </c>
    </row>
    <row r="103" customFormat="false" ht="13.8" hidden="false" customHeight="false" outlineLevel="0" collapsed="false">
      <c r="B103" s="2" t="n">
        <v>102</v>
      </c>
      <c r="C103" s="4" t="n">
        <v>0.00060876545741095</v>
      </c>
    </row>
    <row r="104" customFormat="false" ht="13.8" hidden="false" customHeight="false" outlineLevel="0" collapsed="false">
      <c r="B104" s="2" t="n">
        <v>103</v>
      </c>
      <c r="C104" s="4" t="n">
        <v>0.000608768545096401</v>
      </c>
    </row>
    <row r="105" customFormat="false" ht="13.8" hidden="false" customHeight="false" outlineLevel="0" collapsed="false">
      <c r="B105" s="2" t="n">
        <v>104</v>
      </c>
      <c r="C105" s="4" t="n">
        <v>0.00060877163281273</v>
      </c>
    </row>
    <row r="106" customFormat="false" ht="13.8" hidden="false" customHeight="false" outlineLevel="0" collapsed="false">
      <c r="B106" s="2" t="n">
        <v>105</v>
      </c>
      <c r="C106" s="4" t="n">
        <v>0.000608774720559935</v>
      </c>
    </row>
    <row r="107" customFormat="false" ht="13.8" hidden="false" customHeight="false" outlineLevel="0" collapsed="false">
      <c r="B107" s="2" t="n">
        <v>106</v>
      </c>
      <c r="C107" s="4" t="n">
        <v>0.000608777808338018</v>
      </c>
    </row>
    <row r="108" customFormat="false" ht="13.8" hidden="false" customHeight="false" outlineLevel="0" collapsed="false">
      <c r="B108" s="2" t="n">
        <v>107</v>
      </c>
      <c r="C108" s="4" t="n">
        <v>0.00060878089614698</v>
      </c>
    </row>
    <row r="109" customFormat="false" ht="13.8" hidden="false" customHeight="false" outlineLevel="0" collapsed="false">
      <c r="B109" s="2" t="n">
        <v>108</v>
      </c>
      <c r="C109" s="4" t="n">
        <v>0.00060878398398682</v>
      </c>
    </row>
    <row r="110" customFormat="false" ht="13.8" hidden="false" customHeight="false" outlineLevel="0" collapsed="false">
      <c r="B110" s="2" t="n">
        <v>109</v>
      </c>
      <c r="C110" s="4" t="n">
        <v>0.000608787071857538</v>
      </c>
    </row>
    <row r="111" customFormat="false" ht="13.8" hidden="false" customHeight="false" outlineLevel="0" collapsed="false">
      <c r="B111" s="2" t="n">
        <v>110</v>
      </c>
      <c r="C111" s="4" t="n">
        <v>0.000608790159759136</v>
      </c>
    </row>
    <row r="112" customFormat="false" ht="13.8" hidden="false" customHeight="false" outlineLevel="0" collapsed="false">
      <c r="B112" s="2" t="n">
        <v>111</v>
      </c>
      <c r="C112" s="4" t="n">
        <v>0.000608793247691613</v>
      </c>
    </row>
    <row r="113" customFormat="false" ht="13.8" hidden="false" customHeight="false" outlineLevel="0" collapsed="false">
      <c r="B113" s="2" t="n">
        <v>112</v>
      </c>
      <c r="C113" s="4" t="n">
        <v>0.000608796335654969</v>
      </c>
    </row>
    <row r="114" customFormat="false" ht="13.8" hidden="false" customHeight="false" outlineLevel="0" collapsed="false">
      <c r="B114" s="2" t="n">
        <v>113</v>
      </c>
      <c r="C114" s="4" t="n">
        <v>0.000608799423649206</v>
      </c>
    </row>
    <row r="115" customFormat="false" ht="13.8" hidden="false" customHeight="false" outlineLevel="0" collapsed="false">
      <c r="B115" s="2" t="n">
        <v>114</v>
      </c>
      <c r="C115" s="4" t="n">
        <v>0.000608802511674323</v>
      </c>
    </row>
    <row r="116" customFormat="false" ht="13.8" hidden="false" customHeight="false" outlineLevel="0" collapsed="false">
      <c r="B116" s="2" t="n">
        <v>115</v>
      </c>
      <c r="C116" s="4" t="n">
        <v>0.00060880559973032</v>
      </c>
    </row>
    <row r="117" customFormat="false" ht="13.8" hidden="false" customHeight="false" outlineLevel="0" collapsed="false">
      <c r="B117" s="2" t="n">
        <v>116</v>
      </c>
      <c r="C117" s="4" t="n">
        <v>0.000608808687817198</v>
      </c>
    </row>
    <row r="118" customFormat="false" ht="13.8" hidden="false" customHeight="false" outlineLevel="0" collapsed="false">
      <c r="B118" s="2" t="n">
        <v>117</v>
      </c>
      <c r="C118" s="4" t="n">
        <v>0.000608811775934957</v>
      </c>
    </row>
    <row r="119" customFormat="false" ht="13.8" hidden="false" customHeight="false" outlineLevel="0" collapsed="false">
      <c r="B119" s="2" t="n">
        <v>118</v>
      </c>
      <c r="C119" s="4" t="n">
        <v>0.000608814864083598</v>
      </c>
    </row>
    <row r="120" customFormat="false" ht="13.8" hidden="false" customHeight="false" outlineLevel="0" collapsed="false">
      <c r="B120" s="2" t="n">
        <v>119</v>
      </c>
      <c r="C120" s="4" t="n">
        <v>0.000608817952263121</v>
      </c>
    </row>
    <row r="121" customFormat="false" ht="13.8" hidden="false" customHeight="false" outlineLevel="0" collapsed="false">
      <c r="B121" s="2" t="n">
        <v>120</v>
      </c>
      <c r="C121" s="4" t="n">
        <v>0.000608821040473526</v>
      </c>
    </row>
    <row r="122" customFormat="false" ht="13.8" hidden="false" customHeight="false" outlineLevel="0" collapsed="false">
      <c r="B122" s="2" t="n">
        <v>121</v>
      </c>
      <c r="C122" s="4" t="n">
        <v>5.01475442589982E-005</v>
      </c>
    </row>
    <row r="123" customFormat="false" ht="13.8" hidden="false" customHeight="false" outlineLevel="0" collapsed="false">
      <c r="B123" s="2" t="n">
        <v>122</v>
      </c>
      <c r="C123" s="4" t="n">
        <v>0.000608827216986983</v>
      </c>
    </row>
    <row r="124" customFormat="false" ht="13.8" hidden="false" customHeight="false" outlineLevel="0" collapsed="false">
      <c r="B124" s="2" t="n">
        <v>123</v>
      </c>
      <c r="C124" s="4" t="n">
        <v>-5E-005</v>
      </c>
    </row>
    <row r="125" customFormat="false" ht="13.8" hidden="false" customHeight="false" outlineLevel="0" collapsed="false">
      <c r="B125" s="2" t="n">
        <v>124</v>
      </c>
      <c r="C125" s="4" t="n">
        <v>5E-005</v>
      </c>
    </row>
    <row r="126" customFormat="false" ht="13.8" hidden="false" customHeight="false" outlineLevel="0" collapsed="false">
      <c r="B126" s="2" t="n">
        <v>125</v>
      </c>
      <c r="C126" s="4" t="n">
        <v>5E-005</v>
      </c>
    </row>
    <row r="127" customFormat="false" ht="13.8" hidden="false" customHeight="false" outlineLevel="0" collapsed="false">
      <c r="B127" s="2" t="n">
        <v>126</v>
      </c>
      <c r="C127" s="4" t="n">
        <v>5E-005</v>
      </c>
    </row>
    <row r="128" customFormat="false" ht="13.8" hidden="false" customHeight="false" outlineLevel="0" collapsed="false">
      <c r="B128" s="2" t="n">
        <v>127</v>
      </c>
      <c r="C128" s="4" t="n">
        <v>-5E-005</v>
      </c>
    </row>
    <row r="129" customFormat="false" ht="13.8" hidden="false" customHeight="false" outlineLevel="0" collapsed="false">
      <c r="B129" s="2" t="n">
        <v>128</v>
      </c>
      <c r="C129" s="4" t="n">
        <v>5E-005</v>
      </c>
    </row>
    <row r="130" customFormat="false" ht="13.8" hidden="false" customHeight="false" outlineLevel="0" collapsed="false">
      <c r="B130" s="2" t="n">
        <v>129</v>
      </c>
      <c r="C130" s="4" t="n">
        <v>5E-005</v>
      </c>
    </row>
    <row r="131" customFormat="false" ht="13.8" hidden="false" customHeight="false" outlineLevel="0" collapsed="false">
      <c r="B131" s="2" t="n">
        <v>130</v>
      </c>
      <c r="C131" s="4" t="n">
        <v>-5E-005</v>
      </c>
    </row>
    <row r="132" customFormat="false" ht="13.8" hidden="false" customHeight="false" outlineLevel="0" collapsed="false">
      <c r="B132" s="2" t="n">
        <v>131</v>
      </c>
      <c r="C132" s="4" t="n">
        <v>-5E-005</v>
      </c>
    </row>
    <row r="133" customFormat="false" ht="13.8" hidden="false" customHeight="false" outlineLevel="0" collapsed="false">
      <c r="B133" s="2" t="n">
        <v>132</v>
      </c>
      <c r="C133" s="4" t="n">
        <v>5E-005</v>
      </c>
    </row>
    <row r="134" customFormat="false" ht="13.8" hidden="false" customHeight="false" outlineLevel="0" collapsed="false">
      <c r="B134" s="2" t="n">
        <v>133</v>
      </c>
      <c r="C134" s="4" t="n">
        <v>-5E-005</v>
      </c>
    </row>
    <row r="135" customFormat="false" ht="13.8" hidden="false" customHeight="false" outlineLevel="0" collapsed="false">
      <c r="B135" s="2" t="n">
        <v>134</v>
      </c>
      <c r="C135" s="4" t="n">
        <v>5E-005</v>
      </c>
    </row>
    <row r="136" customFormat="false" ht="13.8" hidden="false" customHeight="false" outlineLevel="0" collapsed="false">
      <c r="B136" s="2" t="n">
        <v>135</v>
      </c>
      <c r="C136" s="4" t="n">
        <v>-4.99974999749998E-005</v>
      </c>
    </row>
    <row r="137" customFormat="false" ht="13.8" hidden="false" customHeight="false" outlineLevel="0" collapsed="false">
      <c r="B137" s="2" t="n">
        <v>136</v>
      </c>
      <c r="C137" s="4" t="n">
        <v>-4.99931044068437E-005</v>
      </c>
    </row>
    <row r="138" customFormat="false" ht="13.8" hidden="false" customHeight="false" outlineLevel="0" collapsed="false">
      <c r="B138" s="2" t="n">
        <v>137</v>
      </c>
      <c r="C138" s="4" t="n">
        <v>-4.99988507325584E-005</v>
      </c>
    </row>
    <row r="139" customFormat="false" ht="13.8" hidden="false" customHeight="false" outlineLevel="0" collapsed="false">
      <c r="B139" s="2" t="n">
        <v>138</v>
      </c>
      <c r="C139" s="4" t="n">
        <v>-5E-005</v>
      </c>
    </row>
    <row r="140" customFormat="false" ht="13.8" hidden="false" customHeight="false" outlineLevel="0" collapsed="false">
      <c r="B140" s="2" t="n">
        <v>139</v>
      </c>
      <c r="C140" s="4" t="n">
        <v>-4.99974999749998E-005</v>
      </c>
    </row>
    <row r="141" customFormat="false" ht="13.8" hidden="false" customHeight="false" outlineLevel="0" collapsed="false">
      <c r="B141" s="2" t="n">
        <v>140</v>
      </c>
      <c r="C141" s="4" t="n">
        <v>-4.9994999924999E-005</v>
      </c>
    </row>
    <row r="142" customFormat="false" ht="13.8" hidden="false" customHeight="false" outlineLevel="0" collapsed="false">
      <c r="B142" s="2" t="n">
        <v>141</v>
      </c>
      <c r="C142" s="4" t="n">
        <v>-4.99924998499975E-005</v>
      </c>
    </row>
    <row r="143" customFormat="false" ht="13.8" hidden="false" customHeight="false" outlineLevel="0" collapsed="false">
      <c r="B143" s="2" t="n">
        <v>142</v>
      </c>
      <c r="C143" s="4" t="n">
        <v>-4.9989999749995E-005</v>
      </c>
    </row>
    <row r="144" customFormat="false" ht="13.8" hidden="false" customHeight="false" outlineLevel="0" collapsed="false">
      <c r="B144" s="2" t="n">
        <v>143</v>
      </c>
      <c r="C144" s="4" t="n">
        <v>-4.99874996249912E-005</v>
      </c>
    </row>
    <row r="145" customFormat="false" ht="13.8" hidden="false" customHeight="false" outlineLevel="0" collapsed="false">
      <c r="B145" s="2" t="n">
        <v>144</v>
      </c>
      <c r="C145" s="4" t="n">
        <v>-4.9984999474986E-005</v>
      </c>
    </row>
    <row r="146" customFormat="false" ht="13.8" hidden="false" customHeight="false" outlineLevel="0" collapsed="false">
      <c r="B146" s="2" t="n">
        <v>145</v>
      </c>
      <c r="C146" s="4" t="n">
        <v>-4.9982499299979E-005</v>
      </c>
    </row>
    <row r="147" customFormat="false" ht="13.8" hidden="false" customHeight="false" outlineLevel="0" collapsed="false">
      <c r="B147" s="2" t="n">
        <v>146</v>
      </c>
      <c r="C147" s="4" t="n">
        <v>-4.997999909997E-005</v>
      </c>
    </row>
    <row r="148" customFormat="false" ht="13.8" hidden="false" customHeight="false" outlineLevel="0" collapsed="false">
      <c r="B148" s="2" t="n">
        <v>147</v>
      </c>
      <c r="C148" s="4" t="n">
        <v>-4.99774988749588E-005</v>
      </c>
    </row>
    <row r="149" customFormat="false" ht="13.8" hidden="false" customHeight="false" outlineLevel="0" collapsed="false">
      <c r="B149" s="2" t="n">
        <v>148</v>
      </c>
      <c r="C149" s="4" t="n">
        <v>-4.9974998624945E-005</v>
      </c>
    </row>
    <row r="150" customFormat="false" ht="13.8" hidden="false" customHeight="false" outlineLevel="0" collapsed="false">
      <c r="B150" s="2" t="n">
        <v>149</v>
      </c>
      <c r="C150" s="4" t="n">
        <v>-4.99697616159884E-005</v>
      </c>
    </row>
    <row r="151" customFormat="false" ht="13.8" hidden="false" customHeight="false" outlineLevel="0" collapsed="false">
      <c r="B151" s="2" t="n">
        <v>150</v>
      </c>
      <c r="C151" s="4" t="n">
        <v>-4.99672612886013E-005</v>
      </c>
    </row>
    <row r="152" customFormat="false" ht="13.8" hidden="false" customHeight="false" outlineLevel="0" collapsed="false">
      <c r="B152" s="2" t="n">
        <v>151</v>
      </c>
      <c r="C152" s="4" t="n">
        <v>-4.99647609362107E-005</v>
      </c>
    </row>
    <row r="153" customFormat="false" ht="13.8" hidden="false" customHeight="false" outlineLevel="0" collapsed="false">
      <c r="B153" s="2" t="n">
        <v>152</v>
      </c>
      <c r="C153" s="4" t="n">
        <v>4.99965168318363E-005</v>
      </c>
    </row>
    <row r="154" customFormat="false" ht="13.8" hidden="false" customHeight="false" outlineLevel="0" collapsed="false">
      <c r="B154" s="2" t="n">
        <v>153</v>
      </c>
      <c r="C154" s="4" t="n">
        <v>-4.99597601564178E-005</v>
      </c>
    </row>
    <row r="155" customFormat="false" ht="13.8" hidden="false" customHeight="false" outlineLevel="0" collapsed="false">
      <c r="B155" s="2" t="n">
        <v>154</v>
      </c>
      <c r="C155" s="4" t="n">
        <v>-4.99572597290152E-005</v>
      </c>
    </row>
    <row r="156" customFormat="false" ht="13.8" hidden="false" customHeight="false" outlineLevel="0" collapsed="false">
      <c r="B156" s="2" t="n">
        <v>155</v>
      </c>
      <c r="C156" s="4" t="n">
        <v>-4.99547592766079E-005</v>
      </c>
    </row>
    <row r="157" customFormat="false" ht="13.8" hidden="false" customHeight="false" outlineLevel="0" collapsed="false">
      <c r="B157" s="2" t="n">
        <v>156</v>
      </c>
      <c r="C157" s="4" t="n">
        <v>-4.99522587991959E-005</v>
      </c>
    </row>
    <row r="158" customFormat="false" ht="13.8" hidden="false" customHeight="false" outlineLevel="0" collapsed="false">
      <c r="B158" s="2" t="n">
        <v>157</v>
      </c>
      <c r="C158" s="4" t="n">
        <v>4.99952727250418E-005</v>
      </c>
    </row>
    <row r="159" customFormat="false" ht="13.8" hidden="false" customHeight="false" outlineLevel="0" collapsed="false">
      <c r="B159" s="2" t="n">
        <v>158</v>
      </c>
      <c r="C159" s="4" t="n">
        <v>5.00016374589483E-005</v>
      </c>
    </row>
    <row r="160" customFormat="false" ht="13.8" hidden="false" customHeight="false" outlineLevel="0" collapsed="false">
      <c r="B160" s="2" t="n">
        <v>159</v>
      </c>
      <c r="C160" s="4" t="n">
        <v>-4.99447572169288E-005</v>
      </c>
    </row>
    <row r="161" customFormat="false" ht="13.8" hidden="false" customHeight="false" outlineLevel="0" collapsed="false">
      <c r="B161" s="2" t="n">
        <v>160</v>
      </c>
      <c r="C161" s="4" t="n">
        <v>5E-005</v>
      </c>
    </row>
    <row r="162" customFormat="false" ht="13.8" hidden="false" customHeight="false" outlineLevel="0" collapsed="false">
      <c r="B162" s="2" t="n">
        <v>161</v>
      </c>
      <c r="C162" s="4" t="n">
        <v>-4.99397560370556E-005</v>
      </c>
    </row>
    <row r="163" customFormat="false" ht="13.8" hidden="false" customHeight="false" outlineLevel="0" collapsed="false">
      <c r="B163" s="2" t="n">
        <v>162</v>
      </c>
      <c r="C163" s="4" t="n">
        <v>5E-005</v>
      </c>
    </row>
    <row r="164" customFormat="false" ht="13.8" hidden="false" customHeight="false" outlineLevel="0" collapsed="false">
      <c r="B164" s="2" t="n">
        <v>163</v>
      </c>
      <c r="C164" s="4" t="n">
        <v>5E-005</v>
      </c>
    </row>
    <row r="165" customFormat="false" ht="13.8" hidden="false" customHeight="false" outlineLevel="0" collapsed="false">
      <c r="B165" s="2" t="n">
        <v>164</v>
      </c>
      <c r="C165" s="4" t="n">
        <v>0.000608651852061732</v>
      </c>
    </row>
    <row r="166" customFormat="false" ht="13.8" hidden="false" customHeight="false" outlineLevel="0" collapsed="false">
      <c r="B166" s="2" t="n">
        <v>165</v>
      </c>
      <c r="C166" s="4" t="n">
        <v>5E-005</v>
      </c>
    </row>
    <row r="167" customFormat="false" ht="13.8" hidden="false" customHeight="false" outlineLevel="0" collapsed="false">
      <c r="B167" s="2" t="n">
        <v>166</v>
      </c>
      <c r="C167" s="4" t="n">
        <v>0.00060865802519137</v>
      </c>
    </row>
    <row r="168" customFormat="false" ht="13.8" hidden="false" customHeight="false" outlineLevel="0" collapsed="false">
      <c r="B168" s="2" t="n">
        <v>167</v>
      </c>
      <c r="C168" s="4" t="n">
        <v>0.000608661111802488</v>
      </c>
    </row>
    <row r="169" customFormat="false" ht="13.8" hidden="false" customHeight="false" outlineLevel="0" collapsed="false">
      <c r="B169" s="2" t="n">
        <v>168</v>
      </c>
      <c r="C169" s="4" t="n">
        <v>0.000608664198444473</v>
      </c>
    </row>
    <row r="170" customFormat="false" ht="13.8" hidden="false" customHeight="false" outlineLevel="0" collapsed="false">
      <c r="B170" s="2" t="n">
        <v>169</v>
      </c>
      <c r="C170" s="4" t="n">
        <v>0.000608667285117324</v>
      </c>
    </row>
    <row r="171" customFormat="false" ht="13.8" hidden="false" customHeight="false" outlineLevel="0" collapsed="false">
      <c r="B171" s="2" t="n">
        <v>170</v>
      </c>
      <c r="C171" s="4" t="n">
        <v>0.000608670371821042</v>
      </c>
    </row>
    <row r="172" customFormat="false" ht="13.8" hidden="false" customHeight="false" outlineLevel="0" collapsed="false">
      <c r="B172" s="2" t="n">
        <v>171</v>
      </c>
      <c r="C172" s="4" t="n">
        <v>0.000608673458555628</v>
      </c>
    </row>
    <row r="173" customFormat="false" ht="13.8" hidden="false" customHeight="false" outlineLevel="0" collapsed="false">
      <c r="B173" s="2" t="n">
        <v>172</v>
      </c>
      <c r="C173" s="4" t="n">
        <v>0.000608676545321081</v>
      </c>
    </row>
    <row r="174" customFormat="false" ht="13.8" hidden="false" customHeight="false" outlineLevel="0" collapsed="false">
      <c r="B174" s="2" t="n">
        <v>173</v>
      </c>
      <c r="C174" s="4" t="n">
        <v>0.000608679632117402</v>
      </c>
    </row>
    <row r="175" customFormat="false" ht="13.8" hidden="false" customHeight="false" outlineLevel="0" collapsed="false">
      <c r="B175" s="2" t="n">
        <v>174</v>
      </c>
      <c r="C175" s="4" t="n">
        <v>0.000608682718944591</v>
      </c>
    </row>
    <row r="176" customFormat="false" ht="13.8" hidden="false" customHeight="false" outlineLevel="0" collapsed="false">
      <c r="B176" s="2" t="n">
        <v>175</v>
      </c>
      <c r="C176" s="4" t="n">
        <v>0.000608685805802649</v>
      </c>
    </row>
    <row r="177" customFormat="false" ht="13.8" hidden="false" customHeight="false" outlineLevel="0" collapsed="false">
      <c r="B177" s="2" t="n">
        <v>176</v>
      </c>
      <c r="C177" s="4" t="n">
        <v>0.000608688892691576</v>
      </c>
    </row>
    <row r="178" customFormat="false" ht="13.8" hidden="false" customHeight="false" outlineLevel="0" collapsed="false">
      <c r="B178" s="2" t="n">
        <v>177</v>
      </c>
      <c r="C178" s="4" t="n">
        <v>0.000608691979611372</v>
      </c>
    </row>
    <row r="179" customFormat="false" ht="13.8" hidden="false" customHeight="false" outlineLevel="0" collapsed="false">
      <c r="B179" s="2" t="n">
        <v>178</v>
      </c>
      <c r="C179" s="4" t="n">
        <v>0.000608695066562038</v>
      </c>
    </row>
    <row r="180" customFormat="false" ht="13.8" hidden="false" customHeight="false" outlineLevel="0" collapsed="false">
      <c r="B180" s="2" t="n">
        <v>179</v>
      </c>
      <c r="C180" s="4" t="n">
        <v>0.000608698153543573</v>
      </c>
    </row>
    <row r="181" customFormat="false" ht="13.8" hidden="false" customHeight="false" outlineLevel="0" collapsed="false">
      <c r="B181" s="2" t="n">
        <v>180</v>
      </c>
      <c r="C181" s="4" t="n">
        <v>0.000608701240555979</v>
      </c>
    </row>
    <row r="182" customFormat="false" ht="13.8" hidden="false" customHeight="false" outlineLevel="0" collapsed="false">
      <c r="B182" s="2" t="n">
        <v>181</v>
      </c>
      <c r="C182" s="4" t="n">
        <v>0.000608704327599255</v>
      </c>
    </row>
    <row r="183" customFormat="false" ht="13.8" hidden="false" customHeight="false" outlineLevel="0" collapsed="false">
      <c r="B183" s="2" t="n">
        <v>182</v>
      </c>
      <c r="C183" s="4" t="n">
        <v>0.000608707414673402</v>
      </c>
    </row>
    <row r="184" customFormat="false" ht="13.8" hidden="false" customHeight="false" outlineLevel="0" collapsed="false">
      <c r="B184" s="2" t="n">
        <v>183</v>
      </c>
      <c r="C184" s="4" t="n">
        <v>0.000608710501778419</v>
      </c>
    </row>
    <row r="185" customFormat="false" ht="13.8" hidden="false" customHeight="false" outlineLevel="0" collapsed="false">
      <c r="B185" s="2" t="n">
        <v>184</v>
      </c>
      <c r="C185" s="4" t="n">
        <v>0.000608713395090018</v>
      </c>
    </row>
    <row r="186" customFormat="false" ht="13.8" hidden="false" customHeight="false" outlineLevel="0" collapsed="false">
      <c r="B186" s="2" t="n">
        <v>185</v>
      </c>
      <c r="C186" s="4" t="n">
        <v>0.000608716676081069</v>
      </c>
    </row>
    <row r="187" customFormat="false" ht="13.8" hidden="false" customHeight="false" outlineLevel="0" collapsed="false">
      <c r="B187" s="2" t="n">
        <v>186</v>
      </c>
      <c r="C187" s="4" t="n">
        <v>0.000608719763278702</v>
      </c>
    </row>
    <row r="188" customFormat="false" ht="13.8" hidden="false" customHeight="false" outlineLevel="0" collapsed="false">
      <c r="B188" s="2" t="n">
        <v>187</v>
      </c>
      <c r="C188" s="4" t="n">
        <v>0.000608722850507207</v>
      </c>
    </row>
    <row r="189" customFormat="false" ht="13.8" hidden="false" customHeight="false" outlineLevel="0" collapsed="false">
      <c r="B189" s="2" t="n">
        <v>188</v>
      </c>
      <c r="C189" s="4" t="n">
        <v>0.000608725937766585</v>
      </c>
    </row>
    <row r="190" customFormat="false" ht="13.8" hidden="false" customHeight="false" outlineLevel="0" collapsed="false">
      <c r="B190" s="2" t="n">
        <v>189</v>
      </c>
      <c r="C190" s="4" t="n">
        <v>0.000608729025056835</v>
      </c>
    </row>
    <row r="191" customFormat="false" ht="13.8" hidden="false" customHeight="false" outlineLevel="0" collapsed="false">
      <c r="B191" s="2" t="n">
        <v>190</v>
      </c>
      <c r="C191" s="4" t="n">
        <v>0.000608732112377959</v>
      </c>
    </row>
    <row r="192" customFormat="false" ht="13.8" hidden="false" customHeight="false" outlineLevel="0" collapsed="false">
      <c r="B192" s="2" t="n">
        <v>191</v>
      </c>
      <c r="C192" s="4" t="n">
        <v>0.000608735199729956</v>
      </c>
    </row>
    <row r="193" customFormat="false" ht="13.8" hidden="false" customHeight="false" outlineLevel="0" collapsed="false">
      <c r="B193" s="2" t="n">
        <v>192</v>
      </c>
      <c r="C193" s="4" t="n">
        <v>0.000608738287112827</v>
      </c>
    </row>
    <row r="194" customFormat="false" ht="13.8" hidden="false" customHeight="false" outlineLevel="0" collapsed="false">
      <c r="B194" s="2" t="n">
        <v>193</v>
      </c>
      <c r="C194" s="4" t="n">
        <v>0.000608741374526573</v>
      </c>
    </row>
    <row r="195" customFormat="false" ht="13.8" hidden="false" customHeight="false" outlineLevel="0" collapsed="false">
      <c r="B195" s="2" t="n">
        <v>194</v>
      </c>
      <c r="C195" s="4" t="n">
        <v>0.000608744461971192</v>
      </c>
    </row>
    <row r="196" customFormat="false" ht="13.8" hidden="false" customHeight="false" outlineLevel="0" collapsed="false">
      <c r="B196" s="2" t="n">
        <v>195</v>
      </c>
      <c r="C196" s="4" t="n">
        <v>0.000608747549446687</v>
      </c>
    </row>
    <row r="197" customFormat="false" ht="13.8" hidden="false" customHeight="false" outlineLevel="0" collapsed="false">
      <c r="B197" s="2" t="n">
        <v>196</v>
      </c>
      <c r="C197" s="4" t="n">
        <v>0.000608750636953056</v>
      </c>
    </row>
    <row r="198" customFormat="false" ht="13.8" hidden="false" customHeight="false" outlineLevel="0" collapsed="false">
      <c r="B198" s="2" t="n">
        <v>197</v>
      </c>
      <c r="C198" s="4" t="n">
        <v>0.000608753724490301</v>
      </c>
    </row>
    <row r="199" customFormat="false" ht="13.8" hidden="false" customHeight="false" outlineLevel="0" collapsed="false">
      <c r="B199" s="2" t="n">
        <v>198</v>
      </c>
      <c r="C199" s="4" t="n">
        <v>0.000608756812058422</v>
      </c>
    </row>
    <row r="200" customFormat="false" ht="13.8" hidden="false" customHeight="false" outlineLevel="0" collapsed="false">
      <c r="B200" s="2" t="n">
        <v>199</v>
      </c>
      <c r="C200" s="4" t="n">
        <v>0.000608759899657418</v>
      </c>
    </row>
    <row r="201" customFormat="false" ht="13.8" hidden="false" customHeight="false" outlineLevel="0" collapsed="false">
      <c r="B201" s="2" t="n">
        <v>200</v>
      </c>
      <c r="C201" s="4" t="n">
        <v>0.000608762987287291</v>
      </c>
    </row>
    <row r="202" customFormat="false" ht="13.8" hidden="false" customHeight="false" outlineLevel="0" collapsed="false">
      <c r="B202" s="2" t="n">
        <v>201</v>
      </c>
      <c r="C202" s="4" t="n">
        <v>0.000608766074948041</v>
      </c>
    </row>
    <row r="203" customFormat="false" ht="13.8" hidden="false" customHeight="false" outlineLevel="0" collapsed="false">
      <c r="B203" s="2" t="n">
        <v>202</v>
      </c>
      <c r="C203" s="4" t="n">
        <v>0.000608769162639667</v>
      </c>
    </row>
    <row r="204" customFormat="false" ht="13.8" hidden="false" customHeight="false" outlineLevel="0" collapsed="false">
      <c r="B204" s="2" t="n">
        <v>203</v>
      </c>
      <c r="C204" s="4" t="n">
        <v>0.000608772250362171</v>
      </c>
    </row>
    <row r="205" customFormat="false" ht="13.8" hidden="false" customHeight="false" outlineLevel="0" collapsed="false">
      <c r="B205" s="2" t="n">
        <v>204</v>
      </c>
      <c r="C205" s="4" t="n">
        <v>0.000608775338115552</v>
      </c>
    </row>
    <row r="206" customFormat="false" ht="13.8" hidden="false" customHeight="false" outlineLevel="0" collapsed="false">
      <c r="B206" s="2" t="n">
        <v>205</v>
      </c>
      <c r="C206" s="4" t="n">
        <v>0.000608778425899811</v>
      </c>
    </row>
    <row r="207" customFormat="false" ht="13.8" hidden="false" customHeight="false" outlineLevel="0" collapsed="false">
      <c r="B207" s="2" t="n">
        <v>206</v>
      </c>
      <c r="C207" s="4" t="n">
        <v>0.000608781513714948</v>
      </c>
    </row>
    <row r="208" customFormat="false" ht="13.8" hidden="false" customHeight="false" outlineLevel="0" collapsed="false">
      <c r="B208" s="2" t="n">
        <v>207</v>
      </c>
      <c r="C208" s="4" t="n">
        <v>0.000608784601560963</v>
      </c>
    </row>
    <row r="209" customFormat="false" ht="13.8" hidden="false" customHeight="false" outlineLevel="0" collapsed="false">
      <c r="B209" s="2" t="n">
        <v>208</v>
      </c>
      <c r="C209" s="4" t="n">
        <v>0.000608787689437858</v>
      </c>
    </row>
    <row r="210" customFormat="false" ht="13.8" hidden="false" customHeight="false" outlineLevel="0" collapsed="false">
      <c r="B210" s="2" t="n">
        <v>209</v>
      </c>
      <c r="C210" s="4" t="n">
        <v>0.000608790777345631</v>
      </c>
    </row>
    <row r="211" customFormat="false" ht="13.8" hidden="false" customHeight="false" outlineLevel="0" collapsed="false">
      <c r="B211" s="2" t="n">
        <v>210</v>
      </c>
      <c r="C211" s="4" t="n">
        <v>0.000608793865284284</v>
      </c>
    </row>
    <row r="212" customFormat="false" ht="13.8" hidden="false" customHeight="false" outlineLevel="0" collapsed="false">
      <c r="B212" s="2" t="n">
        <v>211</v>
      </c>
      <c r="C212" s="4" t="n">
        <v>0.000608796953253817</v>
      </c>
    </row>
    <row r="213" customFormat="false" ht="13.8" hidden="false" customHeight="false" outlineLevel="0" collapsed="false">
      <c r="B213" s="2" t="n">
        <v>212</v>
      </c>
      <c r="C213" s="4" t="n">
        <v>0.000608800041254229</v>
      </c>
    </row>
    <row r="214" customFormat="false" ht="13.8" hidden="false" customHeight="false" outlineLevel="0" collapsed="false">
      <c r="B214" s="2" t="n">
        <v>213</v>
      </c>
      <c r="C214" s="4" t="n">
        <v>0.000608803129285522</v>
      </c>
    </row>
    <row r="215" customFormat="false" ht="13.8" hidden="false" customHeight="false" outlineLevel="0" collapsed="false">
      <c r="B215" s="2" t="n">
        <v>214</v>
      </c>
      <c r="C215" s="4" t="n">
        <v>0.000608806217347695</v>
      </c>
    </row>
    <row r="216" customFormat="false" ht="13.8" hidden="false" customHeight="false" outlineLevel="0" collapsed="false">
      <c r="B216" s="2" t="n">
        <v>215</v>
      </c>
      <c r="C216" s="4" t="n">
        <v>0.00060880930544075</v>
      </c>
    </row>
    <row r="217" customFormat="false" ht="13.8" hidden="false" customHeight="false" outlineLevel="0" collapsed="false">
      <c r="B217" s="2" t="n">
        <v>216</v>
      </c>
      <c r="C217" s="4" t="n">
        <v>0.000608812393564685</v>
      </c>
    </row>
    <row r="218" customFormat="false" ht="13.8" hidden="false" customHeight="false" outlineLevel="0" collapsed="false">
      <c r="B218" s="2" t="n">
        <v>217</v>
      </c>
      <c r="C218" s="4" t="n">
        <v>0.000608815481719503</v>
      </c>
    </row>
    <row r="219" customFormat="false" ht="13.8" hidden="false" customHeight="false" outlineLevel="0" collapsed="false">
      <c r="B219" s="2" t="n">
        <v>218</v>
      </c>
      <c r="C219" s="4" t="n">
        <v>0.000608818569905202</v>
      </c>
    </row>
    <row r="220" customFormat="false" ht="13.8" hidden="false" customHeight="false" outlineLevel="0" collapsed="false">
      <c r="B220" s="2" t="n">
        <v>219</v>
      </c>
      <c r="C220" s="4" t="n">
        <v>0.000608821658121783</v>
      </c>
    </row>
    <row r="221" customFormat="false" ht="13.8" hidden="false" customHeight="false" outlineLevel="0" collapsed="false">
      <c r="B221" s="2" t="n">
        <v>220</v>
      </c>
      <c r="C221" s="4" t="n">
        <v>5E-005</v>
      </c>
    </row>
    <row r="222" customFormat="false" ht="13.8" hidden="false" customHeight="false" outlineLevel="0" collapsed="false">
      <c r="B222" s="2" t="n">
        <v>221</v>
      </c>
      <c r="C222" s="4" t="n">
        <v>5E-005</v>
      </c>
    </row>
    <row r="223" customFormat="false" ht="13.8" hidden="false" customHeight="false" outlineLevel="0" collapsed="false">
      <c r="B223" s="2" t="n">
        <v>222</v>
      </c>
      <c r="C223" s="4" t="n">
        <v>5E-005</v>
      </c>
    </row>
    <row r="224" customFormat="false" ht="13.8" hidden="false" customHeight="false" outlineLevel="0" collapsed="false">
      <c r="B224" s="2" t="n">
        <v>223</v>
      </c>
      <c r="C224" s="4" t="n">
        <v>5E-005</v>
      </c>
    </row>
    <row r="225" customFormat="false" ht="13.8" hidden="false" customHeight="false" outlineLevel="0" collapsed="false">
      <c r="B225" s="2" t="n">
        <v>224</v>
      </c>
      <c r="C225" s="4" t="n">
        <v>5E-005</v>
      </c>
    </row>
    <row r="226" customFormat="false" ht="13.8" hidden="false" customHeight="false" outlineLevel="0" collapsed="false">
      <c r="B226" s="2" t="n">
        <v>225</v>
      </c>
      <c r="C226" s="4" t="n">
        <v>5E-005</v>
      </c>
    </row>
    <row r="227" customFormat="false" ht="13.8" hidden="false" customHeight="false" outlineLevel="0" collapsed="false">
      <c r="B227" s="2" t="n">
        <v>226</v>
      </c>
      <c r="C227" s="4" t="n">
        <v>-5E-005</v>
      </c>
    </row>
    <row r="228" customFormat="false" ht="13.8" hidden="false" customHeight="false" outlineLevel="0" collapsed="false">
      <c r="B228" s="2" t="n">
        <v>227</v>
      </c>
      <c r="C228" s="4" t="n">
        <v>5E-005</v>
      </c>
    </row>
    <row r="229" customFormat="false" ht="13.8" hidden="false" customHeight="false" outlineLevel="0" collapsed="false">
      <c r="B229" s="2" t="n">
        <v>228</v>
      </c>
      <c r="C229" s="4" t="n">
        <v>-5E-005</v>
      </c>
    </row>
    <row r="230" customFormat="false" ht="13.8" hidden="false" customHeight="false" outlineLevel="0" collapsed="false">
      <c r="B230" s="2" t="n">
        <v>229</v>
      </c>
      <c r="C230" s="4" t="n">
        <v>-4.99942536627925E-005</v>
      </c>
    </row>
    <row r="231" customFormat="false" ht="13.8" hidden="false" customHeight="false" outlineLevel="0" collapsed="false">
      <c r="B231" s="2" t="n">
        <v>230</v>
      </c>
      <c r="C231" s="4" t="n">
        <v>-5E-005</v>
      </c>
    </row>
    <row r="232" customFormat="false" ht="13.8" hidden="false" customHeight="false" outlineLevel="0" collapsed="false">
      <c r="B232" s="2" t="n">
        <v>231</v>
      </c>
      <c r="C232" s="4" t="n">
        <v>-4.99974999749998E-005</v>
      </c>
    </row>
    <row r="233" customFormat="false" ht="13.8" hidden="false" customHeight="false" outlineLevel="0" collapsed="false">
      <c r="B233" s="2" t="n">
        <v>232</v>
      </c>
      <c r="C233" s="4" t="n">
        <v>-4.99942536627925E-005</v>
      </c>
    </row>
    <row r="234" customFormat="false" ht="13.8" hidden="false" customHeight="false" outlineLevel="0" collapsed="false">
      <c r="B234" s="2" t="n">
        <v>233</v>
      </c>
      <c r="C234" s="4" t="n">
        <v>-5E-005</v>
      </c>
    </row>
    <row r="235" customFormat="false" ht="13.8" hidden="false" customHeight="false" outlineLevel="0" collapsed="false">
      <c r="B235" s="2" t="n">
        <v>234</v>
      </c>
      <c r="C235" s="4" t="n">
        <v>-4.99974999749998E-005</v>
      </c>
    </row>
    <row r="236" customFormat="false" ht="13.8" hidden="false" customHeight="false" outlineLevel="0" collapsed="false">
      <c r="B236" s="2" t="n">
        <v>235</v>
      </c>
      <c r="C236" s="4" t="n">
        <v>-4.99979502241859E-005</v>
      </c>
    </row>
    <row r="237" customFormat="false" ht="13.8" hidden="false" customHeight="false" outlineLevel="0" collapsed="false">
      <c r="B237" s="2" t="n">
        <v>236</v>
      </c>
      <c r="C237" s="4" t="n">
        <v>-5E-005</v>
      </c>
    </row>
    <row r="238" customFormat="false" ht="13.8" hidden="false" customHeight="false" outlineLevel="0" collapsed="false">
      <c r="B238" s="2" t="n">
        <v>237</v>
      </c>
      <c r="C238" s="4" t="n">
        <v>-4.99974999749998E-005</v>
      </c>
    </row>
    <row r="239" customFormat="false" ht="13.8" hidden="false" customHeight="false" outlineLevel="0" collapsed="false">
      <c r="B239" s="2" t="n">
        <v>238</v>
      </c>
      <c r="C239" s="4" t="n">
        <v>-4.9994999924999E-005</v>
      </c>
    </row>
    <row r="240" customFormat="false" ht="13.8" hidden="false" customHeight="false" outlineLevel="0" collapsed="false">
      <c r="B240" s="2" t="n">
        <v>239</v>
      </c>
      <c r="C240" s="4" t="n">
        <v>-4.99942536627925E-005</v>
      </c>
    </row>
    <row r="241" customFormat="false" ht="13.8" hidden="false" customHeight="false" outlineLevel="0" collapsed="false">
      <c r="B241" s="2" t="n">
        <v>240</v>
      </c>
      <c r="C241" s="4" t="n">
        <v>-5E-005</v>
      </c>
    </row>
    <row r="242" customFormat="false" ht="13.8" hidden="false" customHeight="false" outlineLevel="0" collapsed="false">
      <c r="B242" s="2" t="n">
        <v>241</v>
      </c>
      <c r="C242" s="4" t="n">
        <v>-4.99974999749998E-005</v>
      </c>
    </row>
    <row r="243" customFormat="false" ht="13.8" hidden="false" customHeight="false" outlineLevel="0" collapsed="false">
      <c r="B243" s="2" t="n">
        <v>242</v>
      </c>
      <c r="C243" s="4" t="n">
        <v>-5E-005</v>
      </c>
    </row>
    <row r="244" customFormat="false" ht="13.8" hidden="false" customHeight="false" outlineLevel="0" collapsed="false">
      <c r="B244" s="2" t="n">
        <v>243</v>
      </c>
      <c r="C244" s="4" t="n">
        <v>-5E-005</v>
      </c>
    </row>
    <row r="245" customFormat="false" ht="13.8" hidden="false" customHeight="false" outlineLevel="0" collapsed="false">
      <c r="B245" s="2" t="n">
        <v>244</v>
      </c>
      <c r="C245" s="4" t="n">
        <v>-4.99974999749998E-005</v>
      </c>
    </row>
    <row r="246" customFormat="false" ht="13.8" hidden="false" customHeight="false" outlineLevel="0" collapsed="false">
      <c r="B246" s="2" t="n">
        <v>245</v>
      </c>
      <c r="C246" s="4" t="n">
        <v>-4.9994999924999E-005</v>
      </c>
    </row>
    <row r="247" customFormat="false" ht="13.8" hidden="false" customHeight="false" outlineLevel="0" collapsed="false">
      <c r="B247" s="2" t="n">
        <v>246</v>
      </c>
      <c r="C247" s="4" t="n">
        <v>-4.99924998499975E-005</v>
      </c>
    </row>
    <row r="248" customFormat="false" ht="13.8" hidden="false" customHeight="false" outlineLevel="0" collapsed="false">
      <c r="B248" s="2" t="n">
        <v>247</v>
      </c>
      <c r="C248" s="4" t="n">
        <v>-4.9989253390398E-005</v>
      </c>
    </row>
    <row r="249" customFormat="false" ht="13.8" hidden="false" customHeight="false" outlineLevel="0" collapsed="false">
      <c r="B249" s="2" t="n">
        <v>248</v>
      </c>
      <c r="C249" s="4" t="n">
        <v>-4.99867532579305E-005</v>
      </c>
    </row>
    <row r="250" customFormat="false" ht="13.8" hidden="false" customHeight="false" outlineLevel="0" collapsed="false">
      <c r="B250" s="2" t="n">
        <v>249</v>
      </c>
      <c r="C250" s="4" t="n">
        <v>-4.99842531004615E-005</v>
      </c>
    </row>
    <row r="251" customFormat="false" ht="13.8" hidden="false" customHeight="false" outlineLevel="0" collapsed="false">
      <c r="B251" s="2" t="n">
        <v>250</v>
      </c>
      <c r="C251" s="4" t="n">
        <v>-4.99817529179907E-005</v>
      </c>
    </row>
    <row r="252" customFormat="false" ht="13.8" hidden="false" customHeight="false" outlineLevel="0" collapsed="false">
      <c r="B252" s="2" t="n">
        <v>251</v>
      </c>
      <c r="C252" s="4" t="n">
        <v>-4.99792527105178E-005</v>
      </c>
    </row>
    <row r="253" customFormat="false" ht="13.8" hidden="false" customHeight="false" outlineLevel="0" collapsed="false">
      <c r="B253" s="2" t="n">
        <v>252</v>
      </c>
      <c r="C253" s="4" t="n">
        <v>-4.99767524780426E-005</v>
      </c>
    </row>
    <row r="254" customFormat="false" ht="13.8" hidden="false" customHeight="false" outlineLevel="0" collapsed="false">
      <c r="B254" s="2" t="n">
        <v>253</v>
      </c>
      <c r="C254" s="4" t="n">
        <v>-4.99742522205648E-005</v>
      </c>
    </row>
    <row r="255" customFormat="false" ht="13.8" hidden="false" customHeight="false" outlineLevel="0" collapsed="false">
      <c r="B255" s="2" t="n">
        <v>254</v>
      </c>
      <c r="C255" s="4" t="n">
        <v>-4.99717519380842E-005</v>
      </c>
    </row>
    <row r="256" customFormat="false" ht="13.8" hidden="false" customHeight="false" outlineLevel="0" collapsed="false">
      <c r="B256" s="2" t="n">
        <v>255</v>
      </c>
      <c r="C256" s="4" t="n">
        <v>5.002000090003E-005</v>
      </c>
    </row>
    <row r="257" customFormat="false" ht="13.8" hidden="false" customHeight="false" outlineLevel="0" collapsed="false">
      <c r="B257" s="2" t="n">
        <v>256</v>
      </c>
      <c r="C257" s="4" t="n">
        <v>5.00225011250412E-005</v>
      </c>
    </row>
    <row r="258" customFormat="false" ht="13.8" hidden="false" customHeight="false" outlineLevel="0" collapsed="false">
      <c r="B258" s="2" t="n">
        <v>257</v>
      </c>
      <c r="C258" s="4" t="n">
        <v>0.000608667841303771</v>
      </c>
    </row>
    <row r="259" customFormat="false" ht="13.8" hidden="false" customHeight="false" outlineLevel="0" collapsed="false">
      <c r="B259" s="2" t="n">
        <v>258</v>
      </c>
      <c r="C259" s="4" t="n">
        <v>0.000608671928023051</v>
      </c>
    </row>
    <row r="260" customFormat="false" ht="13.8" hidden="false" customHeight="false" outlineLevel="0" collapsed="false">
      <c r="B260" s="2" t="n">
        <v>259</v>
      </c>
      <c r="C260" s="4" t="n">
        <v>0.000608676014783199</v>
      </c>
    </row>
    <row r="261" customFormat="false" ht="13.8" hidden="false" customHeight="false" outlineLevel="0" collapsed="false">
      <c r="B261" s="2" t="n">
        <v>260</v>
      </c>
      <c r="C261" s="4" t="n">
        <v>0.000608680101584215</v>
      </c>
    </row>
    <row r="262" customFormat="false" ht="13.8" hidden="false" customHeight="false" outlineLevel="0" collapsed="false">
      <c r="B262" s="2" t="n">
        <v>261</v>
      </c>
      <c r="C262" s="4" t="n">
        <v>0.000608684188426099</v>
      </c>
    </row>
    <row r="263" customFormat="false" ht="13.8" hidden="false" customHeight="false" outlineLevel="0" collapsed="false">
      <c r="B263" s="2" t="n">
        <v>262</v>
      </c>
      <c r="C263" s="4" t="n">
        <v>0.000608688275308852</v>
      </c>
    </row>
    <row r="264" customFormat="false" ht="13.8" hidden="false" customHeight="false" outlineLevel="0" collapsed="false">
      <c r="B264" s="2" t="n">
        <v>263</v>
      </c>
      <c r="C264" s="4" t="n">
        <v>0.000608691362222474</v>
      </c>
    </row>
    <row r="265" customFormat="false" ht="13.8" hidden="false" customHeight="false" outlineLevel="0" collapsed="false">
      <c r="B265" s="2" t="n">
        <v>264</v>
      </c>
      <c r="C265" s="4" t="n">
        <v>0.000608694449166966</v>
      </c>
    </row>
    <row r="266" customFormat="false" ht="13.8" hidden="false" customHeight="false" outlineLevel="0" collapsed="false">
      <c r="B266" s="2" t="n">
        <v>265</v>
      </c>
      <c r="C266" s="4" t="n">
        <v>0.000608697536142327</v>
      </c>
    </row>
    <row r="267" customFormat="false" ht="13.8" hidden="false" customHeight="false" outlineLevel="0" collapsed="false">
      <c r="B267" s="2" t="n">
        <v>266</v>
      </c>
      <c r="C267" s="4" t="n">
        <v>0.000608700623148559</v>
      </c>
    </row>
    <row r="268" customFormat="false" ht="13.8" hidden="false" customHeight="false" outlineLevel="0" collapsed="false">
      <c r="B268" s="2" t="n">
        <v>267</v>
      </c>
      <c r="C268" s="4" t="n">
        <v>0.00060870371018566</v>
      </c>
    </row>
    <row r="269" customFormat="false" ht="13.8" hidden="false" customHeight="false" outlineLevel="0" collapsed="false">
      <c r="B269" s="2" t="n">
        <v>268</v>
      </c>
      <c r="C269" s="4" t="n">
        <v>0.000608706797253633</v>
      </c>
    </row>
    <row r="270" customFormat="false" ht="13.8" hidden="false" customHeight="false" outlineLevel="0" collapsed="false">
      <c r="B270" s="2" t="n">
        <v>269</v>
      </c>
      <c r="C270" s="4" t="n">
        <v>0.000608709884352476</v>
      </c>
    </row>
    <row r="271" customFormat="false" ht="13.8" hidden="false" customHeight="false" outlineLevel="0" collapsed="false">
      <c r="B271" s="2" t="n">
        <v>270</v>
      </c>
      <c r="C271" s="4" t="n">
        <v>0.000608712971482191</v>
      </c>
    </row>
    <row r="272" customFormat="false" ht="13.8" hidden="false" customHeight="false" outlineLevel="0" collapsed="false">
      <c r="B272" s="2" t="n">
        <v>271</v>
      </c>
      <c r="C272" s="4" t="n">
        <v>0.000608716058642778</v>
      </c>
    </row>
    <row r="273" customFormat="false" ht="13.8" hidden="false" customHeight="false" outlineLevel="0" collapsed="false">
      <c r="B273" s="2" t="n">
        <v>272</v>
      </c>
      <c r="C273" s="4" t="n">
        <v>0.000608719145834236</v>
      </c>
    </row>
    <row r="274" customFormat="false" ht="13.8" hidden="false" customHeight="false" outlineLevel="0" collapsed="false">
      <c r="B274" s="2" t="n">
        <v>273</v>
      </c>
      <c r="C274" s="4" t="n">
        <v>0.000608722233056567</v>
      </c>
    </row>
    <row r="275" customFormat="false" ht="13.8" hidden="false" customHeight="false" outlineLevel="0" collapsed="false">
      <c r="B275" s="2" t="n">
        <v>274</v>
      </c>
      <c r="C275" s="4" t="n">
        <v>0.00060872532030977</v>
      </c>
    </row>
    <row r="276" customFormat="false" ht="13.8" hidden="false" customHeight="false" outlineLevel="0" collapsed="false">
      <c r="B276" s="2" t="n">
        <v>275</v>
      </c>
      <c r="C276" s="4" t="n">
        <v>0.000608728407593846</v>
      </c>
    </row>
    <row r="277" customFormat="false" ht="13.8" hidden="false" customHeight="false" outlineLevel="0" collapsed="false">
      <c r="B277" s="2" t="n">
        <v>276</v>
      </c>
      <c r="C277" s="4" t="n">
        <v>0.000608731494908795</v>
      </c>
    </row>
    <row r="278" customFormat="false" ht="13.8" hidden="false" customHeight="false" outlineLevel="0" collapsed="false">
      <c r="B278" s="2" t="n">
        <v>277</v>
      </c>
      <c r="C278" s="4" t="n">
        <v>0.000608734582254617</v>
      </c>
    </row>
    <row r="279" customFormat="false" ht="13.8" hidden="false" customHeight="false" outlineLevel="0" collapsed="false">
      <c r="B279" s="2" t="n">
        <v>278</v>
      </c>
      <c r="C279" s="4" t="n">
        <v>0.000608737669631313</v>
      </c>
    </row>
    <row r="280" customFormat="false" ht="13.8" hidden="false" customHeight="false" outlineLevel="0" collapsed="false">
      <c r="B280" s="2" t="n">
        <v>279</v>
      </c>
      <c r="C280" s="4" t="n">
        <v>0.000608740757038884</v>
      </c>
    </row>
    <row r="281" customFormat="false" ht="13.8" hidden="false" customHeight="false" outlineLevel="0" collapsed="false">
      <c r="B281" s="2" t="n">
        <v>280</v>
      </c>
      <c r="C281" s="4" t="n">
        <v>0.000608743844477329</v>
      </c>
    </row>
    <row r="282" customFormat="false" ht="13.8" hidden="false" customHeight="false" outlineLevel="0" collapsed="false">
      <c r="B282" s="2" t="n">
        <v>281</v>
      </c>
      <c r="C282" s="4" t="n">
        <v>0.000608746931946648</v>
      </c>
    </row>
    <row r="283" customFormat="false" ht="13.8" hidden="false" customHeight="false" outlineLevel="0" collapsed="false">
      <c r="B283" s="2" t="n">
        <v>282</v>
      </c>
      <c r="C283" s="4" t="n">
        <v>0.000608750019446842</v>
      </c>
    </row>
    <row r="284" customFormat="false" ht="13.8" hidden="false" customHeight="false" outlineLevel="0" collapsed="false">
      <c r="B284" s="2" t="n">
        <v>283</v>
      </c>
      <c r="C284" s="4" t="n">
        <v>0.000608753106977912</v>
      </c>
    </row>
    <row r="285" customFormat="false" ht="13.8" hidden="false" customHeight="false" outlineLevel="0" collapsed="false">
      <c r="B285" s="2" t="n">
        <v>284</v>
      </c>
      <c r="C285" s="4" t="n">
        <v>0.000608756194539857</v>
      </c>
    </row>
    <row r="286" customFormat="false" ht="13.8" hidden="false" customHeight="false" outlineLevel="0" collapsed="false">
      <c r="B286" s="2" t="n">
        <v>285</v>
      </c>
      <c r="C286" s="4" t="n">
        <v>0.000608759282132679</v>
      </c>
    </row>
    <row r="287" customFormat="false" ht="13.8" hidden="false" customHeight="false" outlineLevel="0" collapsed="false">
      <c r="B287" s="2" t="n">
        <v>286</v>
      </c>
      <c r="C287" s="4" t="n">
        <v>0.000608762369756376</v>
      </c>
    </row>
    <row r="288" customFormat="false" ht="13.8" hidden="false" customHeight="false" outlineLevel="0" collapsed="false">
      <c r="B288" s="2" t="n">
        <v>287</v>
      </c>
      <c r="C288" s="4" t="n">
        <v>0.00060876545741095</v>
      </c>
    </row>
    <row r="289" customFormat="false" ht="13.8" hidden="false" customHeight="false" outlineLevel="0" collapsed="false">
      <c r="B289" s="2" t="n">
        <v>288</v>
      </c>
      <c r="C289" s="4" t="n">
        <v>0.000608768545096401</v>
      </c>
    </row>
    <row r="290" customFormat="false" ht="13.8" hidden="false" customHeight="false" outlineLevel="0" collapsed="false">
      <c r="B290" s="2" t="n">
        <v>289</v>
      </c>
      <c r="C290" s="4" t="n">
        <v>0.00060877163281273</v>
      </c>
    </row>
    <row r="291" customFormat="false" ht="13.8" hidden="false" customHeight="false" outlineLevel="0" collapsed="false">
      <c r="B291" s="2" t="n">
        <v>290</v>
      </c>
      <c r="C291" s="4" t="n">
        <v>0.000608774720559935</v>
      </c>
    </row>
    <row r="292" customFormat="false" ht="13.8" hidden="false" customHeight="false" outlineLevel="0" collapsed="false">
      <c r="B292" s="2" t="n">
        <v>291</v>
      </c>
      <c r="C292" s="4" t="n">
        <v>0.000608777808338018</v>
      </c>
    </row>
    <row r="293" customFormat="false" ht="13.8" hidden="false" customHeight="false" outlineLevel="0" collapsed="false">
      <c r="B293" s="2" t="n">
        <v>292</v>
      </c>
      <c r="C293" s="4" t="n">
        <v>0.00060878089614698</v>
      </c>
    </row>
    <row r="294" customFormat="false" ht="13.8" hidden="false" customHeight="false" outlineLevel="0" collapsed="false">
      <c r="B294" s="2" t="n">
        <v>293</v>
      </c>
      <c r="C294" s="4" t="n">
        <v>0.00060878398398682</v>
      </c>
    </row>
    <row r="295" customFormat="false" ht="13.8" hidden="false" customHeight="false" outlineLevel="0" collapsed="false">
      <c r="B295" s="2" t="n">
        <v>294</v>
      </c>
      <c r="C295" s="4" t="n">
        <v>0.000608787071857538</v>
      </c>
    </row>
    <row r="296" customFormat="false" ht="13.8" hidden="false" customHeight="false" outlineLevel="0" collapsed="false">
      <c r="B296" s="2" t="n">
        <v>295</v>
      </c>
      <c r="C296" s="4" t="n">
        <v>0.000608790159759136</v>
      </c>
    </row>
    <row r="297" customFormat="false" ht="13.8" hidden="false" customHeight="false" outlineLevel="0" collapsed="false">
      <c r="B297" s="2" t="n">
        <v>296</v>
      </c>
      <c r="C297" s="4" t="n">
        <v>0.000608793247691613</v>
      </c>
    </row>
    <row r="298" customFormat="false" ht="13.8" hidden="false" customHeight="false" outlineLevel="0" collapsed="false">
      <c r="B298" s="2" t="n">
        <v>297</v>
      </c>
      <c r="C298" s="4" t="n">
        <v>0.000608796335654969</v>
      </c>
    </row>
    <row r="299" customFormat="false" ht="13.8" hidden="false" customHeight="false" outlineLevel="0" collapsed="false">
      <c r="B299" s="2" t="n">
        <v>298</v>
      </c>
      <c r="C299" s="4" t="n">
        <v>0.000608799423649206</v>
      </c>
    </row>
    <row r="300" customFormat="false" ht="13.8" hidden="false" customHeight="false" outlineLevel="0" collapsed="false">
      <c r="B300" s="2" t="n">
        <v>299</v>
      </c>
      <c r="C300" s="4" t="n">
        <v>0.000608802511674323</v>
      </c>
    </row>
    <row r="301" customFormat="false" ht="13.8" hidden="false" customHeight="false" outlineLevel="0" collapsed="false">
      <c r="B301" s="2" t="n">
        <v>300</v>
      </c>
      <c r="C301" s="4" t="n">
        <v>0.00060880559973032</v>
      </c>
    </row>
    <row r="302" customFormat="false" ht="13.8" hidden="false" customHeight="false" outlineLevel="0" collapsed="false">
      <c r="B302" s="2" t="n">
        <v>301</v>
      </c>
      <c r="C302" s="4" t="n">
        <v>0.000608808687817198</v>
      </c>
    </row>
    <row r="303" customFormat="false" ht="13.8" hidden="false" customHeight="false" outlineLevel="0" collapsed="false">
      <c r="B303" s="2" t="n">
        <v>302</v>
      </c>
      <c r="C303" s="4" t="n">
        <v>0.000608811775934957</v>
      </c>
    </row>
    <row r="304" customFormat="false" ht="13.8" hidden="false" customHeight="false" outlineLevel="0" collapsed="false">
      <c r="B304" s="2" t="n">
        <v>303</v>
      </c>
      <c r="C304" s="4" t="n">
        <v>0.000608814864083598</v>
      </c>
    </row>
    <row r="305" customFormat="false" ht="13.8" hidden="false" customHeight="false" outlineLevel="0" collapsed="false">
      <c r="B305" s="2" t="n">
        <v>304</v>
      </c>
      <c r="C305" s="4" t="n">
        <v>0.000608817952263121</v>
      </c>
    </row>
    <row r="306" customFormat="false" ht="13.8" hidden="false" customHeight="false" outlineLevel="0" collapsed="false">
      <c r="B306" s="2" t="n">
        <v>305</v>
      </c>
      <c r="C306" s="4" t="n">
        <v>0.000608821040473525</v>
      </c>
    </row>
    <row r="307" customFormat="false" ht="13.8" hidden="false" customHeight="false" outlineLevel="0" collapsed="false">
      <c r="B307" s="2" t="n">
        <v>306</v>
      </c>
      <c r="C307" s="4" t="n">
        <v>0.000608824128714813</v>
      </c>
    </row>
    <row r="308" customFormat="false" ht="13.8" hidden="false" customHeight="false" outlineLevel="0" collapsed="false">
      <c r="B308" s="2" t="n">
        <v>307</v>
      </c>
      <c r="C308" s="4" t="n">
        <v>0.000608827216986983</v>
      </c>
    </row>
    <row r="309" customFormat="false" ht="13.8" hidden="false" customHeight="false" outlineLevel="0" collapsed="false">
      <c r="B309" s="2" t="n">
        <v>308</v>
      </c>
      <c r="C309" s="4" t="n">
        <v>0.000608830305290035</v>
      </c>
    </row>
    <row r="310" customFormat="false" ht="13.8" hidden="false" customHeight="false" outlineLevel="0" collapsed="false">
      <c r="B310" s="2" t="n">
        <v>309</v>
      </c>
      <c r="C310" s="4" t="n">
        <v>0.000608833393623972</v>
      </c>
    </row>
    <row r="311" customFormat="false" ht="13.8" hidden="false" customHeight="false" outlineLevel="0" collapsed="false">
      <c r="B311" s="2" t="n">
        <v>310</v>
      </c>
      <c r="C311" s="4" t="n">
        <v>0.000608836481988792</v>
      </c>
    </row>
    <row r="312" customFormat="false" ht="13.8" hidden="false" customHeight="false" outlineLevel="0" collapsed="false">
      <c r="B312" s="2" t="n">
        <v>311</v>
      </c>
      <c r="C312" s="4" t="n">
        <v>0.000608839570384495</v>
      </c>
    </row>
    <row r="313" customFormat="false" ht="13.8" hidden="false" customHeight="false" outlineLevel="0" collapsed="false">
      <c r="B313" s="2" t="n">
        <v>312</v>
      </c>
      <c r="C313" s="4" t="n">
        <v>0.000608842658811084</v>
      </c>
    </row>
    <row r="314" customFormat="false" ht="13.8" hidden="false" customHeight="false" outlineLevel="0" collapsed="false">
      <c r="B314" s="2" t="n">
        <v>313</v>
      </c>
      <c r="C314" s="4" t="n">
        <v>0.000608845747268556</v>
      </c>
    </row>
    <row r="315" customFormat="false" ht="13.8" hidden="false" customHeight="false" outlineLevel="0" collapsed="false">
      <c r="B315" s="2" t="n">
        <v>314</v>
      </c>
      <c r="C315" s="4" t="n">
        <v>0.000608848835756914</v>
      </c>
    </row>
    <row r="316" customFormat="false" ht="13.8" hidden="false" customHeight="false" outlineLevel="0" collapsed="false">
      <c r="B316" s="2" t="n">
        <v>315</v>
      </c>
      <c r="C316" s="4" t="n">
        <v>5E-005</v>
      </c>
    </row>
    <row r="317" customFormat="false" ht="13.8" hidden="false" customHeight="false" outlineLevel="0" collapsed="false">
      <c r="B317" s="2" t="n">
        <v>316</v>
      </c>
      <c r="C317" s="4" t="n">
        <v>5E-005</v>
      </c>
    </row>
    <row r="318" customFormat="false" ht="13.8" hidden="false" customHeight="false" outlineLevel="0" collapsed="false">
      <c r="B318" s="2" t="n">
        <v>317</v>
      </c>
      <c r="C318" s="4" t="n">
        <v>5E-005</v>
      </c>
    </row>
    <row r="319" customFormat="false" ht="13.8" hidden="false" customHeight="false" outlineLevel="0" collapsed="false">
      <c r="B319" s="2" t="n">
        <v>318</v>
      </c>
      <c r="C319" s="4" t="n">
        <v>5E-005</v>
      </c>
    </row>
    <row r="320" customFormat="false" ht="13.8" hidden="false" customHeight="false" outlineLevel="0" collapsed="false">
      <c r="B320" s="2" t="n">
        <v>319</v>
      </c>
      <c r="C320" s="4" t="n">
        <v>-5E-005</v>
      </c>
    </row>
    <row r="321" customFormat="false" ht="13.8" hidden="false" customHeight="false" outlineLevel="0" collapsed="false">
      <c r="B321" s="2" t="n">
        <v>320</v>
      </c>
      <c r="C321" s="4" t="n">
        <v>-5E-005</v>
      </c>
    </row>
    <row r="322" customFormat="false" ht="13.8" hidden="false" customHeight="false" outlineLevel="0" collapsed="false">
      <c r="B322" s="2" t="n">
        <v>321</v>
      </c>
      <c r="C322" s="4" t="n">
        <v>5E-005</v>
      </c>
    </row>
    <row r="323" customFormat="false" ht="13.8" hidden="false" customHeight="false" outlineLevel="0" collapsed="false">
      <c r="B323" s="2" t="n">
        <v>322</v>
      </c>
      <c r="C323" s="4" t="n">
        <v>5E-005</v>
      </c>
    </row>
    <row r="324" customFormat="false" ht="13.8" hidden="false" customHeight="false" outlineLevel="0" collapsed="false">
      <c r="B324" s="2" t="n">
        <v>323</v>
      </c>
      <c r="C324" s="4" t="n">
        <v>-5E-005</v>
      </c>
    </row>
    <row r="325" customFormat="false" ht="13.8" hidden="false" customHeight="false" outlineLevel="0" collapsed="false">
      <c r="B325" s="2" t="n">
        <v>324</v>
      </c>
      <c r="C325" s="4" t="n">
        <v>-5E-005</v>
      </c>
    </row>
    <row r="326" customFormat="false" ht="13.8" hidden="false" customHeight="false" outlineLevel="0" collapsed="false">
      <c r="B326" s="2" t="n">
        <v>325</v>
      </c>
      <c r="C326" s="4" t="n">
        <v>-4.99972511934427E-005</v>
      </c>
    </row>
    <row r="327" customFormat="false" ht="13.8" hidden="false" customHeight="false" outlineLevel="0" collapsed="false">
      <c r="B327" s="2" t="n">
        <v>326</v>
      </c>
      <c r="C327" s="4" t="n">
        <v>5E-005</v>
      </c>
    </row>
    <row r="328" customFormat="false" ht="13.8" hidden="false" customHeight="false" outlineLevel="0" collapsed="false">
      <c r="B328" s="2" t="n">
        <v>327</v>
      </c>
      <c r="C328" s="4" t="n">
        <v>-5E-005</v>
      </c>
    </row>
    <row r="329" customFormat="false" ht="13.8" hidden="false" customHeight="false" outlineLevel="0" collapsed="false">
      <c r="B329" s="2" t="n">
        <v>328</v>
      </c>
      <c r="C329" s="4" t="n">
        <v>-5E-005</v>
      </c>
    </row>
    <row r="330" customFormat="false" ht="13.8" hidden="false" customHeight="false" outlineLevel="0" collapsed="false">
      <c r="B330" s="2" t="n">
        <v>329</v>
      </c>
      <c r="C330" s="4" t="n">
        <v>-4.99972511934427E-005</v>
      </c>
    </row>
    <row r="331" customFormat="false" ht="13.8" hidden="false" customHeight="false" outlineLevel="0" collapsed="false">
      <c r="B331" s="2" t="n">
        <v>330</v>
      </c>
      <c r="C331" s="4" t="n">
        <v>-5E-005</v>
      </c>
    </row>
    <row r="332" customFormat="false" ht="13.8" hidden="false" customHeight="false" outlineLevel="0" collapsed="false">
      <c r="B332" s="2" t="n">
        <v>331</v>
      </c>
      <c r="C332" s="4" t="n">
        <v>-4.99972511934427E-005</v>
      </c>
    </row>
    <row r="333" customFormat="false" ht="13.8" hidden="false" customHeight="false" outlineLevel="0" collapsed="false">
      <c r="B333" s="2" t="n">
        <v>332</v>
      </c>
      <c r="C333" s="4" t="n">
        <v>-4.99945023593975E-005</v>
      </c>
    </row>
    <row r="334" customFormat="false" ht="13.8" hidden="false" customHeight="false" outlineLevel="0" collapsed="false">
      <c r="B334" s="2" t="n">
        <v>333</v>
      </c>
      <c r="C334" s="4" t="n">
        <v>-4.99917534978641E-005</v>
      </c>
    </row>
    <row r="335" customFormat="false" ht="13.8" hidden="false" customHeight="false" outlineLevel="0" collapsed="false">
      <c r="B335" s="2" t="n">
        <v>334</v>
      </c>
      <c r="C335" s="4" t="n">
        <v>-4.99890046088422E-005</v>
      </c>
    </row>
    <row r="336" customFormat="false" ht="13.8" hidden="false" customHeight="false" outlineLevel="0" collapsed="false">
      <c r="B336" s="2" t="n">
        <v>335</v>
      </c>
      <c r="C336" s="4" t="n">
        <v>-4.99862556923315E-005</v>
      </c>
    </row>
    <row r="337" customFormat="false" ht="13.8" hidden="false" customHeight="false" outlineLevel="0" collapsed="false">
      <c r="B337" s="2" t="n">
        <v>336</v>
      </c>
      <c r="C337" s="4" t="n">
        <v>-4.99835067483318E-005</v>
      </c>
    </row>
    <row r="338" customFormat="false" ht="13.8" hidden="false" customHeight="false" outlineLevel="0" collapsed="false">
      <c r="B338" s="2" t="n">
        <v>337</v>
      </c>
      <c r="C338" s="4" t="n">
        <v>-4.99807577768428E-005</v>
      </c>
    </row>
    <row r="339" customFormat="false" ht="13.8" hidden="false" customHeight="false" outlineLevel="0" collapsed="false">
      <c r="B339" s="2" t="n">
        <v>338</v>
      </c>
      <c r="C339" s="4" t="n">
        <v>-4.99782575594184E-005</v>
      </c>
    </row>
    <row r="340" customFormat="false" ht="13.8" hidden="false" customHeight="false" outlineLevel="0" collapsed="false">
      <c r="B340" s="2" t="n">
        <v>339</v>
      </c>
      <c r="C340" s="4" t="n">
        <v>-4.99757573169916E-005</v>
      </c>
    </row>
    <row r="341" customFormat="false" ht="13.8" hidden="false" customHeight="false" outlineLevel="0" collapsed="false">
      <c r="B341" s="2" t="n">
        <v>340</v>
      </c>
      <c r="C341" s="4" t="n">
        <v>-4.99732570495621E-005</v>
      </c>
    </row>
    <row r="342" customFormat="false" ht="13.8" hidden="false" customHeight="false" outlineLevel="0" collapsed="false">
      <c r="B342" s="2" t="n">
        <v>341</v>
      </c>
      <c r="C342" s="4" t="n">
        <v>-4.99707567571297E-005</v>
      </c>
    </row>
    <row r="343" customFormat="false" ht="13.8" hidden="false" customHeight="false" outlineLevel="0" collapsed="false">
      <c r="B343" s="2" t="n">
        <v>342</v>
      </c>
      <c r="C343" s="4" t="n">
        <v>-4.99682564396941E-005</v>
      </c>
    </row>
    <row r="344" customFormat="false" ht="13.8" hidden="false" customHeight="false" outlineLevel="0" collapsed="false">
      <c r="B344" s="2" t="n">
        <v>343</v>
      </c>
      <c r="C344" s="4" t="n">
        <v>-4.99657560972551E-005</v>
      </c>
    </row>
    <row r="345" customFormat="false" ht="13.8" hidden="false" customHeight="false" outlineLevel="0" collapsed="false">
      <c r="B345" s="2" t="n">
        <v>344</v>
      </c>
      <c r="C345" s="4" t="n">
        <v>-4.99632557298124E-005</v>
      </c>
    </row>
    <row r="346" customFormat="false" ht="13.8" hidden="false" customHeight="false" outlineLevel="0" collapsed="false">
      <c r="B346" s="2" t="n">
        <v>345</v>
      </c>
      <c r="C346" s="4" t="n">
        <v>5.00100123231009E-005</v>
      </c>
    </row>
    <row r="347" customFormat="false" ht="13.8" hidden="false" customHeight="false" outlineLevel="0" collapsed="false">
      <c r="B347" s="2" t="n">
        <v>346</v>
      </c>
      <c r="C347" s="4" t="n">
        <v>5.00125124482254E-005</v>
      </c>
    </row>
    <row r="348" customFormat="false" ht="13.8" hidden="false" customHeight="false" outlineLevel="0" collapsed="false">
      <c r="B348" s="2" t="n">
        <v>347</v>
      </c>
      <c r="C348" s="4" t="n">
        <v>5.0017500700021E-005</v>
      </c>
    </row>
    <row r="349" customFormat="false" ht="13.8" hidden="false" customHeight="false" outlineLevel="0" collapsed="false">
      <c r="B349" s="2" t="n">
        <v>348</v>
      </c>
      <c r="C349" s="4" t="n">
        <v>5.002000090003E-005</v>
      </c>
    </row>
    <row r="350" customFormat="false" ht="13.8" hidden="false" customHeight="false" outlineLevel="0" collapsed="false">
      <c r="B350" s="2" t="n">
        <v>349</v>
      </c>
      <c r="C350" s="4" t="n">
        <v>5.00225011250412E-005</v>
      </c>
    </row>
    <row r="351" customFormat="false" ht="13.8" hidden="false" customHeight="false" outlineLevel="0" collapsed="false">
      <c r="B351" s="2" t="n">
        <v>350</v>
      </c>
      <c r="C351" s="4" t="n">
        <v>5.0025001375055E-005</v>
      </c>
    </row>
    <row r="352" customFormat="false" ht="13.8" hidden="false" customHeight="false" outlineLevel="0" collapsed="false">
      <c r="B352" s="2" t="n">
        <v>351</v>
      </c>
      <c r="C352" s="4" t="n">
        <v>5.00275016500715E-005</v>
      </c>
    </row>
    <row r="353" customFormat="false" ht="13.8" hidden="false" customHeight="false" outlineLevel="0" collapsed="false">
      <c r="B353" s="2" t="n">
        <v>352</v>
      </c>
      <c r="C353" s="4" t="n">
        <v>5.0030001950091E-005</v>
      </c>
    </row>
    <row r="354" customFormat="false" ht="13.8" hidden="false" customHeight="false" outlineLevel="0" collapsed="false">
      <c r="B354" s="2" t="n">
        <v>353</v>
      </c>
      <c r="C354" s="4" t="n">
        <v>5.00575069005748E-005</v>
      </c>
    </row>
    <row r="355" customFormat="false" ht="13.8" hidden="false" customHeight="false" outlineLevel="0" collapsed="false">
      <c r="B355" s="2" t="n">
        <v>354</v>
      </c>
      <c r="C355" s="4" t="n">
        <v>0.000608685188426099</v>
      </c>
    </row>
    <row r="356" customFormat="false" ht="13.8" hidden="false" customHeight="false" outlineLevel="0" collapsed="false">
      <c r="B356" s="2" t="n">
        <v>355</v>
      </c>
      <c r="C356" s="4" t="n">
        <v>0.000608688275308852</v>
      </c>
    </row>
    <row r="357" customFormat="false" ht="13.8" hidden="false" customHeight="false" outlineLevel="0" collapsed="false">
      <c r="B357" s="2" t="n">
        <v>356</v>
      </c>
      <c r="C357" s="4" t="n">
        <v>0.000608691362222474</v>
      </c>
    </row>
    <row r="358" customFormat="false" ht="13.8" hidden="false" customHeight="false" outlineLevel="0" collapsed="false">
      <c r="B358" s="2" t="n">
        <v>357</v>
      </c>
      <c r="C358" s="4" t="n">
        <v>0.000608694449166966</v>
      </c>
    </row>
    <row r="359" customFormat="false" ht="13.8" hidden="false" customHeight="false" outlineLevel="0" collapsed="false">
      <c r="B359" s="2" t="n">
        <v>358</v>
      </c>
      <c r="C359" s="4" t="n">
        <v>0.000608697536142327</v>
      </c>
    </row>
    <row r="360" customFormat="false" ht="13.8" hidden="false" customHeight="false" outlineLevel="0" collapsed="false">
      <c r="B360" s="2" t="n">
        <v>359</v>
      </c>
      <c r="C360" s="4" t="n">
        <v>0.000608700623148559</v>
      </c>
    </row>
    <row r="361" customFormat="false" ht="13.8" hidden="false" customHeight="false" outlineLevel="0" collapsed="false">
      <c r="B361" s="2" t="n">
        <v>360</v>
      </c>
      <c r="C361" s="4" t="n">
        <v>0.00060870371018566</v>
      </c>
    </row>
    <row r="362" customFormat="false" ht="13.8" hidden="false" customHeight="false" outlineLevel="0" collapsed="false">
      <c r="B362" s="2" t="n">
        <v>361</v>
      </c>
      <c r="C362" s="4" t="n">
        <v>0.000608706797253633</v>
      </c>
    </row>
    <row r="363" customFormat="false" ht="13.8" hidden="false" customHeight="false" outlineLevel="0" collapsed="false">
      <c r="B363" s="2" t="n">
        <v>362</v>
      </c>
      <c r="C363" s="4" t="n">
        <v>0.000608709884352476</v>
      </c>
    </row>
    <row r="364" customFormat="false" ht="13.8" hidden="false" customHeight="false" outlineLevel="0" collapsed="false">
      <c r="B364" s="2" t="n">
        <v>363</v>
      </c>
      <c r="C364" s="4" t="n">
        <v>0.000608714071004814</v>
      </c>
    </row>
    <row r="365" customFormat="false" ht="13.8" hidden="false" customHeight="false" outlineLevel="0" collapsed="false">
      <c r="B365" s="2" t="n">
        <v>364</v>
      </c>
      <c r="C365" s="4" t="n">
        <v>0.000608716058642778</v>
      </c>
    </row>
    <row r="366" customFormat="false" ht="13.8" hidden="false" customHeight="false" outlineLevel="0" collapsed="false">
      <c r="B366" s="2" t="n">
        <v>365</v>
      </c>
      <c r="C366" s="4" t="n">
        <v>0.000608719145834236</v>
      </c>
    </row>
    <row r="367" customFormat="false" ht="13.8" hidden="false" customHeight="false" outlineLevel="0" collapsed="false">
      <c r="B367" s="2" t="n">
        <v>366</v>
      </c>
      <c r="C367" s="4" t="n">
        <v>0.000608722233056567</v>
      </c>
    </row>
    <row r="368" customFormat="false" ht="13.8" hidden="false" customHeight="false" outlineLevel="0" collapsed="false">
      <c r="B368" s="2" t="n">
        <v>367</v>
      </c>
      <c r="C368" s="4" t="n">
        <v>0.00060872532030977</v>
      </c>
    </row>
    <row r="369" customFormat="false" ht="13.8" hidden="false" customHeight="false" outlineLevel="0" collapsed="false">
      <c r="B369" s="2" t="n">
        <v>368</v>
      </c>
      <c r="C369" s="4" t="n">
        <v>0.000608728407593846</v>
      </c>
    </row>
    <row r="370" customFormat="false" ht="13.8" hidden="false" customHeight="false" outlineLevel="0" collapsed="false">
      <c r="B370" s="2" t="n">
        <v>369</v>
      </c>
      <c r="C370" s="4" t="n">
        <v>0.000608731494908795</v>
      </c>
    </row>
    <row r="371" customFormat="false" ht="13.8" hidden="false" customHeight="false" outlineLevel="0" collapsed="false">
      <c r="B371" s="2" t="n">
        <v>370</v>
      </c>
      <c r="C371" s="4" t="n">
        <v>0.000608734582254617</v>
      </c>
    </row>
    <row r="372" customFormat="false" ht="13.8" hidden="false" customHeight="false" outlineLevel="0" collapsed="false">
      <c r="B372" s="2" t="n">
        <v>371</v>
      </c>
      <c r="C372" s="4" t="n">
        <v>0.000608737669631313</v>
      </c>
    </row>
    <row r="373" customFormat="false" ht="13.8" hidden="false" customHeight="false" outlineLevel="0" collapsed="false">
      <c r="B373" s="2" t="n">
        <v>372</v>
      </c>
      <c r="C373" s="4" t="n">
        <v>0.000608740757038884</v>
      </c>
    </row>
    <row r="374" customFormat="false" ht="13.8" hidden="false" customHeight="false" outlineLevel="0" collapsed="false">
      <c r="B374" s="2" t="n">
        <v>373</v>
      </c>
      <c r="C374" s="4" t="n">
        <v>0.000608743844477329</v>
      </c>
    </row>
    <row r="375" customFormat="false" ht="13.8" hidden="false" customHeight="false" outlineLevel="0" collapsed="false">
      <c r="B375" s="2" t="n">
        <v>374</v>
      </c>
      <c r="C375" s="4" t="n">
        <v>0.000608746931946648</v>
      </c>
    </row>
    <row r="376" customFormat="false" ht="13.8" hidden="false" customHeight="false" outlineLevel="0" collapsed="false">
      <c r="B376" s="2" t="n">
        <v>375</v>
      </c>
      <c r="C376" s="4" t="n">
        <v>0.000608750019446842</v>
      </c>
    </row>
    <row r="377" customFormat="false" ht="13.8" hidden="false" customHeight="false" outlineLevel="0" collapsed="false">
      <c r="B377" s="2" t="n">
        <v>376</v>
      </c>
      <c r="C377" s="4" t="n">
        <v>0.000608753106977912</v>
      </c>
    </row>
    <row r="378" customFormat="false" ht="13.8" hidden="false" customHeight="false" outlineLevel="0" collapsed="false">
      <c r="B378" s="2" t="n">
        <v>377</v>
      </c>
      <c r="C378" s="4" t="n">
        <v>0.000608756194539857</v>
      </c>
    </row>
    <row r="379" customFormat="false" ht="13.8" hidden="false" customHeight="false" outlineLevel="0" collapsed="false">
      <c r="B379" s="2" t="n">
        <v>378</v>
      </c>
      <c r="C379" s="4" t="n">
        <v>0.000608759282132679</v>
      </c>
    </row>
    <row r="380" customFormat="false" ht="13.8" hidden="false" customHeight="false" outlineLevel="0" collapsed="false">
      <c r="B380" s="2" t="n">
        <v>379</v>
      </c>
      <c r="C380" s="4" t="n">
        <v>0.000608762369756376</v>
      </c>
    </row>
    <row r="381" customFormat="false" ht="13.8" hidden="false" customHeight="false" outlineLevel="0" collapsed="false">
      <c r="B381" s="2" t="n">
        <v>380</v>
      </c>
      <c r="C381" s="4" t="n">
        <v>0.00060876545741095</v>
      </c>
    </row>
    <row r="382" customFormat="false" ht="13.8" hidden="false" customHeight="false" outlineLevel="0" collapsed="false">
      <c r="B382" s="2" t="n">
        <v>381</v>
      </c>
      <c r="C382" s="4" t="n">
        <v>0.000608768545096401</v>
      </c>
    </row>
    <row r="383" customFormat="false" ht="13.8" hidden="false" customHeight="false" outlineLevel="0" collapsed="false">
      <c r="B383" s="2" t="n">
        <v>382</v>
      </c>
      <c r="C383" s="4" t="n">
        <v>0.00060877163281273</v>
      </c>
    </row>
    <row r="384" customFormat="false" ht="13.8" hidden="false" customHeight="false" outlineLevel="0" collapsed="false">
      <c r="B384" s="2" t="n">
        <v>383</v>
      </c>
      <c r="C384" s="4" t="n">
        <v>0.000608774720559935</v>
      </c>
    </row>
    <row r="385" customFormat="false" ht="13.8" hidden="false" customHeight="false" outlineLevel="0" collapsed="false">
      <c r="B385" s="2" t="n">
        <v>384</v>
      </c>
      <c r="C385" s="4" t="n">
        <v>0.000608777808338018</v>
      </c>
    </row>
    <row r="386" customFormat="false" ht="13.8" hidden="false" customHeight="false" outlineLevel="0" collapsed="false">
      <c r="B386" s="2" t="n">
        <v>385</v>
      </c>
      <c r="C386" s="4" t="n">
        <v>0.00060878089614698</v>
      </c>
    </row>
    <row r="387" customFormat="false" ht="13.8" hidden="false" customHeight="false" outlineLevel="0" collapsed="false">
      <c r="B387" s="2" t="n">
        <v>386</v>
      </c>
      <c r="C387" s="4" t="n">
        <v>0.00060878398398682</v>
      </c>
    </row>
    <row r="388" customFormat="false" ht="13.8" hidden="false" customHeight="false" outlineLevel="0" collapsed="false">
      <c r="B388" s="2" t="n">
        <v>387</v>
      </c>
      <c r="C388" s="4" t="n">
        <v>0.000608787071857538</v>
      </c>
    </row>
    <row r="389" customFormat="false" ht="13.8" hidden="false" customHeight="false" outlineLevel="0" collapsed="false">
      <c r="B389" s="2" t="n">
        <v>388</v>
      </c>
      <c r="C389" s="4" t="n">
        <v>0.000608790159759136</v>
      </c>
    </row>
    <row r="390" customFormat="false" ht="13.8" hidden="false" customHeight="false" outlineLevel="0" collapsed="false">
      <c r="B390" s="2" t="n">
        <v>389</v>
      </c>
      <c r="C390" s="4" t="n">
        <v>0.000608793247691613</v>
      </c>
    </row>
    <row r="391" customFormat="false" ht="13.8" hidden="false" customHeight="false" outlineLevel="0" collapsed="false">
      <c r="B391" s="2" t="n">
        <v>390</v>
      </c>
      <c r="C391" s="4" t="n">
        <v>0.000608796335654969</v>
      </c>
    </row>
    <row r="392" customFormat="false" ht="13.8" hidden="false" customHeight="false" outlineLevel="0" collapsed="false">
      <c r="B392" s="2" t="n">
        <v>391</v>
      </c>
      <c r="C392" s="4" t="n">
        <v>0.000608799423649206</v>
      </c>
    </row>
    <row r="393" customFormat="false" ht="13.8" hidden="false" customHeight="false" outlineLevel="0" collapsed="false">
      <c r="B393" s="2" t="n">
        <v>392</v>
      </c>
      <c r="C393" s="4" t="n">
        <v>0.000608802511674323</v>
      </c>
    </row>
    <row r="394" customFormat="false" ht="13.8" hidden="false" customHeight="false" outlineLevel="0" collapsed="false">
      <c r="B394" s="2" t="n">
        <v>393</v>
      </c>
      <c r="C394" s="4" t="n">
        <v>0.00060880559973032</v>
      </c>
    </row>
    <row r="395" customFormat="false" ht="13.8" hidden="false" customHeight="false" outlineLevel="0" collapsed="false">
      <c r="B395" s="2" t="n">
        <v>394</v>
      </c>
      <c r="C395" s="4" t="n">
        <v>0.000608808687817198</v>
      </c>
    </row>
    <row r="396" customFormat="false" ht="13.8" hidden="false" customHeight="false" outlineLevel="0" collapsed="false">
      <c r="B396" s="2" t="n">
        <v>395</v>
      </c>
      <c r="C396" s="4" t="n">
        <v>0.000608811775934957</v>
      </c>
    </row>
    <row r="397" customFormat="false" ht="13.8" hidden="false" customHeight="false" outlineLevel="0" collapsed="false">
      <c r="B397" s="2" t="n">
        <v>396</v>
      </c>
      <c r="C397" s="4" t="n">
        <v>0.000608814864083598</v>
      </c>
    </row>
    <row r="398" customFormat="false" ht="13.8" hidden="false" customHeight="false" outlineLevel="0" collapsed="false">
      <c r="B398" s="2" t="n">
        <v>397</v>
      </c>
      <c r="C398" s="4" t="n">
        <v>0.000608817952263121</v>
      </c>
    </row>
    <row r="399" customFormat="false" ht="13.8" hidden="false" customHeight="false" outlineLevel="0" collapsed="false">
      <c r="B399" s="2" t="n">
        <v>398</v>
      </c>
      <c r="C399" s="4" t="n">
        <v>0.000608821040473525</v>
      </c>
    </row>
    <row r="400" customFormat="false" ht="13.8" hidden="false" customHeight="false" outlineLevel="0" collapsed="false">
      <c r="B400" s="2" t="n">
        <v>399</v>
      </c>
      <c r="C400" s="4" t="n">
        <v>0.000608824128714813</v>
      </c>
    </row>
    <row r="401" customFormat="false" ht="13.8" hidden="false" customHeight="false" outlineLevel="0" collapsed="false">
      <c r="B401" s="2" t="n">
        <v>400</v>
      </c>
      <c r="C401" s="4" t="n">
        <v>0.000608827216986983</v>
      </c>
    </row>
    <row r="402" customFormat="false" ht="13.8" hidden="false" customHeight="false" outlineLevel="0" collapsed="false">
      <c r="B402" s="2" t="n">
        <v>401</v>
      </c>
      <c r="C402" s="4" t="n">
        <v>0.000608830305290035</v>
      </c>
    </row>
    <row r="403" customFormat="false" ht="13.8" hidden="false" customHeight="false" outlineLevel="0" collapsed="false">
      <c r="B403" s="2" t="n">
        <v>402</v>
      </c>
      <c r="C403" s="4" t="n">
        <v>0.000608833393623972</v>
      </c>
    </row>
    <row r="404" customFormat="false" ht="13.8" hidden="false" customHeight="false" outlineLevel="0" collapsed="false">
      <c r="B404" s="2" t="n">
        <v>403</v>
      </c>
      <c r="C404" s="4" t="n">
        <v>0.000608836481988792</v>
      </c>
    </row>
    <row r="405" customFormat="false" ht="13.8" hidden="false" customHeight="false" outlineLevel="0" collapsed="false">
      <c r="B405" s="2" t="n">
        <v>404</v>
      </c>
      <c r="C405" s="4" t="n">
        <v>0.000608839570384495</v>
      </c>
    </row>
    <row r="406" customFormat="false" ht="13.8" hidden="false" customHeight="false" outlineLevel="0" collapsed="false">
      <c r="B406" s="2" t="n">
        <v>405</v>
      </c>
      <c r="C406" s="4" t="n">
        <v>0.000608842658811084</v>
      </c>
    </row>
    <row r="407" customFormat="false" ht="13.8" hidden="false" customHeight="false" outlineLevel="0" collapsed="false">
      <c r="B407" s="2" t="n">
        <v>406</v>
      </c>
      <c r="C407" s="4" t="n">
        <v>0.000608845747268556</v>
      </c>
    </row>
    <row r="408" customFormat="false" ht="13.8" hidden="false" customHeight="false" outlineLevel="0" collapsed="false">
      <c r="B408" s="2" t="n">
        <v>407</v>
      </c>
      <c r="C408" s="4" t="n">
        <v>0.000608848835756914</v>
      </c>
    </row>
    <row r="409" customFormat="false" ht="13.8" hidden="false" customHeight="false" outlineLevel="0" collapsed="false">
      <c r="B409" s="2" t="n">
        <v>408</v>
      </c>
      <c r="C409" s="4" t="n">
        <v>0.000608851924276157</v>
      </c>
    </row>
    <row r="410" customFormat="false" ht="13.8" hidden="false" customHeight="false" outlineLevel="0" collapsed="false">
      <c r="B410" s="2" t="n">
        <v>409</v>
      </c>
      <c r="C410" s="4" t="n">
        <v>0.000608855012826285</v>
      </c>
    </row>
    <row r="411" customFormat="false" ht="13.8" hidden="false" customHeight="false" outlineLevel="0" collapsed="false">
      <c r="B411" s="2" t="n">
        <v>410</v>
      </c>
      <c r="C411" s="4" t="n">
        <v>5E-005</v>
      </c>
    </row>
    <row r="412" customFormat="false" ht="13.8" hidden="false" customHeight="false" outlineLevel="0" collapsed="false">
      <c r="B412" s="2" t="n">
        <v>411</v>
      </c>
      <c r="C412" s="4" t="n">
        <v>5E-005</v>
      </c>
    </row>
    <row r="413" customFormat="false" ht="13.8" hidden="false" customHeight="false" outlineLevel="0" collapsed="false">
      <c r="B413" s="2" t="n">
        <v>412</v>
      </c>
      <c r="C413" s="4" t="n">
        <v>5E-005</v>
      </c>
    </row>
    <row r="414" customFormat="false" ht="13.8" hidden="false" customHeight="false" outlineLevel="0" collapsed="false">
      <c r="B414" s="2" t="n">
        <v>413</v>
      </c>
      <c r="C414" s="4" t="n">
        <v>5E-005</v>
      </c>
    </row>
    <row r="415" customFormat="false" ht="13.8" hidden="false" customHeight="false" outlineLevel="0" collapsed="false">
      <c r="B415" s="2" t="n">
        <v>414</v>
      </c>
      <c r="C415" s="4" t="n">
        <v>5E-005</v>
      </c>
    </row>
    <row r="416" customFormat="false" ht="13.8" hidden="false" customHeight="false" outlineLevel="0" collapsed="false">
      <c r="B416" s="2" t="n">
        <v>415</v>
      </c>
      <c r="C416" s="4" t="n">
        <v>5E-005</v>
      </c>
    </row>
    <row r="417" customFormat="false" ht="13.8" hidden="false" customHeight="false" outlineLevel="0" collapsed="false">
      <c r="B417" s="2" t="n">
        <v>416</v>
      </c>
      <c r="C417" s="4" t="n">
        <v>-5E-005</v>
      </c>
    </row>
    <row r="418" customFormat="false" ht="13.8" hidden="false" customHeight="false" outlineLevel="0" collapsed="false">
      <c r="B418" s="2" t="n">
        <v>417</v>
      </c>
      <c r="C418" s="4" t="n">
        <v>5E-005</v>
      </c>
    </row>
    <row r="419" customFormat="false" ht="13.8" hidden="false" customHeight="false" outlineLevel="0" collapsed="false">
      <c r="B419" s="2" t="n">
        <v>418</v>
      </c>
      <c r="C419" s="4" t="n">
        <v>-4.99974999749998E-005</v>
      </c>
    </row>
    <row r="420" customFormat="false" ht="13.8" hidden="false" customHeight="false" outlineLevel="0" collapsed="false">
      <c r="B420" s="2" t="n">
        <v>419</v>
      </c>
      <c r="C420" s="4" t="n">
        <v>-4.99959501841854E-005</v>
      </c>
    </row>
    <row r="421" customFormat="false" ht="13.8" hidden="false" customHeight="false" outlineLevel="0" collapsed="false">
      <c r="B421" s="2" t="n">
        <v>420</v>
      </c>
      <c r="C421" s="4" t="n">
        <v>5E-005</v>
      </c>
    </row>
    <row r="422" customFormat="false" ht="13.8" hidden="false" customHeight="false" outlineLevel="0" collapsed="false">
      <c r="B422" s="2" t="n">
        <v>421</v>
      </c>
      <c r="C422" s="4" t="n">
        <v>-4.99974999749998E-005</v>
      </c>
    </row>
    <row r="423" customFormat="false" ht="13.8" hidden="false" customHeight="false" outlineLevel="0" collapsed="false">
      <c r="B423" s="2" t="n">
        <v>422</v>
      </c>
      <c r="C423" s="4" t="n">
        <v>-5E-005</v>
      </c>
    </row>
    <row r="424" customFormat="false" ht="13.8" hidden="false" customHeight="false" outlineLevel="0" collapsed="false">
      <c r="B424" s="2" t="n">
        <v>423</v>
      </c>
      <c r="C424" s="4" t="n">
        <v>-5E-005</v>
      </c>
    </row>
    <row r="425" customFormat="false" ht="13.8" hidden="false" customHeight="false" outlineLevel="0" collapsed="false">
      <c r="B425" s="2" t="n">
        <v>424</v>
      </c>
      <c r="C425" s="4" t="n">
        <v>-5E-005</v>
      </c>
    </row>
    <row r="426" customFormat="false" ht="13.8" hidden="false" customHeight="false" outlineLevel="0" collapsed="false">
      <c r="B426" s="2" t="n">
        <v>425</v>
      </c>
      <c r="C426" s="4" t="n">
        <v>-4.99974999749998E-005</v>
      </c>
    </row>
    <row r="427" customFormat="false" ht="13.8" hidden="false" customHeight="false" outlineLevel="0" collapsed="false">
      <c r="B427" s="2" t="n">
        <v>426</v>
      </c>
      <c r="C427" s="4" t="n">
        <v>-4.9994999924999E-005</v>
      </c>
    </row>
    <row r="428" customFormat="false" ht="13.8" hidden="false" customHeight="false" outlineLevel="0" collapsed="false">
      <c r="B428" s="2" t="n">
        <v>427</v>
      </c>
      <c r="C428" s="4" t="n">
        <v>-4.99924998499975E-005</v>
      </c>
    </row>
    <row r="429" customFormat="false" ht="13.8" hidden="false" customHeight="false" outlineLevel="0" collapsed="false">
      <c r="B429" s="2" t="n">
        <v>428</v>
      </c>
      <c r="C429" s="4" t="n">
        <v>-4.99827611607704E-005</v>
      </c>
    </row>
    <row r="430" customFormat="false" ht="13.8" hidden="false" customHeight="false" outlineLevel="0" collapsed="false">
      <c r="B430" s="2" t="n">
        <v>429</v>
      </c>
      <c r="C430" s="4" t="n">
        <v>-4.99885073830493E-005</v>
      </c>
    </row>
    <row r="431" customFormat="false" ht="13.8" hidden="false" customHeight="false" outlineLevel="0" collapsed="false">
      <c r="B431" s="2" t="n">
        <v>430</v>
      </c>
      <c r="C431" s="4" t="n">
        <v>-4.99942536627925E-005</v>
      </c>
    </row>
    <row r="432" customFormat="false" ht="13.8" hidden="false" customHeight="false" outlineLevel="0" collapsed="false">
      <c r="B432" s="2" t="n">
        <v>431</v>
      </c>
      <c r="C432" s="4" t="n">
        <v>-5E-005</v>
      </c>
    </row>
    <row r="433" customFormat="false" ht="13.8" hidden="false" customHeight="false" outlineLevel="0" collapsed="false">
      <c r="B433" s="2" t="n">
        <v>432</v>
      </c>
      <c r="C433" s="4" t="n">
        <v>-4.99963009402515E-005</v>
      </c>
    </row>
    <row r="434" customFormat="false" ht="13.8" hidden="false" customHeight="false" outlineLevel="0" collapsed="false">
      <c r="B434" s="2" t="n">
        <v>433</v>
      </c>
      <c r="C434" s="4" t="n">
        <v>-5E-005</v>
      </c>
    </row>
    <row r="435" customFormat="false" ht="13.8" hidden="false" customHeight="false" outlineLevel="0" collapsed="false">
      <c r="B435" s="2" t="n">
        <v>434</v>
      </c>
      <c r="C435" s="4" t="n">
        <v>-4.99972511934427E-005</v>
      </c>
    </row>
    <row r="436" customFormat="false" ht="13.8" hidden="false" customHeight="false" outlineLevel="0" collapsed="false">
      <c r="B436" s="2" t="n">
        <v>435</v>
      </c>
      <c r="C436" s="4" t="n">
        <v>-4.9994999924999E-005</v>
      </c>
    </row>
    <row r="437" customFormat="false" ht="13.8" hidden="false" customHeight="false" outlineLevel="0" collapsed="false">
      <c r="B437" s="2" t="n">
        <v>436</v>
      </c>
      <c r="C437" s="4" t="n">
        <v>-4.99924998499975E-005</v>
      </c>
    </row>
    <row r="438" customFormat="false" ht="13.8" hidden="false" customHeight="false" outlineLevel="0" collapsed="false">
      <c r="B438" s="2" t="n">
        <v>437</v>
      </c>
      <c r="C438" s="4" t="n">
        <v>-4.9989999749995E-005</v>
      </c>
    </row>
    <row r="439" customFormat="false" ht="13.8" hidden="false" customHeight="false" outlineLevel="0" collapsed="false">
      <c r="B439" s="2" t="n">
        <v>438</v>
      </c>
      <c r="C439" s="4" t="n">
        <v>-4.99874996249912E-005</v>
      </c>
    </row>
    <row r="440" customFormat="false" ht="13.8" hidden="false" customHeight="false" outlineLevel="0" collapsed="false">
      <c r="B440" s="2" t="n">
        <v>439</v>
      </c>
      <c r="C440" s="4" t="n">
        <v>5E-005</v>
      </c>
    </row>
    <row r="441" customFormat="false" ht="13.8" hidden="false" customHeight="false" outlineLevel="0" collapsed="false">
      <c r="B441" s="2" t="n">
        <v>440</v>
      </c>
      <c r="C441" s="4" t="n">
        <v>5E-005</v>
      </c>
    </row>
    <row r="442" customFormat="false" ht="13.8" hidden="false" customHeight="false" outlineLevel="0" collapsed="false">
      <c r="B442" s="2" t="n">
        <v>441</v>
      </c>
      <c r="C442" s="4" t="n">
        <v>5E-005</v>
      </c>
    </row>
    <row r="443" customFormat="false" ht="13.8" hidden="false" customHeight="false" outlineLevel="0" collapsed="false">
      <c r="B443" s="2" t="n">
        <v>442</v>
      </c>
      <c r="C443" s="4" t="n">
        <v>5E-005</v>
      </c>
    </row>
    <row r="444" customFormat="false" ht="13.8" hidden="false" customHeight="false" outlineLevel="0" collapsed="false">
      <c r="B444" s="2" t="n">
        <v>443</v>
      </c>
      <c r="C444" s="4" t="n">
        <v>5E-005</v>
      </c>
    </row>
    <row r="445" customFormat="false" ht="13.8" hidden="false" customHeight="false" outlineLevel="0" collapsed="false">
      <c r="B445" s="2" t="n">
        <v>444</v>
      </c>
      <c r="C445" s="4" t="n">
        <v>-4.99724983499285E-005</v>
      </c>
    </row>
    <row r="446" customFormat="false" ht="13.8" hidden="false" customHeight="false" outlineLevel="0" collapsed="false">
      <c r="B446" s="2" t="n">
        <v>445</v>
      </c>
      <c r="C446" s="4" t="n">
        <v>5E-005</v>
      </c>
    </row>
    <row r="447" customFormat="false" ht="13.8" hidden="false" customHeight="false" outlineLevel="0" collapsed="false">
      <c r="B447" s="2" t="n">
        <v>446</v>
      </c>
      <c r="C447" s="4" t="n">
        <v>5E-005</v>
      </c>
    </row>
    <row r="448" customFormat="false" ht="13.8" hidden="false" customHeight="false" outlineLevel="0" collapsed="false">
      <c r="B448" s="2" t="n">
        <v>447</v>
      </c>
      <c r="C448" s="4" t="n">
        <v>5E-005</v>
      </c>
    </row>
    <row r="449" customFormat="false" ht="13.8" hidden="false" customHeight="false" outlineLevel="0" collapsed="false">
      <c r="B449" s="2" t="n">
        <v>448</v>
      </c>
      <c r="C449" s="4" t="n">
        <v>-4.99624969998301E-005</v>
      </c>
    </row>
    <row r="450" customFormat="false" ht="13.8" hidden="false" customHeight="false" outlineLevel="0" collapsed="false">
      <c r="B450" s="2" t="n">
        <v>449</v>
      </c>
      <c r="C450" s="4" t="n">
        <v>5E-005</v>
      </c>
    </row>
    <row r="451" customFormat="false" ht="13.8" hidden="false" customHeight="false" outlineLevel="0" collapsed="false">
      <c r="B451" s="2" t="n">
        <v>450</v>
      </c>
      <c r="C451" s="4" t="n">
        <v>5E-005</v>
      </c>
    </row>
    <row r="452" customFormat="false" ht="13.8" hidden="false" customHeight="false" outlineLevel="0" collapsed="false">
      <c r="B452" s="2" t="n">
        <v>451</v>
      </c>
      <c r="C452" s="4" t="n">
        <v>5E-005</v>
      </c>
    </row>
    <row r="453" customFormat="false" ht="13.8" hidden="false" customHeight="false" outlineLevel="0" collapsed="false">
      <c r="B453" s="2" t="n">
        <v>452</v>
      </c>
      <c r="C453" s="4" t="n">
        <v>5E-005</v>
      </c>
    </row>
    <row r="454" customFormat="false" ht="13.8" hidden="false" customHeight="false" outlineLevel="0" collapsed="false">
      <c r="B454" s="2" t="n">
        <v>453</v>
      </c>
      <c r="C454" s="4" t="n">
        <v>0.000608638888888889</v>
      </c>
    </row>
    <row r="455" customFormat="false" ht="13.8" hidden="false" customHeight="false" outlineLevel="0" collapsed="false">
      <c r="B455" s="2" t="n">
        <v>454</v>
      </c>
      <c r="C455" s="4" t="n">
        <v>5E-005</v>
      </c>
    </row>
    <row r="456" customFormat="false" ht="13.8" hidden="false" customHeight="false" outlineLevel="0" collapsed="false">
      <c r="B456" s="2" t="n">
        <v>455</v>
      </c>
      <c r="C456" s="4" t="n">
        <v>0.116661516323738</v>
      </c>
    </row>
    <row r="457" customFormat="false" ht="13.8" hidden="false" customHeight="false" outlineLevel="0" collapsed="false">
      <c r="B457" s="2" t="n">
        <v>456</v>
      </c>
      <c r="C457" s="4" t="n">
        <v>0.116662680950548</v>
      </c>
    </row>
    <row r="458" customFormat="false" ht="13.8" hidden="false" customHeight="false" outlineLevel="0" collapsed="false">
      <c r="B458" s="2" t="n">
        <v>457</v>
      </c>
      <c r="C458" s="4" t="n">
        <v>0.116663846479496</v>
      </c>
    </row>
    <row r="459" customFormat="false" ht="13.8" hidden="false" customHeight="false" outlineLevel="0" collapsed="false">
      <c r="B459" s="2" t="n">
        <v>458</v>
      </c>
      <c r="C459" s="4" t="n">
        <v>0.116665010239106</v>
      </c>
    </row>
    <row r="460" customFormat="false" ht="13.8" hidden="false" customHeight="false" outlineLevel="0" collapsed="false">
      <c r="B460" s="2" t="n">
        <v>459</v>
      </c>
      <c r="C460" s="4" t="n">
        <v>0.116666173900845</v>
      </c>
    </row>
    <row r="461" customFormat="false" ht="13.8" hidden="false" customHeight="false" outlineLevel="0" collapsed="false">
      <c r="B461" s="2" t="n">
        <v>460</v>
      </c>
      <c r="C461" s="4" t="n">
        <v>0.116667337574221</v>
      </c>
    </row>
    <row r="462" customFormat="false" ht="13.8" hidden="false" customHeight="false" outlineLevel="0" collapsed="false">
      <c r="B462" s="2" t="n">
        <v>461</v>
      </c>
      <c r="C462" s="4" t="n">
        <v>0.116668501259233</v>
      </c>
    </row>
    <row r="463" customFormat="false" ht="13.8" hidden="false" customHeight="false" outlineLevel="0" collapsed="false">
      <c r="B463" s="2" t="n">
        <v>462</v>
      </c>
      <c r="C463" s="4" t="n">
        <v>0.116669664955883</v>
      </c>
    </row>
    <row r="464" customFormat="false" ht="13.8" hidden="false" customHeight="false" outlineLevel="0" collapsed="false">
      <c r="B464" s="2" t="n">
        <v>463</v>
      </c>
      <c r="C464" s="4" t="n">
        <v>0.11667082866417</v>
      </c>
    </row>
    <row r="465" customFormat="false" ht="13.8" hidden="false" customHeight="false" outlineLevel="0" collapsed="false">
      <c r="B465" s="2" t="n">
        <v>464</v>
      </c>
      <c r="C465" s="4" t="n">
        <v>0.116671992384093</v>
      </c>
    </row>
    <row r="466" customFormat="false" ht="13.8" hidden="false" customHeight="false" outlineLevel="0" collapsed="false">
      <c r="B466" s="2" t="n">
        <v>465</v>
      </c>
      <c r="C466" s="4" t="n">
        <v>0.116673156115655</v>
      </c>
    </row>
    <row r="467" customFormat="false" ht="13.8" hidden="false" customHeight="false" outlineLevel="0" collapsed="false">
      <c r="B467" s="2" t="n">
        <v>466</v>
      </c>
      <c r="C467" s="4" t="n">
        <v>0.116674319858853</v>
      </c>
    </row>
    <row r="468" customFormat="false" ht="13.8" hidden="false" customHeight="false" outlineLevel="0" collapsed="false">
      <c r="B468" s="2" t="n">
        <v>467</v>
      </c>
      <c r="C468" s="4" t="n">
        <v>0.116675483613689</v>
      </c>
    </row>
    <row r="469" customFormat="false" ht="13.8" hidden="false" customHeight="false" outlineLevel="0" collapsed="false">
      <c r="B469" s="2" t="n">
        <v>468</v>
      </c>
      <c r="C469" s="4" t="n">
        <v>0.116676647380163</v>
      </c>
    </row>
    <row r="470" customFormat="false" ht="13.8" hidden="false" customHeight="false" outlineLevel="0" collapsed="false">
      <c r="B470" s="2" t="n">
        <v>469</v>
      </c>
      <c r="C470" s="4" t="n">
        <v>0.116677811158275</v>
      </c>
    </row>
    <row r="471" customFormat="false" ht="13.8" hidden="false" customHeight="false" outlineLevel="0" collapsed="false">
      <c r="B471" s="2" t="n">
        <v>470</v>
      </c>
      <c r="C471" s="4" t="n">
        <v>0.116678974948024</v>
      </c>
    </row>
    <row r="472" customFormat="false" ht="13.8" hidden="false" customHeight="false" outlineLevel="0" collapsed="false">
      <c r="B472" s="2" t="n">
        <v>471</v>
      </c>
      <c r="C472" s="4" t="n">
        <v>0.116680138749412</v>
      </c>
    </row>
    <row r="473" customFormat="false" ht="13.8" hidden="false" customHeight="false" outlineLevel="0" collapsed="false">
      <c r="B473" s="2" t="n">
        <v>472</v>
      </c>
      <c r="C473" s="4" t="n">
        <v>0.116681302562437</v>
      </c>
    </row>
    <row r="474" customFormat="false" ht="13.8" hidden="false" customHeight="false" outlineLevel="0" collapsed="false">
      <c r="B474" s="2" t="n">
        <v>473</v>
      </c>
      <c r="C474" s="4" t="n">
        <v>0.116682466387101</v>
      </c>
    </row>
    <row r="475" customFormat="false" ht="13.8" hidden="false" customHeight="false" outlineLevel="0" collapsed="false">
      <c r="B475" s="2" t="n">
        <v>474</v>
      </c>
      <c r="C475" s="4" t="n">
        <v>0.116683630223403</v>
      </c>
    </row>
    <row r="476" customFormat="false" ht="13.8" hidden="false" customHeight="false" outlineLevel="0" collapsed="false">
      <c r="B476" s="2" t="n">
        <v>475</v>
      </c>
      <c r="C476" s="4" t="n">
        <v>0.116684794071344</v>
      </c>
    </row>
    <row r="477" customFormat="false" ht="13.8" hidden="false" customHeight="false" outlineLevel="0" collapsed="false">
      <c r="B477" s="2" t="n">
        <v>476</v>
      </c>
      <c r="C477" s="4" t="n">
        <v>0.116685957930923</v>
      </c>
    </row>
    <row r="478" customFormat="false" ht="13.8" hidden="false" customHeight="false" outlineLevel="0" collapsed="false">
      <c r="B478" s="2" t="n">
        <v>477</v>
      </c>
      <c r="C478" s="4" t="n">
        <v>0.116687121802141</v>
      </c>
    </row>
    <row r="479" customFormat="false" ht="13.8" hidden="false" customHeight="false" outlineLevel="0" collapsed="false">
      <c r="B479" s="2" t="n">
        <v>478</v>
      </c>
      <c r="C479" s="4" t="n">
        <v>0.116688285684998</v>
      </c>
    </row>
    <row r="480" customFormat="false" ht="13.8" hidden="false" customHeight="false" outlineLevel="0" collapsed="false">
      <c r="B480" s="2" t="n">
        <v>479</v>
      </c>
      <c r="C480" s="4" t="n">
        <v>0.116689449579494</v>
      </c>
    </row>
    <row r="481" customFormat="false" ht="13.8" hidden="false" customHeight="false" outlineLevel="0" collapsed="false">
      <c r="B481" s="2" t="n">
        <v>480</v>
      </c>
      <c r="C481" s="4" t="n">
        <v>0.116690613485629</v>
      </c>
    </row>
    <row r="482" customFormat="false" ht="13.8" hidden="false" customHeight="false" outlineLevel="0" collapsed="false">
      <c r="B482" s="2" t="n">
        <v>481</v>
      </c>
      <c r="C482" s="4" t="n">
        <v>0.116691777403403</v>
      </c>
    </row>
    <row r="483" customFormat="false" ht="13.8" hidden="false" customHeight="false" outlineLevel="0" collapsed="false">
      <c r="B483" s="2" t="n">
        <v>482</v>
      </c>
      <c r="C483" s="4" t="n">
        <v>0.116692941332816</v>
      </c>
    </row>
    <row r="484" customFormat="false" ht="13.8" hidden="false" customHeight="false" outlineLevel="0" collapsed="false">
      <c r="B484" s="2" t="n">
        <v>483</v>
      </c>
      <c r="C484" s="4" t="n">
        <v>0.116694105273869</v>
      </c>
    </row>
    <row r="485" customFormat="false" ht="13.8" hidden="false" customHeight="false" outlineLevel="0" collapsed="false">
      <c r="B485" s="2" t="n">
        <v>484</v>
      </c>
      <c r="C485" s="4" t="n">
        <v>0.116695269226561</v>
      </c>
    </row>
    <row r="486" customFormat="false" ht="13.8" hidden="false" customHeight="false" outlineLevel="0" collapsed="false">
      <c r="B486" s="2" t="n">
        <v>485</v>
      </c>
      <c r="C486" s="4" t="n">
        <v>0.116696433190893</v>
      </c>
    </row>
    <row r="487" customFormat="false" ht="13.8" hidden="false" customHeight="false" outlineLevel="0" collapsed="false">
      <c r="B487" s="2" t="n">
        <v>486</v>
      </c>
      <c r="C487" s="4" t="n">
        <v>0.116697597166865</v>
      </c>
    </row>
    <row r="488" customFormat="false" ht="13.8" hidden="false" customHeight="false" outlineLevel="0" collapsed="false">
      <c r="B488" s="2" t="n">
        <v>487</v>
      </c>
      <c r="C488" s="4" t="n">
        <v>0.116698761154476</v>
      </c>
    </row>
    <row r="489" customFormat="false" ht="13.8" hidden="false" customHeight="false" outlineLevel="0" collapsed="false">
      <c r="B489" s="2" t="n">
        <v>488</v>
      </c>
      <c r="C489" s="4" t="n">
        <v>0.116699925153728</v>
      </c>
    </row>
    <row r="490" customFormat="false" ht="13.8" hidden="false" customHeight="false" outlineLevel="0" collapsed="false">
      <c r="B490" s="2" t="n">
        <v>489</v>
      </c>
      <c r="C490" s="4" t="n">
        <v>0.116701089164619</v>
      </c>
    </row>
    <row r="491" customFormat="false" ht="13.8" hidden="false" customHeight="false" outlineLevel="0" collapsed="false">
      <c r="B491" s="2" t="n">
        <v>490</v>
      </c>
      <c r="C491" s="4" t="n">
        <v>0.116702253187151</v>
      </c>
    </row>
    <row r="492" customFormat="false" ht="13.8" hidden="false" customHeight="false" outlineLevel="0" collapsed="false">
      <c r="B492" s="2" t="n">
        <v>491</v>
      </c>
      <c r="C492" s="4" t="n">
        <v>0.116703417221323</v>
      </c>
    </row>
    <row r="493" customFormat="false" ht="13.8" hidden="false" customHeight="false" outlineLevel="0" collapsed="false">
      <c r="B493" s="2" t="n">
        <v>492</v>
      </c>
      <c r="C493" s="4" t="n">
        <v>0.116704581267136</v>
      </c>
    </row>
    <row r="494" customFormat="false" ht="13.8" hidden="false" customHeight="false" outlineLevel="0" collapsed="false">
      <c r="B494" s="2" t="n">
        <v>493</v>
      </c>
      <c r="C494" s="4" t="n">
        <v>0.116705745324589</v>
      </c>
    </row>
    <row r="495" customFormat="false" ht="13.8" hidden="false" customHeight="false" outlineLevel="0" collapsed="false">
      <c r="B495" s="2" t="n">
        <v>494</v>
      </c>
      <c r="C495" s="4" t="n">
        <v>0.116706909393683</v>
      </c>
    </row>
    <row r="496" customFormat="false" ht="13.8" hidden="false" customHeight="false" outlineLevel="0" collapsed="false">
      <c r="B496" s="2" t="n">
        <v>495</v>
      </c>
      <c r="C496" s="4" t="n">
        <v>0.116708073474418</v>
      </c>
    </row>
    <row r="497" customFormat="false" ht="13.8" hidden="false" customHeight="false" outlineLevel="0" collapsed="false">
      <c r="B497" s="2" t="n">
        <v>496</v>
      </c>
      <c r="C497" s="4" t="n">
        <v>0.116709237566794</v>
      </c>
    </row>
    <row r="498" customFormat="false" ht="13.8" hidden="false" customHeight="false" outlineLevel="0" collapsed="false">
      <c r="B498" s="2" t="n">
        <v>497</v>
      </c>
      <c r="C498" s="4" t="n">
        <v>0.11671040167081</v>
      </c>
    </row>
    <row r="499" customFormat="false" ht="13.8" hidden="false" customHeight="false" outlineLevel="0" collapsed="false">
      <c r="B499" s="2" t="n">
        <v>498</v>
      </c>
      <c r="C499" s="4" t="n">
        <v>0.116711565786468</v>
      </c>
    </row>
    <row r="500" customFormat="false" ht="13.8" hidden="false" customHeight="false" outlineLevel="0" collapsed="false">
      <c r="B500" s="2" t="n">
        <v>499</v>
      </c>
      <c r="C500" s="4" t="n">
        <v>0.116712729913767</v>
      </c>
    </row>
    <row r="501" customFormat="false" ht="13.8" hidden="false" customHeight="false" outlineLevel="0" collapsed="false">
      <c r="B501" s="2" t="n">
        <v>500</v>
      </c>
      <c r="C501" s="4" t="n">
        <v>0.116713894052708</v>
      </c>
    </row>
    <row r="502" customFormat="false" ht="13.8" hidden="false" customHeight="false" outlineLevel="0" collapsed="false">
      <c r="B502" s="2" t="n">
        <v>501</v>
      </c>
      <c r="C502" s="4" t="n">
        <v>0.11671505820329</v>
      </c>
    </row>
    <row r="503" customFormat="false" ht="13.8" hidden="false" customHeight="false" outlineLevel="0" collapsed="false">
      <c r="B503" s="2" t="n">
        <v>502</v>
      </c>
      <c r="C503" s="4" t="n">
        <v>0.116716222365514</v>
      </c>
    </row>
    <row r="504" customFormat="false" ht="13.8" hidden="false" customHeight="false" outlineLevel="0" collapsed="false">
      <c r="B504" s="2" t="n">
        <v>503</v>
      </c>
      <c r="C504" s="4" t="n">
        <v>0.116717386539379</v>
      </c>
    </row>
    <row r="505" customFormat="false" ht="13.8" hidden="false" customHeight="false" outlineLevel="0" collapsed="false">
      <c r="B505" s="2" t="n">
        <v>504</v>
      </c>
      <c r="C505" s="4" t="n">
        <v>0.116718550724886</v>
      </c>
    </row>
    <row r="506" customFormat="false" ht="13.8" hidden="false" customHeight="false" outlineLevel="0" collapsed="false">
      <c r="B506" s="2" t="n">
        <v>505</v>
      </c>
      <c r="C506" s="4" t="n">
        <v>0.116719714922035</v>
      </c>
    </row>
    <row r="507" customFormat="false" ht="13.8" hidden="false" customHeight="false" outlineLevel="0" collapsed="false">
      <c r="B507" s="2" t="n">
        <v>506</v>
      </c>
      <c r="C507" s="4" t="n">
        <v>0.116720879130827</v>
      </c>
    </row>
    <row r="508" customFormat="false" ht="13.8" hidden="false" customHeight="false" outlineLevel="0" collapsed="false">
      <c r="B508" s="2" t="n">
        <v>507</v>
      </c>
      <c r="C508" s="4" t="n">
        <v>0.11672204335126</v>
      </c>
    </row>
    <row r="509" customFormat="false" ht="13.8" hidden="false" customHeight="false" outlineLevel="0" collapsed="false">
      <c r="B509" s="2" t="n">
        <v>508</v>
      </c>
      <c r="C509" s="4" t="n">
        <v>0.116723207583336</v>
      </c>
    </row>
    <row r="510" customFormat="false" ht="13.8" hidden="false" customHeight="false" outlineLevel="0" collapsed="false">
      <c r="B510" s="2" t="n">
        <v>509</v>
      </c>
      <c r="C510" s="4" t="n">
        <v>0.116724371827054</v>
      </c>
    </row>
    <row r="511" customFormat="false" ht="13.8" hidden="false" customHeight="false" outlineLevel="0" collapsed="false">
      <c r="B511" s="2" t="n">
        <v>510</v>
      </c>
      <c r="C511" s="4" t="n">
        <v>0.116725536082415</v>
      </c>
    </row>
    <row r="512" customFormat="false" ht="13.8" hidden="false" customHeight="false" outlineLevel="0" collapsed="false">
      <c r="B512" s="2" t="n">
        <v>511</v>
      </c>
      <c r="C512" s="4" t="n">
        <v>0.0940866592587142</v>
      </c>
    </row>
    <row r="513" customFormat="false" ht="13.8" hidden="false" customHeight="false" outlineLevel="0" collapsed="false">
      <c r="B513" s="2" t="n">
        <v>512</v>
      </c>
      <c r="C513" s="4" t="n">
        <v>0.0940876021347355</v>
      </c>
    </row>
    <row r="514" customFormat="false" ht="13.8" hidden="false" customHeight="false" outlineLevel="0" collapsed="false">
      <c r="B514" s="2" t="n">
        <v>513</v>
      </c>
      <c r="C514" s="4" t="n">
        <v>0.0940885450201857</v>
      </c>
    </row>
    <row r="515" customFormat="false" ht="13.8" hidden="false" customHeight="false" outlineLevel="0" collapsed="false">
      <c r="B515" s="2" t="n">
        <v>514</v>
      </c>
      <c r="C515" s="4" t="n">
        <v>0.0940894820875368</v>
      </c>
    </row>
    <row r="516" customFormat="false" ht="13.8" hidden="false" customHeight="false" outlineLevel="0" collapsed="false">
      <c r="B516" s="2" t="n">
        <v>515</v>
      </c>
      <c r="C516" s="4" t="n">
        <v>0.094090432819403</v>
      </c>
    </row>
    <row r="517" customFormat="false" ht="13.8" hidden="false" customHeight="false" outlineLevel="0" collapsed="false">
      <c r="B517" s="2" t="n">
        <v>516</v>
      </c>
      <c r="C517" s="4" t="n">
        <v>0.0940913759623121</v>
      </c>
    </row>
    <row r="518" customFormat="false" ht="13.8" hidden="false" customHeight="false" outlineLevel="0" collapsed="false">
      <c r="B518" s="2" t="n">
        <v>517</v>
      </c>
      <c r="C518" s="4" t="n">
        <v>0.094092310828574</v>
      </c>
    </row>
    <row r="519" customFormat="false" ht="13.8" hidden="false" customHeight="false" outlineLevel="0" collapsed="false">
      <c r="B519" s="2" t="n">
        <v>518</v>
      </c>
      <c r="C519" s="4" t="n">
        <v>0.0940932650865959</v>
      </c>
    </row>
    <row r="520" customFormat="false" ht="13.8" hidden="false" customHeight="false" outlineLevel="0" collapsed="false">
      <c r="B520" s="2" t="n">
        <v>519</v>
      </c>
      <c r="C520" s="4" t="n">
        <v>0.0940942091281988</v>
      </c>
    </row>
    <row r="521" customFormat="false" ht="13.8" hidden="false" customHeight="false" outlineLevel="0" collapsed="false">
      <c r="B521" s="2" t="n">
        <v>520</v>
      </c>
      <c r="C521" s="4" t="n">
        <v>0.0940951531792422</v>
      </c>
    </row>
    <row r="522" customFormat="false" ht="13.8" hidden="false" customHeight="false" outlineLevel="0" collapsed="false">
      <c r="B522" s="2" t="n">
        <v>521</v>
      </c>
      <c r="C522" s="4" t="n">
        <v>0.0940960972397262</v>
      </c>
    </row>
    <row r="523" customFormat="false" ht="13.8" hidden="false" customHeight="false" outlineLevel="0" collapsed="false">
      <c r="B523" s="2" t="n">
        <v>522</v>
      </c>
      <c r="C523" s="4" t="n">
        <v>0.0940970413096509</v>
      </c>
    </row>
    <row r="524" customFormat="false" ht="13.8" hidden="false" customHeight="false" outlineLevel="0" collapsed="false">
      <c r="B524" s="2" t="n">
        <v>523</v>
      </c>
      <c r="C524" s="4" t="n">
        <v>0.0940979685652428</v>
      </c>
    </row>
    <row r="525" customFormat="false" ht="13.8" hidden="false" customHeight="false" outlineLevel="0" collapsed="false">
      <c r="B525" s="2" t="n">
        <v>524</v>
      </c>
      <c r="C525" s="4" t="n">
        <v>0.0940989284083382</v>
      </c>
    </row>
    <row r="526" customFormat="false" ht="13.8" hidden="false" customHeight="false" outlineLevel="0" collapsed="false">
      <c r="B526" s="2" t="n">
        <v>525</v>
      </c>
      <c r="C526" s="4" t="n">
        <v>0.0940998545529039</v>
      </c>
    </row>
    <row r="527" customFormat="false" ht="13.8" hidden="false" customHeight="false" outlineLevel="0" collapsed="false">
      <c r="B527" s="2" t="n">
        <v>526</v>
      </c>
      <c r="C527" s="4" t="n">
        <v>0.0941007975608795</v>
      </c>
    </row>
    <row r="528" customFormat="false" ht="13.8" hidden="false" customHeight="false" outlineLevel="0" collapsed="false">
      <c r="B528" s="2" t="n">
        <v>527</v>
      </c>
      <c r="C528" s="4" t="n">
        <v>0.0941017405782853</v>
      </c>
    </row>
    <row r="529" customFormat="false" ht="13.8" hidden="false" customHeight="false" outlineLevel="0" collapsed="false">
      <c r="B529" s="2" t="n">
        <v>528</v>
      </c>
      <c r="C529" s="4" t="n">
        <v>0.0941026836051213</v>
      </c>
    </row>
    <row r="530" customFormat="false" ht="13.8" hidden="false" customHeight="false" outlineLevel="0" collapsed="false">
      <c r="B530" s="2" t="n">
        <v>529</v>
      </c>
      <c r="C530" s="4" t="n">
        <v>0.0941036266413877</v>
      </c>
    </row>
    <row r="531" customFormat="false" ht="13.8" hidden="false" customHeight="false" outlineLevel="0" collapsed="false">
      <c r="B531" s="2" t="n">
        <v>530</v>
      </c>
      <c r="C531" s="4" t="n">
        <v>0.0941045696870846</v>
      </c>
    </row>
    <row r="532" customFormat="false" ht="13.8" hidden="false" customHeight="false" outlineLevel="0" collapsed="false">
      <c r="B532" s="2" t="n">
        <v>531</v>
      </c>
      <c r="C532" s="4" t="n">
        <v>0.0941055383638204</v>
      </c>
    </row>
    <row r="533" customFormat="false" ht="13.8" hidden="false" customHeight="false" outlineLevel="0" collapsed="false">
      <c r="B533" s="2" t="n">
        <v>532</v>
      </c>
      <c r="C533" s="4" t="n">
        <v>0.0941064814585872</v>
      </c>
    </row>
    <row r="534" customFormat="false" ht="13.8" hidden="false" customHeight="false" outlineLevel="0" collapsed="false">
      <c r="B534" s="2" t="n">
        <v>533</v>
      </c>
      <c r="C534" s="4" t="n">
        <v>0.094107426701936</v>
      </c>
    </row>
    <row r="535" customFormat="false" ht="13.8" hidden="false" customHeight="false" outlineLevel="0" collapsed="false">
      <c r="B535" s="2" t="n">
        <v>534</v>
      </c>
      <c r="C535" s="4" t="n">
        <v>0.0941083708851564</v>
      </c>
    </row>
    <row r="536" customFormat="false" ht="13.8" hidden="false" customHeight="false" outlineLevel="0" collapsed="false">
      <c r="B536" s="2" t="n">
        <v>535</v>
      </c>
      <c r="C536" s="4" t="n">
        <v>0.0941093140082166</v>
      </c>
    </row>
    <row r="537" customFormat="false" ht="13.8" hidden="false" customHeight="false" outlineLevel="0" collapsed="false">
      <c r="B537" s="2" t="n">
        <v>536</v>
      </c>
      <c r="C537" s="4" t="n">
        <v>0.0941102569908812</v>
      </c>
    </row>
    <row r="538" customFormat="false" ht="13.8" hidden="false" customHeight="false" outlineLevel="0" collapsed="false">
      <c r="B538" s="2" t="n">
        <v>537</v>
      </c>
      <c r="C538" s="4" t="n">
        <v>0.0941112011028922</v>
      </c>
    </row>
    <row r="539" customFormat="false" ht="13.8" hidden="false" customHeight="false" outlineLevel="0" collapsed="false">
      <c r="B539" s="2" t="n">
        <v>538</v>
      </c>
      <c r="C539" s="4" t="n">
        <v>0.0941121452243444</v>
      </c>
    </row>
    <row r="540" customFormat="false" ht="13.8" hidden="false" customHeight="false" outlineLevel="0" collapsed="false">
      <c r="B540" s="2" t="n">
        <v>539</v>
      </c>
      <c r="C540" s="4" t="n">
        <v>0.094113089355238</v>
      </c>
    </row>
    <row r="541" customFormat="false" ht="13.8" hidden="false" customHeight="false" outlineLevel="0" collapsed="false">
      <c r="B541" s="2" t="n">
        <v>540</v>
      </c>
      <c r="C541" s="4" t="n">
        <v>0.0941140334955729</v>
      </c>
    </row>
    <row r="542" customFormat="false" ht="13.8" hidden="false" customHeight="false" outlineLevel="0" collapsed="false">
      <c r="B542" s="2" t="n">
        <v>541</v>
      </c>
      <c r="C542" s="4" t="n">
        <v>0.213804850124701</v>
      </c>
    </row>
    <row r="543" customFormat="false" ht="13.8" hidden="false" customHeight="false" outlineLevel="0" collapsed="false">
      <c r="B543" s="2" t="n">
        <v>542</v>
      </c>
      <c r="C543" s="4" t="n">
        <v>0.213806986194563</v>
      </c>
    </row>
    <row r="544" customFormat="false" ht="13.8" hidden="false" customHeight="false" outlineLevel="0" collapsed="false">
      <c r="B544" s="2" t="n">
        <v>543</v>
      </c>
      <c r="C544" s="4" t="n">
        <v>0.213809122285786</v>
      </c>
    </row>
    <row r="545" customFormat="false" ht="13.8" hidden="false" customHeight="false" outlineLevel="0" collapsed="false">
      <c r="B545" s="2" t="n">
        <v>544</v>
      </c>
      <c r="C545" s="4" t="n">
        <v>0.21381125839837</v>
      </c>
    </row>
    <row r="546" customFormat="false" ht="13.8" hidden="false" customHeight="false" outlineLevel="0" collapsed="false">
      <c r="B546" s="2" t="n">
        <v>545</v>
      </c>
      <c r="C546" s="4" t="n">
        <v>0.213813394532315</v>
      </c>
    </row>
    <row r="547" customFormat="false" ht="13.8" hidden="false" customHeight="false" outlineLevel="0" collapsed="false">
      <c r="B547" s="2" t="n">
        <v>546</v>
      </c>
      <c r="C547" s="4" t="n">
        <v>0.213815529687612</v>
      </c>
    </row>
    <row r="548" customFormat="false" ht="13.8" hidden="false" customHeight="false" outlineLevel="0" collapsed="false">
      <c r="B548" s="2" t="n">
        <v>547</v>
      </c>
      <c r="C548" s="4" t="n">
        <v>0.21381766486426</v>
      </c>
    </row>
    <row r="549" customFormat="false" ht="13.8" hidden="false" customHeight="false" outlineLevel="0" collapsed="false">
      <c r="B549" s="2" t="n">
        <v>548</v>
      </c>
      <c r="C549" s="4" t="n">
        <v>0.213819800062261</v>
      </c>
    </row>
    <row r="550" customFormat="false" ht="13.8" hidden="false" customHeight="false" outlineLevel="0" collapsed="false">
      <c r="B550" s="2" t="n">
        <v>549</v>
      </c>
      <c r="C550" s="4" t="n">
        <v>0.213821935281614</v>
      </c>
    </row>
    <row r="551" customFormat="false" ht="13.8" hidden="false" customHeight="false" outlineLevel="0" collapsed="false">
      <c r="B551" s="2" t="n">
        <v>550</v>
      </c>
      <c r="C551" s="4" t="n">
        <v>0.213824070522319</v>
      </c>
    </row>
    <row r="552" customFormat="false" ht="13.8" hidden="false" customHeight="false" outlineLevel="0" collapsed="false">
      <c r="B552" s="2" t="n">
        <v>551</v>
      </c>
      <c r="C552" s="4" t="n">
        <v>0.213826205784377</v>
      </c>
    </row>
    <row r="553" customFormat="false" ht="13.8" hidden="false" customHeight="false" outlineLevel="0" collapsed="false">
      <c r="B553" s="2" t="n">
        <v>552</v>
      </c>
      <c r="C553" s="4" t="n">
        <v>0.213828341067787</v>
      </c>
    </row>
    <row r="554" customFormat="false" ht="13.8" hidden="false" customHeight="false" outlineLevel="0" collapsed="false">
      <c r="B554" s="2" t="n">
        <v>553</v>
      </c>
      <c r="C554" s="4" t="n">
        <v>0.213830476372551</v>
      </c>
    </row>
    <row r="555" customFormat="false" ht="13.8" hidden="false" customHeight="false" outlineLevel="0" collapsed="false">
      <c r="B555" s="2" t="n">
        <v>554</v>
      </c>
      <c r="C555" s="4" t="n">
        <v>0.213832611698668</v>
      </c>
    </row>
    <row r="556" customFormat="false" ht="13.8" hidden="false" customHeight="false" outlineLevel="0" collapsed="false">
      <c r="B556" s="2" t="n">
        <v>555</v>
      </c>
      <c r="C556" s="4" t="n">
        <v>0.213834747046139</v>
      </c>
    </row>
    <row r="557" customFormat="false" ht="13.8" hidden="false" customHeight="false" outlineLevel="0" collapsed="false">
      <c r="B557" s="2" t="n">
        <v>556</v>
      </c>
      <c r="C557" s="4" t="n">
        <v>0.213836882414963</v>
      </c>
    </row>
    <row r="558" customFormat="false" ht="13.8" hidden="false" customHeight="false" outlineLevel="0" collapsed="false">
      <c r="B558" s="2" t="n">
        <v>557</v>
      </c>
      <c r="C558" s="4" t="n">
        <v>0.213839017805141</v>
      </c>
    </row>
    <row r="559" customFormat="false" ht="13.8" hidden="false" customHeight="false" outlineLevel="0" collapsed="false">
      <c r="B559" s="2" t="n">
        <v>558</v>
      </c>
      <c r="C559" s="4" t="n">
        <v>0.213841153216673</v>
      </c>
    </row>
    <row r="560" customFormat="false" ht="13.8" hidden="false" customHeight="false" outlineLevel="0" collapsed="false">
      <c r="B560" s="2" t="n">
        <v>559</v>
      </c>
      <c r="C560" s="4" t="n">
        <v>0.213843288649559</v>
      </c>
    </row>
    <row r="561" customFormat="false" ht="13.8" hidden="false" customHeight="false" outlineLevel="0" collapsed="false">
      <c r="B561" s="2" t="n">
        <v>560</v>
      </c>
      <c r="C561" s="4" t="n">
        <v>0.2138454241038</v>
      </c>
    </row>
    <row r="562" customFormat="false" ht="13.8" hidden="false" customHeight="false" outlineLevel="0" collapsed="false">
      <c r="B562" s="2" t="n">
        <v>561</v>
      </c>
      <c r="C562" s="4" t="n">
        <v>0.213847559579396</v>
      </c>
    </row>
    <row r="563" customFormat="false" ht="13.8" hidden="false" customHeight="false" outlineLevel="0" collapsed="false">
      <c r="B563" s="2" t="n">
        <v>562</v>
      </c>
      <c r="C563" s="4" t="n">
        <v>0.213849695076347</v>
      </c>
    </row>
    <row r="564" customFormat="false" ht="13.8" hidden="false" customHeight="false" outlineLevel="0" collapsed="false">
      <c r="B564" s="2" t="n">
        <v>563</v>
      </c>
      <c r="C564" s="4" t="n">
        <v>0.213851830594653</v>
      </c>
    </row>
    <row r="565" customFormat="false" ht="13.8" hidden="false" customHeight="false" outlineLevel="0" collapsed="false">
      <c r="B565" s="2" t="n">
        <v>564</v>
      </c>
      <c r="C565" s="4" t="n">
        <v>0.213853966134314</v>
      </c>
    </row>
    <row r="566" customFormat="false" ht="13.8" hidden="false" customHeight="false" outlineLevel="0" collapsed="false">
      <c r="B566" s="2" t="n">
        <v>565</v>
      </c>
      <c r="C566" s="4" t="n">
        <v>0.213856101695331</v>
      </c>
    </row>
    <row r="567" customFormat="false" ht="13.8" hidden="false" customHeight="false" outlineLevel="0" collapsed="false">
      <c r="B567" s="2" t="n">
        <v>566</v>
      </c>
      <c r="C567" s="4" t="n">
        <v>0.213858237277704</v>
      </c>
    </row>
    <row r="568" customFormat="false" ht="13.8" hidden="false" customHeight="false" outlineLevel="0" collapsed="false">
      <c r="B568" s="2" t="n">
        <v>567</v>
      </c>
      <c r="C568" s="4" t="n">
        <v>0.213860372881433</v>
      </c>
    </row>
    <row r="569" customFormat="false" ht="13.8" hidden="false" customHeight="false" outlineLevel="0" collapsed="false">
      <c r="B569" s="2" t="n">
        <v>568</v>
      </c>
      <c r="C569" s="4" t="n">
        <v>0.213862508506518</v>
      </c>
    </row>
    <row r="570" customFormat="false" ht="13.8" hidden="false" customHeight="false" outlineLevel="0" collapsed="false">
      <c r="B570" s="2" t="n">
        <v>569</v>
      </c>
      <c r="C570" s="4" t="n">
        <v>0.213864644152959</v>
      </c>
    </row>
    <row r="571" customFormat="false" ht="13.8" hidden="false" customHeight="false" outlineLevel="0" collapsed="false">
      <c r="B571" s="2" t="n">
        <v>570</v>
      </c>
      <c r="C571" s="4" t="n">
        <v>0.213866779820758</v>
      </c>
    </row>
    <row r="572" customFormat="false" ht="13.8" hidden="false" customHeight="false" outlineLevel="0" collapsed="false">
      <c r="B572" s="2" t="n">
        <v>571</v>
      </c>
      <c r="C572" s="4" t="n">
        <v>0.213868915509913</v>
      </c>
    </row>
    <row r="573" customFormat="false" ht="13.8" hidden="false" customHeight="false" outlineLevel="0" collapsed="false">
      <c r="B573" s="2" t="n">
        <v>572</v>
      </c>
      <c r="C573" s="4" t="n">
        <v>0.213871051220425</v>
      </c>
    </row>
    <row r="574" customFormat="false" ht="13.8" hidden="false" customHeight="false" outlineLevel="0" collapsed="false">
      <c r="B574" s="2" t="n">
        <v>573</v>
      </c>
      <c r="C574" s="4" t="n">
        <v>0.213873186952294</v>
      </c>
    </row>
    <row r="575" customFormat="false" ht="13.8" hidden="false" customHeight="false" outlineLevel="0" collapsed="false">
      <c r="B575" s="2" t="n">
        <v>574</v>
      </c>
      <c r="C575" s="4" t="n">
        <v>0.213875322705521</v>
      </c>
    </row>
    <row r="576" customFormat="false" ht="13.8" hidden="false" customHeight="false" outlineLevel="0" collapsed="false">
      <c r="B576" s="2" t="n">
        <v>575</v>
      </c>
      <c r="C576" s="4" t="n">
        <v>0.213877458480106</v>
      </c>
    </row>
    <row r="577" customFormat="false" ht="13.8" hidden="false" customHeight="false" outlineLevel="0" collapsed="false">
      <c r="B577" s="2" t="n">
        <v>576</v>
      </c>
      <c r="C577" s="4" t="n">
        <v>0.213879594276049</v>
      </c>
    </row>
    <row r="578" customFormat="false" ht="13.8" hidden="false" customHeight="false" outlineLevel="0" collapsed="false">
      <c r="B578" s="2" t="n">
        <v>577</v>
      </c>
      <c r="C578" s="4" t="n">
        <v>0.21388173009335</v>
      </c>
    </row>
    <row r="579" customFormat="false" ht="13.8" hidden="false" customHeight="false" outlineLevel="0" collapsed="false">
      <c r="B579" s="2" t="n">
        <v>578</v>
      </c>
      <c r="C579" s="4" t="n">
        <v>0.213883865932009</v>
      </c>
    </row>
    <row r="580" customFormat="false" ht="13.8" hidden="false" customHeight="false" outlineLevel="0" collapsed="false">
      <c r="B580" s="2" t="n">
        <v>579</v>
      </c>
      <c r="C580" s="4" t="n">
        <v>0.213886003157424</v>
      </c>
    </row>
    <row r="581" customFormat="false" ht="13.8" hidden="false" customHeight="false" outlineLevel="0" collapsed="false">
      <c r="B581" s="2" t="n">
        <v>580</v>
      </c>
      <c r="C581" s="4" t="n">
        <v>0.213888137673404</v>
      </c>
    </row>
    <row r="582" customFormat="false" ht="13.8" hidden="false" customHeight="false" outlineLevel="0" collapsed="false">
      <c r="B582" s="2" t="n">
        <v>581</v>
      </c>
      <c r="C582" s="4" t="n">
        <v>0.21389027357614</v>
      </c>
    </row>
    <row r="583" customFormat="false" ht="13.8" hidden="false" customHeight="false" outlineLevel="0" collapsed="false">
      <c r="B583" s="2" t="n">
        <v>582</v>
      </c>
      <c r="C583" s="4" t="n">
        <v>0.213892409500235</v>
      </c>
    </row>
    <row r="584" customFormat="false" ht="13.8" hidden="false" customHeight="false" outlineLevel="0" collapsed="false">
      <c r="B584" s="2" t="n">
        <v>583</v>
      </c>
      <c r="C584" s="4" t="n">
        <v>0.213894545445689</v>
      </c>
    </row>
    <row r="585" customFormat="false" ht="13.8" hidden="false" customHeight="false" outlineLevel="0" collapsed="false">
      <c r="B585" s="2" t="n">
        <v>584</v>
      </c>
      <c r="C585" s="4" t="n">
        <v>0.213896681412503</v>
      </c>
    </row>
    <row r="586" customFormat="false" ht="13.8" hidden="false" customHeight="false" outlineLevel="0" collapsed="false">
      <c r="B586" s="2" t="n">
        <v>585</v>
      </c>
      <c r="C586" s="4" t="n">
        <v>0.213898817400677</v>
      </c>
    </row>
    <row r="587" customFormat="false" ht="13.8" hidden="false" customHeight="false" outlineLevel="0" collapsed="false">
      <c r="B587" s="2" t="n">
        <v>586</v>
      </c>
      <c r="C587" s="4" t="n">
        <v>0.213900953410211</v>
      </c>
    </row>
    <row r="588" customFormat="false" ht="13.8" hidden="false" customHeight="false" outlineLevel="0" collapsed="false">
      <c r="B588" s="2" t="n">
        <v>587</v>
      </c>
      <c r="C588" s="4" t="n">
        <v>0.213903089441106</v>
      </c>
    </row>
    <row r="589" customFormat="false" ht="13.8" hidden="false" customHeight="false" outlineLevel="0" collapsed="false">
      <c r="B589" s="2" t="n">
        <v>588</v>
      </c>
      <c r="C589" s="4" t="n">
        <v>0.21390522549336</v>
      </c>
    </row>
    <row r="590" customFormat="false" ht="13.8" hidden="false" customHeight="false" outlineLevel="0" collapsed="false">
      <c r="B590" s="2" t="n">
        <v>589</v>
      </c>
      <c r="C590" s="4" t="n">
        <v>0.213907361566976</v>
      </c>
    </row>
    <row r="591" customFormat="false" ht="13.8" hidden="false" customHeight="false" outlineLevel="0" collapsed="false">
      <c r="B591" s="2" t="n">
        <v>590</v>
      </c>
      <c r="C591" s="4" t="n">
        <v>0.213909497661953</v>
      </c>
    </row>
    <row r="592" customFormat="false" ht="13.8" hidden="false" customHeight="false" outlineLevel="0" collapsed="false">
      <c r="B592" s="2" t="n">
        <v>591</v>
      </c>
      <c r="C592" s="4" t="n">
        <v>0.213911633778291</v>
      </c>
    </row>
    <row r="593" customFormat="false" ht="13.8" hidden="false" customHeight="false" outlineLevel="0" collapsed="false">
      <c r="B593" s="2" t="n">
        <v>592</v>
      </c>
      <c r="C593" s="4" t="n">
        <v>0.21391376991599</v>
      </c>
    </row>
    <row r="594" customFormat="false" ht="13.8" hidden="false" customHeight="false" outlineLevel="0" collapsed="false">
      <c r="B594" s="2" t="n">
        <v>593</v>
      </c>
      <c r="C594" s="4" t="n">
        <v>0.21391590607505</v>
      </c>
    </row>
    <row r="595" customFormat="false" ht="13.8" hidden="false" customHeight="false" outlineLevel="0" collapsed="false">
      <c r="B595" s="2" t="n">
        <v>594</v>
      </c>
      <c r="C595" s="4" t="n">
        <v>0.213918042255473</v>
      </c>
    </row>
    <row r="596" customFormat="false" ht="13.8" hidden="false" customHeight="false" outlineLevel="0" collapsed="false">
      <c r="B596" s="2" t="n">
        <v>595</v>
      </c>
      <c r="C596" s="4" t="n">
        <v>0.213920178457257</v>
      </c>
    </row>
    <row r="597" customFormat="false" ht="13.8" hidden="false" customHeight="false" outlineLevel="0" collapsed="false">
      <c r="B597" s="2" t="n">
        <v>596</v>
      </c>
      <c r="C597" s="4" t="n">
        <v>0.213922314680404</v>
      </c>
    </row>
    <row r="598" customFormat="false" ht="13.8" hidden="false" customHeight="false" outlineLevel="0" collapsed="false">
      <c r="B598" s="2" t="n">
        <v>597</v>
      </c>
      <c r="C598" s="4" t="n">
        <v>0.213924450924914</v>
      </c>
    </row>
    <row r="599" customFormat="false" ht="13.8" hidden="false" customHeight="false" outlineLevel="0" collapsed="false">
      <c r="B599" s="2" t="n">
        <v>598</v>
      </c>
      <c r="C599" s="4" t="n">
        <v>0.213926587190785</v>
      </c>
    </row>
    <row r="600" customFormat="false" ht="13.8" hidden="false" customHeight="false" outlineLevel="0" collapsed="false">
      <c r="B600" s="2" t="n">
        <v>599</v>
      </c>
      <c r="C600" s="4" t="n">
        <v>0.21392872347802</v>
      </c>
    </row>
    <row r="601" customFormat="false" ht="13.8" hidden="false" customHeight="false" outlineLevel="0" collapsed="false">
      <c r="B601" s="2" t="n">
        <v>600</v>
      </c>
      <c r="C601" s="4" t="n">
        <v>0.213930859786618</v>
      </c>
    </row>
    <row r="602" customFormat="false" ht="13.8" hidden="false" customHeight="false" outlineLevel="0" collapsed="false">
      <c r="B602" s="2" t="n">
        <v>601</v>
      </c>
      <c r="C602" s="4" t="n">
        <v>0.213932996116579</v>
      </c>
    </row>
    <row r="603" customFormat="false" ht="13.8" hidden="false" customHeight="false" outlineLevel="0" collapsed="false">
      <c r="B603" s="2" t="n">
        <v>602</v>
      </c>
      <c r="C603" s="4" t="n">
        <v>5E-005</v>
      </c>
    </row>
    <row r="604" customFormat="false" ht="13.8" hidden="false" customHeight="false" outlineLevel="0" collapsed="false">
      <c r="B604" s="2" t="n">
        <v>603</v>
      </c>
      <c r="C604" s="4" t="n">
        <v>5E-005</v>
      </c>
    </row>
    <row r="605" customFormat="false" ht="13.8" hidden="false" customHeight="false" outlineLevel="0" collapsed="false">
      <c r="B605" s="2" t="n">
        <v>604</v>
      </c>
      <c r="C605" s="4" t="n">
        <v>5E-005</v>
      </c>
    </row>
    <row r="606" customFormat="false" ht="13.8" hidden="false" customHeight="false" outlineLevel="0" collapsed="false">
      <c r="B606" s="2" t="n">
        <v>605</v>
      </c>
      <c r="C606" s="4" t="n">
        <v>5E-005</v>
      </c>
    </row>
    <row r="607" customFormat="false" ht="13.8" hidden="false" customHeight="false" outlineLevel="0" collapsed="false">
      <c r="B607" s="2" t="n">
        <v>606</v>
      </c>
      <c r="C607" s="4" t="n">
        <v>5E-005</v>
      </c>
    </row>
    <row r="608" customFormat="false" ht="13.8" hidden="false" customHeight="false" outlineLevel="0" collapsed="false">
      <c r="B608" s="2" t="n">
        <v>607</v>
      </c>
      <c r="C608" s="4" t="n">
        <v>5E-005</v>
      </c>
    </row>
    <row r="609" customFormat="false" ht="13.8" hidden="false" customHeight="false" outlineLevel="0" collapsed="false">
      <c r="B609" s="2" t="n">
        <v>608</v>
      </c>
      <c r="C609" s="4" t="n">
        <v>5E-005</v>
      </c>
    </row>
    <row r="610" customFormat="false" ht="13.8" hidden="false" customHeight="false" outlineLevel="0" collapsed="false">
      <c r="B610" s="2" t="n">
        <v>609</v>
      </c>
      <c r="C610" s="4" t="n">
        <v>3.09056086448817E-005</v>
      </c>
    </row>
    <row r="611" customFormat="false" ht="13.8" hidden="false" customHeight="false" outlineLevel="0" collapsed="false">
      <c r="B611" s="2" t="n">
        <v>610</v>
      </c>
      <c r="C611" s="4" t="n">
        <v>5E-005</v>
      </c>
    </row>
    <row r="612" customFormat="false" ht="13.8" hidden="false" customHeight="false" outlineLevel="0" collapsed="false">
      <c r="B612" s="2" t="n">
        <v>611</v>
      </c>
      <c r="C612" s="4" t="n">
        <v>3.09122268563276E-005</v>
      </c>
    </row>
    <row r="613" customFormat="false" ht="13.8" hidden="false" customHeight="false" outlineLevel="0" collapsed="false">
      <c r="B613" s="2" t="n">
        <v>612</v>
      </c>
      <c r="C613" s="4" t="n">
        <v>3.09155360116876E-005</v>
      </c>
    </row>
    <row r="614" customFormat="false" ht="13.8" hidden="false" customHeight="false" outlineLevel="0" collapsed="false">
      <c r="B614" s="2" t="n">
        <v>613</v>
      </c>
      <c r="C614" s="4" t="n">
        <v>3.09188452001396E-005</v>
      </c>
    </row>
    <row r="615" customFormat="false" ht="13.8" hidden="false" customHeight="false" outlineLevel="0" collapsed="false">
      <c r="B615" s="2" t="n">
        <v>614</v>
      </c>
      <c r="C615" s="4" t="n">
        <v>5E-005</v>
      </c>
    </row>
    <row r="616" customFormat="false" ht="13.8" hidden="false" customHeight="false" outlineLevel="0" collapsed="false">
      <c r="B616" s="2" t="n">
        <v>615</v>
      </c>
      <c r="C616" s="4" t="n">
        <v>3.09254636763206E-005</v>
      </c>
    </row>
    <row r="617" customFormat="false" ht="13.8" hidden="false" customHeight="false" outlineLevel="0" collapsed="false">
      <c r="B617" s="2" t="n">
        <v>616</v>
      </c>
      <c r="C617" s="4" t="n">
        <v>5E-005</v>
      </c>
    </row>
    <row r="618" customFormat="false" ht="13.8" hidden="false" customHeight="false" outlineLevel="0" collapsed="false">
      <c r="B618" s="2" t="n">
        <v>617</v>
      </c>
      <c r="C618" s="4" t="n">
        <v>3.09320822848731E-005</v>
      </c>
    </row>
    <row r="619" customFormat="false" ht="13.8" hidden="false" customHeight="false" outlineLevel="0" collapsed="false">
      <c r="B619" s="2" t="n">
        <v>618</v>
      </c>
      <c r="C619" s="4" t="n">
        <v>3.09353916387895E-005</v>
      </c>
    </row>
    <row r="620" customFormat="false" ht="13.8" hidden="false" customHeight="false" outlineLevel="0" collapsed="false">
      <c r="B620" s="2" t="n">
        <v>619</v>
      </c>
      <c r="C620" s="4" t="n">
        <v>3.09387010257997E-005</v>
      </c>
    </row>
    <row r="621" customFormat="false" ht="13.8" hidden="false" customHeight="false" outlineLevel="0" collapsed="false">
      <c r="B621" s="2" t="n">
        <v>620</v>
      </c>
      <c r="C621" s="4" t="n">
        <v>3.09420104459042E-005</v>
      </c>
    </row>
    <row r="622" customFormat="false" ht="13.8" hidden="false" customHeight="false" outlineLevel="0" collapsed="false">
      <c r="B622" s="2" t="n">
        <v>621</v>
      </c>
      <c r="C622" s="4" t="n">
        <v>3.09453198991031E-005</v>
      </c>
    </row>
    <row r="623" customFormat="false" ht="13.8" hidden="false" customHeight="false" outlineLevel="0" collapsed="false">
      <c r="B623" s="2" t="n">
        <v>622</v>
      </c>
      <c r="C623" s="4" t="n">
        <v>5E-005</v>
      </c>
    </row>
    <row r="624" customFormat="false" ht="13.8" hidden="false" customHeight="false" outlineLevel="0" collapsed="false">
      <c r="B624" s="2" t="n">
        <v>623</v>
      </c>
      <c r="C624" s="4" t="n">
        <v>3.0951938904786E-005</v>
      </c>
    </row>
    <row r="625" customFormat="false" ht="13.8" hidden="false" customHeight="false" outlineLevel="0" collapsed="false">
      <c r="B625" s="2" t="n">
        <v>624</v>
      </c>
      <c r="C625" s="4" t="n">
        <v>5E-005</v>
      </c>
    </row>
    <row r="626" customFormat="false" ht="13.8" hidden="false" customHeight="false" outlineLevel="0" collapsed="false">
      <c r="B626" s="2" t="n">
        <v>625</v>
      </c>
      <c r="C626" s="4" t="n">
        <v>3.0958558042851E-005</v>
      </c>
    </row>
    <row r="627" customFormat="false" ht="13.8" hidden="false" customHeight="false" outlineLevel="0" collapsed="false">
      <c r="B627" s="2" t="n">
        <v>626</v>
      </c>
      <c r="C627" s="4" t="n">
        <v>5E-005</v>
      </c>
    </row>
    <row r="628" customFormat="false" ht="13.8" hidden="false" customHeight="false" outlineLevel="0" collapsed="false">
      <c r="B628" s="2" t="n">
        <v>627</v>
      </c>
      <c r="C628" s="4" t="n">
        <v>3.09651773133007E-005</v>
      </c>
    </row>
    <row r="629" customFormat="false" ht="13.8" hidden="false" customHeight="false" outlineLevel="0" collapsed="false">
      <c r="B629" s="2" t="n">
        <v>628</v>
      </c>
      <c r="C629" s="4" t="n">
        <v>5.00025000250002E-005</v>
      </c>
    </row>
    <row r="630" customFormat="false" ht="13.8" hidden="false" customHeight="false" outlineLevel="0" collapsed="false">
      <c r="B630" s="2" t="n">
        <v>629</v>
      </c>
      <c r="C630" s="4" t="n">
        <v>3.09717967161377E-005</v>
      </c>
    </row>
    <row r="631" customFormat="false" ht="13.8" hidden="false" customHeight="false" outlineLevel="0" collapsed="false">
      <c r="B631" s="2" t="n">
        <v>630</v>
      </c>
      <c r="C631" s="4" t="n">
        <v>5.00075001500025E-005</v>
      </c>
    </row>
    <row r="632" customFormat="false" ht="13.8" hidden="false" customHeight="false" outlineLevel="0" collapsed="false">
      <c r="B632" s="2" t="n">
        <v>631</v>
      </c>
      <c r="C632" s="4" t="n">
        <v>3.09784162513649E-005</v>
      </c>
    </row>
    <row r="633" customFormat="false" ht="13.8" hidden="false" customHeight="false" outlineLevel="0" collapsed="false">
      <c r="B633" s="2" t="n">
        <v>632</v>
      </c>
      <c r="C633" s="4" t="n">
        <v>3.09817260686256E-005</v>
      </c>
    </row>
    <row r="634" customFormat="false" ht="13.8" hidden="false" customHeight="false" outlineLevel="0" collapsed="false">
      <c r="B634" s="2" t="n">
        <v>633</v>
      </c>
      <c r="C634" s="4" t="n">
        <v>3.09850359189848E-005</v>
      </c>
    </row>
    <row r="635" customFormat="false" ht="13.8" hidden="false" customHeight="false" outlineLevel="0" collapsed="false">
      <c r="B635" s="2" t="n">
        <v>634</v>
      </c>
      <c r="C635" s="4" t="n">
        <v>5.0017500700021E-005</v>
      </c>
    </row>
    <row r="636" customFormat="false" ht="13.8" hidden="false" customHeight="false" outlineLevel="0" collapsed="false">
      <c r="B636" s="2" t="n">
        <v>635</v>
      </c>
      <c r="C636" s="4" t="n">
        <v>3.09916557189999E-005</v>
      </c>
    </row>
    <row r="637" customFormat="false" ht="13.8" hidden="false" customHeight="false" outlineLevel="0" collapsed="false">
      <c r="B637" s="2" t="n">
        <v>636</v>
      </c>
      <c r="C637" s="4" t="n">
        <v>5.00225011250412E-005</v>
      </c>
    </row>
    <row r="638" customFormat="false" ht="13.8" hidden="false" customHeight="false" outlineLevel="0" collapsed="false">
      <c r="B638" s="2" t="n">
        <v>637</v>
      </c>
      <c r="C638" s="4" t="n">
        <v>5.0025001375055E-005</v>
      </c>
    </row>
    <row r="639" customFormat="false" ht="13.8" hidden="false" customHeight="false" outlineLevel="0" collapsed="false">
      <c r="B639" s="2" t="n">
        <v>638</v>
      </c>
      <c r="C639" s="4" t="n">
        <v>5.00275016500715E-005</v>
      </c>
    </row>
    <row r="640" customFormat="false" ht="13.8" hidden="false" customHeight="false" outlineLevel="0" collapsed="false">
      <c r="B640" s="2" t="n">
        <v>639</v>
      </c>
      <c r="C640" s="4" t="n">
        <v>0.000608675014813198</v>
      </c>
    </row>
    <row r="641" customFormat="false" ht="13.8" hidden="false" customHeight="false" outlineLevel="0" collapsed="false">
      <c r="B641" s="2" t="n">
        <v>640</v>
      </c>
      <c r="C641" s="4" t="n">
        <v>0.000608679101604214</v>
      </c>
    </row>
    <row r="642" customFormat="false" ht="13.8" hidden="false" customHeight="false" outlineLevel="0" collapsed="false">
      <c r="B642" s="2" t="n">
        <v>641</v>
      </c>
      <c r="C642" s="4" t="n">
        <v>0.000608683188436099</v>
      </c>
    </row>
    <row r="643" customFormat="false" ht="13.8" hidden="false" customHeight="false" outlineLevel="0" collapsed="false">
      <c r="B643" s="2" t="n">
        <v>642</v>
      </c>
      <c r="C643" s="4" t="n">
        <v>0.000608687275308852</v>
      </c>
    </row>
    <row r="644" customFormat="false" ht="13.8" hidden="false" customHeight="false" outlineLevel="0" collapsed="false">
      <c r="B644" s="2" t="n">
        <v>643</v>
      </c>
      <c r="C644" s="4" t="n">
        <v>0.000608691362222474</v>
      </c>
    </row>
    <row r="645" customFormat="false" ht="13.8" hidden="false" customHeight="false" outlineLevel="0" collapsed="false">
      <c r="B645" s="2" t="n">
        <v>644</v>
      </c>
      <c r="C645" s="4" t="n">
        <v>0.000608694449166966</v>
      </c>
    </row>
    <row r="646" customFormat="false" ht="13.8" hidden="false" customHeight="false" outlineLevel="0" collapsed="false">
      <c r="B646" s="2" t="n">
        <v>645</v>
      </c>
      <c r="C646" s="4" t="n">
        <v>0.000608697536142327</v>
      </c>
    </row>
    <row r="647" customFormat="false" ht="13.8" hidden="false" customHeight="false" outlineLevel="0" collapsed="false">
      <c r="B647" s="2" t="n">
        <v>646</v>
      </c>
      <c r="C647" s="4" t="n">
        <v>0.000608700623148559</v>
      </c>
    </row>
    <row r="648" customFormat="false" ht="13.8" hidden="false" customHeight="false" outlineLevel="0" collapsed="false">
      <c r="B648" s="2" t="n">
        <v>647</v>
      </c>
      <c r="C648" s="4" t="n">
        <v>0.00060870371018566</v>
      </c>
    </row>
    <row r="649" customFormat="false" ht="13.8" hidden="false" customHeight="false" outlineLevel="0" collapsed="false">
      <c r="B649" s="2" t="n">
        <v>648</v>
      </c>
      <c r="C649" s="4" t="n">
        <v>0.000608706797253633</v>
      </c>
    </row>
    <row r="650" customFormat="false" ht="13.8" hidden="false" customHeight="false" outlineLevel="0" collapsed="false">
      <c r="B650" s="2" t="n">
        <v>649</v>
      </c>
      <c r="C650" s="4" t="n">
        <v>0.000608709884352476</v>
      </c>
    </row>
    <row r="651" customFormat="false" ht="13.8" hidden="false" customHeight="false" outlineLevel="0" collapsed="false">
      <c r="B651" s="2" t="n">
        <v>650</v>
      </c>
      <c r="C651" s="4" t="n">
        <v>0.000608712971482191</v>
      </c>
    </row>
    <row r="652" customFormat="false" ht="13.8" hidden="false" customHeight="false" outlineLevel="0" collapsed="false">
      <c r="B652" s="2" t="n">
        <v>651</v>
      </c>
      <c r="C652" s="4" t="n">
        <v>0.000608716058642778</v>
      </c>
    </row>
    <row r="653" customFormat="false" ht="13.8" hidden="false" customHeight="false" outlineLevel="0" collapsed="false">
      <c r="B653" s="2" t="n">
        <v>652</v>
      </c>
      <c r="C653" s="4" t="n">
        <v>0.000608719145834236</v>
      </c>
    </row>
    <row r="654" customFormat="false" ht="13.8" hidden="false" customHeight="false" outlineLevel="0" collapsed="false">
      <c r="B654" s="2" t="n">
        <v>653</v>
      </c>
      <c r="C654" s="4" t="n">
        <v>0.000608722233056567</v>
      </c>
    </row>
    <row r="655" customFormat="false" ht="13.8" hidden="false" customHeight="false" outlineLevel="0" collapsed="false">
      <c r="B655" s="2" t="n">
        <v>654</v>
      </c>
      <c r="C655" s="4" t="n">
        <v>0.00060872532030977</v>
      </c>
    </row>
    <row r="656" customFormat="false" ht="13.8" hidden="false" customHeight="false" outlineLevel="0" collapsed="false">
      <c r="B656" s="2" t="n">
        <v>655</v>
      </c>
      <c r="C656" s="4" t="n">
        <v>0.000608728407593846</v>
      </c>
    </row>
    <row r="657" customFormat="false" ht="13.8" hidden="false" customHeight="false" outlineLevel="0" collapsed="false">
      <c r="B657" s="2" t="n">
        <v>656</v>
      </c>
      <c r="C657" s="4" t="n">
        <v>0.000608731494908795</v>
      </c>
    </row>
    <row r="658" customFormat="false" ht="13.8" hidden="false" customHeight="false" outlineLevel="0" collapsed="false">
      <c r="B658" s="2" t="n">
        <v>657</v>
      </c>
      <c r="C658" s="4" t="n">
        <v>0.000608734582254617</v>
      </c>
    </row>
    <row r="659" customFormat="false" ht="13.8" hidden="false" customHeight="false" outlineLevel="0" collapsed="false">
      <c r="B659" s="2" t="n">
        <v>658</v>
      </c>
      <c r="C659" s="4" t="n">
        <v>0.000608737669631313</v>
      </c>
    </row>
    <row r="660" customFormat="false" ht="13.8" hidden="false" customHeight="false" outlineLevel="0" collapsed="false">
      <c r="B660" s="2" t="n">
        <v>659</v>
      </c>
      <c r="C660" s="4" t="n">
        <v>0.000608740757038884</v>
      </c>
    </row>
    <row r="661" customFormat="false" ht="13.8" hidden="false" customHeight="false" outlineLevel="0" collapsed="false">
      <c r="B661" s="2" t="n">
        <v>660</v>
      </c>
      <c r="C661" s="4" t="n">
        <v>0.000608743844477329</v>
      </c>
    </row>
    <row r="662" customFormat="false" ht="13.8" hidden="false" customHeight="false" outlineLevel="0" collapsed="false">
      <c r="B662" s="2" t="n">
        <v>661</v>
      </c>
      <c r="C662" s="4" t="n">
        <v>0.000608746931946648</v>
      </c>
    </row>
    <row r="663" customFormat="false" ht="13.8" hidden="false" customHeight="false" outlineLevel="0" collapsed="false">
      <c r="B663" s="2" t="n">
        <v>662</v>
      </c>
      <c r="C663" s="4" t="n">
        <v>0.000608750019446842</v>
      </c>
    </row>
    <row r="664" customFormat="false" ht="13.8" hidden="false" customHeight="false" outlineLevel="0" collapsed="false">
      <c r="B664" s="2" t="n">
        <v>663</v>
      </c>
      <c r="C664" s="4" t="n">
        <v>0.000608753106977912</v>
      </c>
    </row>
    <row r="665" customFormat="false" ht="13.8" hidden="false" customHeight="false" outlineLevel="0" collapsed="false">
      <c r="B665" s="2" t="n">
        <v>664</v>
      </c>
      <c r="C665" s="4" t="n">
        <v>0.000608756194539857</v>
      </c>
    </row>
    <row r="666" customFormat="false" ht="13.8" hidden="false" customHeight="false" outlineLevel="0" collapsed="false">
      <c r="B666" s="2" t="n">
        <v>665</v>
      </c>
      <c r="C666" s="4" t="n">
        <v>0.000608759282132679</v>
      </c>
    </row>
    <row r="667" customFormat="false" ht="13.8" hidden="false" customHeight="false" outlineLevel="0" collapsed="false">
      <c r="B667" s="2" t="n">
        <v>666</v>
      </c>
      <c r="C667" s="4" t="n">
        <v>0.000608762369756376</v>
      </c>
    </row>
    <row r="668" customFormat="false" ht="13.8" hidden="false" customHeight="false" outlineLevel="0" collapsed="false">
      <c r="B668" s="2" t="n">
        <v>667</v>
      </c>
      <c r="C668" s="4" t="n">
        <v>0.00060876545741095</v>
      </c>
    </row>
    <row r="669" customFormat="false" ht="13.8" hidden="false" customHeight="false" outlineLevel="0" collapsed="false">
      <c r="B669" s="2" t="n">
        <v>668</v>
      </c>
      <c r="C669" s="4" t="n">
        <v>0.000608768545096401</v>
      </c>
    </row>
    <row r="670" customFormat="false" ht="13.8" hidden="false" customHeight="false" outlineLevel="0" collapsed="false">
      <c r="B670" s="2" t="n">
        <v>669</v>
      </c>
      <c r="C670" s="4" t="n">
        <v>0.00060877163281273</v>
      </c>
    </row>
    <row r="671" customFormat="false" ht="13.8" hidden="false" customHeight="false" outlineLevel="0" collapsed="false">
      <c r="B671" s="2" t="n">
        <v>670</v>
      </c>
      <c r="C671" s="4" t="n">
        <v>0.000608774720559935</v>
      </c>
    </row>
    <row r="672" customFormat="false" ht="13.8" hidden="false" customHeight="false" outlineLevel="0" collapsed="false">
      <c r="B672" s="2" t="n">
        <v>671</v>
      </c>
      <c r="C672" s="4" t="n">
        <v>0.000608777808338018</v>
      </c>
    </row>
    <row r="673" customFormat="false" ht="13.8" hidden="false" customHeight="false" outlineLevel="0" collapsed="false">
      <c r="B673" s="2" t="n">
        <v>672</v>
      </c>
      <c r="C673" s="4" t="n">
        <v>0.0003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2" activeCellId="0" sqref="N172"/>
    </sheetView>
  </sheetViews>
  <sheetFormatPr defaultColWidth="8.54296875" defaultRowHeight="13.8" zeroHeight="false" outlineLevelRow="0" outlineLevelCol="0"/>
  <cols>
    <col collapsed="false" customWidth="true" hidden="false" outlineLevel="0" max="2" min="2" style="6" width="8.85"/>
    <col collapsed="false" customWidth="true" hidden="false" outlineLevel="0" max="5" min="5" style="6" width="8.85"/>
    <col collapsed="false" customWidth="true" hidden="false" outlineLevel="0" max="6" min="6" style="7" width="8.85"/>
    <col collapsed="false" customWidth="true" hidden="false" outlineLevel="0" max="14" min="14" style="4" width="10.43"/>
  </cols>
  <sheetData>
    <row r="2" customFormat="false" ht="13.8" hidden="false" customHeight="false" outlineLevel="0" collapsed="false">
      <c r="B2" s="8" t="s">
        <v>3</v>
      </c>
      <c r="C2" s="9" t="n">
        <v>1</v>
      </c>
      <c r="D2" s="9"/>
      <c r="E2" s="10" t="s">
        <v>4</v>
      </c>
    </row>
    <row r="4" customFormat="false" ht="13.8" hidden="false" customHeight="false" outlineLevel="0" collapsed="false">
      <c r="B4" s="11" t="s">
        <v>5</v>
      </c>
      <c r="C4" s="12"/>
      <c r="D4" s="12" t="s">
        <v>6</v>
      </c>
      <c r="E4" s="13" t="s">
        <v>7</v>
      </c>
      <c r="F4" s="14" t="s">
        <v>8</v>
      </c>
      <c r="G4" s="15" t="s">
        <v>9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M4" s="15" t="s">
        <v>15</v>
      </c>
      <c r="N4" s="16" t="s">
        <v>16</v>
      </c>
    </row>
    <row r="5" customFormat="false" ht="13.8" hidden="false" customHeight="false" outlineLevel="0" collapsed="false">
      <c r="B5" s="11" t="n">
        <f aca="false">_xlfn.NUMBERVALUE(solar!B2)</f>
        <v>8</v>
      </c>
      <c r="C5" s="12" t="n">
        <f aca="false">solar!C2</f>
        <v>0</v>
      </c>
      <c r="D5" s="12" t="n">
        <v>1</v>
      </c>
      <c r="E5" s="6" t="n">
        <v>1</v>
      </c>
      <c r="F5" s="17" t="n">
        <f aca="false">IFERROR(INDEX($B$5:$C$173, MATCH($E5, $B$5:$B$175, 0), 2), 0)*investment!$C$2</f>
        <v>0</v>
      </c>
      <c r="G5" s="6" t="n">
        <f aca="false">demand!C3</f>
        <v>0</v>
      </c>
      <c r="H5" s="2" t="n">
        <f aca="false">solgen!C3</f>
        <v>0</v>
      </c>
      <c r="I5" s="2" t="n">
        <f aca="false">import!C3</f>
        <v>0</v>
      </c>
      <c r="J5" s="2" t="n">
        <f aca="false">-export!C3</f>
        <v>-0</v>
      </c>
      <c r="K5" s="2" t="n">
        <f aca="false">-charge!C3</f>
        <v>-0</v>
      </c>
      <c r="L5" s="2" t="n">
        <f aca="false">discharge!C3</f>
        <v>0</v>
      </c>
      <c r="M5" s="2" t="n">
        <f aca="false">soc!C3/investment!$E$2 *100</f>
        <v>62.7760015210488</v>
      </c>
      <c r="N5" s="4" t="n">
        <f aca="false">p_micro!C2</f>
        <v>0</v>
      </c>
    </row>
    <row r="6" customFormat="false" ht="13.8" hidden="false" customHeight="false" outlineLevel="0" collapsed="false">
      <c r="B6" s="11" t="n">
        <f aca="false">_xlfn.NUMBERVALUE(solar!B3)</f>
        <v>9</v>
      </c>
      <c r="C6" s="12" t="n">
        <f aca="false">solar!C3</f>
        <v>0</v>
      </c>
      <c r="D6" s="12" t="n">
        <v>2</v>
      </c>
      <c r="E6" s="6" t="n">
        <v>2</v>
      </c>
      <c r="F6" s="17" t="n">
        <f aca="false">IFERROR(INDEX($B$5:$C$173, MATCH($E6, $B$5:$B$175, 0), 2), 0)*investment!$C$2</f>
        <v>0</v>
      </c>
      <c r="G6" s="6" t="n">
        <f aca="false">demand!C4</f>
        <v>0</v>
      </c>
      <c r="H6" s="2" t="n">
        <f aca="false">solgen!C4</f>
        <v>0</v>
      </c>
      <c r="I6" s="2" t="n">
        <f aca="false">import!C4</f>
        <v>0</v>
      </c>
      <c r="J6" s="2" t="n">
        <f aca="false">-export!C4</f>
        <v>-0</v>
      </c>
      <c r="K6" s="2" t="n">
        <f aca="false">-charge!C4</f>
        <v>-0</v>
      </c>
      <c r="L6" s="2" t="n">
        <f aca="false">discharge!C4</f>
        <v>0</v>
      </c>
      <c r="M6" s="2" t="n">
        <f aca="false">soc!C4/investment!$E$2 *100</f>
        <v>33.6533051304202</v>
      </c>
      <c r="N6" s="4" t="n">
        <f aca="false">p_micro!C3</f>
        <v>0</v>
      </c>
    </row>
    <row r="7" customFormat="false" ht="13.8" hidden="false" customHeight="false" outlineLevel="0" collapsed="false">
      <c r="B7" s="11" t="n">
        <f aca="false">_xlfn.NUMBERVALUE(solar!B4)</f>
        <v>10</v>
      </c>
      <c r="C7" s="12" t="n">
        <f aca="false">solar!C4</f>
        <v>0</v>
      </c>
      <c r="D7" s="12" t="n">
        <v>3</v>
      </c>
      <c r="E7" s="6" t="n">
        <v>3</v>
      </c>
      <c r="F7" s="17" t="n">
        <f aca="false">IFERROR(INDEX($B$5:$C$173, MATCH($E7, $B$5:$B$175, 0), 2), 0)*investment!$C$2</f>
        <v>0</v>
      </c>
      <c r="G7" s="6" t="n">
        <f aca="false">demand!C5</f>
        <v>0</v>
      </c>
      <c r="H7" s="2" t="n">
        <f aca="false">solgen!C5</f>
        <v>0</v>
      </c>
      <c r="I7" s="2" t="n">
        <f aca="false">import!C5</f>
        <v>0</v>
      </c>
      <c r="J7" s="2" t="n">
        <f aca="false">-export!C5</f>
        <v>-0</v>
      </c>
      <c r="K7" s="2" t="n">
        <f aca="false">-charge!C5</f>
        <v>-0</v>
      </c>
      <c r="L7" s="2" t="n">
        <f aca="false">discharge!C5</f>
        <v>0</v>
      </c>
      <c r="M7" s="2" t="n">
        <f aca="false">soc!C5/investment!$E$2 *100</f>
        <v>0.438272524296529</v>
      </c>
      <c r="N7" s="4" t="n">
        <f aca="false">p_micro!C4</f>
        <v>0</v>
      </c>
    </row>
    <row r="8" customFormat="false" ht="13.8" hidden="false" customHeight="false" outlineLevel="0" collapsed="false">
      <c r="B8" s="11" t="n">
        <f aca="false">_xlfn.NUMBERVALUE(solar!B5)</f>
        <v>11</v>
      </c>
      <c r="C8" s="12" t="n">
        <f aca="false">solar!C5</f>
        <v>0</v>
      </c>
      <c r="D8" s="12" t="n">
        <v>4</v>
      </c>
      <c r="E8" s="6" t="n">
        <v>4</v>
      </c>
      <c r="F8" s="17" t="n">
        <f aca="false">IFERROR(INDEX($B$5:$C$173, MATCH($E8, $B$5:$B$175, 0), 2), 0)*investment!$C$2</f>
        <v>0</v>
      </c>
      <c r="G8" s="6" t="n">
        <f aca="false">demand!C6</f>
        <v>0</v>
      </c>
      <c r="H8" s="2" t="n">
        <f aca="false">solgen!C6</f>
        <v>0</v>
      </c>
      <c r="I8" s="2" t="n">
        <f aca="false">import!C6</f>
        <v>0</v>
      </c>
      <c r="J8" s="2" t="n">
        <f aca="false">-export!C6</f>
        <v>-0</v>
      </c>
      <c r="K8" s="2" t="n">
        <f aca="false">-charge!C6</f>
        <v>-0</v>
      </c>
      <c r="L8" s="2" t="n">
        <f aca="false">discharge!C6</f>
        <v>0</v>
      </c>
      <c r="M8" s="2" t="n">
        <f aca="false">soc!C6/investment!$E$2 *100</f>
        <v>0</v>
      </c>
      <c r="N8" s="4" t="n">
        <f aca="false">p_micro!C5</f>
        <v>0</v>
      </c>
    </row>
    <row r="9" customFormat="false" ht="13.8" hidden="false" customHeight="false" outlineLevel="0" collapsed="false">
      <c r="B9" s="11" t="n">
        <f aca="false">_xlfn.NUMBERVALUE(solar!B6)</f>
        <v>12</v>
      </c>
      <c r="C9" s="12" t="n">
        <f aca="false">solar!C6</f>
        <v>0</v>
      </c>
      <c r="D9" s="12" t="n">
        <v>5</v>
      </c>
      <c r="E9" s="6" t="n">
        <v>5</v>
      </c>
      <c r="F9" s="17" t="n">
        <f aca="false">IFERROR(INDEX($B$5:$C$173, MATCH($E9, $B$5:$B$175, 0), 2), 0)*investment!$C$2</f>
        <v>0</v>
      </c>
      <c r="G9" s="6" t="n">
        <f aca="false">demand!C7</f>
        <v>0</v>
      </c>
      <c r="H9" s="2" t="n">
        <f aca="false">solgen!C7</f>
        <v>0</v>
      </c>
      <c r="I9" s="2" t="n">
        <f aca="false">import!C7</f>
        <v>0</v>
      </c>
      <c r="J9" s="2" t="n">
        <f aca="false">-export!C7</f>
        <v>-0</v>
      </c>
      <c r="K9" s="2" t="n">
        <f aca="false">-charge!C7</f>
        <v>-0</v>
      </c>
      <c r="L9" s="2" t="n">
        <f aca="false">discharge!C7</f>
        <v>0</v>
      </c>
      <c r="M9" s="2" t="n">
        <f aca="false">soc!C7/investment!$E$2 *100</f>
        <v>0</v>
      </c>
      <c r="N9" s="4" t="n">
        <f aca="false">p_micro!C6</f>
        <v>0</v>
      </c>
    </row>
    <row r="10" customFormat="false" ht="13.8" hidden="false" customHeight="false" outlineLevel="0" collapsed="false">
      <c r="B10" s="11" t="n">
        <f aca="false">_xlfn.NUMBERVALUE(solar!B7)</f>
        <v>13</v>
      </c>
      <c r="C10" s="12" t="n">
        <f aca="false">solar!C7</f>
        <v>0</v>
      </c>
      <c r="D10" s="12" t="n">
        <v>6</v>
      </c>
      <c r="E10" s="6" t="n">
        <v>6</v>
      </c>
      <c r="F10" s="17" t="n">
        <f aca="false">IFERROR(INDEX($B$5:$C$173, MATCH($E10, $B$5:$B$175, 0), 2), 0)*investment!$C$2</f>
        <v>0</v>
      </c>
      <c r="G10" s="6" t="n">
        <f aca="false">demand!C8</f>
        <v>0</v>
      </c>
      <c r="H10" s="2" t="n">
        <f aca="false">solgen!C8</f>
        <v>0</v>
      </c>
      <c r="I10" s="2" t="n">
        <f aca="false">import!C8</f>
        <v>0</v>
      </c>
      <c r="J10" s="2" t="n">
        <f aca="false">-export!C8</f>
        <v>-0</v>
      </c>
      <c r="K10" s="2" t="n">
        <f aca="false">-charge!C8</f>
        <v>-0</v>
      </c>
      <c r="L10" s="2" t="n">
        <f aca="false">discharge!C8</f>
        <v>0</v>
      </c>
      <c r="M10" s="2" t="n">
        <f aca="false">soc!C8/investment!$E$2 *100</f>
        <v>0</v>
      </c>
      <c r="N10" s="4" t="n">
        <f aca="false">p_micro!C7</f>
        <v>0</v>
      </c>
    </row>
    <row r="11" customFormat="false" ht="13.8" hidden="false" customHeight="false" outlineLevel="0" collapsed="false">
      <c r="B11" s="11" t="n">
        <f aca="false">_xlfn.NUMBERVALUE(solar!B8)</f>
        <v>14</v>
      </c>
      <c r="C11" s="12" t="n">
        <f aca="false">solar!C8</f>
        <v>0</v>
      </c>
      <c r="D11" s="12" t="n">
        <v>7</v>
      </c>
      <c r="E11" s="6" t="n">
        <v>7</v>
      </c>
      <c r="F11" s="17" t="n">
        <f aca="false">IFERROR(INDEX($B$5:$C$173, MATCH($E11, $B$5:$B$175, 0), 2), 0)*investment!$C$2</f>
        <v>0</v>
      </c>
      <c r="G11" s="6" t="n">
        <f aca="false">demand!C9</f>
        <v>0</v>
      </c>
      <c r="H11" s="2" t="n">
        <f aca="false">solgen!C9</f>
        <v>0</v>
      </c>
      <c r="I11" s="2" t="n">
        <f aca="false">import!C9</f>
        <v>0</v>
      </c>
      <c r="J11" s="2" t="n">
        <f aca="false">-export!C9</f>
        <v>-0</v>
      </c>
      <c r="K11" s="2" t="n">
        <f aca="false">-charge!C9</f>
        <v>-0</v>
      </c>
      <c r="L11" s="2" t="n">
        <f aca="false">discharge!C9</f>
        <v>0</v>
      </c>
      <c r="M11" s="2" t="n">
        <f aca="false">soc!C9/investment!$E$2 *100</f>
        <v>0</v>
      </c>
      <c r="N11" s="4" t="n">
        <f aca="false">p_micro!C8</f>
        <v>0</v>
      </c>
    </row>
    <row r="12" customFormat="false" ht="13.8" hidden="false" customHeight="false" outlineLevel="0" collapsed="false">
      <c r="B12" s="11" t="n">
        <f aca="false">_xlfn.NUMBERVALUE(solar!B9)</f>
        <v>15</v>
      </c>
      <c r="C12" s="12" t="n">
        <f aca="false">solar!C9</f>
        <v>0</v>
      </c>
      <c r="D12" s="12" t="n">
        <v>8</v>
      </c>
      <c r="E12" s="6" t="n">
        <v>8</v>
      </c>
      <c r="F12" s="17" t="n">
        <f aca="false">IFERROR(INDEX($B$5:$C$173, MATCH($E12, $B$5:$B$175, 0), 2), 0)*investment!$C$2</f>
        <v>0</v>
      </c>
      <c r="G12" s="6" t="n">
        <f aca="false">demand!C10</f>
        <v>0</v>
      </c>
      <c r="H12" s="2" t="n">
        <f aca="false">solgen!C10</f>
        <v>0</v>
      </c>
      <c r="I12" s="2" t="n">
        <f aca="false">import!C10</f>
        <v>0</v>
      </c>
      <c r="J12" s="2" t="n">
        <f aca="false">-export!C10</f>
        <v>-0</v>
      </c>
      <c r="K12" s="2" t="n">
        <f aca="false">-charge!C10</f>
        <v>-0</v>
      </c>
      <c r="L12" s="2" t="n">
        <f aca="false">discharge!C10</f>
        <v>0</v>
      </c>
      <c r="M12" s="2" t="n">
        <f aca="false">soc!C10/investment!$E$2 *100</f>
        <v>0</v>
      </c>
      <c r="N12" s="4" t="n">
        <f aca="false">p_micro!C9</f>
        <v>0</v>
      </c>
    </row>
    <row r="13" customFormat="false" ht="13.8" hidden="false" customHeight="false" outlineLevel="0" collapsed="false">
      <c r="B13" s="11" t="n">
        <f aca="false">_xlfn.NUMBERVALUE(solar!B10)</f>
        <v>16</v>
      </c>
      <c r="C13" s="12" t="n">
        <f aca="false">solar!C10</f>
        <v>0</v>
      </c>
      <c r="D13" s="12" t="n">
        <v>9</v>
      </c>
      <c r="E13" s="6" t="n">
        <v>9</v>
      </c>
      <c r="F13" s="17" t="n">
        <f aca="false">IFERROR(INDEX($B$5:$C$173, MATCH($E13, $B$5:$B$175, 0), 2), 0)*investment!$C$2</f>
        <v>0</v>
      </c>
      <c r="G13" s="6" t="n">
        <f aca="false">demand!C11</f>
        <v>0</v>
      </c>
      <c r="H13" s="2" t="n">
        <f aca="false">solgen!C11</f>
        <v>0</v>
      </c>
      <c r="I13" s="2" t="n">
        <f aca="false">import!C11</f>
        <v>0</v>
      </c>
      <c r="J13" s="2" t="n">
        <f aca="false">-export!C11</f>
        <v>-0</v>
      </c>
      <c r="K13" s="2" t="n">
        <f aca="false">-charge!C11</f>
        <v>-0</v>
      </c>
      <c r="L13" s="2" t="n">
        <f aca="false">discharge!C11</f>
        <v>0</v>
      </c>
      <c r="M13" s="2" t="n">
        <f aca="false">soc!C11/investment!$E$2 *100</f>
        <v>0</v>
      </c>
      <c r="N13" s="4" t="n">
        <f aca="false">p_micro!C10</f>
        <v>0</v>
      </c>
    </row>
    <row r="14" customFormat="false" ht="13.8" hidden="false" customHeight="false" outlineLevel="0" collapsed="false">
      <c r="B14" s="11" t="n">
        <f aca="false">_xlfn.NUMBERVALUE(solar!B11)</f>
        <v>17</v>
      </c>
      <c r="C14" s="12" t="n">
        <f aca="false">solar!C11</f>
        <v>0</v>
      </c>
      <c r="D14" s="12" t="n">
        <v>10</v>
      </c>
      <c r="E14" s="6" t="n">
        <v>10</v>
      </c>
      <c r="F14" s="17" t="n">
        <f aca="false">IFERROR(INDEX($B$5:$C$173, MATCH($E14, $B$5:$B$175, 0), 2), 0)*investment!$C$2</f>
        <v>0</v>
      </c>
      <c r="G14" s="6" t="n">
        <f aca="false">demand!C12</f>
        <v>0</v>
      </c>
      <c r="H14" s="2" t="n">
        <f aca="false">solgen!C12</f>
        <v>0</v>
      </c>
      <c r="I14" s="2" t="n">
        <f aca="false">import!C12</f>
        <v>0</v>
      </c>
      <c r="J14" s="2" t="n">
        <f aca="false">-export!C12</f>
        <v>-0</v>
      </c>
      <c r="K14" s="2" t="n">
        <f aca="false">-charge!C12</f>
        <v>-0</v>
      </c>
      <c r="L14" s="2" t="n">
        <f aca="false">discharge!C12</f>
        <v>0</v>
      </c>
      <c r="M14" s="2" t="n">
        <f aca="false">soc!C12/investment!$E$2 *100</f>
        <v>0</v>
      </c>
      <c r="N14" s="4" t="n">
        <f aca="false">p_micro!C11</f>
        <v>0</v>
      </c>
    </row>
    <row r="15" customFormat="false" ht="13.8" hidden="false" customHeight="false" outlineLevel="0" collapsed="false">
      <c r="B15" s="11" t="n">
        <f aca="false">_xlfn.NUMBERVALUE(solar!B12)</f>
        <v>18</v>
      </c>
      <c r="C15" s="12" t="n">
        <f aca="false">solar!C12</f>
        <v>0</v>
      </c>
      <c r="D15" s="12" t="n">
        <v>11</v>
      </c>
      <c r="E15" s="6" t="n">
        <v>11</v>
      </c>
      <c r="F15" s="17" t="n">
        <f aca="false">IFERROR(INDEX($B$5:$C$173, MATCH($E15, $B$5:$B$175, 0), 2), 0)*investment!$C$2</f>
        <v>0</v>
      </c>
      <c r="G15" s="6" t="n">
        <f aca="false">demand!C13</f>
        <v>0</v>
      </c>
      <c r="H15" s="2" t="n">
        <f aca="false">solgen!C13</f>
        <v>0</v>
      </c>
      <c r="I15" s="2" t="n">
        <f aca="false">import!C13</f>
        <v>0</v>
      </c>
      <c r="J15" s="2" t="n">
        <f aca="false">-export!C13</f>
        <v>-0</v>
      </c>
      <c r="K15" s="2" t="n">
        <f aca="false">-charge!C13</f>
        <v>-0</v>
      </c>
      <c r="L15" s="2" t="n">
        <f aca="false">discharge!C13</f>
        <v>0</v>
      </c>
      <c r="M15" s="2" t="n">
        <f aca="false">soc!C13/investment!$E$2 *100</f>
        <v>0</v>
      </c>
      <c r="N15" s="4" t="n">
        <f aca="false">p_micro!C12</f>
        <v>0</v>
      </c>
    </row>
    <row r="16" customFormat="false" ht="13.8" hidden="false" customHeight="false" outlineLevel="0" collapsed="false">
      <c r="B16" s="11" t="n">
        <f aca="false">_xlfn.NUMBERVALUE(solar!B13)</f>
        <v>19</v>
      </c>
      <c r="C16" s="12" t="n">
        <f aca="false">solar!C13</f>
        <v>0</v>
      </c>
      <c r="D16" s="12" t="n">
        <v>12</v>
      </c>
      <c r="E16" s="6" t="n">
        <v>12</v>
      </c>
      <c r="F16" s="17" t="n">
        <f aca="false">IFERROR(INDEX($B$5:$C$173, MATCH($E16, $B$5:$B$175, 0), 2), 0)*investment!$C$2</f>
        <v>0</v>
      </c>
      <c r="G16" s="6" t="n">
        <f aca="false">demand!C14</f>
        <v>0</v>
      </c>
      <c r="H16" s="2" t="n">
        <f aca="false">solgen!C14</f>
        <v>0</v>
      </c>
      <c r="I16" s="2" t="n">
        <f aca="false">import!C14</f>
        <v>0</v>
      </c>
      <c r="J16" s="2" t="n">
        <f aca="false">-export!C14</f>
        <v>-0</v>
      </c>
      <c r="K16" s="2" t="n">
        <f aca="false">-charge!C14</f>
        <v>-0</v>
      </c>
      <c r="L16" s="2" t="n">
        <f aca="false">discharge!C14</f>
        <v>0</v>
      </c>
      <c r="M16" s="2" t="n">
        <f aca="false">soc!C14/investment!$E$2 *100</f>
        <v>6.4809441285668E-006</v>
      </c>
      <c r="N16" s="4" t="n">
        <f aca="false">p_micro!C13</f>
        <v>0</v>
      </c>
    </row>
    <row r="17" customFormat="false" ht="13.8" hidden="false" customHeight="false" outlineLevel="0" collapsed="false">
      <c r="B17" s="11" t="n">
        <f aca="false">_xlfn.NUMBERVALUE(solar!B14)</f>
        <v>32</v>
      </c>
      <c r="C17" s="12" t="n">
        <f aca="false">solar!C14</f>
        <v>0</v>
      </c>
      <c r="D17" s="12" t="n">
        <v>13</v>
      </c>
      <c r="E17" s="6" t="n">
        <v>13</v>
      </c>
      <c r="F17" s="17" t="n">
        <f aca="false">IFERROR(INDEX($B$5:$C$173, MATCH($E17, $B$5:$B$175, 0), 2), 0)*investment!$C$2</f>
        <v>0</v>
      </c>
      <c r="G17" s="6" t="n">
        <f aca="false">demand!C15</f>
        <v>0</v>
      </c>
      <c r="H17" s="2" t="n">
        <f aca="false">solgen!C15</f>
        <v>0</v>
      </c>
      <c r="I17" s="2" t="n">
        <f aca="false">import!C15</f>
        <v>0</v>
      </c>
      <c r="J17" s="2" t="n">
        <f aca="false">-export!C15</f>
        <v>-0</v>
      </c>
      <c r="K17" s="2" t="n">
        <f aca="false">-charge!C15</f>
        <v>-0</v>
      </c>
      <c r="L17" s="2" t="n">
        <f aca="false">discharge!C15</f>
        <v>0</v>
      </c>
      <c r="M17" s="2" t="n">
        <f aca="false">soc!C15/investment!$E$2 *100</f>
        <v>0</v>
      </c>
      <c r="N17" s="4" t="n">
        <f aca="false">p_micro!C14</f>
        <v>0</v>
      </c>
    </row>
    <row r="18" customFormat="false" ht="13.8" hidden="false" customHeight="false" outlineLevel="0" collapsed="false">
      <c r="B18" s="11" t="n">
        <f aca="false">_xlfn.NUMBERVALUE(solar!B15)</f>
        <v>33</v>
      </c>
      <c r="C18" s="12" t="n">
        <f aca="false">solar!C15</f>
        <v>0</v>
      </c>
      <c r="D18" s="12" t="n">
        <v>14</v>
      </c>
      <c r="E18" s="6" t="n">
        <v>14</v>
      </c>
      <c r="F18" s="17" t="n">
        <f aca="false">IFERROR(INDEX($B$5:$C$173, MATCH($E18, $B$5:$B$175, 0), 2), 0)*investment!$C$2</f>
        <v>0</v>
      </c>
      <c r="G18" s="6" t="n">
        <f aca="false">demand!C16</f>
        <v>0</v>
      </c>
      <c r="H18" s="2" t="n">
        <f aca="false">solgen!C16</f>
        <v>0</v>
      </c>
      <c r="I18" s="2" t="n">
        <f aca="false">import!C16</f>
        <v>0</v>
      </c>
      <c r="J18" s="2" t="n">
        <f aca="false">-export!C16</f>
        <v>-0</v>
      </c>
      <c r="K18" s="2" t="n">
        <f aca="false">-charge!C16</f>
        <v>-0</v>
      </c>
      <c r="L18" s="2" t="n">
        <f aca="false">discharge!C16</f>
        <v>0</v>
      </c>
      <c r="M18" s="2" t="n">
        <f aca="false">soc!C16/investment!$E$2 *100</f>
        <v>0</v>
      </c>
      <c r="N18" s="4" t="n">
        <f aca="false">p_micro!C15</f>
        <v>0</v>
      </c>
    </row>
    <row r="19" customFormat="false" ht="13.8" hidden="false" customHeight="false" outlineLevel="0" collapsed="false">
      <c r="B19" s="11" t="n">
        <f aca="false">_xlfn.NUMBERVALUE(solar!B16)</f>
        <v>34</v>
      </c>
      <c r="C19" s="12" t="n">
        <f aca="false">solar!C16</f>
        <v>0</v>
      </c>
      <c r="D19" s="12" t="n">
        <v>15</v>
      </c>
      <c r="E19" s="6" t="n">
        <v>15</v>
      </c>
      <c r="F19" s="17" t="n">
        <f aca="false">IFERROR(INDEX($B$5:$C$173, MATCH($E19, $B$5:$B$175, 0), 2), 0)*investment!$C$2</f>
        <v>0</v>
      </c>
      <c r="G19" s="6" t="n">
        <f aca="false">demand!C17</f>
        <v>0</v>
      </c>
      <c r="H19" s="2" t="n">
        <f aca="false">solgen!C17</f>
        <v>0</v>
      </c>
      <c r="I19" s="2" t="n">
        <f aca="false">import!C17</f>
        <v>0</v>
      </c>
      <c r="J19" s="2" t="n">
        <f aca="false">-export!C17</f>
        <v>-0</v>
      </c>
      <c r="K19" s="2" t="n">
        <f aca="false">-charge!C17</f>
        <v>-0</v>
      </c>
      <c r="L19" s="2" t="n">
        <f aca="false">discharge!C17</f>
        <v>0</v>
      </c>
      <c r="M19" s="2" t="n">
        <f aca="false">soc!C17/investment!$E$2 *100</f>
        <v>0</v>
      </c>
      <c r="N19" s="4" t="n">
        <f aca="false">p_micro!C16</f>
        <v>0</v>
      </c>
    </row>
    <row r="20" customFormat="false" ht="13.8" hidden="false" customHeight="false" outlineLevel="0" collapsed="false">
      <c r="B20" s="11" t="n">
        <f aca="false">_xlfn.NUMBERVALUE(solar!B17)</f>
        <v>35</v>
      </c>
      <c r="C20" s="12" t="n">
        <f aca="false">solar!C17</f>
        <v>0</v>
      </c>
      <c r="D20" s="12" t="n">
        <v>16</v>
      </c>
      <c r="E20" s="6" t="n">
        <v>16</v>
      </c>
      <c r="F20" s="17" t="n">
        <f aca="false">IFERROR(INDEX($B$5:$C$173, MATCH($E20, $B$5:$B$175, 0), 2), 0)*investment!$C$2</f>
        <v>0</v>
      </c>
      <c r="G20" s="6" t="n">
        <f aca="false">demand!C18</f>
        <v>0</v>
      </c>
      <c r="H20" s="2" t="n">
        <f aca="false">solgen!C18</f>
        <v>0</v>
      </c>
      <c r="I20" s="2" t="n">
        <f aca="false">import!C18</f>
        <v>0</v>
      </c>
      <c r="J20" s="2" t="n">
        <f aca="false">-export!C18</f>
        <v>-0</v>
      </c>
      <c r="K20" s="2" t="n">
        <f aca="false">-charge!C18</f>
        <v>-0</v>
      </c>
      <c r="L20" s="2" t="n">
        <f aca="false">discharge!C18</f>
        <v>0</v>
      </c>
      <c r="M20" s="2" t="n">
        <f aca="false">soc!C18/investment!$E$2 *100</f>
        <v>6.39851231728459E-006</v>
      </c>
      <c r="N20" s="4" t="n">
        <f aca="false">p_micro!C17</f>
        <v>0</v>
      </c>
    </row>
    <row r="21" customFormat="false" ht="13.8" hidden="false" customHeight="false" outlineLevel="0" collapsed="false">
      <c r="B21" s="11" t="n">
        <f aca="false">_xlfn.NUMBERVALUE(solar!B18)</f>
        <v>36</v>
      </c>
      <c r="C21" s="12" t="n">
        <f aca="false">solar!C18</f>
        <v>0</v>
      </c>
      <c r="D21" s="12" t="n">
        <v>17</v>
      </c>
      <c r="E21" s="6" t="n">
        <v>17</v>
      </c>
      <c r="F21" s="17" t="n">
        <f aca="false">IFERROR(INDEX($B$5:$C$173, MATCH($E21, $B$5:$B$175, 0), 2), 0)*investment!$C$2</f>
        <v>0</v>
      </c>
      <c r="G21" s="6" t="n">
        <f aca="false">demand!C19</f>
        <v>0</v>
      </c>
      <c r="H21" s="2" t="n">
        <f aca="false">solgen!C19</f>
        <v>0</v>
      </c>
      <c r="I21" s="2" t="n">
        <f aca="false">import!C19</f>
        <v>0</v>
      </c>
      <c r="J21" s="2" t="n">
        <f aca="false">-export!C19</f>
        <v>-0</v>
      </c>
      <c r="K21" s="2" t="n">
        <f aca="false">-charge!C19</f>
        <v>-0</v>
      </c>
      <c r="L21" s="2" t="n">
        <f aca="false">discharge!C19</f>
        <v>0</v>
      </c>
      <c r="M21" s="2" t="n">
        <f aca="false">soc!C19/investment!$E$2 *100</f>
        <v>0</v>
      </c>
      <c r="N21" s="4" t="n">
        <f aca="false">p_micro!C18</f>
        <v>0</v>
      </c>
    </row>
    <row r="22" customFormat="false" ht="13.8" hidden="false" customHeight="false" outlineLevel="0" collapsed="false">
      <c r="B22" s="11" t="n">
        <f aca="false">_xlfn.NUMBERVALUE(solar!B19)</f>
        <v>37</v>
      </c>
      <c r="C22" s="12" t="n">
        <f aca="false">solar!C19</f>
        <v>0</v>
      </c>
      <c r="D22" s="12" t="n">
        <v>18</v>
      </c>
      <c r="E22" s="6" t="n">
        <v>18</v>
      </c>
      <c r="F22" s="17" t="n">
        <f aca="false">IFERROR(INDEX($B$5:$C$173, MATCH($E22, $B$5:$B$175, 0), 2), 0)*investment!$C$2</f>
        <v>0</v>
      </c>
      <c r="G22" s="6" t="n">
        <f aca="false">demand!C20</f>
        <v>0</v>
      </c>
      <c r="H22" s="2" t="n">
        <f aca="false">solgen!C20</f>
        <v>0</v>
      </c>
      <c r="I22" s="2" t="n">
        <f aca="false">import!C20</f>
        <v>0</v>
      </c>
      <c r="J22" s="2" t="n">
        <f aca="false">-export!C20</f>
        <v>-0</v>
      </c>
      <c r="K22" s="2" t="n">
        <f aca="false">-charge!C20</f>
        <v>-0</v>
      </c>
      <c r="L22" s="2" t="n">
        <f aca="false">discharge!C20</f>
        <v>0</v>
      </c>
      <c r="M22" s="2" t="n">
        <f aca="false">soc!C20/investment!$E$2 *100</f>
        <v>0</v>
      </c>
      <c r="N22" s="4" t="n">
        <f aca="false">p_micro!C19</f>
        <v>0</v>
      </c>
    </row>
    <row r="23" customFormat="false" ht="13.8" hidden="false" customHeight="false" outlineLevel="0" collapsed="false">
      <c r="B23" s="11" t="n">
        <f aca="false">_xlfn.NUMBERVALUE(solar!B20)</f>
        <v>38</v>
      </c>
      <c r="C23" s="12" t="n">
        <f aca="false">solar!C20</f>
        <v>0</v>
      </c>
      <c r="D23" s="12" t="n">
        <v>19</v>
      </c>
      <c r="E23" s="6" t="n">
        <v>19</v>
      </c>
      <c r="F23" s="17" t="n">
        <f aca="false">IFERROR(INDEX($B$5:$C$173, MATCH($E23, $B$5:$B$175, 0), 2), 0)*investment!$C$2</f>
        <v>0</v>
      </c>
      <c r="G23" s="6" t="n">
        <f aca="false">demand!C21</f>
        <v>0</v>
      </c>
      <c r="H23" s="2" t="n">
        <f aca="false">solgen!C21</f>
        <v>0</v>
      </c>
      <c r="I23" s="2" t="n">
        <f aca="false">import!C21</f>
        <v>0</v>
      </c>
      <c r="J23" s="2" t="n">
        <f aca="false">-export!C21</f>
        <v>-0</v>
      </c>
      <c r="K23" s="2" t="n">
        <f aca="false">-charge!C21</f>
        <v>-0</v>
      </c>
      <c r="L23" s="2" t="n">
        <f aca="false">discharge!C21</f>
        <v>0</v>
      </c>
      <c r="M23" s="2" t="n">
        <f aca="false">soc!C21/investment!$E$2 *100</f>
        <v>0</v>
      </c>
      <c r="N23" s="4" t="n">
        <f aca="false">p_micro!C20</f>
        <v>0</v>
      </c>
    </row>
    <row r="24" customFormat="false" ht="13.8" hidden="false" customHeight="false" outlineLevel="0" collapsed="false">
      <c r="B24" s="11" t="n">
        <f aca="false">_xlfn.NUMBERVALUE(solar!B21)</f>
        <v>39</v>
      </c>
      <c r="C24" s="12" t="n">
        <f aca="false">solar!C21</f>
        <v>0</v>
      </c>
      <c r="D24" s="12" t="n">
        <v>20</v>
      </c>
      <c r="E24" s="6" t="n">
        <v>20</v>
      </c>
      <c r="F24" s="17" t="n">
        <f aca="false">IFERROR(INDEX($B$5:$C$173, MATCH($E24, $B$5:$B$175, 0), 2), 0)*investment!$C$2</f>
        <v>0</v>
      </c>
      <c r="G24" s="6" t="n">
        <f aca="false">demand!C22</f>
        <v>0</v>
      </c>
      <c r="H24" s="2" t="n">
        <f aca="false">solgen!C22</f>
        <v>0</v>
      </c>
      <c r="I24" s="2" t="n">
        <f aca="false">import!C22</f>
        <v>0</v>
      </c>
      <c r="J24" s="2" t="n">
        <f aca="false">-export!C22</f>
        <v>-0</v>
      </c>
      <c r="K24" s="2" t="n">
        <f aca="false">-charge!C22</f>
        <v>-0</v>
      </c>
      <c r="L24" s="2" t="n">
        <f aca="false">discharge!C22</f>
        <v>0</v>
      </c>
      <c r="M24" s="2" t="n">
        <f aca="false">soc!C22/investment!$E$2 *100</f>
        <v>0</v>
      </c>
      <c r="N24" s="4" t="n">
        <f aca="false">p_micro!C21</f>
        <v>0</v>
      </c>
    </row>
    <row r="25" customFormat="false" ht="13.8" hidden="false" customHeight="false" outlineLevel="0" collapsed="false">
      <c r="B25" s="11" t="n">
        <f aca="false">_xlfn.NUMBERVALUE(solar!B22)</f>
        <v>40</v>
      </c>
      <c r="C25" s="12" t="n">
        <f aca="false">solar!C22</f>
        <v>0</v>
      </c>
      <c r="D25" s="12" t="n">
        <v>21</v>
      </c>
      <c r="E25" s="6" t="n">
        <v>21</v>
      </c>
      <c r="F25" s="17" t="n">
        <f aca="false">IFERROR(INDEX($B$5:$C$173, MATCH($E25, $B$5:$B$175, 0), 2), 0)*investment!$C$2</f>
        <v>0</v>
      </c>
      <c r="G25" s="6" t="n">
        <f aca="false">demand!C23</f>
        <v>0</v>
      </c>
      <c r="H25" s="2" t="n">
        <f aca="false">solgen!C23</f>
        <v>0</v>
      </c>
      <c r="I25" s="2" t="n">
        <f aca="false">import!C23</f>
        <v>0</v>
      </c>
      <c r="J25" s="2" t="n">
        <f aca="false">-export!C23</f>
        <v>-0</v>
      </c>
      <c r="K25" s="2" t="n">
        <f aca="false">-charge!C23</f>
        <v>-0</v>
      </c>
      <c r="L25" s="2" t="n">
        <f aca="false">discharge!C23</f>
        <v>0</v>
      </c>
      <c r="M25" s="2" t="n">
        <f aca="false">soc!C23/investment!$E$2 *100</f>
        <v>0</v>
      </c>
      <c r="N25" s="4" t="n">
        <f aca="false">p_micro!C22</f>
        <v>0</v>
      </c>
    </row>
    <row r="26" customFormat="false" ht="13.8" hidden="false" customHeight="false" outlineLevel="0" collapsed="false">
      <c r="B26" s="11" t="n">
        <f aca="false">_xlfn.NUMBERVALUE(solar!B23)</f>
        <v>41</v>
      </c>
      <c r="C26" s="12" t="n">
        <f aca="false">solar!C23</f>
        <v>0</v>
      </c>
      <c r="D26" s="12" t="n">
        <v>22</v>
      </c>
      <c r="E26" s="6" t="n">
        <v>22</v>
      </c>
      <c r="F26" s="17" t="n">
        <f aca="false">IFERROR(INDEX($B$5:$C$173, MATCH($E26, $B$5:$B$175, 0), 2), 0)*investment!$C$2</f>
        <v>0</v>
      </c>
      <c r="G26" s="6" t="n">
        <f aca="false">demand!C24</f>
        <v>0</v>
      </c>
      <c r="H26" s="2" t="n">
        <f aca="false">solgen!C24</f>
        <v>0</v>
      </c>
      <c r="I26" s="2" t="n">
        <f aca="false">import!C24</f>
        <v>0</v>
      </c>
      <c r="J26" s="2" t="n">
        <f aca="false">-export!C24</f>
        <v>-0</v>
      </c>
      <c r="K26" s="2" t="n">
        <f aca="false">-charge!C24</f>
        <v>-0</v>
      </c>
      <c r="L26" s="2" t="n">
        <f aca="false">discharge!C24</f>
        <v>0</v>
      </c>
      <c r="M26" s="2" t="n">
        <f aca="false">soc!C24/investment!$E$2 *100</f>
        <v>6.48160566020474E-006</v>
      </c>
      <c r="N26" s="4" t="n">
        <f aca="false">p_micro!C23</f>
        <v>0</v>
      </c>
    </row>
    <row r="27" customFormat="false" ht="13.8" hidden="false" customHeight="false" outlineLevel="0" collapsed="false">
      <c r="B27" s="11" t="n">
        <f aca="false">_xlfn.NUMBERVALUE(solar!B24)</f>
        <v>42</v>
      </c>
      <c r="C27" s="12" t="n">
        <f aca="false">solar!C24</f>
        <v>0</v>
      </c>
      <c r="D27" s="12" t="n">
        <v>23</v>
      </c>
      <c r="E27" s="6" t="n">
        <v>23</v>
      </c>
      <c r="F27" s="17" t="n">
        <f aca="false">IFERROR(INDEX($B$5:$C$173, MATCH($E27, $B$5:$B$175, 0), 2), 0)*investment!$C$2</f>
        <v>0</v>
      </c>
      <c r="G27" s="6" t="n">
        <f aca="false">demand!C25</f>
        <v>0</v>
      </c>
      <c r="H27" s="2" t="n">
        <f aca="false">solgen!C25</f>
        <v>0</v>
      </c>
      <c r="I27" s="2" t="n">
        <f aca="false">import!C25</f>
        <v>0</v>
      </c>
      <c r="J27" s="2" t="n">
        <f aca="false">-export!C25</f>
        <v>-0</v>
      </c>
      <c r="K27" s="2" t="n">
        <f aca="false">-charge!C25</f>
        <v>-0</v>
      </c>
      <c r="L27" s="2" t="n">
        <f aca="false">discharge!C25</f>
        <v>0</v>
      </c>
      <c r="M27" s="2" t="n">
        <f aca="false">soc!C25/investment!$E$2 *100</f>
        <v>0</v>
      </c>
      <c r="N27" s="4" t="n">
        <f aca="false">p_micro!C24</f>
        <v>0</v>
      </c>
    </row>
    <row r="28" customFormat="false" ht="13.8" hidden="false" customHeight="false" outlineLevel="0" collapsed="false">
      <c r="B28" s="11" t="n">
        <f aca="false">_xlfn.NUMBERVALUE(solar!B25)</f>
        <v>43</v>
      </c>
      <c r="C28" s="12" t="n">
        <f aca="false">solar!C25</f>
        <v>0</v>
      </c>
      <c r="D28" s="12" t="n">
        <v>24</v>
      </c>
      <c r="E28" s="6" t="n">
        <v>24</v>
      </c>
      <c r="F28" s="17" t="n">
        <f aca="false">IFERROR(INDEX($B$5:$C$173, MATCH($E28, $B$5:$B$175, 0), 2), 0)*investment!$C$2</f>
        <v>0</v>
      </c>
      <c r="G28" s="6" t="n">
        <f aca="false">demand!C26</f>
        <v>0</v>
      </c>
      <c r="H28" s="2" t="n">
        <f aca="false">solgen!C26</f>
        <v>0</v>
      </c>
      <c r="I28" s="2" t="n">
        <f aca="false">import!C26</f>
        <v>0</v>
      </c>
      <c r="J28" s="2" t="n">
        <f aca="false">-export!C26</f>
        <v>-0</v>
      </c>
      <c r="K28" s="2" t="n">
        <f aca="false">-charge!C26</f>
        <v>-0</v>
      </c>
      <c r="L28" s="2" t="n">
        <f aca="false">discharge!C26</f>
        <v>0</v>
      </c>
      <c r="M28" s="2" t="n">
        <f aca="false">soc!C26/investment!$E$2 *100</f>
        <v>6.48173797444268E-006</v>
      </c>
      <c r="N28" s="4" t="n">
        <f aca="false">p_micro!C25</f>
        <v>0</v>
      </c>
    </row>
    <row r="29" customFormat="false" ht="13.8" hidden="false" customHeight="false" outlineLevel="0" collapsed="false">
      <c r="B29" s="11" t="n">
        <f aca="false">_xlfn.NUMBERVALUE(solar!B26)</f>
        <v>56</v>
      </c>
      <c r="C29" s="12" t="n">
        <f aca="false">solar!C26</f>
        <v>0</v>
      </c>
      <c r="D29" s="12" t="n">
        <v>1</v>
      </c>
      <c r="E29" s="6" t="n">
        <v>25</v>
      </c>
      <c r="F29" s="17" t="n">
        <f aca="false">IFERROR(INDEX($B$5:$C$173, MATCH($E29, $B$5:$B$175, 0), 2), 0)*investment!$C$2</f>
        <v>0</v>
      </c>
      <c r="G29" s="6" t="n">
        <f aca="false">demand!C27</f>
        <v>0</v>
      </c>
      <c r="H29" s="2" t="n">
        <f aca="false">solgen!C27</f>
        <v>0</v>
      </c>
      <c r="I29" s="2" t="n">
        <f aca="false">import!C27</f>
        <v>0</v>
      </c>
      <c r="J29" s="2" t="n">
        <f aca="false">-export!C27</f>
        <v>-0</v>
      </c>
      <c r="K29" s="2" t="n">
        <f aca="false">-charge!C27</f>
        <v>-0</v>
      </c>
      <c r="L29" s="2" t="n">
        <f aca="false">discharge!C27</f>
        <v>0</v>
      </c>
      <c r="M29" s="2" t="n">
        <f aca="false">soc!C27/investment!$E$2 *100</f>
        <v>0</v>
      </c>
      <c r="N29" s="4" t="n">
        <f aca="false">p_micro!C26</f>
        <v>0</v>
      </c>
    </row>
    <row r="30" customFormat="false" ht="13.8" hidden="false" customHeight="false" outlineLevel="0" collapsed="false">
      <c r="B30" s="11" t="n">
        <f aca="false">_xlfn.NUMBERVALUE(solar!B27)</f>
        <v>57</v>
      </c>
      <c r="C30" s="12" t="n">
        <f aca="false">solar!C27</f>
        <v>0</v>
      </c>
      <c r="D30" s="12" t="n">
        <v>2</v>
      </c>
      <c r="E30" s="6" t="n">
        <v>26</v>
      </c>
      <c r="F30" s="17" t="n">
        <f aca="false">IFERROR(INDEX($B$5:$C$173, MATCH($E30, $B$5:$B$175, 0), 2), 0)*investment!$C$2</f>
        <v>0</v>
      </c>
      <c r="G30" s="6" t="n">
        <f aca="false">demand!C28</f>
        <v>0</v>
      </c>
      <c r="H30" s="2" t="n">
        <f aca="false">solgen!C28</f>
        <v>0</v>
      </c>
      <c r="I30" s="2" t="n">
        <f aca="false">import!C28</f>
        <v>0</v>
      </c>
      <c r="J30" s="2" t="n">
        <f aca="false">-export!C28</f>
        <v>-0</v>
      </c>
      <c r="K30" s="2" t="n">
        <f aca="false">-charge!C28</f>
        <v>-0</v>
      </c>
      <c r="L30" s="2" t="n">
        <f aca="false">discharge!C28</f>
        <v>0</v>
      </c>
      <c r="M30" s="2" t="n">
        <f aca="false">soc!C28/investment!$E$2 *100</f>
        <v>0</v>
      </c>
      <c r="N30" s="4" t="n">
        <f aca="false">p_micro!C27</f>
        <v>0</v>
      </c>
    </row>
    <row r="31" customFormat="false" ht="13.8" hidden="false" customHeight="false" outlineLevel="0" collapsed="false">
      <c r="B31" s="11" t="n">
        <f aca="false">_xlfn.NUMBERVALUE(solar!B28)</f>
        <v>58</v>
      </c>
      <c r="C31" s="12" t="n">
        <f aca="false">solar!C28</f>
        <v>0</v>
      </c>
      <c r="D31" s="12" t="n">
        <v>3</v>
      </c>
      <c r="E31" s="6" t="n">
        <v>27</v>
      </c>
      <c r="F31" s="17" t="n">
        <f aca="false">IFERROR(INDEX($B$5:$C$173, MATCH($E31, $B$5:$B$175, 0), 2), 0)*investment!$C$2</f>
        <v>0</v>
      </c>
      <c r="G31" s="6" t="n">
        <f aca="false">demand!C29</f>
        <v>0</v>
      </c>
      <c r="H31" s="2" t="n">
        <f aca="false">solgen!C29</f>
        <v>0</v>
      </c>
      <c r="I31" s="2" t="n">
        <f aca="false">import!C29</f>
        <v>0</v>
      </c>
      <c r="J31" s="2" t="n">
        <f aca="false">-export!C29</f>
        <v>-0</v>
      </c>
      <c r="K31" s="2" t="n">
        <f aca="false">-charge!C29</f>
        <v>-0</v>
      </c>
      <c r="L31" s="2" t="n">
        <f aca="false">discharge!C29</f>
        <v>0</v>
      </c>
      <c r="M31" s="2" t="n">
        <f aca="false">soc!C29/investment!$E$2 *100</f>
        <v>0</v>
      </c>
      <c r="N31" s="4" t="n">
        <f aca="false">p_micro!C28</f>
        <v>0</v>
      </c>
    </row>
    <row r="32" customFormat="false" ht="13.8" hidden="false" customHeight="false" outlineLevel="0" collapsed="false">
      <c r="B32" s="11" t="n">
        <f aca="false">_xlfn.NUMBERVALUE(solar!B29)</f>
        <v>59</v>
      </c>
      <c r="C32" s="12" t="n">
        <f aca="false">solar!C29</f>
        <v>0</v>
      </c>
      <c r="D32" s="12" t="n">
        <v>4</v>
      </c>
      <c r="E32" s="6" t="n">
        <v>28</v>
      </c>
      <c r="F32" s="17" t="n">
        <f aca="false">IFERROR(INDEX($B$5:$C$173, MATCH($E32, $B$5:$B$175, 0), 2), 0)*investment!$C$2</f>
        <v>0</v>
      </c>
      <c r="G32" s="6" t="n">
        <f aca="false">demand!C30</f>
        <v>0</v>
      </c>
      <c r="H32" s="2" t="n">
        <f aca="false">solgen!C30</f>
        <v>0</v>
      </c>
      <c r="I32" s="2" t="n">
        <f aca="false">import!C30</f>
        <v>0</v>
      </c>
      <c r="J32" s="2" t="n">
        <f aca="false">-export!C30</f>
        <v>-0</v>
      </c>
      <c r="K32" s="2" t="n">
        <f aca="false">-charge!C30</f>
        <v>-0</v>
      </c>
      <c r="L32" s="2" t="n">
        <f aca="false">discharge!C30</f>
        <v>0</v>
      </c>
      <c r="M32" s="2" t="n">
        <f aca="false">soc!C30/investment!$E$2 *100</f>
        <v>6.48200261090964E-006</v>
      </c>
      <c r="N32" s="4" t="n">
        <f aca="false">p_micro!C29</f>
        <v>0</v>
      </c>
    </row>
    <row r="33" customFormat="false" ht="13.8" hidden="false" customHeight="false" outlineLevel="0" collapsed="false">
      <c r="B33" s="11" t="n">
        <f aca="false">_xlfn.NUMBERVALUE(solar!B30)</f>
        <v>60</v>
      </c>
      <c r="C33" s="12" t="n">
        <f aca="false">solar!C30</f>
        <v>0</v>
      </c>
      <c r="D33" s="12" t="n">
        <v>5</v>
      </c>
      <c r="E33" s="6" t="n">
        <v>29</v>
      </c>
      <c r="F33" s="17" t="n">
        <f aca="false">IFERROR(INDEX($B$5:$C$173, MATCH($E33, $B$5:$B$175, 0), 2), 0)*investment!$C$2</f>
        <v>0</v>
      </c>
      <c r="G33" s="6" t="n">
        <f aca="false">demand!C31</f>
        <v>0</v>
      </c>
      <c r="H33" s="2" t="n">
        <f aca="false">solgen!C31</f>
        <v>0</v>
      </c>
      <c r="I33" s="2" t="n">
        <f aca="false">import!C31</f>
        <v>0</v>
      </c>
      <c r="J33" s="2" t="n">
        <f aca="false">-export!C31</f>
        <v>-0</v>
      </c>
      <c r="K33" s="2" t="n">
        <f aca="false">-charge!C31</f>
        <v>-0</v>
      </c>
      <c r="L33" s="2" t="n">
        <f aca="false">discharge!C31</f>
        <v>0</v>
      </c>
      <c r="M33" s="2" t="n">
        <f aca="false">soc!C31/investment!$E$2 *100</f>
        <v>0</v>
      </c>
      <c r="N33" s="4" t="n">
        <f aca="false">p_micro!C30</f>
        <v>0</v>
      </c>
    </row>
    <row r="34" customFormat="false" ht="13.8" hidden="false" customHeight="false" outlineLevel="0" collapsed="false">
      <c r="B34" s="11" t="n">
        <f aca="false">_xlfn.NUMBERVALUE(solar!B31)</f>
        <v>61</v>
      </c>
      <c r="C34" s="12" t="n">
        <f aca="false">solar!C31</f>
        <v>0</v>
      </c>
      <c r="D34" s="12" t="n">
        <v>6</v>
      </c>
      <c r="E34" s="6" t="n">
        <v>30</v>
      </c>
      <c r="F34" s="17" t="n">
        <f aca="false">IFERROR(INDEX($B$5:$C$173, MATCH($E34, $B$5:$B$175, 0), 2), 0)*investment!$C$2</f>
        <v>0</v>
      </c>
      <c r="G34" s="6" t="n">
        <f aca="false">demand!C32</f>
        <v>0</v>
      </c>
      <c r="H34" s="2" t="n">
        <f aca="false">solgen!C32</f>
        <v>0</v>
      </c>
      <c r="I34" s="2" t="n">
        <f aca="false">import!C32</f>
        <v>0</v>
      </c>
      <c r="J34" s="2" t="n">
        <f aca="false">-export!C32</f>
        <v>-0</v>
      </c>
      <c r="K34" s="2" t="n">
        <f aca="false">-charge!C32</f>
        <v>-0</v>
      </c>
      <c r="L34" s="2" t="n">
        <f aca="false">discharge!C32</f>
        <v>0</v>
      </c>
      <c r="M34" s="2" t="n">
        <f aca="false">soc!C32/investment!$E$2 *100</f>
        <v>0</v>
      </c>
      <c r="N34" s="4" t="n">
        <f aca="false">p_micro!C31</f>
        <v>0</v>
      </c>
    </row>
    <row r="35" customFormat="false" ht="13.8" hidden="false" customHeight="false" outlineLevel="0" collapsed="false">
      <c r="B35" s="11" t="n">
        <f aca="false">_xlfn.NUMBERVALUE(solar!B32)</f>
        <v>62</v>
      </c>
      <c r="C35" s="12" t="n">
        <f aca="false">solar!C32</f>
        <v>0</v>
      </c>
      <c r="D35" s="12" t="n">
        <v>7</v>
      </c>
      <c r="E35" s="6" t="n">
        <v>31</v>
      </c>
      <c r="F35" s="17" t="n">
        <f aca="false">IFERROR(INDEX($B$5:$C$173, MATCH($E35, $B$5:$B$175, 0), 2), 0)*investment!$C$2</f>
        <v>0</v>
      </c>
      <c r="G35" s="6" t="n">
        <f aca="false">demand!C33</f>
        <v>0</v>
      </c>
      <c r="H35" s="2" t="n">
        <f aca="false">solgen!C33</f>
        <v>0</v>
      </c>
      <c r="I35" s="2" t="n">
        <f aca="false">import!C33</f>
        <v>0</v>
      </c>
      <c r="J35" s="2" t="n">
        <f aca="false">-export!C33</f>
        <v>-0</v>
      </c>
      <c r="K35" s="2" t="n">
        <f aca="false">-charge!C33</f>
        <v>-0</v>
      </c>
      <c r="L35" s="2" t="n">
        <f aca="false">discharge!C33</f>
        <v>0</v>
      </c>
      <c r="M35" s="2" t="n">
        <f aca="false">soc!C33/investment!$E$2 *100</f>
        <v>0</v>
      </c>
      <c r="N35" s="4" t="n">
        <f aca="false">p_micro!C32</f>
        <v>0</v>
      </c>
    </row>
    <row r="36" customFormat="false" ht="13.8" hidden="false" customHeight="false" outlineLevel="0" collapsed="false">
      <c r="B36" s="11" t="n">
        <f aca="false">_xlfn.NUMBERVALUE(solar!B33)</f>
        <v>63</v>
      </c>
      <c r="C36" s="12" t="n">
        <f aca="false">solar!C33</f>
        <v>0</v>
      </c>
      <c r="D36" s="12" t="n">
        <v>8</v>
      </c>
      <c r="E36" s="6" t="n">
        <v>32</v>
      </c>
      <c r="F36" s="17" t="n">
        <f aca="false">IFERROR(INDEX($B$5:$C$173, MATCH($E36, $B$5:$B$175, 0), 2), 0)*investment!$C$2</f>
        <v>0</v>
      </c>
      <c r="G36" s="6" t="n">
        <f aca="false">demand!C34</f>
        <v>0</v>
      </c>
      <c r="H36" s="2" t="n">
        <f aca="false">solgen!C34</f>
        <v>0</v>
      </c>
      <c r="I36" s="2" t="n">
        <f aca="false">import!C34</f>
        <v>0</v>
      </c>
      <c r="J36" s="2" t="n">
        <f aca="false">-export!C34</f>
        <v>-0</v>
      </c>
      <c r="K36" s="2" t="n">
        <f aca="false">-charge!C34</f>
        <v>-0</v>
      </c>
      <c r="L36" s="2" t="n">
        <f aca="false">discharge!C34</f>
        <v>0</v>
      </c>
      <c r="M36" s="2" t="n">
        <f aca="false">soc!C34/investment!$E$2 *100</f>
        <v>0</v>
      </c>
      <c r="N36" s="4" t="n">
        <f aca="false">p_micro!C33</f>
        <v>0</v>
      </c>
    </row>
    <row r="37" customFormat="false" ht="13.8" hidden="false" customHeight="false" outlineLevel="0" collapsed="false">
      <c r="B37" s="11" t="n">
        <f aca="false">_xlfn.NUMBERVALUE(solar!B34)</f>
        <v>64</v>
      </c>
      <c r="C37" s="12" t="n">
        <f aca="false">solar!C34</f>
        <v>0</v>
      </c>
      <c r="D37" s="12" t="n">
        <v>9</v>
      </c>
      <c r="E37" s="6" t="n">
        <v>33</v>
      </c>
      <c r="F37" s="17" t="n">
        <f aca="false">IFERROR(INDEX($B$5:$C$173, MATCH($E37, $B$5:$B$175, 0), 2), 0)*investment!$C$2</f>
        <v>0</v>
      </c>
      <c r="G37" s="6" t="n">
        <f aca="false">demand!C35</f>
        <v>0</v>
      </c>
      <c r="H37" s="2" t="n">
        <f aca="false">solgen!C35</f>
        <v>0</v>
      </c>
      <c r="I37" s="2" t="n">
        <f aca="false">import!C35</f>
        <v>0</v>
      </c>
      <c r="J37" s="2" t="n">
        <f aca="false">-export!C35</f>
        <v>-0</v>
      </c>
      <c r="K37" s="2" t="n">
        <f aca="false">-charge!C35</f>
        <v>-0</v>
      </c>
      <c r="L37" s="2" t="n">
        <f aca="false">discharge!C35</f>
        <v>0</v>
      </c>
      <c r="M37" s="2" t="n">
        <f aca="false">soc!C35/investment!$E$2 *100</f>
        <v>0</v>
      </c>
      <c r="N37" s="4" t="n">
        <f aca="false">p_micro!C34</f>
        <v>0</v>
      </c>
    </row>
    <row r="38" customFormat="false" ht="13.8" hidden="false" customHeight="false" outlineLevel="0" collapsed="false">
      <c r="B38" s="11" t="n">
        <f aca="false">_xlfn.NUMBERVALUE(solar!B35)</f>
        <v>65</v>
      </c>
      <c r="C38" s="12" t="n">
        <f aca="false">solar!C35</f>
        <v>0</v>
      </c>
      <c r="D38" s="12" t="n">
        <v>10</v>
      </c>
      <c r="E38" s="6" t="n">
        <v>34</v>
      </c>
      <c r="F38" s="17" t="n">
        <f aca="false">IFERROR(INDEX($B$5:$C$173, MATCH($E38, $B$5:$B$175, 0), 2), 0)*investment!$C$2</f>
        <v>0</v>
      </c>
      <c r="G38" s="6" t="n">
        <f aca="false">demand!C36</f>
        <v>0</v>
      </c>
      <c r="H38" s="2" t="n">
        <f aca="false">solgen!C36</f>
        <v>0</v>
      </c>
      <c r="I38" s="2" t="n">
        <f aca="false">import!C36</f>
        <v>0</v>
      </c>
      <c r="J38" s="2" t="n">
        <f aca="false">-export!C36</f>
        <v>-0</v>
      </c>
      <c r="K38" s="2" t="n">
        <f aca="false">-charge!C36</f>
        <v>-0</v>
      </c>
      <c r="L38" s="2" t="n">
        <f aca="false">discharge!C36</f>
        <v>0</v>
      </c>
      <c r="M38" s="2" t="n">
        <f aca="false">soc!C36/investment!$E$2 *100</f>
        <v>0</v>
      </c>
      <c r="N38" s="4" t="n">
        <f aca="false">p_micro!C35</f>
        <v>0</v>
      </c>
    </row>
    <row r="39" customFormat="false" ht="13.8" hidden="false" customHeight="false" outlineLevel="0" collapsed="false">
      <c r="B39" s="11" t="n">
        <f aca="false">_xlfn.NUMBERVALUE(solar!B36)</f>
        <v>66</v>
      </c>
      <c r="C39" s="12" t="n">
        <f aca="false">solar!C36</f>
        <v>0</v>
      </c>
      <c r="D39" s="12" t="n">
        <v>11</v>
      </c>
      <c r="E39" s="6" t="n">
        <v>35</v>
      </c>
      <c r="F39" s="17" t="n">
        <f aca="false">IFERROR(INDEX($B$5:$C$173, MATCH($E39, $B$5:$B$175, 0), 2), 0)*investment!$C$2</f>
        <v>0</v>
      </c>
      <c r="G39" s="6" t="n">
        <f aca="false">demand!C37</f>
        <v>0</v>
      </c>
      <c r="H39" s="2" t="n">
        <f aca="false">solgen!C37</f>
        <v>0</v>
      </c>
      <c r="I39" s="2" t="n">
        <f aca="false">import!C37</f>
        <v>0</v>
      </c>
      <c r="J39" s="2" t="n">
        <f aca="false">-export!C37</f>
        <v>-0</v>
      </c>
      <c r="K39" s="2" t="n">
        <f aca="false">-charge!C37</f>
        <v>-0</v>
      </c>
      <c r="L39" s="2" t="n">
        <f aca="false">discharge!C37</f>
        <v>0</v>
      </c>
      <c r="M39" s="2" t="n">
        <f aca="false">soc!C37/investment!$E$2 *100</f>
        <v>0</v>
      </c>
      <c r="N39" s="4" t="n">
        <f aca="false">p_micro!C36</f>
        <v>0</v>
      </c>
    </row>
    <row r="40" customFormat="false" ht="13.8" hidden="false" customHeight="false" outlineLevel="0" collapsed="false">
      <c r="B40" s="11" t="n">
        <f aca="false">_xlfn.NUMBERVALUE(solar!B37)</f>
        <v>67</v>
      </c>
      <c r="C40" s="12" t="n">
        <f aca="false">solar!C37</f>
        <v>0</v>
      </c>
      <c r="D40" s="12" t="n">
        <v>12</v>
      </c>
      <c r="E40" s="6" t="n">
        <v>36</v>
      </c>
      <c r="F40" s="17" t="n">
        <f aca="false">IFERROR(INDEX($B$5:$C$173, MATCH($E40, $B$5:$B$175, 0), 2), 0)*investment!$C$2</f>
        <v>0</v>
      </c>
      <c r="G40" s="6" t="n">
        <f aca="false">demand!C38</f>
        <v>0</v>
      </c>
      <c r="H40" s="2" t="n">
        <f aca="false">solgen!C38</f>
        <v>0</v>
      </c>
      <c r="I40" s="2" t="n">
        <f aca="false">import!C38</f>
        <v>0</v>
      </c>
      <c r="J40" s="2" t="n">
        <f aca="false">-export!C38</f>
        <v>-0</v>
      </c>
      <c r="K40" s="2" t="n">
        <f aca="false">-charge!C38</f>
        <v>-0</v>
      </c>
      <c r="L40" s="2" t="n">
        <f aca="false">discharge!C38</f>
        <v>0</v>
      </c>
      <c r="M40" s="2" t="n">
        <f aca="false">soc!C38/investment!$E$2 *100</f>
        <v>0</v>
      </c>
      <c r="N40" s="4" t="n">
        <f aca="false">p_micro!C37</f>
        <v>0</v>
      </c>
    </row>
    <row r="41" customFormat="false" ht="13.8" hidden="false" customHeight="false" outlineLevel="0" collapsed="false">
      <c r="B41" s="11" t="n">
        <f aca="false">_xlfn.NUMBERVALUE(solar!B38)</f>
        <v>80</v>
      </c>
      <c r="C41" s="12" t="n">
        <f aca="false">solar!C38</f>
        <v>0</v>
      </c>
      <c r="D41" s="12" t="n">
        <v>13</v>
      </c>
      <c r="E41" s="6" t="n">
        <v>37</v>
      </c>
      <c r="F41" s="17" t="n">
        <f aca="false">IFERROR(INDEX($B$5:$C$173, MATCH($E41, $B$5:$B$175, 0), 2), 0)*investment!$C$2</f>
        <v>0</v>
      </c>
      <c r="G41" s="6" t="n">
        <f aca="false">demand!C39</f>
        <v>0</v>
      </c>
      <c r="H41" s="2" t="n">
        <f aca="false">solgen!C39</f>
        <v>0</v>
      </c>
      <c r="I41" s="2" t="n">
        <f aca="false">import!C39</f>
        <v>0</v>
      </c>
      <c r="J41" s="2" t="n">
        <f aca="false">-export!C39</f>
        <v>-0</v>
      </c>
      <c r="K41" s="2" t="n">
        <f aca="false">-charge!C39</f>
        <v>-0</v>
      </c>
      <c r="L41" s="2" t="n">
        <f aca="false">discharge!C39</f>
        <v>0</v>
      </c>
      <c r="M41" s="2" t="n">
        <f aca="false">soc!C39/investment!$E$2 *100</f>
        <v>0</v>
      </c>
      <c r="N41" s="4" t="n">
        <f aca="false">p_micro!C38</f>
        <v>0</v>
      </c>
    </row>
    <row r="42" customFormat="false" ht="13.8" hidden="false" customHeight="false" outlineLevel="0" collapsed="false">
      <c r="B42" s="11" t="n">
        <f aca="false">_xlfn.NUMBERVALUE(solar!B39)</f>
        <v>81</v>
      </c>
      <c r="C42" s="12" t="n">
        <f aca="false">solar!C39</f>
        <v>0</v>
      </c>
      <c r="D42" s="12" t="n">
        <v>14</v>
      </c>
      <c r="E42" s="6" t="n">
        <v>38</v>
      </c>
      <c r="F42" s="17" t="n">
        <f aca="false">IFERROR(INDEX($B$5:$C$173, MATCH($E42, $B$5:$B$175, 0), 2), 0)*investment!$C$2</f>
        <v>0</v>
      </c>
      <c r="G42" s="6" t="n">
        <f aca="false">demand!C40</f>
        <v>0</v>
      </c>
      <c r="H42" s="2" t="n">
        <f aca="false">solgen!C40</f>
        <v>0</v>
      </c>
      <c r="I42" s="2" t="n">
        <f aca="false">import!C40</f>
        <v>0</v>
      </c>
      <c r="J42" s="2" t="n">
        <f aca="false">-export!C40</f>
        <v>-0</v>
      </c>
      <c r="K42" s="2" t="n">
        <f aca="false">-charge!C40</f>
        <v>-0</v>
      </c>
      <c r="L42" s="2" t="n">
        <f aca="false">discharge!C40</f>
        <v>0</v>
      </c>
      <c r="M42" s="2" t="n">
        <f aca="false">soc!C40/investment!$E$2 *100</f>
        <v>0</v>
      </c>
      <c r="N42" s="4" t="n">
        <f aca="false">p_micro!C39</f>
        <v>0</v>
      </c>
    </row>
    <row r="43" customFormat="false" ht="13.8" hidden="false" customHeight="false" outlineLevel="0" collapsed="false">
      <c r="B43" s="11" t="n">
        <f aca="false">_xlfn.NUMBERVALUE(solar!B40)</f>
        <v>82</v>
      </c>
      <c r="C43" s="12" t="n">
        <f aca="false">solar!C40</f>
        <v>0</v>
      </c>
      <c r="D43" s="12" t="n">
        <v>15</v>
      </c>
      <c r="E43" s="6" t="n">
        <v>39</v>
      </c>
      <c r="F43" s="17" t="n">
        <f aca="false">IFERROR(INDEX($B$5:$C$173, MATCH($E43, $B$5:$B$175, 0), 2), 0)*investment!$C$2</f>
        <v>0</v>
      </c>
      <c r="G43" s="6" t="n">
        <f aca="false">demand!C41</f>
        <v>0</v>
      </c>
      <c r="H43" s="2" t="n">
        <f aca="false">solgen!C41</f>
        <v>0</v>
      </c>
      <c r="I43" s="2" t="n">
        <f aca="false">import!C41</f>
        <v>0</v>
      </c>
      <c r="J43" s="2" t="n">
        <f aca="false">-export!C41</f>
        <v>-0</v>
      </c>
      <c r="K43" s="2" t="n">
        <f aca="false">-charge!C41</f>
        <v>-0</v>
      </c>
      <c r="L43" s="2" t="n">
        <f aca="false">discharge!C41</f>
        <v>0</v>
      </c>
      <c r="M43" s="2" t="n">
        <f aca="false">soc!C41/investment!$E$2 *100</f>
        <v>0</v>
      </c>
      <c r="N43" s="4" t="n">
        <f aca="false">p_micro!C40</f>
        <v>0</v>
      </c>
    </row>
    <row r="44" customFormat="false" ht="13.8" hidden="false" customHeight="false" outlineLevel="0" collapsed="false">
      <c r="B44" s="11" t="n">
        <f aca="false">_xlfn.NUMBERVALUE(solar!B41)</f>
        <v>83</v>
      </c>
      <c r="C44" s="12" t="n">
        <f aca="false">solar!C41</f>
        <v>0</v>
      </c>
      <c r="D44" s="12" t="n">
        <v>16</v>
      </c>
      <c r="E44" s="6" t="n">
        <v>40</v>
      </c>
      <c r="F44" s="17" t="n">
        <f aca="false">IFERROR(INDEX($B$5:$C$173, MATCH($E44, $B$5:$B$175, 0), 2), 0)*investment!$C$2</f>
        <v>0</v>
      </c>
      <c r="G44" s="6" t="n">
        <f aca="false">demand!C42</f>
        <v>0</v>
      </c>
      <c r="H44" s="2" t="n">
        <f aca="false">solgen!C42</f>
        <v>0</v>
      </c>
      <c r="I44" s="2" t="n">
        <f aca="false">import!C42</f>
        <v>0</v>
      </c>
      <c r="J44" s="2" t="n">
        <f aca="false">-export!C42</f>
        <v>-0</v>
      </c>
      <c r="K44" s="2" t="n">
        <f aca="false">-charge!C42</f>
        <v>-0</v>
      </c>
      <c r="L44" s="2" t="n">
        <f aca="false">discharge!C42</f>
        <v>0</v>
      </c>
      <c r="M44" s="2" t="n">
        <f aca="false">soc!C42/investment!$E$2 *100</f>
        <v>0</v>
      </c>
      <c r="N44" s="4" t="n">
        <f aca="false">p_micro!C41</f>
        <v>0</v>
      </c>
    </row>
    <row r="45" customFormat="false" ht="13.8" hidden="false" customHeight="false" outlineLevel="0" collapsed="false">
      <c r="B45" s="11" t="n">
        <f aca="false">_xlfn.NUMBERVALUE(solar!B42)</f>
        <v>84</v>
      </c>
      <c r="C45" s="12" t="n">
        <f aca="false">solar!C42</f>
        <v>0</v>
      </c>
      <c r="D45" s="12" t="n">
        <v>17</v>
      </c>
      <c r="E45" s="6" t="n">
        <v>41</v>
      </c>
      <c r="F45" s="17" t="n">
        <f aca="false">IFERROR(INDEX($B$5:$C$173, MATCH($E45, $B$5:$B$175, 0), 2), 0)*investment!$C$2</f>
        <v>0</v>
      </c>
      <c r="G45" s="6" t="n">
        <f aca="false">demand!C43</f>
        <v>0</v>
      </c>
      <c r="H45" s="2" t="n">
        <f aca="false">solgen!C43</f>
        <v>0</v>
      </c>
      <c r="I45" s="2" t="n">
        <f aca="false">import!C43</f>
        <v>0</v>
      </c>
      <c r="J45" s="2" t="n">
        <f aca="false">-export!C43</f>
        <v>-0</v>
      </c>
      <c r="K45" s="2" t="n">
        <f aca="false">-charge!C43</f>
        <v>-0</v>
      </c>
      <c r="L45" s="2" t="n">
        <f aca="false">discharge!C43</f>
        <v>0</v>
      </c>
      <c r="M45" s="2" t="n">
        <f aca="false">soc!C43/investment!$E$2 *100</f>
        <v>0</v>
      </c>
      <c r="N45" s="4" t="n">
        <f aca="false">p_micro!C42</f>
        <v>0</v>
      </c>
    </row>
    <row r="46" customFormat="false" ht="13.8" hidden="false" customHeight="false" outlineLevel="0" collapsed="false">
      <c r="B46" s="11" t="n">
        <f aca="false">_xlfn.NUMBERVALUE(solar!B43)</f>
        <v>85</v>
      </c>
      <c r="C46" s="12" t="n">
        <f aca="false">solar!C43</f>
        <v>0</v>
      </c>
      <c r="D46" s="12" t="n">
        <v>18</v>
      </c>
      <c r="E46" s="6" t="n">
        <v>42</v>
      </c>
      <c r="F46" s="17" t="n">
        <f aca="false">IFERROR(INDEX($B$5:$C$173, MATCH($E46, $B$5:$B$175, 0), 2), 0)*investment!$C$2</f>
        <v>0</v>
      </c>
      <c r="G46" s="6" t="n">
        <f aca="false">demand!C44</f>
        <v>0</v>
      </c>
      <c r="H46" s="2" t="n">
        <f aca="false">solgen!C44</f>
        <v>0</v>
      </c>
      <c r="I46" s="2" t="n">
        <f aca="false">import!C44</f>
        <v>0</v>
      </c>
      <c r="J46" s="2" t="n">
        <f aca="false">-export!C44</f>
        <v>-0</v>
      </c>
      <c r="K46" s="2" t="n">
        <f aca="false">-charge!C44</f>
        <v>-0</v>
      </c>
      <c r="L46" s="2" t="n">
        <f aca="false">discharge!C44</f>
        <v>0</v>
      </c>
      <c r="M46" s="2" t="n">
        <f aca="false">soc!C44/investment!$E$2 *100</f>
        <v>0</v>
      </c>
      <c r="N46" s="4" t="n">
        <f aca="false">p_micro!C43</f>
        <v>0</v>
      </c>
    </row>
    <row r="47" customFormat="false" ht="13.8" hidden="false" customHeight="false" outlineLevel="0" collapsed="false">
      <c r="B47" s="11" t="n">
        <f aca="false">_xlfn.NUMBERVALUE(solar!B44)</f>
        <v>86</v>
      </c>
      <c r="C47" s="12" t="n">
        <f aca="false">solar!C44</f>
        <v>0</v>
      </c>
      <c r="D47" s="12" t="n">
        <v>19</v>
      </c>
      <c r="E47" s="6" t="n">
        <v>43</v>
      </c>
      <c r="F47" s="17" t="n">
        <f aca="false">IFERROR(INDEX($B$5:$C$173, MATCH($E47, $B$5:$B$175, 0), 2), 0)*investment!$C$2</f>
        <v>0</v>
      </c>
      <c r="G47" s="6" t="n">
        <f aca="false">demand!C45</f>
        <v>0</v>
      </c>
      <c r="H47" s="2" t="n">
        <f aca="false">solgen!C45</f>
        <v>0</v>
      </c>
      <c r="I47" s="2" t="n">
        <f aca="false">import!C45</f>
        <v>0</v>
      </c>
      <c r="J47" s="2" t="n">
        <f aca="false">-export!C45</f>
        <v>-0</v>
      </c>
      <c r="K47" s="2" t="n">
        <f aca="false">-charge!C45</f>
        <v>-0</v>
      </c>
      <c r="L47" s="2" t="n">
        <f aca="false">discharge!C45</f>
        <v>0</v>
      </c>
      <c r="M47" s="2" t="n">
        <f aca="false">soc!C45/investment!$E$2 *100</f>
        <v>0</v>
      </c>
      <c r="N47" s="4" t="n">
        <f aca="false">p_micro!C44</f>
        <v>0</v>
      </c>
    </row>
    <row r="48" customFormat="false" ht="13.8" hidden="false" customHeight="false" outlineLevel="0" collapsed="false">
      <c r="B48" s="11" t="n">
        <f aca="false">_xlfn.NUMBERVALUE(solar!B45)</f>
        <v>87</v>
      </c>
      <c r="C48" s="12" t="n">
        <f aca="false">solar!C45</f>
        <v>0</v>
      </c>
      <c r="D48" s="12" t="n">
        <v>20</v>
      </c>
      <c r="E48" s="6" t="n">
        <v>44</v>
      </c>
      <c r="F48" s="17" t="n">
        <f aca="false">IFERROR(INDEX($B$5:$C$173, MATCH($E48, $B$5:$B$175, 0), 2), 0)*investment!$C$2</f>
        <v>0</v>
      </c>
      <c r="G48" s="6" t="n">
        <f aca="false">demand!C46</f>
        <v>0</v>
      </c>
      <c r="H48" s="2" t="n">
        <f aca="false">solgen!C46</f>
        <v>0</v>
      </c>
      <c r="I48" s="2" t="n">
        <f aca="false">import!C46</f>
        <v>0</v>
      </c>
      <c r="J48" s="2" t="n">
        <f aca="false">-export!C46</f>
        <v>-0</v>
      </c>
      <c r="K48" s="2" t="n">
        <f aca="false">-charge!C46</f>
        <v>-0</v>
      </c>
      <c r="L48" s="2" t="n">
        <f aca="false">discharge!C46</f>
        <v>0</v>
      </c>
      <c r="M48" s="2" t="n">
        <f aca="false">soc!C46/investment!$E$2 *100</f>
        <v>0</v>
      </c>
      <c r="N48" s="4" t="n">
        <f aca="false">p_micro!C45</f>
        <v>0</v>
      </c>
    </row>
    <row r="49" customFormat="false" ht="13.8" hidden="false" customHeight="false" outlineLevel="0" collapsed="false">
      <c r="B49" s="11" t="n">
        <f aca="false">_xlfn.NUMBERVALUE(solar!B46)</f>
        <v>88</v>
      </c>
      <c r="C49" s="12" t="n">
        <f aca="false">solar!C46</f>
        <v>0</v>
      </c>
      <c r="D49" s="12" t="n">
        <v>21</v>
      </c>
      <c r="E49" s="6" t="n">
        <v>45</v>
      </c>
      <c r="F49" s="17" t="n">
        <f aca="false">IFERROR(INDEX($B$5:$C$173, MATCH($E49, $B$5:$B$175, 0), 2), 0)*investment!$C$2</f>
        <v>0</v>
      </c>
      <c r="G49" s="6" t="n">
        <f aca="false">demand!C47</f>
        <v>0</v>
      </c>
      <c r="H49" s="2" t="n">
        <f aca="false">solgen!C47</f>
        <v>0</v>
      </c>
      <c r="I49" s="2" t="n">
        <f aca="false">import!C47</f>
        <v>0</v>
      </c>
      <c r="J49" s="2" t="n">
        <f aca="false">-export!C47</f>
        <v>-0</v>
      </c>
      <c r="K49" s="2" t="n">
        <f aca="false">-charge!C47</f>
        <v>-0</v>
      </c>
      <c r="L49" s="2" t="n">
        <f aca="false">discharge!C47</f>
        <v>0</v>
      </c>
      <c r="M49" s="2" t="n">
        <f aca="false">soc!C47/investment!$E$2 *100</f>
        <v>0</v>
      </c>
      <c r="N49" s="4" t="n">
        <f aca="false">p_micro!C46</f>
        <v>0</v>
      </c>
    </row>
    <row r="50" customFormat="false" ht="13.8" hidden="false" customHeight="false" outlineLevel="0" collapsed="false">
      <c r="B50" s="11" t="n">
        <f aca="false">_xlfn.NUMBERVALUE(solar!B47)</f>
        <v>89</v>
      </c>
      <c r="C50" s="12" t="n">
        <f aca="false">solar!C47</f>
        <v>0</v>
      </c>
      <c r="D50" s="12" t="n">
        <v>22</v>
      </c>
      <c r="E50" s="6" t="n">
        <v>46</v>
      </c>
      <c r="F50" s="17" t="n">
        <f aca="false">IFERROR(INDEX($B$5:$C$173, MATCH($E50, $B$5:$B$175, 0), 2), 0)*investment!$C$2</f>
        <v>0</v>
      </c>
      <c r="G50" s="6" t="n">
        <f aca="false">demand!C48</f>
        <v>0</v>
      </c>
      <c r="H50" s="2" t="n">
        <f aca="false">solgen!C48</f>
        <v>0</v>
      </c>
      <c r="I50" s="2" t="n">
        <f aca="false">import!C48</f>
        <v>0</v>
      </c>
      <c r="J50" s="2" t="n">
        <f aca="false">-export!C48</f>
        <v>-0</v>
      </c>
      <c r="K50" s="2" t="n">
        <f aca="false">-charge!C48</f>
        <v>-0</v>
      </c>
      <c r="L50" s="2" t="n">
        <f aca="false">discharge!C48</f>
        <v>0</v>
      </c>
      <c r="M50" s="2" t="n">
        <f aca="false">soc!C48/investment!$E$2 *100</f>
        <v>0</v>
      </c>
      <c r="N50" s="4" t="n">
        <f aca="false">p_micro!C47</f>
        <v>0</v>
      </c>
    </row>
    <row r="51" customFormat="false" ht="13.8" hidden="false" customHeight="false" outlineLevel="0" collapsed="false">
      <c r="B51" s="11" t="n">
        <f aca="false">_xlfn.NUMBERVALUE(solar!B48)</f>
        <v>90</v>
      </c>
      <c r="C51" s="12" t="n">
        <f aca="false">solar!C48</f>
        <v>0</v>
      </c>
      <c r="D51" s="12" t="n">
        <v>23</v>
      </c>
      <c r="E51" s="6" t="n">
        <v>47</v>
      </c>
      <c r="F51" s="17" t="n">
        <f aca="false">IFERROR(INDEX($B$5:$C$173, MATCH($E51, $B$5:$B$175, 0), 2), 0)*investment!$C$2</f>
        <v>0</v>
      </c>
      <c r="G51" s="6" t="n">
        <f aca="false">demand!C49</f>
        <v>0</v>
      </c>
      <c r="H51" s="2" t="n">
        <f aca="false">solgen!C49</f>
        <v>0</v>
      </c>
      <c r="I51" s="2" t="n">
        <f aca="false">import!C49</f>
        <v>0</v>
      </c>
      <c r="J51" s="2" t="n">
        <f aca="false">-export!C49</f>
        <v>-0</v>
      </c>
      <c r="K51" s="2" t="n">
        <f aca="false">-charge!C49</f>
        <v>-0</v>
      </c>
      <c r="L51" s="2" t="n">
        <f aca="false">discharge!C49</f>
        <v>0</v>
      </c>
      <c r="M51" s="2" t="n">
        <f aca="false">soc!C49/investment!$E$2 *100</f>
        <v>0</v>
      </c>
      <c r="N51" s="4" t="n">
        <f aca="false">p_micro!C48</f>
        <v>0</v>
      </c>
    </row>
    <row r="52" customFormat="false" ht="13.8" hidden="false" customHeight="false" outlineLevel="0" collapsed="false">
      <c r="B52" s="11" t="n">
        <f aca="false">_xlfn.NUMBERVALUE(solar!B49)</f>
        <v>91</v>
      </c>
      <c r="C52" s="12" t="n">
        <f aca="false">solar!C49</f>
        <v>0</v>
      </c>
      <c r="D52" s="12" t="n">
        <v>24</v>
      </c>
      <c r="E52" s="6" t="n">
        <v>48</v>
      </c>
      <c r="F52" s="17" t="n">
        <f aca="false">IFERROR(INDEX($B$5:$C$173, MATCH($E52, $B$5:$B$175, 0), 2), 0)*investment!$C$2</f>
        <v>0</v>
      </c>
      <c r="G52" s="6" t="n">
        <f aca="false">demand!C50</f>
        <v>0</v>
      </c>
      <c r="H52" s="2" t="n">
        <f aca="false">solgen!C50</f>
        <v>0</v>
      </c>
      <c r="I52" s="2" t="n">
        <f aca="false">import!C50</f>
        <v>0</v>
      </c>
      <c r="J52" s="2" t="n">
        <f aca="false">-export!C50</f>
        <v>-0</v>
      </c>
      <c r="K52" s="2" t="n">
        <f aca="false">-charge!C50</f>
        <v>-0</v>
      </c>
      <c r="L52" s="2" t="n">
        <f aca="false">discharge!C50</f>
        <v>0</v>
      </c>
      <c r="M52" s="2" t="n">
        <f aca="false">soc!C50/investment!$E$2 *100</f>
        <v>0</v>
      </c>
      <c r="N52" s="4" t="n">
        <f aca="false">p_micro!C49</f>
        <v>0</v>
      </c>
    </row>
    <row r="53" customFormat="false" ht="13.8" hidden="false" customHeight="false" outlineLevel="0" collapsed="false">
      <c r="B53" s="11" t="n">
        <f aca="false">_xlfn.NUMBERVALUE(solar!B50)</f>
        <v>104</v>
      </c>
      <c r="C53" s="12" t="n">
        <f aca="false">solar!C50</f>
        <v>0</v>
      </c>
      <c r="D53" s="12" t="n">
        <v>1</v>
      </c>
      <c r="E53" s="6" t="n">
        <v>49</v>
      </c>
      <c r="F53" s="17" t="n">
        <f aca="false">IFERROR(INDEX($B$5:$C$173, MATCH($E53, $B$5:$B$175, 0), 2), 0)*investment!$C$2</f>
        <v>0</v>
      </c>
      <c r="G53" s="6" t="n">
        <f aca="false">demand!C51</f>
        <v>0</v>
      </c>
      <c r="H53" s="2" t="n">
        <f aca="false">solgen!C51</f>
        <v>0</v>
      </c>
      <c r="I53" s="2" t="n">
        <f aca="false">import!C51</f>
        <v>0</v>
      </c>
      <c r="J53" s="2" t="n">
        <f aca="false">-export!C51</f>
        <v>-0</v>
      </c>
      <c r="K53" s="2" t="n">
        <f aca="false">-charge!C51</f>
        <v>-0</v>
      </c>
      <c r="L53" s="2" t="n">
        <f aca="false">discharge!C51</f>
        <v>0</v>
      </c>
      <c r="M53" s="2" t="n">
        <f aca="false">soc!C51/investment!$E$2 *100</f>
        <v>0</v>
      </c>
      <c r="N53" s="4" t="n">
        <f aca="false">p_micro!C50</f>
        <v>0</v>
      </c>
    </row>
    <row r="54" customFormat="false" ht="13.8" hidden="false" customHeight="false" outlineLevel="0" collapsed="false">
      <c r="B54" s="11" t="n">
        <f aca="false">_xlfn.NUMBERVALUE(solar!B51)</f>
        <v>105</v>
      </c>
      <c r="C54" s="12" t="n">
        <f aca="false">solar!C51</f>
        <v>0</v>
      </c>
      <c r="D54" s="12" t="n">
        <v>2</v>
      </c>
      <c r="E54" s="6" t="n">
        <v>50</v>
      </c>
      <c r="F54" s="17" t="n">
        <f aca="false">IFERROR(INDEX($B$5:$C$173, MATCH($E54, $B$5:$B$175, 0), 2), 0)*investment!$C$2</f>
        <v>0</v>
      </c>
      <c r="G54" s="6" t="n">
        <f aca="false">demand!C52</f>
        <v>0</v>
      </c>
      <c r="H54" s="2" t="n">
        <f aca="false">solgen!C52</f>
        <v>0</v>
      </c>
      <c r="I54" s="2" t="n">
        <f aca="false">import!C52</f>
        <v>0</v>
      </c>
      <c r="J54" s="2" t="n">
        <f aca="false">-export!C52</f>
        <v>-0</v>
      </c>
      <c r="K54" s="2" t="n">
        <f aca="false">-charge!C52</f>
        <v>-0</v>
      </c>
      <c r="L54" s="2" t="n">
        <f aca="false">discharge!C52</f>
        <v>0</v>
      </c>
      <c r="M54" s="2" t="n">
        <f aca="false">soc!C52/investment!$E$2 *100</f>
        <v>0</v>
      </c>
      <c r="N54" s="4" t="n">
        <f aca="false">p_micro!C51</f>
        <v>0</v>
      </c>
    </row>
    <row r="55" customFormat="false" ht="13.8" hidden="false" customHeight="false" outlineLevel="0" collapsed="false">
      <c r="B55" s="11" t="n">
        <f aca="false">_xlfn.NUMBERVALUE(solar!B52)</f>
        <v>106</v>
      </c>
      <c r="C55" s="12" t="n">
        <f aca="false">solar!C52</f>
        <v>0</v>
      </c>
      <c r="D55" s="12" t="n">
        <v>3</v>
      </c>
      <c r="E55" s="6" t="n">
        <v>51</v>
      </c>
      <c r="F55" s="17" t="n">
        <f aca="false">IFERROR(INDEX($B$5:$C$173, MATCH($E55, $B$5:$B$175, 0), 2), 0)*investment!$C$2</f>
        <v>0</v>
      </c>
      <c r="G55" s="6" t="n">
        <f aca="false">demand!C53</f>
        <v>0</v>
      </c>
      <c r="H55" s="2" t="n">
        <f aca="false">solgen!C53</f>
        <v>0</v>
      </c>
      <c r="I55" s="2" t="n">
        <f aca="false">import!C53</f>
        <v>0</v>
      </c>
      <c r="J55" s="2" t="n">
        <f aca="false">-export!C53</f>
        <v>-0</v>
      </c>
      <c r="K55" s="2" t="n">
        <f aca="false">-charge!C53</f>
        <v>-0</v>
      </c>
      <c r="L55" s="2" t="n">
        <f aca="false">discharge!C53</f>
        <v>0</v>
      </c>
      <c r="M55" s="2" t="n">
        <f aca="false">soc!C53/investment!$E$2 *100</f>
        <v>0</v>
      </c>
      <c r="N55" s="4" t="n">
        <f aca="false">p_micro!C52</f>
        <v>0</v>
      </c>
    </row>
    <row r="56" customFormat="false" ht="13.8" hidden="false" customHeight="false" outlineLevel="0" collapsed="false">
      <c r="B56" s="11" t="n">
        <f aca="false">_xlfn.NUMBERVALUE(solar!B53)</f>
        <v>107</v>
      </c>
      <c r="C56" s="12" t="n">
        <f aca="false">solar!C53</f>
        <v>0</v>
      </c>
      <c r="D56" s="12" t="n">
        <v>4</v>
      </c>
      <c r="E56" s="6" t="n">
        <v>52</v>
      </c>
      <c r="F56" s="17" t="n">
        <f aca="false">IFERROR(INDEX($B$5:$C$173, MATCH($E56, $B$5:$B$175, 0), 2), 0)*investment!$C$2</f>
        <v>0</v>
      </c>
      <c r="G56" s="6" t="n">
        <f aca="false">demand!C54</f>
        <v>0</v>
      </c>
      <c r="H56" s="2" t="n">
        <f aca="false">solgen!C54</f>
        <v>0</v>
      </c>
      <c r="I56" s="2" t="n">
        <f aca="false">import!C54</f>
        <v>0</v>
      </c>
      <c r="J56" s="2" t="n">
        <f aca="false">-export!C54</f>
        <v>-0</v>
      </c>
      <c r="K56" s="2" t="n">
        <f aca="false">-charge!C54</f>
        <v>-0</v>
      </c>
      <c r="L56" s="2" t="n">
        <f aca="false">discharge!C54</f>
        <v>0</v>
      </c>
      <c r="M56" s="2" t="n">
        <f aca="false">soc!C54/investment!$E$2 *100</f>
        <v>8.65236029049406</v>
      </c>
      <c r="N56" s="4" t="n">
        <f aca="false">p_micro!C53</f>
        <v>0</v>
      </c>
    </row>
    <row r="57" customFormat="false" ht="13.8" hidden="false" customHeight="false" outlineLevel="0" collapsed="false">
      <c r="B57" s="11" t="n">
        <f aca="false">_xlfn.NUMBERVALUE(solar!B54)</f>
        <v>108</v>
      </c>
      <c r="C57" s="12" t="n">
        <f aca="false">solar!C54</f>
        <v>0</v>
      </c>
      <c r="D57" s="12" t="n">
        <v>5</v>
      </c>
      <c r="E57" s="6" t="n">
        <v>53</v>
      </c>
      <c r="F57" s="17" t="n">
        <f aca="false">IFERROR(INDEX($B$5:$C$173, MATCH($E57, $B$5:$B$175, 0), 2), 0)*investment!$C$2</f>
        <v>0</v>
      </c>
      <c r="G57" s="6" t="n">
        <f aca="false">demand!C55</f>
        <v>0</v>
      </c>
      <c r="H57" s="2" t="n">
        <f aca="false">solgen!C55</f>
        <v>0</v>
      </c>
      <c r="I57" s="2" t="n">
        <f aca="false">import!C55</f>
        <v>0</v>
      </c>
      <c r="J57" s="2" t="n">
        <f aca="false">-export!C55</f>
        <v>-0</v>
      </c>
      <c r="K57" s="2" t="n">
        <f aca="false">-charge!C55</f>
        <v>-0</v>
      </c>
      <c r="L57" s="2" t="n">
        <f aca="false">discharge!C55</f>
        <v>0</v>
      </c>
      <c r="M57" s="2" t="n">
        <f aca="false">soc!C55/investment!$E$2 *100</f>
        <v>22.4830462749699</v>
      </c>
      <c r="N57" s="4" t="n">
        <f aca="false">p_micro!C54</f>
        <v>0</v>
      </c>
    </row>
    <row r="58" customFormat="false" ht="13.8" hidden="false" customHeight="false" outlineLevel="0" collapsed="false">
      <c r="B58" s="11" t="n">
        <f aca="false">_xlfn.NUMBERVALUE(solar!B55)</f>
        <v>109</v>
      </c>
      <c r="C58" s="12" t="n">
        <f aca="false">solar!C55</f>
        <v>0</v>
      </c>
      <c r="D58" s="12" t="n">
        <v>6</v>
      </c>
      <c r="E58" s="6" t="n">
        <v>54</v>
      </c>
      <c r="F58" s="17" t="n">
        <f aca="false">IFERROR(INDEX($B$5:$C$173, MATCH($E58, $B$5:$B$175, 0), 2), 0)*investment!$C$2</f>
        <v>0</v>
      </c>
      <c r="G58" s="6" t="n">
        <f aca="false">demand!C56</f>
        <v>0</v>
      </c>
      <c r="H58" s="2" t="n">
        <f aca="false">solgen!C56</f>
        <v>0</v>
      </c>
      <c r="I58" s="2" t="n">
        <f aca="false">import!C56</f>
        <v>0</v>
      </c>
      <c r="J58" s="2" t="n">
        <f aca="false">-export!C56</f>
        <v>-0</v>
      </c>
      <c r="K58" s="2" t="n">
        <f aca="false">-charge!C56</f>
        <v>-0</v>
      </c>
      <c r="L58" s="2" t="n">
        <f aca="false">discharge!C56</f>
        <v>0</v>
      </c>
      <c r="M58" s="2" t="n">
        <f aca="false">soc!C56/investment!$E$2 *100</f>
        <v>41.1402776688091</v>
      </c>
      <c r="N58" s="4" t="n">
        <f aca="false">p_micro!C55</f>
        <v>0</v>
      </c>
    </row>
    <row r="59" customFormat="false" ht="13.8" hidden="false" customHeight="false" outlineLevel="0" collapsed="false">
      <c r="B59" s="11" t="n">
        <f aca="false">_xlfn.NUMBERVALUE(solar!B56)</f>
        <v>110</v>
      </c>
      <c r="C59" s="12" t="n">
        <f aca="false">solar!C56</f>
        <v>0</v>
      </c>
      <c r="D59" s="12" t="n">
        <v>7</v>
      </c>
      <c r="E59" s="6" t="n">
        <v>55</v>
      </c>
      <c r="F59" s="17" t="n">
        <f aca="false">IFERROR(INDEX($B$5:$C$173, MATCH($E59, $B$5:$B$175, 0), 2), 0)*investment!$C$2</f>
        <v>0</v>
      </c>
      <c r="G59" s="6" t="n">
        <f aca="false">demand!C57</f>
        <v>0</v>
      </c>
      <c r="H59" s="2" t="n">
        <f aca="false">solgen!C57</f>
        <v>0</v>
      </c>
      <c r="I59" s="2" t="n">
        <f aca="false">import!C57</f>
        <v>0</v>
      </c>
      <c r="J59" s="2" t="n">
        <f aca="false">-export!C57</f>
        <v>-0</v>
      </c>
      <c r="K59" s="2" t="n">
        <f aca="false">-charge!C57</f>
        <v>-0</v>
      </c>
      <c r="L59" s="2" t="n">
        <f aca="false">discharge!C57</f>
        <v>0</v>
      </c>
      <c r="M59" s="2" t="n">
        <f aca="false">soc!C57/investment!$E$2 *100</f>
        <v>54.914580411759</v>
      </c>
      <c r="N59" s="4" t="n">
        <f aca="false">p_micro!C56</f>
        <v>0</v>
      </c>
    </row>
    <row r="60" customFormat="false" ht="13.8" hidden="false" customHeight="false" outlineLevel="0" collapsed="false">
      <c r="B60" s="11" t="n">
        <f aca="false">_xlfn.NUMBERVALUE(solar!B57)</f>
        <v>111</v>
      </c>
      <c r="C60" s="12" t="n">
        <f aca="false">solar!C57</f>
        <v>0</v>
      </c>
      <c r="D60" s="12" t="n">
        <v>8</v>
      </c>
      <c r="E60" s="6" t="n">
        <v>56</v>
      </c>
      <c r="F60" s="17" t="n">
        <f aca="false">IFERROR(INDEX($B$5:$C$173, MATCH($E60, $B$5:$B$175, 0), 2), 0)*investment!$C$2</f>
        <v>0</v>
      </c>
      <c r="G60" s="6" t="n">
        <f aca="false">demand!C58</f>
        <v>0</v>
      </c>
      <c r="H60" s="2" t="n">
        <f aca="false">solgen!C58</f>
        <v>0</v>
      </c>
      <c r="I60" s="2" t="n">
        <f aca="false">import!C58</f>
        <v>0</v>
      </c>
      <c r="J60" s="2" t="n">
        <f aca="false">-export!C58</f>
        <v>-0</v>
      </c>
      <c r="K60" s="2" t="n">
        <f aca="false">-charge!C58</f>
        <v>-0</v>
      </c>
      <c r="L60" s="2" t="n">
        <f aca="false">discharge!C58</f>
        <v>0</v>
      </c>
      <c r="M60" s="2" t="n">
        <f aca="false">soc!C58/investment!$E$2 *100</f>
        <v>70.1437917387623</v>
      </c>
      <c r="N60" s="4" t="n">
        <f aca="false">p_micro!C57</f>
        <v>0</v>
      </c>
    </row>
    <row r="61" customFormat="false" ht="13.8" hidden="false" customHeight="false" outlineLevel="0" collapsed="false">
      <c r="B61" s="11" t="n">
        <f aca="false">_xlfn.NUMBERVALUE(solar!B58)</f>
        <v>112</v>
      </c>
      <c r="C61" s="12" t="n">
        <f aca="false">solar!C58</f>
        <v>0</v>
      </c>
      <c r="D61" s="12" t="n">
        <v>9</v>
      </c>
      <c r="E61" s="6" t="n">
        <v>57</v>
      </c>
      <c r="F61" s="17" t="n">
        <f aca="false">IFERROR(INDEX($B$5:$C$173, MATCH($E61, $B$5:$B$175, 0), 2), 0)*investment!$C$2</f>
        <v>0</v>
      </c>
      <c r="G61" s="6" t="n">
        <f aca="false">demand!C59</f>
        <v>0</v>
      </c>
      <c r="H61" s="2" t="n">
        <f aca="false">solgen!C59</f>
        <v>0</v>
      </c>
      <c r="I61" s="2" t="n">
        <f aca="false">import!C59</f>
        <v>0</v>
      </c>
      <c r="J61" s="2" t="n">
        <f aca="false">-export!C59</f>
        <v>-0</v>
      </c>
      <c r="K61" s="2" t="n">
        <f aca="false">-charge!C59</f>
        <v>-0</v>
      </c>
      <c r="L61" s="2" t="n">
        <f aca="false">discharge!C59</f>
        <v>0</v>
      </c>
      <c r="M61" s="2" t="n">
        <f aca="false">soc!C59/investment!$E$2 *100</f>
        <v>90.3216419202991</v>
      </c>
      <c r="N61" s="4" t="n">
        <f aca="false">p_micro!C58</f>
        <v>0</v>
      </c>
    </row>
    <row r="62" customFormat="false" ht="13.8" hidden="false" customHeight="false" outlineLevel="0" collapsed="false">
      <c r="B62" s="11" t="n">
        <f aca="false">_xlfn.NUMBERVALUE(solar!B59)</f>
        <v>113</v>
      </c>
      <c r="C62" s="12" t="n">
        <f aca="false">solar!C59</f>
        <v>0</v>
      </c>
      <c r="D62" s="12" t="n">
        <v>10</v>
      </c>
      <c r="E62" s="6" t="n">
        <v>58</v>
      </c>
      <c r="F62" s="17" t="n">
        <f aca="false">IFERROR(INDEX($B$5:$C$173, MATCH($E62, $B$5:$B$175, 0), 2), 0)*investment!$C$2</f>
        <v>0</v>
      </c>
      <c r="G62" s="6" t="n">
        <f aca="false">demand!C60</f>
        <v>0</v>
      </c>
      <c r="H62" s="2" t="n">
        <f aca="false">solgen!C60</f>
        <v>0</v>
      </c>
      <c r="I62" s="2" t="n">
        <f aca="false">import!C60</f>
        <v>0</v>
      </c>
      <c r="J62" s="2" t="n">
        <f aca="false">-export!C60</f>
        <v>-0</v>
      </c>
      <c r="K62" s="2" t="n">
        <f aca="false">-charge!C60</f>
        <v>-0</v>
      </c>
      <c r="L62" s="2" t="n">
        <f aca="false">discharge!C60</f>
        <v>0</v>
      </c>
      <c r="M62" s="2" t="n">
        <f aca="false">soc!C60/investment!$E$2 *100</f>
        <v>94.3556994075502</v>
      </c>
      <c r="N62" s="4" t="n">
        <f aca="false">p_micro!C59</f>
        <v>0</v>
      </c>
    </row>
    <row r="63" customFormat="false" ht="13.8" hidden="false" customHeight="false" outlineLevel="0" collapsed="false">
      <c r="B63" s="11" t="n">
        <f aca="false">_xlfn.NUMBERVALUE(solar!B60)</f>
        <v>114</v>
      </c>
      <c r="C63" s="12" t="n">
        <f aca="false">solar!C60</f>
        <v>0</v>
      </c>
      <c r="D63" s="12" t="n">
        <v>11</v>
      </c>
      <c r="E63" s="6" t="n">
        <v>59</v>
      </c>
      <c r="F63" s="17" t="n">
        <f aca="false">IFERROR(INDEX($B$5:$C$173, MATCH($E63, $B$5:$B$175, 0), 2), 0)*investment!$C$2</f>
        <v>0</v>
      </c>
      <c r="G63" s="6" t="n">
        <f aca="false">demand!C61</f>
        <v>0</v>
      </c>
      <c r="H63" s="2" t="n">
        <f aca="false">solgen!C61</f>
        <v>0</v>
      </c>
      <c r="I63" s="2" t="n">
        <f aca="false">import!C61</f>
        <v>0</v>
      </c>
      <c r="J63" s="2" t="n">
        <f aca="false">-export!C61</f>
        <v>-0</v>
      </c>
      <c r="K63" s="2" t="n">
        <f aca="false">-charge!C61</f>
        <v>-0</v>
      </c>
      <c r="L63" s="2" t="n">
        <f aca="false">discharge!C61</f>
        <v>0</v>
      </c>
      <c r="M63" s="2" t="n">
        <f aca="false">soc!C61/investment!$E$2 *100</f>
        <v>100</v>
      </c>
      <c r="N63" s="4" t="n">
        <f aca="false">p_micro!C60</f>
        <v>0</v>
      </c>
    </row>
    <row r="64" customFormat="false" ht="13.8" hidden="false" customHeight="false" outlineLevel="0" collapsed="false">
      <c r="B64" s="11" t="n">
        <f aca="false">_xlfn.NUMBERVALUE(solar!B61)</f>
        <v>115</v>
      </c>
      <c r="C64" s="12" t="n">
        <f aca="false">solar!C61</f>
        <v>0</v>
      </c>
      <c r="D64" s="12" t="n">
        <v>12</v>
      </c>
      <c r="E64" s="6" t="n">
        <v>60</v>
      </c>
      <c r="F64" s="17" t="n">
        <f aca="false">IFERROR(INDEX($B$5:$C$173, MATCH($E64, $B$5:$B$175, 0), 2), 0)*investment!$C$2</f>
        <v>0</v>
      </c>
      <c r="G64" s="6" t="n">
        <f aca="false">demand!C62</f>
        <v>0</v>
      </c>
      <c r="H64" s="2" t="n">
        <f aca="false">solgen!C62</f>
        <v>0</v>
      </c>
      <c r="I64" s="2" t="n">
        <f aca="false">import!C62</f>
        <v>0</v>
      </c>
      <c r="J64" s="2" t="n">
        <f aca="false">-export!C62</f>
        <v>-0</v>
      </c>
      <c r="K64" s="2" t="n">
        <f aca="false">-charge!C62</f>
        <v>-0</v>
      </c>
      <c r="L64" s="2" t="n">
        <f aca="false">discharge!C62</f>
        <v>0</v>
      </c>
      <c r="M64" s="2" t="n">
        <f aca="false">soc!C62/investment!$E$2 *100</f>
        <v>99.999</v>
      </c>
      <c r="N64" s="4" t="n">
        <f aca="false">p_micro!C61</f>
        <v>0</v>
      </c>
    </row>
    <row r="65" customFormat="false" ht="13.8" hidden="false" customHeight="false" outlineLevel="0" collapsed="false">
      <c r="B65" s="11" t="n">
        <f aca="false">_xlfn.NUMBERVALUE(solar!B62)</f>
        <v>128</v>
      </c>
      <c r="C65" s="12" t="n">
        <f aca="false">solar!C62</f>
        <v>0</v>
      </c>
      <c r="D65" s="12" t="n">
        <v>13</v>
      </c>
      <c r="E65" s="6" t="n">
        <v>61</v>
      </c>
      <c r="F65" s="17" t="n">
        <f aca="false">IFERROR(INDEX($B$5:$C$173, MATCH($E65, $B$5:$B$175, 0), 2), 0)*investment!$C$2</f>
        <v>0</v>
      </c>
      <c r="G65" s="6" t="n">
        <f aca="false">demand!C63</f>
        <v>0</v>
      </c>
      <c r="H65" s="2" t="n">
        <f aca="false">solgen!C63</f>
        <v>0</v>
      </c>
      <c r="I65" s="2" t="n">
        <f aca="false">import!C63</f>
        <v>0</v>
      </c>
      <c r="J65" s="2" t="n">
        <f aca="false">-export!C63</f>
        <v>-0</v>
      </c>
      <c r="K65" s="2" t="n">
        <f aca="false">-charge!C63</f>
        <v>-0</v>
      </c>
      <c r="L65" s="2" t="n">
        <f aca="false">discharge!C63</f>
        <v>0</v>
      </c>
      <c r="M65" s="2" t="n">
        <f aca="false">soc!C63/investment!$E$2 *100</f>
        <v>99.99800001</v>
      </c>
      <c r="N65" s="4" t="n">
        <f aca="false">p_micro!C62</f>
        <v>0</v>
      </c>
    </row>
    <row r="66" customFormat="false" ht="13.8" hidden="false" customHeight="false" outlineLevel="0" collapsed="false">
      <c r="B66" s="11" t="n">
        <f aca="false">_xlfn.NUMBERVALUE(solar!B63)</f>
        <v>129</v>
      </c>
      <c r="C66" s="12" t="n">
        <f aca="false">solar!C63</f>
        <v>0</v>
      </c>
      <c r="D66" s="12" t="n">
        <v>14</v>
      </c>
      <c r="E66" s="6" t="n">
        <v>62</v>
      </c>
      <c r="F66" s="17" t="n">
        <f aca="false">IFERROR(INDEX($B$5:$C$173, MATCH($E66, $B$5:$B$175, 0), 2), 0)*investment!$C$2</f>
        <v>0</v>
      </c>
      <c r="G66" s="6" t="n">
        <f aca="false">demand!C64</f>
        <v>0</v>
      </c>
      <c r="H66" s="2" t="n">
        <f aca="false">solgen!C64</f>
        <v>0</v>
      </c>
      <c r="I66" s="2" t="n">
        <f aca="false">import!C64</f>
        <v>0</v>
      </c>
      <c r="J66" s="2" t="n">
        <f aca="false">-export!C64</f>
        <v>-0</v>
      </c>
      <c r="K66" s="2" t="n">
        <f aca="false">-charge!C64</f>
        <v>-0</v>
      </c>
      <c r="L66" s="2" t="n">
        <f aca="false">discharge!C64</f>
        <v>0</v>
      </c>
      <c r="M66" s="2" t="n">
        <f aca="false">soc!C64/investment!$E$2 *100</f>
        <v>99.9970000299999</v>
      </c>
      <c r="N66" s="4" t="n">
        <f aca="false">p_micro!C63</f>
        <v>0</v>
      </c>
    </row>
    <row r="67" customFormat="false" ht="13.8" hidden="false" customHeight="false" outlineLevel="0" collapsed="false">
      <c r="B67" s="11" t="n">
        <f aca="false">_xlfn.NUMBERVALUE(solar!B64)</f>
        <v>130</v>
      </c>
      <c r="C67" s="12" t="n">
        <f aca="false">solar!C64</f>
        <v>0</v>
      </c>
      <c r="D67" s="12" t="n">
        <v>15</v>
      </c>
      <c r="E67" s="6" t="n">
        <v>63</v>
      </c>
      <c r="F67" s="17" t="n">
        <f aca="false">IFERROR(INDEX($B$5:$C$173, MATCH($E67, $B$5:$B$175, 0), 2), 0)*investment!$C$2</f>
        <v>0</v>
      </c>
      <c r="G67" s="6" t="n">
        <f aca="false">demand!C65</f>
        <v>0</v>
      </c>
      <c r="H67" s="2" t="n">
        <f aca="false">solgen!C65</f>
        <v>0</v>
      </c>
      <c r="I67" s="2" t="n">
        <f aca="false">import!C65</f>
        <v>0</v>
      </c>
      <c r="J67" s="2" t="n">
        <f aca="false">-export!C65</f>
        <v>-0</v>
      </c>
      <c r="K67" s="2" t="n">
        <f aca="false">-charge!C65</f>
        <v>-0</v>
      </c>
      <c r="L67" s="2" t="n">
        <f aca="false">discharge!C65</f>
        <v>0</v>
      </c>
      <c r="M67" s="2" t="n">
        <f aca="false">soc!C65/investment!$E$2 *100</f>
        <v>99.9960000599996</v>
      </c>
      <c r="N67" s="4" t="n">
        <f aca="false">p_micro!C64</f>
        <v>0</v>
      </c>
    </row>
    <row r="68" customFormat="false" ht="13.8" hidden="false" customHeight="false" outlineLevel="0" collapsed="false">
      <c r="B68" s="11" t="n">
        <f aca="false">_xlfn.NUMBERVALUE(solar!B65)</f>
        <v>131</v>
      </c>
      <c r="C68" s="12" t="n">
        <f aca="false">solar!C65</f>
        <v>0</v>
      </c>
      <c r="D68" s="12" t="n">
        <v>16</v>
      </c>
      <c r="E68" s="6" t="n">
        <v>64</v>
      </c>
      <c r="F68" s="17" t="n">
        <f aca="false">IFERROR(INDEX($B$5:$C$173, MATCH($E68, $B$5:$B$175, 0), 2), 0)*investment!$C$2</f>
        <v>0</v>
      </c>
      <c r="G68" s="6" t="n">
        <f aca="false">demand!C66</f>
        <v>0</v>
      </c>
      <c r="H68" s="2" t="n">
        <f aca="false">solgen!C66</f>
        <v>0</v>
      </c>
      <c r="I68" s="2" t="n">
        <f aca="false">import!C66</f>
        <v>0</v>
      </c>
      <c r="J68" s="2" t="n">
        <f aca="false">-export!C66</f>
        <v>-0</v>
      </c>
      <c r="K68" s="2" t="n">
        <f aca="false">-charge!C66</f>
        <v>-0</v>
      </c>
      <c r="L68" s="2" t="n">
        <f aca="false">discharge!C66</f>
        <v>0</v>
      </c>
      <c r="M68" s="2" t="n">
        <f aca="false">soc!C66/investment!$E$2 *100</f>
        <v>99.995000099999</v>
      </c>
      <c r="N68" s="4" t="n">
        <f aca="false">p_micro!C65</f>
        <v>0</v>
      </c>
    </row>
    <row r="69" customFormat="false" ht="13.8" hidden="false" customHeight="false" outlineLevel="0" collapsed="false">
      <c r="B69" s="11" t="n">
        <f aca="false">_xlfn.NUMBERVALUE(solar!B66)</f>
        <v>132</v>
      </c>
      <c r="C69" s="12" t="n">
        <f aca="false">solar!C66</f>
        <v>0</v>
      </c>
      <c r="D69" s="12" t="n">
        <v>17</v>
      </c>
      <c r="E69" s="6" t="n">
        <v>65</v>
      </c>
      <c r="F69" s="17" t="n">
        <f aca="false">IFERROR(INDEX($B$5:$C$173, MATCH($E69, $B$5:$B$175, 0), 2), 0)*investment!$C$2</f>
        <v>0</v>
      </c>
      <c r="G69" s="6" t="n">
        <f aca="false">demand!C67</f>
        <v>0</v>
      </c>
      <c r="H69" s="2" t="n">
        <f aca="false">solgen!C67</f>
        <v>0</v>
      </c>
      <c r="I69" s="2" t="n">
        <f aca="false">import!C67</f>
        <v>0</v>
      </c>
      <c r="J69" s="2" t="n">
        <f aca="false">-export!C67</f>
        <v>-0</v>
      </c>
      <c r="K69" s="2" t="n">
        <f aca="false">-charge!C67</f>
        <v>-0</v>
      </c>
      <c r="L69" s="2" t="n">
        <f aca="false">discharge!C67</f>
        <v>0</v>
      </c>
      <c r="M69" s="2" t="n">
        <f aca="false">soc!C67/investment!$E$2 *100</f>
        <v>99.994000149998</v>
      </c>
      <c r="N69" s="4" t="n">
        <f aca="false">p_micro!C66</f>
        <v>0</v>
      </c>
    </row>
    <row r="70" customFormat="false" ht="13.8" hidden="false" customHeight="false" outlineLevel="0" collapsed="false">
      <c r="B70" s="11" t="n">
        <f aca="false">_xlfn.NUMBERVALUE(solar!B67)</f>
        <v>133</v>
      </c>
      <c r="C70" s="12" t="n">
        <f aca="false">solar!C67</f>
        <v>0</v>
      </c>
      <c r="D70" s="12" t="n">
        <v>18</v>
      </c>
      <c r="E70" s="6" t="n">
        <v>66</v>
      </c>
      <c r="F70" s="17" t="n">
        <f aca="false">IFERROR(INDEX($B$5:$C$173, MATCH($E70, $B$5:$B$175, 0), 2), 0)*investment!$C$2</f>
        <v>0</v>
      </c>
      <c r="G70" s="6" t="n">
        <f aca="false">demand!C68</f>
        <v>0</v>
      </c>
      <c r="H70" s="2" t="n">
        <f aca="false">solgen!C68</f>
        <v>0</v>
      </c>
      <c r="I70" s="2" t="n">
        <f aca="false">import!C68</f>
        <v>0</v>
      </c>
      <c r="J70" s="2" t="n">
        <f aca="false">-export!C68</f>
        <v>-0</v>
      </c>
      <c r="K70" s="2" t="n">
        <f aca="false">-charge!C68</f>
        <v>-0</v>
      </c>
      <c r="L70" s="2" t="n">
        <f aca="false">discharge!C68</f>
        <v>0</v>
      </c>
      <c r="M70" s="2" t="n">
        <f aca="false">soc!C68/investment!$E$2 *100</f>
        <v>99.9930002099965</v>
      </c>
      <c r="N70" s="4" t="n">
        <f aca="false">p_micro!C67</f>
        <v>0</v>
      </c>
    </row>
    <row r="71" customFormat="false" ht="13.8" hidden="false" customHeight="false" outlineLevel="0" collapsed="false">
      <c r="B71" s="11" t="n">
        <f aca="false">_xlfn.NUMBERVALUE(solar!B68)</f>
        <v>134</v>
      </c>
      <c r="C71" s="12" t="n">
        <f aca="false">solar!C68</f>
        <v>0</v>
      </c>
      <c r="D71" s="12" t="n">
        <v>19</v>
      </c>
      <c r="E71" s="6" t="n">
        <v>67</v>
      </c>
      <c r="F71" s="17" t="n">
        <f aca="false">IFERROR(INDEX($B$5:$C$173, MATCH($E71, $B$5:$B$175, 0), 2), 0)*investment!$C$2</f>
        <v>0</v>
      </c>
      <c r="G71" s="6" t="n">
        <f aca="false">demand!C69</f>
        <v>0</v>
      </c>
      <c r="H71" s="2" t="n">
        <f aca="false">solgen!C69</f>
        <v>0</v>
      </c>
      <c r="I71" s="2" t="n">
        <f aca="false">import!C69</f>
        <v>0</v>
      </c>
      <c r="J71" s="2" t="n">
        <f aca="false">-export!C69</f>
        <v>-0</v>
      </c>
      <c r="K71" s="2" t="n">
        <f aca="false">-charge!C69</f>
        <v>-0</v>
      </c>
      <c r="L71" s="2" t="n">
        <f aca="false">discharge!C69</f>
        <v>0</v>
      </c>
      <c r="M71" s="2" t="n">
        <f aca="false">soc!C69/investment!$E$2 *100</f>
        <v>99.9920002799944</v>
      </c>
      <c r="N71" s="4" t="n">
        <f aca="false">p_micro!C68</f>
        <v>0</v>
      </c>
    </row>
    <row r="72" customFormat="false" ht="13.8" hidden="false" customHeight="false" outlineLevel="0" collapsed="false">
      <c r="B72" s="11" t="n">
        <f aca="false">_xlfn.NUMBERVALUE(solar!B69)</f>
        <v>135</v>
      </c>
      <c r="C72" s="12" t="n">
        <f aca="false">solar!C69</f>
        <v>0</v>
      </c>
      <c r="D72" s="12" t="n">
        <v>20</v>
      </c>
      <c r="E72" s="6" t="n">
        <v>68</v>
      </c>
      <c r="F72" s="17" t="n">
        <f aca="false">IFERROR(INDEX($B$5:$C$173, MATCH($E72, $B$5:$B$175, 0), 2), 0)*investment!$C$2</f>
        <v>0</v>
      </c>
      <c r="G72" s="6" t="n">
        <f aca="false">demand!C70</f>
        <v>0</v>
      </c>
      <c r="H72" s="2" t="n">
        <f aca="false">solgen!C70</f>
        <v>0</v>
      </c>
      <c r="I72" s="2" t="n">
        <f aca="false">import!C70</f>
        <v>0</v>
      </c>
      <c r="J72" s="2" t="n">
        <f aca="false">-export!C70</f>
        <v>-0</v>
      </c>
      <c r="K72" s="2" t="n">
        <f aca="false">-charge!C70</f>
        <v>-0</v>
      </c>
      <c r="L72" s="2" t="n">
        <f aca="false">discharge!C70</f>
        <v>0</v>
      </c>
      <c r="M72" s="2" t="n">
        <f aca="false">soc!C70/investment!$E$2 *100</f>
        <v>99.9910003599917</v>
      </c>
      <c r="N72" s="4" t="n">
        <f aca="false">p_micro!C69</f>
        <v>0</v>
      </c>
    </row>
    <row r="73" customFormat="false" ht="13.8" hidden="false" customHeight="false" outlineLevel="0" collapsed="false">
      <c r="B73" s="11" t="n">
        <f aca="false">_xlfn.NUMBERVALUE(solar!B70)</f>
        <v>136</v>
      </c>
      <c r="C73" s="12" t="n">
        <f aca="false">solar!C70</f>
        <v>0</v>
      </c>
      <c r="D73" s="12" t="n">
        <v>21</v>
      </c>
      <c r="E73" s="6" t="n">
        <v>69</v>
      </c>
      <c r="F73" s="17" t="n">
        <f aca="false">IFERROR(INDEX($B$5:$C$173, MATCH($E73, $B$5:$B$175, 0), 2), 0)*investment!$C$2</f>
        <v>0</v>
      </c>
      <c r="G73" s="6" t="n">
        <f aca="false">demand!C71</f>
        <v>0</v>
      </c>
      <c r="H73" s="2" t="n">
        <f aca="false">solgen!C71</f>
        <v>0</v>
      </c>
      <c r="I73" s="2" t="n">
        <f aca="false">import!C71</f>
        <v>0</v>
      </c>
      <c r="J73" s="2" t="n">
        <f aca="false">-export!C71</f>
        <v>-0</v>
      </c>
      <c r="K73" s="2" t="n">
        <f aca="false">-charge!C71</f>
        <v>-0</v>
      </c>
      <c r="L73" s="2" t="n">
        <f aca="false">discharge!C71</f>
        <v>0</v>
      </c>
      <c r="M73" s="2" t="n">
        <f aca="false">soc!C71/investment!$E$2 *100</f>
        <v>99.9900004499881</v>
      </c>
      <c r="N73" s="4" t="n">
        <f aca="false">p_micro!C70</f>
        <v>0</v>
      </c>
    </row>
    <row r="74" customFormat="false" ht="13.8" hidden="false" customHeight="false" outlineLevel="0" collapsed="false">
      <c r="B74" s="11" t="n">
        <f aca="false">_xlfn.NUMBERVALUE(solar!B71)</f>
        <v>137</v>
      </c>
      <c r="C74" s="12" t="n">
        <f aca="false">solar!C71</f>
        <v>0</v>
      </c>
      <c r="D74" s="12" t="n">
        <v>22</v>
      </c>
      <c r="E74" s="6" t="n">
        <v>70</v>
      </c>
      <c r="F74" s="17" t="n">
        <f aca="false">IFERROR(INDEX($B$5:$C$173, MATCH($E74, $B$5:$B$175, 0), 2), 0)*investment!$C$2</f>
        <v>0</v>
      </c>
      <c r="G74" s="6" t="n">
        <f aca="false">demand!C72</f>
        <v>0</v>
      </c>
      <c r="H74" s="2" t="n">
        <f aca="false">solgen!C72</f>
        <v>0</v>
      </c>
      <c r="I74" s="2" t="n">
        <f aca="false">import!C72</f>
        <v>0</v>
      </c>
      <c r="J74" s="2" t="n">
        <f aca="false">-export!C72</f>
        <v>-0</v>
      </c>
      <c r="K74" s="2" t="n">
        <f aca="false">-charge!C72</f>
        <v>-0</v>
      </c>
      <c r="L74" s="2" t="n">
        <f aca="false">discharge!C72</f>
        <v>0</v>
      </c>
      <c r="M74" s="2" t="n">
        <f aca="false">soc!C72/investment!$E$2 *100</f>
        <v>99.9890005499836</v>
      </c>
      <c r="N74" s="4" t="n">
        <f aca="false">p_micro!C71</f>
        <v>0</v>
      </c>
    </row>
    <row r="75" customFormat="false" ht="13.8" hidden="false" customHeight="false" outlineLevel="0" collapsed="false">
      <c r="B75" s="11" t="n">
        <f aca="false">_xlfn.NUMBERVALUE(solar!B72)</f>
        <v>138</v>
      </c>
      <c r="C75" s="12" t="n">
        <f aca="false">solar!C72</f>
        <v>0</v>
      </c>
      <c r="D75" s="12" t="n">
        <v>23</v>
      </c>
      <c r="E75" s="6" t="n">
        <v>71</v>
      </c>
      <c r="F75" s="17" t="n">
        <f aca="false">IFERROR(INDEX($B$5:$C$173, MATCH($E75, $B$5:$B$175, 0), 2), 0)*investment!$C$2</f>
        <v>0</v>
      </c>
      <c r="G75" s="6" t="n">
        <f aca="false">demand!C73</f>
        <v>0</v>
      </c>
      <c r="H75" s="2" t="n">
        <f aca="false">solgen!C73</f>
        <v>0</v>
      </c>
      <c r="I75" s="2" t="n">
        <f aca="false">import!C73</f>
        <v>0</v>
      </c>
      <c r="J75" s="2" t="n">
        <f aca="false">-export!C73</f>
        <v>-0</v>
      </c>
      <c r="K75" s="2" t="n">
        <f aca="false">-charge!C73</f>
        <v>-0</v>
      </c>
      <c r="L75" s="2" t="n">
        <f aca="false">discharge!C73</f>
        <v>0</v>
      </c>
      <c r="M75" s="2" t="n">
        <f aca="false">soc!C73/investment!$E$2 *100</f>
        <v>99.9880006599781</v>
      </c>
      <c r="N75" s="4" t="n">
        <f aca="false">p_micro!C72</f>
        <v>0</v>
      </c>
    </row>
    <row r="76" customFormat="false" ht="13.8" hidden="false" customHeight="false" outlineLevel="0" collapsed="false">
      <c r="B76" s="11" t="n">
        <f aca="false">_xlfn.NUMBERVALUE(solar!B73)</f>
        <v>139</v>
      </c>
      <c r="C76" s="12" t="n">
        <f aca="false">solar!C73</f>
        <v>0</v>
      </c>
      <c r="D76" s="12" t="n">
        <v>24</v>
      </c>
      <c r="E76" s="6" t="n">
        <v>72</v>
      </c>
      <c r="F76" s="17" t="n">
        <f aca="false">IFERROR(INDEX($B$5:$C$173, MATCH($E76, $B$5:$B$175, 0), 2), 0)*investment!$C$2</f>
        <v>0</v>
      </c>
      <c r="G76" s="6" t="n">
        <f aca="false">demand!C74</f>
        <v>0</v>
      </c>
      <c r="H76" s="2" t="n">
        <f aca="false">solgen!C74</f>
        <v>0</v>
      </c>
      <c r="I76" s="2" t="n">
        <f aca="false">import!C74</f>
        <v>0</v>
      </c>
      <c r="J76" s="2" t="n">
        <f aca="false">-export!C74</f>
        <v>-0</v>
      </c>
      <c r="K76" s="2" t="n">
        <f aca="false">-charge!C74</f>
        <v>-0</v>
      </c>
      <c r="L76" s="2" t="n">
        <f aca="false">discharge!C74</f>
        <v>0</v>
      </c>
      <c r="M76" s="2" t="n">
        <f aca="false">soc!C74/investment!$E$2 *100</f>
        <v>69.8412820127749</v>
      </c>
      <c r="N76" s="4" t="n">
        <f aca="false">p_micro!C73</f>
        <v>0</v>
      </c>
    </row>
    <row r="77" customFormat="false" ht="13.8" hidden="false" customHeight="false" outlineLevel="0" collapsed="false">
      <c r="B77" s="11" t="n">
        <f aca="false">_xlfn.NUMBERVALUE(solar!B74)</f>
        <v>152</v>
      </c>
      <c r="C77" s="12" t="n">
        <f aca="false">solar!C74</f>
        <v>0</v>
      </c>
      <c r="D77" s="12" t="n">
        <v>1</v>
      </c>
      <c r="E77" s="6" t="n">
        <v>73</v>
      </c>
      <c r="F77" s="17" t="n">
        <f aca="false">IFERROR(INDEX($B$5:$C$173, MATCH($E77, $B$5:$B$175, 0), 2), 0)*investment!$C$2</f>
        <v>0</v>
      </c>
      <c r="G77" s="6" t="n">
        <f aca="false">demand!C75</f>
        <v>0</v>
      </c>
      <c r="H77" s="2" t="n">
        <f aca="false">solgen!C75</f>
        <v>0</v>
      </c>
      <c r="I77" s="2" t="n">
        <f aca="false">import!C75</f>
        <v>0</v>
      </c>
      <c r="J77" s="2" t="n">
        <f aca="false">-export!C75</f>
        <v>-0</v>
      </c>
      <c r="K77" s="2" t="n">
        <f aca="false">-charge!C75</f>
        <v>-0</v>
      </c>
      <c r="L77" s="2" t="n">
        <f aca="false">discharge!C75</f>
        <v>0</v>
      </c>
      <c r="M77" s="2" t="n">
        <f aca="false">soc!C75/investment!$E$2 *100</f>
        <v>27.3578072841072</v>
      </c>
      <c r="N77" s="4" t="n">
        <f aca="false">p_micro!C74</f>
        <v>0</v>
      </c>
    </row>
    <row r="78" customFormat="false" ht="13.8" hidden="false" customHeight="false" outlineLevel="0" collapsed="false">
      <c r="B78" s="11" t="n">
        <f aca="false">_xlfn.NUMBERVALUE(solar!B75)</f>
        <v>153</v>
      </c>
      <c r="C78" s="12" t="n">
        <f aca="false">solar!C75</f>
        <v>0</v>
      </c>
      <c r="D78" s="12" t="n">
        <v>2</v>
      </c>
      <c r="E78" s="6" t="n">
        <v>74</v>
      </c>
      <c r="F78" s="17" t="n">
        <f aca="false">IFERROR(INDEX($B$5:$C$173, MATCH($E78, $B$5:$B$175, 0), 2), 0)*investment!$C$2</f>
        <v>0</v>
      </c>
      <c r="G78" s="6" t="n">
        <f aca="false">demand!C76</f>
        <v>0</v>
      </c>
      <c r="H78" s="2" t="n">
        <f aca="false">solgen!C76</f>
        <v>0</v>
      </c>
      <c r="I78" s="2" t="n">
        <f aca="false">import!C76</f>
        <v>0</v>
      </c>
      <c r="J78" s="2" t="n">
        <f aca="false">-export!C76</f>
        <v>-0</v>
      </c>
      <c r="K78" s="2" t="n">
        <f aca="false">-charge!C76</f>
        <v>-0</v>
      </c>
      <c r="L78" s="2" t="n">
        <f aca="false">discharge!C76</f>
        <v>0</v>
      </c>
      <c r="M78" s="2" t="n">
        <f aca="false">soc!C76/investment!$E$2 *100</f>
        <v>27.3575337060344</v>
      </c>
      <c r="N78" s="4" t="n">
        <f aca="false">p_micro!C75</f>
        <v>0</v>
      </c>
    </row>
    <row r="79" customFormat="false" ht="13.8" hidden="false" customHeight="false" outlineLevel="0" collapsed="false">
      <c r="B79" s="11" t="n">
        <f aca="false">_xlfn.NUMBERVALUE(solar!B76)</f>
        <v>154</v>
      </c>
      <c r="C79" s="12" t="n">
        <f aca="false">solar!C76</f>
        <v>0</v>
      </c>
      <c r="D79" s="12" t="n">
        <v>3</v>
      </c>
      <c r="E79" s="6" t="n">
        <v>75</v>
      </c>
      <c r="F79" s="17" t="n">
        <f aca="false">IFERROR(INDEX($B$5:$C$173, MATCH($E79, $B$5:$B$175, 0), 2), 0)*investment!$C$2</f>
        <v>0</v>
      </c>
      <c r="G79" s="6" t="n">
        <f aca="false">demand!C77</f>
        <v>0</v>
      </c>
      <c r="H79" s="2" t="n">
        <f aca="false">solgen!C77</f>
        <v>0</v>
      </c>
      <c r="I79" s="2" t="n">
        <f aca="false">import!C77</f>
        <v>0</v>
      </c>
      <c r="J79" s="2" t="n">
        <f aca="false">-export!C77</f>
        <v>-0</v>
      </c>
      <c r="K79" s="2" t="n">
        <f aca="false">-charge!C77</f>
        <v>-0</v>
      </c>
      <c r="L79" s="2" t="n">
        <f aca="false">discharge!C77</f>
        <v>0</v>
      </c>
      <c r="M79" s="2" t="n">
        <f aca="false">soc!C77/investment!$E$2 *100</f>
        <v>27.3572601306973</v>
      </c>
      <c r="N79" s="4" t="n">
        <f aca="false">p_micro!C76</f>
        <v>0</v>
      </c>
    </row>
    <row r="80" customFormat="false" ht="13.8" hidden="false" customHeight="false" outlineLevel="0" collapsed="false">
      <c r="B80" s="11" t="n">
        <f aca="false">_xlfn.NUMBERVALUE(solar!B77)</f>
        <v>155</v>
      </c>
      <c r="C80" s="12" t="n">
        <f aca="false">solar!C77</f>
        <v>0</v>
      </c>
      <c r="D80" s="12" t="n">
        <v>4</v>
      </c>
      <c r="E80" s="6" t="n">
        <v>76</v>
      </c>
      <c r="F80" s="17" t="n">
        <f aca="false">IFERROR(INDEX($B$5:$C$173, MATCH($E80, $B$5:$B$175, 0), 2), 0)*investment!$C$2</f>
        <v>0</v>
      </c>
      <c r="G80" s="6" t="n">
        <f aca="false">demand!C78</f>
        <v>0</v>
      </c>
      <c r="H80" s="2" t="n">
        <f aca="false">solgen!C78</f>
        <v>0</v>
      </c>
      <c r="I80" s="2" t="n">
        <f aca="false">import!C78</f>
        <v>0</v>
      </c>
      <c r="J80" s="2" t="n">
        <f aca="false">-export!C78</f>
        <v>-0</v>
      </c>
      <c r="K80" s="2" t="n">
        <f aca="false">-charge!C78</f>
        <v>-0</v>
      </c>
      <c r="L80" s="2" t="n">
        <f aca="false">discharge!C78</f>
        <v>0</v>
      </c>
      <c r="M80" s="2" t="n">
        <f aca="false">soc!C78/investment!$E$2 *100</f>
        <v>2.58297223488236E-016</v>
      </c>
      <c r="N80" s="4" t="n">
        <f aca="false">p_micro!C77</f>
        <v>0</v>
      </c>
    </row>
    <row r="81" customFormat="false" ht="13.8" hidden="false" customHeight="false" outlineLevel="0" collapsed="false">
      <c r="B81" s="11" t="n">
        <f aca="false">_xlfn.NUMBERVALUE(solar!B78)</f>
        <v>156</v>
      </c>
      <c r="C81" s="12" t="n">
        <f aca="false">solar!C78</f>
        <v>0</v>
      </c>
      <c r="D81" s="12" t="n">
        <v>5</v>
      </c>
      <c r="E81" s="6" t="n">
        <v>77</v>
      </c>
      <c r="F81" s="17" t="n">
        <f aca="false">IFERROR(INDEX($B$5:$C$173, MATCH($E81, $B$5:$B$175, 0), 2), 0)*investment!$C$2</f>
        <v>0</v>
      </c>
      <c r="G81" s="6" t="n">
        <f aca="false">demand!C79</f>
        <v>0</v>
      </c>
      <c r="H81" s="2" t="n">
        <f aca="false">solgen!C79</f>
        <v>0</v>
      </c>
      <c r="I81" s="2" t="n">
        <f aca="false">import!C79</f>
        <v>0</v>
      </c>
      <c r="J81" s="2" t="n">
        <f aca="false">-export!C79</f>
        <v>-0</v>
      </c>
      <c r="K81" s="2" t="n">
        <f aca="false">-charge!C79</f>
        <v>-0</v>
      </c>
      <c r="L81" s="2" t="n">
        <f aca="false">discharge!C79</f>
        <v>0</v>
      </c>
      <c r="M81" s="2" t="n">
        <f aca="false">soc!C79/investment!$E$2 *100</f>
        <v>0</v>
      </c>
      <c r="N81" s="4" t="n">
        <f aca="false">p_micro!C78</f>
        <v>0</v>
      </c>
    </row>
    <row r="82" customFormat="false" ht="13.8" hidden="false" customHeight="false" outlineLevel="0" collapsed="false">
      <c r="B82" s="11" t="n">
        <f aca="false">_xlfn.NUMBERVALUE(solar!B79)</f>
        <v>157</v>
      </c>
      <c r="C82" s="12" t="n">
        <f aca="false">solar!C79</f>
        <v>0</v>
      </c>
      <c r="D82" s="12" t="n">
        <v>6</v>
      </c>
      <c r="E82" s="6" t="n">
        <v>78</v>
      </c>
      <c r="F82" s="17" t="n">
        <f aca="false">IFERROR(INDEX($B$5:$C$173, MATCH($E82, $B$5:$B$175, 0), 2), 0)*investment!$C$2</f>
        <v>0</v>
      </c>
      <c r="G82" s="6" t="n">
        <f aca="false">demand!C80</f>
        <v>0</v>
      </c>
      <c r="H82" s="2" t="n">
        <f aca="false">solgen!C80</f>
        <v>0</v>
      </c>
      <c r="I82" s="2" t="n">
        <f aca="false">import!C80</f>
        <v>0</v>
      </c>
      <c r="J82" s="2" t="n">
        <f aca="false">-export!C80</f>
        <v>-0</v>
      </c>
      <c r="K82" s="2" t="n">
        <f aca="false">-charge!C80</f>
        <v>-0</v>
      </c>
      <c r="L82" s="2" t="n">
        <f aca="false">discharge!C80</f>
        <v>0</v>
      </c>
      <c r="M82" s="2" t="n">
        <f aca="false">soc!C80/investment!$E$2 *100</f>
        <v>0</v>
      </c>
      <c r="N82" s="4" t="n">
        <f aca="false">p_micro!C79</f>
        <v>0</v>
      </c>
    </row>
    <row r="83" customFormat="false" ht="13.8" hidden="false" customHeight="false" outlineLevel="0" collapsed="false">
      <c r="B83" s="11" t="n">
        <f aca="false">_xlfn.NUMBERVALUE(solar!B80)</f>
        <v>158</v>
      </c>
      <c r="C83" s="12" t="n">
        <f aca="false">solar!C80</f>
        <v>0</v>
      </c>
      <c r="D83" s="12" t="n">
        <v>7</v>
      </c>
      <c r="E83" s="6" t="n">
        <v>79</v>
      </c>
      <c r="F83" s="17" t="n">
        <f aca="false">IFERROR(INDEX($B$5:$C$173, MATCH($E83, $B$5:$B$175, 0), 2), 0)*investment!$C$2</f>
        <v>0</v>
      </c>
      <c r="G83" s="6" t="n">
        <f aca="false">demand!C81</f>
        <v>0</v>
      </c>
      <c r="H83" s="2" t="n">
        <f aca="false">solgen!C81</f>
        <v>0</v>
      </c>
      <c r="I83" s="2" t="n">
        <f aca="false">import!C81</f>
        <v>0</v>
      </c>
      <c r="J83" s="2" t="n">
        <f aca="false">-export!C81</f>
        <v>-0</v>
      </c>
      <c r="K83" s="2" t="n">
        <f aca="false">-charge!C81</f>
        <v>-0</v>
      </c>
      <c r="L83" s="2" t="n">
        <f aca="false">discharge!C81</f>
        <v>0</v>
      </c>
      <c r="M83" s="2" t="n">
        <f aca="false">soc!C81/investment!$E$2 *100</f>
        <v>0</v>
      </c>
      <c r="N83" s="4" t="n">
        <f aca="false">p_micro!C80</f>
        <v>0</v>
      </c>
    </row>
    <row r="84" customFormat="false" ht="13.8" hidden="false" customHeight="false" outlineLevel="0" collapsed="false">
      <c r="B84" s="11" t="n">
        <f aca="false">_xlfn.NUMBERVALUE(solar!B81)</f>
        <v>159</v>
      </c>
      <c r="C84" s="12" t="n">
        <f aca="false">solar!C81</f>
        <v>0</v>
      </c>
      <c r="D84" s="12" t="n">
        <v>8</v>
      </c>
      <c r="E84" s="6" t="n">
        <v>80</v>
      </c>
      <c r="F84" s="17" t="n">
        <f aca="false">IFERROR(INDEX($B$5:$C$173, MATCH($E84, $B$5:$B$175, 0), 2), 0)*investment!$C$2</f>
        <v>0</v>
      </c>
      <c r="G84" s="6" t="n">
        <f aca="false">demand!C82</f>
        <v>0</v>
      </c>
      <c r="H84" s="2" t="n">
        <f aca="false">solgen!C82</f>
        <v>0</v>
      </c>
      <c r="I84" s="2" t="n">
        <f aca="false">import!C82</f>
        <v>0</v>
      </c>
      <c r="J84" s="2" t="n">
        <f aca="false">-export!C82</f>
        <v>-0</v>
      </c>
      <c r="K84" s="2" t="n">
        <f aca="false">-charge!C82</f>
        <v>-0</v>
      </c>
      <c r="L84" s="2" t="n">
        <f aca="false">discharge!C82</f>
        <v>0</v>
      </c>
      <c r="M84" s="2" t="n">
        <f aca="false">soc!C82/investment!$E$2 *100</f>
        <v>0</v>
      </c>
      <c r="N84" s="4" t="n">
        <f aca="false">p_micro!C81</f>
        <v>0</v>
      </c>
    </row>
    <row r="85" customFormat="false" ht="13.8" hidden="false" customHeight="false" outlineLevel="0" collapsed="false">
      <c r="B85" s="11" t="n">
        <f aca="false">_xlfn.NUMBERVALUE(solar!B82)</f>
        <v>160</v>
      </c>
      <c r="C85" s="12" t="n">
        <f aca="false">solar!C82</f>
        <v>0</v>
      </c>
      <c r="D85" s="12" t="n">
        <v>9</v>
      </c>
      <c r="E85" s="6" t="n">
        <v>81</v>
      </c>
      <c r="F85" s="17" t="n">
        <f aca="false">IFERROR(INDEX($B$5:$C$173, MATCH($E85, $B$5:$B$175, 0), 2), 0)*investment!$C$2</f>
        <v>0</v>
      </c>
      <c r="G85" s="6" t="n">
        <f aca="false">demand!C83</f>
        <v>0</v>
      </c>
      <c r="H85" s="2" t="n">
        <f aca="false">solgen!C83</f>
        <v>0</v>
      </c>
      <c r="I85" s="2" t="n">
        <f aca="false">import!C83</f>
        <v>0</v>
      </c>
      <c r="J85" s="2" t="n">
        <f aca="false">-export!C83</f>
        <v>-0</v>
      </c>
      <c r="K85" s="2" t="n">
        <f aca="false">-charge!C83</f>
        <v>-0</v>
      </c>
      <c r="L85" s="2" t="n">
        <f aca="false">discharge!C83</f>
        <v>0</v>
      </c>
      <c r="M85" s="2" t="n">
        <f aca="false">soc!C83/investment!$E$2 *100</f>
        <v>0</v>
      </c>
      <c r="N85" s="4" t="n">
        <f aca="false">p_micro!C82</f>
        <v>0</v>
      </c>
    </row>
    <row r="86" customFormat="false" ht="13.8" hidden="false" customHeight="false" outlineLevel="0" collapsed="false">
      <c r="B86" s="11" t="n">
        <f aca="false">_xlfn.NUMBERVALUE(solar!B83)</f>
        <v>161</v>
      </c>
      <c r="C86" s="12" t="n">
        <f aca="false">solar!C83</f>
        <v>0</v>
      </c>
      <c r="D86" s="12" t="n">
        <v>10</v>
      </c>
      <c r="E86" s="6" t="n">
        <v>82</v>
      </c>
      <c r="F86" s="17" t="n">
        <f aca="false">IFERROR(INDEX($B$5:$C$173, MATCH($E86, $B$5:$B$175, 0), 2), 0)*investment!$C$2</f>
        <v>0</v>
      </c>
      <c r="G86" s="6" t="n">
        <f aca="false">demand!C84</f>
        <v>0</v>
      </c>
      <c r="H86" s="2" t="n">
        <f aca="false">solgen!C84</f>
        <v>0</v>
      </c>
      <c r="I86" s="2" t="n">
        <f aca="false">import!C84</f>
        <v>0</v>
      </c>
      <c r="J86" s="2" t="n">
        <f aca="false">-export!C84</f>
        <v>-0</v>
      </c>
      <c r="K86" s="2" t="n">
        <f aca="false">-charge!C84</f>
        <v>-0</v>
      </c>
      <c r="L86" s="2" t="n">
        <f aca="false">discharge!C84</f>
        <v>0</v>
      </c>
      <c r="M86" s="2" t="n">
        <f aca="false">soc!C84/investment!$E$2 *100</f>
        <v>0</v>
      </c>
      <c r="N86" s="4" t="n">
        <f aca="false">p_micro!C83</f>
        <v>0</v>
      </c>
    </row>
    <row r="87" customFormat="false" ht="13.8" hidden="false" customHeight="false" outlineLevel="0" collapsed="false">
      <c r="B87" s="11" t="n">
        <f aca="false">_xlfn.NUMBERVALUE(solar!B84)</f>
        <v>162</v>
      </c>
      <c r="C87" s="12" t="n">
        <f aca="false">solar!C84</f>
        <v>0</v>
      </c>
      <c r="D87" s="12" t="n">
        <v>11</v>
      </c>
      <c r="E87" s="6" t="n">
        <v>83</v>
      </c>
      <c r="F87" s="17" t="n">
        <f aca="false">IFERROR(INDEX($B$5:$C$173, MATCH($E87, $B$5:$B$175, 0), 2), 0)*investment!$C$2</f>
        <v>0</v>
      </c>
      <c r="G87" s="6" t="n">
        <f aca="false">demand!C85</f>
        <v>0</v>
      </c>
      <c r="H87" s="2" t="n">
        <f aca="false">solgen!C85</f>
        <v>0</v>
      </c>
      <c r="I87" s="2" t="n">
        <f aca="false">import!C85</f>
        <v>0</v>
      </c>
      <c r="J87" s="2" t="n">
        <f aca="false">-export!C85</f>
        <v>-0</v>
      </c>
      <c r="K87" s="2" t="n">
        <f aca="false">-charge!C85</f>
        <v>-0</v>
      </c>
      <c r="L87" s="2" t="n">
        <f aca="false">discharge!C85</f>
        <v>0</v>
      </c>
      <c r="M87" s="2" t="n">
        <f aca="false">soc!C85/investment!$E$2 *100</f>
        <v>0</v>
      </c>
      <c r="N87" s="4" t="n">
        <f aca="false">p_micro!C84</f>
        <v>0</v>
      </c>
    </row>
    <row r="88" customFormat="false" ht="13.8" hidden="false" customHeight="false" outlineLevel="0" collapsed="false">
      <c r="B88" s="11" t="n">
        <f aca="false">_xlfn.NUMBERVALUE(solar!B85)</f>
        <v>163</v>
      </c>
      <c r="C88" s="12" t="n">
        <f aca="false">solar!C85</f>
        <v>0</v>
      </c>
      <c r="D88" s="12" t="n">
        <v>12</v>
      </c>
      <c r="E88" s="6" t="n">
        <v>84</v>
      </c>
      <c r="F88" s="17" t="n">
        <f aca="false">IFERROR(INDEX($B$5:$C$173, MATCH($E88, $B$5:$B$175, 0), 2), 0)*investment!$C$2</f>
        <v>0</v>
      </c>
      <c r="G88" s="6" t="n">
        <f aca="false">demand!C86</f>
        <v>0</v>
      </c>
      <c r="H88" s="2" t="n">
        <f aca="false">solgen!C86</f>
        <v>0</v>
      </c>
      <c r="I88" s="2" t="n">
        <f aca="false">import!C86</f>
        <v>0</v>
      </c>
      <c r="J88" s="2" t="n">
        <f aca="false">-export!C86</f>
        <v>-0</v>
      </c>
      <c r="K88" s="2" t="n">
        <f aca="false">-charge!C86</f>
        <v>-0</v>
      </c>
      <c r="L88" s="2" t="n">
        <f aca="false">discharge!C86</f>
        <v>0</v>
      </c>
      <c r="M88" s="2" t="n">
        <f aca="false">soc!C86/investment!$E$2 *100</f>
        <v>0</v>
      </c>
      <c r="N88" s="4" t="n">
        <f aca="false">p_micro!C85</f>
        <v>0</v>
      </c>
    </row>
    <row r="89" customFormat="false" ht="13.8" hidden="false" customHeight="false" outlineLevel="0" collapsed="false">
      <c r="B89" s="11" t="n">
        <f aca="false">_xlfn.NUMBERVALUE(solar!B86)</f>
        <v>0</v>
      </c>
      <c r="C89" s="12" t="n">
        <f aca="false">solar!C86</f>
        <v>0</v>
      </c>
      <c r="D89" s="12" t="n">
        <v>13</v>
      </c>
      <c r="E89" s="6" t="n">
        <v>85</v>
      </c>
      <c r="F89" s="17" t="n">
        <f aca="false">IFERROR(INDEX($B$5:$C$173, MATCH($E89, $B$5:$B$175, 0), 2), 0)*investment!$C$2</f>
        <v>0</v>
      </c>
      <c r="G89" s="6" t="n">
        <f aca="false">demand!C87</f>
        <v>0</v>
      </c>
      <c r="H89" s="2" t="n">
        <f aca="false">solgen!C87</f>
        <v>0</v>
      </c>
      <c r="I89" s="2" t="n">
        <f aca="false">import!C87</f>
        <v>0</v>
      </c>
      <c r="J89" s="2" t="n">
        <f aca="false">-export!C87</f>
        <v>-0</v>
      </c>
      <c r="K89" s="2" t="n">
        <f aca="false">-charge!C87</f>
        <v>-0</v>
      </c>
      <c r="L89" s="2" t="n">
        <f aca="false">discharge!C87</f>
        <v>0</v>
      </c>
      <c r="M89" s="2" t="n">
        <f aca="false">soc!C87/investment!$E$2 *100</f>
        <v>0</v>
      </c>
      <c r="N89" s="4" t="n">
        <f aca="false">p_micro!C86</f>
        <v>0</v>
      </c>
    </row>
    <row r="90" customFormat="false" ht="13.8" hidden="false" customHeight="false" outlineLevel="0" collapsed="false">
      <c r="B90" s="11" t="n">
        <f aca="false">_xlfn.NUMBERVALUE(solar!B87)</f>
        <v>0</v>
      </c>
      <c r="C90" s="12" t="n">
        <f aca="false">solar!C87</f>
        <v>0</v>
      </c>
      <c r="D90" s="12" t="n">
        <v>14</v>
      </c>
      <c r="E90" s="6" t="n">
        <v>86</v>
      </c>
      <c r="F90" s="17" t="n">
        <f aca="false">IFERROR(INDEX($B$5:$C$173, MATCH($E90, $B$5:$B$175, 0), 2), 0)*investment!$C$2</f>
        <v>0</v>
      </c>
      <c r="G90" s="6" t="n">
        <f aca="false">demand!C88</f>
        <v>0</v>
      </c>
      <c r="H90" s="2" t="n">
        <f aca="false">solgen!C88</f>
        <v>0</v>
      </c>
      <c r="I90" s="2" t="n">
        <f aca="false">import!C88</f>
        <v>0</v>
      </c>
      <c r="J90" s="2" t="n">
        <f aca="false">-export!C88</f>
        <v>-0</v>
      </c>
      <c r="K90" s="2" t="n">
        <f aca="false">-charge!C88</f>
        <v>-0</v>
      </c>
      <c r="L90" s="2" t="n">
        <f aca="false">discharge!C88</f>
        <v>0</v>
      </c>
      <c r="M90" s="2" t="n">
        <f aca="false">soc!C88/investment!$E$2 *100</f>
        <v>0</v>
      </c>
      <c r="N90" s="4" t="n">
        <f aca="false">p_micro!C87</f>
        <v>0</v>
      </c>
    </row>
    <row r="91" customFormat="false" ht="13.8" hidden="false" customHeight="false" outlineLevel="0" collapsed="false">
      <c r="B91" s="11" t="n">
        <f aca="false">_xlfn.NUMBERVALUE(solar!B88)</f>
        <v>0</v>
      </c>
      <c r="C91" s="12" t="n">
        <f aca="false">solar!C88</f>
        <v>0</v>
      </c>
      <c r="D91" s="12" t="n">
        <v>15</v>
      </c>
      <c r="E91" s="6" t="n">
        <v>87</v>
      </c>
      <c r="F91" s="17" t="n">
        <f aca="false">IFERROR(INDEX($B$5:$C$173, MATCH($E91, $B$5:$B$175, 0), 2), 0)*investment!$C$2</f>
        <v>0</v>
      </c>
      <c r="G91" s="6" t="n">
        <f aca="false">demand!C89</f>
        <v>0</v>
      </c>
      <c r="H91" s="2" t="n">
        <f aca="false">solgen!C89</f>
        <v>0</v>
      </c>
      <c r="I91" s="2" t="n">
        <f aca="false">import!C89</f>
        <v>0</v>
      </c>
      <c r="J91" s="2" t="n">
        <f aca="false">-export!C89</f>
        <v>-0</v>
      </c>
      <c r="K91" s="2" t="n">
        <f aca="false">-charge!C89</f>
        <v>-0</v>
      </c>
      <c r="L91" s="2" t="n">
        <f aca="false">discharge!C89</f>
        <v>0</v>
      </c>
      <c r="M91" s="2" t="n">
        <f aca="false">soc!C89/investment!$E$2 *100</f>
        <v>0</v>
      </c>
      <c r="N91" s="4" t="n">
        <f aca="false">p_micro!C88</f>
        <v>0</v>
      </c>
    </row>
    <row r="92" customFormat="false" ht="13.8" hidden="false" customHeight="false" outlineLevel="0" collapsed="false">
      <c r="B92" s="11" t="n">
        <f aca="false">_xlfn.NUMBERVALUE(solar!B89)</f>
        <v>0</v>
      </c>
      <c r="C92" s="12" t="n">
        <f aca="false">solar!C89</f>
        <v>0</v>
      </c>
      <c r="D92" s="12" t="n">
        <v>16</v>
      </c>
      <c r="E92" s="6" t="n">
        <v>88</v>
      </c>
      <c r="F92" s="17" t="n">
        <f aca="false">IFERROR(INDEX($B$5:$C$173, MATCH($E92, $B$5:$B$175, 0), 2), 0)*investment!$C$2</f>
        <v>0</v>
      </c>
      <c r="G92" s="6" t="n">
        <f aca="false">demand!C90</f>
        <v>0</v>
      </c>
      <c r="H92" s="2" t="n">
        <f aca="false">solgen!C90</f>
        <v>0</v>
      </c>
      <c r="I92" s="2" t="n">
        <f aca="false">import!C90</f>
        <v>0</v>
      </c>
      <c r="J92" s="2" t="n">
        <f aca="false">-export!C90</f>
        <v>-0</v>
      </c>
      <c r="K92" s="2" t="n">
        <f aca="false">-charge!C90</f>
        <v>-0</v>
      </c>
      <c r="L92" s="2" t="n">
        <f aca="false">discharge!C90</f>
        <v>0</v>
      </c>
      <c r="M92" s="2" t="n">
        <f aca="false">soc!C90/investment!$E$2 *100</f>
        <v>0</v>
      </c>
      <c r="N92" s="4" t="n">
        <f aca="false">p_micro!C89</f>
        <v>0</v>
      </c>
    </row>
    <row r="93" customFormat="false" ht="13.8" hidden="false" customHeight="false" outlineLevel="0" collapsed="false">
      <c r="B93" s="11" t="n">
        <f aca="false">_xlfn.NUMBERVALUE(solar!B90)</f>
        <v>0</v>
      </c>
      <c r="C93" s="12" t="n">
        <f aca="false">solar!C90</f>
        <v>0</v>
      </c>
      <c r="D93" s="12" t="n">
        <v>17</v>
      </c>
      <c r="E93" s="6" t="n">
        <v>89</v>
      </c>
      <c r="F93" s="17" t="n">
        <f aca="false">IFERROR(INDEX($B$5:$C$173, MATCH($E93, $B$5:$B$175, 0), 2), 0)*investment!$C$2</f>
        <v>0</v>
      </c>
      <c r="G93" s="6" t="n">
        <f aca="false">demand!C91</f>
        <v>0</v>
      </c>
      <c r="H93" s="2" t="n">
        <f aca="false">solgen!C91</f>
        <v>0</v>
      </c>
      <c r="I93" s="2" t="n">
        <f aca="false">import!C91</f>
        <v>0</v>
      </c>
      <c r="J93" s="2" t="n">
        <f aca="false">-export!C91</f>
        <v>-0</v>
      </c>
      <c r="K93" s="2" t="n">
        <f aca="false">-charge!C91</f>
        <v>-0</v>
      </c>
      <c r="L93" s="2" t="n">
        <f aca="false">discharge!C91</f>
        <v>0</v>
      </c>
      <c r="M93" s="2" t="n">
        <f aca="false">soc!C91/investment!$E$2 *100</f>
        <v>0</v>
      </c>
      <c r="N93" s="4" t="n">
        <f aca="false">p_micro!C90</f>
        <v>0</v>
      </c>
    </row>
    <row r="94" customFormat="false" ht="13.8" hidden="false" customHeight="false" outlineLevel="0" collapsed="false">
      <c r="B94" s="11" t="n">
        <f aca="false">_xlfn.NUMBERVALUE(solar!B91)</f>
        <v>0</v>
      </c>
      <c r="C94" s="12" t="n">
        <f aca="false">solar!C91</f>
        <v>0</v>
      </c>
      <c r="D94" s="12" t="n">
        <v>18</v>
      </c>
      <c r="E94" s="6" t="n">
        <v>90</v>
      </c>
      <c r="F94" s="17" t="n">
        <f aca="false">IFERROR(INDEX($B$5:$C$173, MATCH($E94, $B$5:$B$175, 0), 2), 0)*investment!$C$2</f>
        <v>0</v>
      </c>
      <c r="G94" s="6" t="n">
        <f aca="false">demand!C92</f>
        <v>0</v>
      </c>
      <c r="H94" s="2" t="n">
        <f aca="false">solgen!C92</f>
        <v>0</v>
      </c>
      <c r="I94" s="2" t="n">
        <f aca="false">import!C92</f>
        <v>0</v>
      </c>
      <c r="J94" s="2" t="n">
        <f aca="false">-export!C92</f>
        <v>-0</v>
      </c>
      <c r="K94" s="2" t="n">
        <f aca="false">-charge!C92</f>
        <v>-0</v>
      </c>
      <c r="L94" s="2" t="n">
        <f aca="false">discharge!C92</f>
        <v>0</v>
      </c>
      <c r="M94" s="2" t="n">
        <f aca="false">soc!C92/investment!$E$2 *100</f>
        <v>0</v>
      </c>
      <c r="N94" s="4" t="n">
        <f aca="false">p_micro!C91</f>
        <v>0</v>
      </c>
    </row>
    <row r="95" customFormat="false" ht="13.8" hidden="false" customHeight="false" outlineLevel="0" collapsed="false">
      <c r="B95" s="11" t="n">
        <f aca="false">_xlfn.NUMBERVALUE(solar!B92)</f>
        <v>0</v>
      </c>
      <c r="C95" s="12" t="n">
        <f aca="false">solar!C92</f>
        <v>0</v>
      </c>
      <c r="D95" s="12" t="n">
        <v>19</v>
      </c>
      <c r="E95" s="6" t="n">
        <v>91</v>
      </c>
      <c r="F95" s="17" t="n">
        <f aca="false">IFERROR(INDEX($B$5:$C$173, MATCH($E95, $B$5:$B$175, 0), 2), 0)*investment!$C$2</f>
        <v>0</v>
      </c>
      <c r="G95" s="6" t="n">
        <f aca="false">demand!C93</f>
        <v>0</v>
      </c>
      <c r="H95" s="2" t="n">
        <f aca="false">solgen!C93</f>
        <v>0</v>
      </c>
      <c r="I95" s="2" t="n">
        <f aca="false">import!C93</f>
        <v>0</v>
      </c>
      <c r="J95" s="2" t="n">
        <f aca="false">-export!C93</f>
        <v>-0</v>
      </c>
      <c r="K95" s="2" t="n">
        <f aca="false">-charge!C93</f>
        <v>-0</v>
      </c>
      <c r="L95" s="2" t="n">
        <f aca="false">discharge!C93</f>
        <v>0</v>
      </c>
      <c r="M95" s="2" t="n">
        <f aca="false">soc!C93/investment!$E$2 *100</f>
        <v>0</v>
      </c>
      <c r="N95" s="4" t="n">
        <f aca="false">p_micro!C92</f>
        <v>0</v>
      </c>
    </row>
    <row r="96" customFormat="false" ht="13.8" hidden="false" customHeight="false" outlineLevel="0" collapsed="false">
      <c r="B96" s="11" t="n">
        <f aca="false">_xlfn.NUMBERVALUE(solar!B93)</f>
        <v>0</v>
      </c>
      <c r="C96" s="12" t="n">
        <f aca="false">solar!C93</f>
        <v>0</v>
      </c>
      <c r="D96" s="12" t="n">
        <v>20</v>
      </c>
      <c r="E96" s="6" t="n">
        <v>92</v>
      </c>
      <c r="F96" s="17" t="n">
        <f aca="false">IFERROR(INDEX($B$5:$C$173, MATCH($E96, $B$5:$B$175, 0), 2), 0)*investment!$C$2</f>
        <v>0</v>
      </c>
      <c r="G96" s="6" t="n">
        <f aca="false">demand!C94</f>
        <v>0</v>
      </c>
      <c r="H96" s="2" t="n">
        <f aca="false">solgen!C94</f>
        <v>0</v>
      </c>
      <c r="I96" s="2" t="n">
        <f aca="false">import!C94</f>
        <v>0</v>
      </c>
      <c r="J96" s="2" t="n">
        <f aca="false">-export!C94</f>
        <v>-0</v>
      </c>
      <c r="K96" s="2" t="n">
        <f aca="false">-charge!C94</f>
        <v>-0</v>
      </c>
      <c r="L96" s="2" t="n">
        <f aca="false">discharge!C94</f>
        <v>0</v>
      </c>
      <c r="M96" s="2" t="n">
        <f aca="false">soc!C94/investment!$E$2 *100</f>
        <v>0</v>
      </c>
      <c r="N96" s="4" t="n">
        <f aca="false">p_micro!C93</f>
        <v>0</v>
      </c>
    </row>
    <row r="97" customFormat="false" ht="13.8" hidden="false" customHeight="false" outlineLevel="0" collapsed="false">
      <c r="B97" s="11" t="n">
        <f aca="false">_xlfn.NUMBERVALUE(solar!B94)</f>
        <v>0</v>
      </c>
      <c r="C97" s="12" t="n">
        <f aca="false">solar!C94</f>
        <v>0</v>
      </c>
      <c r="D97" s="12" t="n">
        <v>21</v>
      </c>
      <c r="E97" s="6" t="n">
        <v>93</v>
      </c>
      <c r="F97" s="17" t="n">
        <f aca="false">IFERROR(INDEX($B$5:$C$173, MATCH($E97, $B$5:$B$175, 0), 2), 0)*investment!$C$2</f>
        <v>0</v>
      </c>
      <c r="G97" s="6" t="n">
        <f aca="false">demand!C95</f>
        <v>0</v>
      </c>
      <c r="H97" s="2" t="n">
        <f aca="false">solgen!C95</f>
        <v>0</v>
      </c>
      <c r="I97" s="2" t="n">
        <f aca="false">import!C95</f>
        <v>0</v>
      </c>
      <c r="J97" s="2" t="n">
        <f aca="false">-export!C95</f>
        <v>-0</v>
      </c>
      <c r="K97" s="2" t="n">
        <f aca="false">-charge!C95</f>
        <v>-0</v>
      </c>
      <c r="L97" s="2" t="n">
        <f aca="false">discharge!C95</f>
        <v>0</v>
      </c>
      <c r="M97" s="2" t="n">
        <f aca="false">soc!C95/investment!$E$2 *100</f>
        <v>0</v>
      </c>
      <c r="N97" s="4" t="n">
        <f aca="false">p_micro!C94</f>
        <v>0</v>
      </c>
    </row>
    <row r="98" customFormat="false" ht="13.8" hidden="false" customHeight="false" outlineLevel="0" collapsed="false">
      <c r="B98" s="11" t="n">
        <f aca="false">_xlfn.NUMBERVALUE(solar!B95)</f>
        <v>0</v>
      </c>
      <c r="C98" s="12" t="n">
        <f aca="false">solar!C95</f>
        <v>0</v>
      </c>
      <c r="D98" s="12" t="n">
        <v>22</v>
      </c>
      <c r="E98" s="6" t="n">
        <v>94</v>
      </c>
      <c r="F98" s="17" t="n">
        <f aca="false">IFERROR(INDEX($B$5:$C$173, MATCH($E98, $B$5:$B$175, 0), 2), 0)*investment!$C$2</f>
        <v>0</v>
      </c>
      <c r="G98" s="6" t="n">
        <f aca="false">demand!C96</f>
        <v>0</v>
      </c>
      <c r="H98" s="2" t="n">
        <f aca="false">solgen!C96</f>
        <v>0</v>
      </c>
      <c r="I98" s="2" t="n">
        <f aca="false">import!C96</f>
        <v>0</v>
      </c>
      <c r="J98" s="2" t="n">
        <f aca="false">-export!C96</f>
        <v>-0</v>
      </c>
      <c r="K98" s="2" t="n">
        <f aca="false">-charge!C96</f>
        <v>-0</v>
      </c>
      <c r="L98" s="2" t="n">
        <f aca="false">discharge!C96</f>
        <v>0</v>
      </c>
      <c r="M98" s="2" t="n">
        <f aca="false">soc!C96/investment!$E$2 *100</f>
        <v>0</v>
      </c>
      <c r="N98" s="4" t="n">
        <f aca="false">p_micro!C95</f>
        <v>0</v>
      </c>
    </row>
    <row r="99" customFormat="false" ht="13.8" hidden="false" customHeight="false" outlineLevel="0" collapsed="false">
      <c r="B99" s="11" t="n">
        <f aca="false">_xlfn.NUMBERVALUE(solar!B96)</f>
        <v>0</v>
      </c>
      <c r="C99" s="12" t="n">
        <f aca="false">solar!C96</f>
        <v>0</v>
      </c>
      <c r="D99" s="12" t="n">
        <v>23</v>
      </c>
      <c r="E99" s="6" t="n">
        <v>95</v>
      </c>
      <c r="F99" s="17" t="n">
        <f aca="false">IFERROR(INDEX($B$5:$C$173, MATCH($E99, $B$5:$B$175, 0), 2), 0)*investment!$C$2</f>
        <v>0</v>
      </c>
      <c r="G99" s="6" t="n">
        <f aca="false">demand!C97</f>
        <v>0</v>
      </c>
      <c r="H99" s="2" t="n">
        <f aca="false">solgen!C97</f>
        <v>0</v>
      </c>
      <c r="I99" s="2" t="n">
        <f aca="false">import!C97</f>
        <v>0</v>
      </c>
      <c r="J99" s="2" t="n">
        <f aca="false">-export!C97</f>
        <v>-0</v>
      </c>
      <c r="K99" s="2" t="n">
        <f aca="false">-charge!C97</f>
        <v>-0</v>
      </c>
      <c r="L99" s="2" t="n">
        <f aca="false">discharge!C97</f>
        <v>0</v>
      </c>
      <c r="M99" s="2" t="n">
        <f aca="false">soc!C97/investment!$E$2 *100</f>
        <v>0</v>
      </c>
      <c r="N99" s="4" t="n">
        <f aca="false">p_micro!C96</f>
        <v>0</v>
      </c>
    </row>
    <row r="100" customFormat="false" ht="13.8" hidden="false" customHeight="false" outlineLevel="0" collapsed="false">
      <c r="B100" s="11" t="n">
        <f aca="false">_xlfn.NUMBERVALUE(solar!B97)</f>
        <v>0</v>
      </c>
      <c r="C100" s="12" t="n">
        <f aca="false">solar!C97</f>
        <v>0</v>
      </c>
      <c r="D100" s="12" t="n">
        <v>24</v>
      </c>
      <c r="E100" s="6" t="n">
        <v>96</v>
      </c>
      <c r="F100" s="17" t="n">
        <f aca="false">IFERROR(INDEX($B$5:$C$173, MATCH($E100, $B$5:$B$175, 0), 2), 0)*investment!$C$2</f>
        <v>0</v>
      </c>
      <c r="G100" s="6" t="n">
        <f aca="false">demand!C98</f>
        <v>0</v>
      </c>
      <c r="H100" s="2" t="n">
        <f aca="false">solgen!C98</f>
        <v>0</v>
      </c>
      <c r="I100" s="2" t="n">
        <f aca="false">import!C98</f>
        <v>0</v>
      </c>
      <c r="J100" s="2" t="n">
        <f aca="false">-export!C98</f>
        <v>-0</v>
      </c>
      <c r="K100" s="2" t="n">
        <f aca="false">-charge!C98</f>
        <v>-0</v>
      </c>
      <c r="L100" s="2" t="n">
        <f aca="false">discharge!C98</f>
        <v>0</v>
      </c>
      <c r="M100" s="2" t="n">
        <f aca="false">soc!C98/investment!$E$2 *100</f>
        <v>0</v>
      </c>
      <c r="N100" s="4" t="n">
        <f aca="false">p_micro!C97</f>
        <v>0</v>
      </c>
    </row>
    <row r="101" customFormat="false" ht="13.8" hidden="false" customHeight="false" outlineLevel="0" collapsed="false">
      <c r="B101" s="11" t="n">
        <f aca="false">_xlfn.NUMBERVALUE(solar!B98)</f>
        <v>0</v>
      </c>
      <c r="C101" s="12" t="n">
        <f aca="false">solar!C98</f>
        <v>0</v>
      </c>
      <c r="D101" s="12" t="n">
        <v>1</v>
      </c>
      <c r="E101" s="6" t="n">
        <v>97</v>
      </c>
      <c r="F101" s="17" t="n">
        <f aca="false">IFERROR(INDEX($B$5:$C$173, MATCH($E101, $B$5:$B$175, 0), 2), 0)*investment!$C$2</f>
        <v>0</v>
      </c>
      <c r="G101" s="6" t="n">
        <f aca="false">demand!C99</f>
        <v>0</v>
      </c>
      <c r="H101" s="2" t="n">
        <f aca="false">solgen!C99</f>
        <v>0</v>
      </c>
      <c r="I101" s="2" t="n">
        <f aca="false">import!C99</f>
        <v>0</v>
      </c>
      <c r="J101" s="2" t="n">
        <f aca="false">-export!C99</f>
        <v>-0</v>
      </c>
      <c r="K101" s="2" t="n">
        <f aca="false">-charge!C99</f>
        <v>-0</v>
      </c>
      <c r="L101" s="2" t="n">
        <f aca="false">discharge!C99</f>
        <v>0</v>
      </c>
      <c r="M101" s="2" t="n">
        <f aca="false">soc!C99/investment!$E$2 *100</f>
        <v>0</v>
      </c>
      <c r="N101" s="4" t="n">
        <f aca="false">p_micro!C98</f>
        <v>0</v>
      </c>
    </row>
    <row r="102" customFormat="false" ht="13.8" hidden="false" customHeight="false" outlineLevel="0" collapsed="false">
      <c r="B102" s="11" t="n">
        <f aca="false">_xlfn.NUMBERVALUE(solar!B99)</f>
        <v>0</v>
      </c>
      <c r="C102" s="12" t="n">
        <f aca="false">solar!C99</f>
        <v>0</v>
      </c>
      <c r="D102" s="12" t="n">
        <v>2</v>
      </c>
      <c r="E102" s="6" t="n">
        <v>98</v>
      </c>
      <c r="F102" s="17" t="n">
        <f aca="false">IFERROR(INDEX($B$5:$C$173, MATCH($E102, $B$5:$B$175, 0), 2), 0)*investment!$C$2</f>
        <v>0</v>
      </c>
      <c r="G102" s="6" t="n">
        <f aca="false">demand!C100</f>
        <v>0</v>
      </c>
      <c r="H102" s="2" t="n">
        <f aca="false">solgen!C100</f>
        <v>0</v>
      </c>
      <c r="I102" s="2" t="n">
        <f aca="false">import!C100</f>
        <v>0</v>
      </c>
      <c r="J102" s="2" t="n">
        <f aca="false">-export!C100</f>
        <v>-0</v>
      </c>
      <c r="K102" s="2" t="n">
        <f aca="false">-charge!C100</f>
        <v>-0</v>
      </c>
      <c r="L102" s="2" t="n">
        <f aca="false">discharge!C100</f>
        <v>0</v>
      </c>
      <c r="M102" s="2" t="n">
        <f aca="false">soc!C100/investment!$E$2 *100</f>
        <v>0</v>
      </c>
      <c r="N102" s="4" t="n">
        <f aca="false">p_micro!C99</f>
        <v>0</v>
      </c>
    </row>
    <row r="103" customFormat="false" ht="13.8" hidden="false" customHeight="false" outlineLevel="0" collapsed="false">
      <c r="B103" s="11" t="n">
        <f aca="false">_xlfn.NUMBERVALUE(solar!B100)</f>
        <v>0</v>
      </c>
      <c r="C103" s="12" t="n">
        <f aca="false">solar!C100</f>
        <v>0</v>
      </c>
      <c r="D103" s="12" t="n">
        <v>3</v>
      </c>
      <c r="E103" s="6" t="n">
        <v>99</v>
      </c>
      <c r="F103" s="17" t="n">
        <f aca="false">IFERROR(INDEX($B$5:$C$173, MATCH($E103, $B$5:$B$175, 0), 2), 0)*investment!$C$2</f>
        <v>0</v>
      </c>
      <c r="G103" s="6" t="n">
        <f aca="false">demand!C101</f>
        <v>0</v>
      </c>
      <c r="H103" s="2" t="n">
        <f aca="false">solgen!C101</f>
        <v>0</v>
      </c>
      <c r="I103" s="2" t="n">
        <f aca="false">import!C101</f>
        <v>0</v>
      </c>
      <c r="J103" s="2" t="n">
        <f aca="false">-export!C101</f>
        <v>-0</v>
      </c>
      <c r="K103" s="2" t="n">
        <f aca="false">-charge!C101</f>
        <v>-0</v>
      </c>
      <c r="L103" s="2" t="n">
        <f aca="false">discharge!C101</f>
        <v>0</v>
      </c>
      <c r="M103" s="2" t="n">
        <f aca="false">soc!C101/investment!$E$2 *100</f>
        <v>0</v>
      </c>
      <c r="N103" s="4" t="n">
        <f aca="false">p_micro!C100</f>
        <v>0</v>
      </c>
    </row>
    <row r="104" customFormat="false" ht="13.8" hidden="false" customHeight="false" outlineLevel="0" collapsed="false">
      <c r="B104" s="11" t="n">
        <f aca="false">_xlfn.NUMBERVALUE(solar!B101)</f>
        <v>0</v>
      </c>
      <c r="C104" s="12" t="n">
        <f aca="false">solar!C101</f>
        <v>0</v>
      </c>
      <c r="D104" s="12" t="n">
        <v>4</v>
      </c>
      <c r="E104" s="6" t="n">
        <v>100</v>
      </c>
      <c r="F104" s="17" t="n">
        <f aca="false">IFERROR(INDEX($B$5:$C$173, MATCH($E104, $B$5:$B$175, 0), 2), 0)*investment!$C$2</f>
        <v>0</v>
      </c>
      <c r="G104" s="6" t="n">
        <f aca="false">demand!C102</f>
        <v>0</v>
      </c>
      <c r="H104" s="2" t="n">
        <f aca="false">solgen!C102</f>
        <v>0</v>
      </c>
      <c r="I104" s="2" t="n">
        <f aca="false">import!C102</f>
        <v>0</v>
      </c>
      <c r="J104" s="2" t="n">
        <f aca="false">-export!C102</f>
        <v>-0</v>
      </c>
      <c r="K104" s="2" t="n">
        <f aca="false">-charge!C102</f>
        <v>-0</v>
      </c>
      <c r="L104" s="2" t="n">
        <f aca="false">discharge!C102</f>
        <v>0</v>
      </c>
      <c r="M104" s="2" t="n">
        <f aca="false">soc!C102/investment!$E$2 *100</f>
        <v>0</v>
      </c>
      <c r="N104" s="4" t="n">
        <f aca="false">p_micro!C101</f>
        <v>0</v>
      </c>
    </row>
    <row r="105" customFormat="false" ht="13.8" hidden="false" customHeight="false" outlineLevel="0" collapsed="false">
      <c r="B105" s="11" t="n">
        <f aca="false">_xlfn.NUMBERVALUE(solar!B102)</f>
        <v>0</v>
      </c>
      <c r="C105" s="12" t="n">
        <f aca="false">solar!C102</f>
        <v>0</v>
      </c>
      <c r="D105" s="12" t="n">
        <v>5</v>
      </c>
      <c r="E105" s="6" t="n">
        <v>101</v>
      </c>
      <c r="F105" s="17" t="n">
        <f aca="false">IFERROR(INDEX($B$5:$C$173, MATCH($E105, $B$5:$B$175, 0), 2), 0)*investment!$C$2</f>
        <v>0</v>
      </c>
      <c r="G105" s="6" t="n">
        <f aca="false">demand!C103</f>
        <v>0</v>
      </c>
      <c r="H105" s="2" t="n">
        <f aca="false">solgen!C103</f>
        <v>0</v>
      </c>
      <c r="I105" s="2" t="n">
        <f aca="false">import!C103</f>
        <v>0</v>
      </c>
      <c r="J105" s="2" t="n">
        <f aca="false">-export!C103</f>
        <v>-0</v>
      </c>
      <c r="K105" s="2" t="n">
        <f aca="false">-charge!C103</f>
        <v>-0</v>
      </c>
      <c r="L105" s="2" t="n">
        <f aca="false">discharge!C103</f>
        <v>0</v>
      </c>
      <c r="M105" s="2" t="n">
        <f aca="false">soc!C103/investment!$E$2 *100</f>
        <v>0</v>
      </c>
      <c r="N105" s="4" t="n">
        <f aca="false">p_micro!C102</f>
        <v>0</v>
      </c>
    </row>
    <row r="106" customFormat="false" ht="13.8" hidden="false" customHeight="false" outlineLevel="0" collapsed="false">
      <c r="B106" s="11" t="n">
        <f aca="false">_xlfn.NUMBERVALUE(solar!B103)</f>
        <v>0</v>
      </c>
      <c r="C106" s="12" t="n">
        <f aca="false">solar!C103</f>
        <v>0</v>
      </c>
      <c r="D106" s="12" t="n">
        <v>6</v>
      </c>
      <c r="E106" s="6" t="n">
        <v>102</v>
      </c>
      <c r="F106" s="17" t="n">
        <f aca="false">IFERROR(INDEX($B$5:$C$173, MATCH($E106, $B$5:$B$175, 0), 2), 0)*investment!$C$2</f>
        <v>0</v>
      </c>
      <c r="G106" s="6" t="n">
        <f aca="false">demand!C104</f>
        <v>0</v>
      </c>
      <c r="H106" s="2" t="n">
        <f aca="false">solgen!C104</f>
        <v>0</v>
      </c>
      <c r="I106" s="2" t="n">
        <f aca="false">import!C104</f>
        <v>0</v>
      </c>
      <c r="J106" s="2" t="n">
        <f aca="false">-export!C104</f>
        <v>-0</v>
      </c>
      <c r="K106" s="2" t="n">
        <f aca="false">-charge!C104</f>
        <v>-0</v>
      </c>
      <c r="L106" s="2" t="n">
        <f aca="false">discharge!C104</f>
        <v>0</v>
      </c>
      <c r="M106" s="2" t="n">
        <f aca="false">soc!C104/investment!$E$2 *100</f>
        <v>0</v>
      </c>
      <c r="N106" s="4" t="n">
        <f aca="false">p_micro!C103</f>
        <v>0</v>
      </c>
    </row>
    <row r="107" customFormat="false" ht="13.8" hidden="false" customHeight="false" outlineLevel="0" collapsed="false">
      <c r="B107" s="11" t="n">
        <f aca="false">_xlfn.NUMBERVALUE(solar!B104)</f>
        <v>0</v>
      </c>
      <c r="C107" s="12" t="n">
        <f aca="false">solar!C104</f>
        <v>0</v>
      </c>
      <c r="D107" s="12" t="n">
        <v>7</v>
      </c>
      <c r="E107" s="6" t="n">
        <v>103</v>
      </c>
      <c r="F107" s="17" t="n">
        <f aca="false">IFERROR(INDEX($B$5:$C$173, MATCH($E107, $B$5:$B$175, 0), 2), 0)*investment!$C$2</f>
        <v>0</v>
      </c>
      <c r="G107" s="6" t="n">
        <f aca="false">demand!C105</f>
        <v>0</v>
      </c>
      <c r="H107" s="2" t="n">
        <f aca="false">solgen!C105</f>
        <v>0</v>
      </c>
      <c r="I107" s="2" t="n">
        <f aca="false">import!C105</f>
        <v>0</v>
      </c>
      <c r="J107" s="2" t="n">
        <f aca="false">-export!C105</f>
        <v>-0</v>
      </c>
      <c r="K107" s="2" t="n">
        <f aca="false">-charge!C105</f>
        <v>-0</v>
      </c>
      <c r="L107" s="2" t="n">
        <f aca="false">discharge!C105</f>
        <v>0</v>
      </c>
      <c r="M107" s="2" t="n">
        <f aca="false">soc!C105/investment!$E$2 *100</f>
        <v>0</v>
      </c>
      <c r="N107" s="4" t="n">
        <f aca="false">p_micro!C104</f>
        <v>0</v>
      </c>
    </row>
    <row r="108" customFormat="false" ht="13.8" hidden="false" customHeight="false" outlineLevel="0" collapsed="false">
      <c r="B108" s="11" t="n">
        <f aca="false">_xlfn.NUMBERVALUE(solar!B105)</f>
        <v>0</v>
      </c>
      <c r="C108" s="12" t="n">
        <f aca="false">solar!C105</f>
        <v>0</v>
      </c>
      <c r="D108" s="12" t="n">
        <v>8</v>
      </c>
      <c r="E108" s="6" t="n">
        <v>104</v>
      </c>
      <c r="F108" s="17" t="n">
        <f aca="false">IFERROR(INDEX($B$5:$C$173, MATCH($E108, $B$5:$B$175, 0), 2), 0)*investment!$C$2</f>
        <v>0</v>
      </c>
      <c r="G108" s="6" t="n">
        <f aca="false">demand!C106</f>
        <v>0</v>
      </c>
      <c r="H108" s="2" t="n">
        <f aca="false">solgen!C106</f>
        <v>0</v>
      </c>
      <c r="I108" s="2" t="n">
        <f aca="false">import!C106</f>
        <v>0</v>
      </c>
      <c r="J108" s="2" t="n">
        <f aca="false">-export!C106</f>
        <v>-0</v>
      </c>
      <c r="K108" s="2" t="n">
        <f aca="false">-charge!C106</f>
        <v>-0</v>
      </c>
      <c r="L108" s="2" t="n">
        <f aca="false">discharge!C106</f>
        <v>0</v>
      </c>
      <c r="M108" s="2" t="n">
        <f aca="false">soc!C106/investment!$E$2 *100</f>
        <v>0</v>
      </c>
      <c r="N108" s="4" t="n">
        <f aca="false">p_micro!C105</f>
        <v>0</v>
      </c>
    </row>
    <row r="109" customFormat="false" ht="13.8" hidden="false" customHeight="false" outlineLevel="0" collapsed="false">
      <c r="B109" s="11" t="n">
        <f aca="false">_xlfn.NUMBERVALUE(solar!B106)</f>
        <v>0</v>
      </c>
      <c r="C109" s="12" t="n">
        <f aca="false">solar!C106</f>
        <v>0</v>
      </c>
      <c r="D109" s="12" t="n">
        <v>9</v>
      </c>
      <c r="E109" s="6" t="n">
        <v>105</v>
      </c>
      <c r="F109" s="17" t="n">
        <f aca="false">IFERROR(INDEX($B$5:$C$173, MATCH($E109, $B$5:$B$175, 0), 2), 0)*investment!$C$2</f>
        <v>0</v>
      </c>
      <c r="G109" s="6" t="n">
        <f aca="false">demand!C107</f>
        <v>0</v>
      </c>
      <c r="H109" s="2" t="n">
        <f aca="false">solgen!C107</f>
        <v>0</v>
      </c>
      <c r="I109" s="2" t="n">
        <f aca="false">import!C107</f>
        <v>0</v>
      </c>
      <c r="J109" s="2" t="n">
        <f aca="false">-export!C107</f>
        <v>-0</v>
      </c>
      <c r="K109" s="2" t="n">
        <f aca="false">-charge!C107</f>
        <v>-0</v>
      </c>
      <c r="L109" s="2" t="n">
        <f aca="false">discharge!C107</f>
        <v>0</v>
      </c>
      <c r="M109" s="2" t="n">
        <f aca="false">soc!C107/investment!$E$2 *100</f>
        <v>0</v>
      </c>
      <c r="N109" s="4" t="n">
        <f aca="false">p_micro!C106</f>
        <v>0</v>
      </c>
    </row>
    <row r="110" customFormat="false" ht="13.8" hidden="false" customHeight="false" outlineLevel="0" collapsed="false">
      <c r="B110" s="11" t="n">
        <f aca="false">_xlfn.NUMBERVALUE(solar!B107)</f>
        <v>0</v>
      </c>
      <c r="C110" s="12" t="n">
        <f aca="false">solar!C107</f>
        <v>0</v>
      </c>
      <c r="D110" s="12" t="n">
        <v>10</v>
      </c>
      <c r="E110" s="6" t="n">
        <v>106</v>
      </c>
      <c r="F110" s="17" t="n">
        <f aca="false">IFERROR(INDEX($B$5:$C$173, MATCH($E110, $B$5:$B$175, 0), 2), 0)*investment!$C$2</f>
        <v>0</v>
      </c>
      <c r="G110" s="6" t="n">
        <f aca="false">demand!C108</f>
        <v>0</v>
      </c>
      <c r="H110" s="2" t="n">
        <f aca="false">solgen!C108</f>
        <v>0</v>
      </c>
      <c r="I110" s="2" t="n">
        <f aca="false">import!C108</f>
        <v>0</v>
      </c>
      <c r="J110" s="2" t="n">
        <f aca="false">-export!C108</f>
        <v>-0</v>
      </c>
      <c r="K110" s="2" t="n">
        <f aca="false">-charge!C108</f>
        <v>-0</v>
      </c>
      <c r="L110" s="2" t="n">
        <f aca="false">discharge!C108</f>
        <v>0</v>
      </c>
      <c r="M110" s="2" t="n">
        <f aca="false">soc!C108/investment!$E$2 *100</f>
        <v>0</v>
      </c>
      <c r="N110" s="4" t="n">
        <f aca="false">p_micro!C107</f>
        <v>0</v>
      </c>
    </row>
    <row r="111" customFormat="false" ht="13.8" hidden="false" customHeight="false" outlineLevel="0" collapsed="false">
      <c r="B111" s="11" t="n">
        <f aca="false">_xlfn.NUMBERVALUE(solar!B108)</f>
        <v>0</v>
      </c>
      <c r="C111" s="12" t="n">
        <f aca="false">solar!C108</f>
        <v>0</v>
      </c>
      <c r="D111" s="12" t="n">
        <v>11</v>
      </c>
      <c r="E111" s="6" t="n">
        <v>107</v>
      </c>
      <c r="F111" s="17" t="n">
        <f aca="false">IFERROR(INDEX($B$5:$C$173, MATCH($E111, $B$5:$B$175, 0), 2), 0)*investment!$C$2</f>
        <v>0</v>
      </c>
      <c r="G111" s="6" t="n">
        <f aca="false">demand!C109</f>
        <v>0</v>
      </c>
      <c r="H111" s="2" t="n">
        <f aca="false">solgen!C109</f>
        <v>0</v>
      </c>
      <c r="I111" s="2" t="n">
        <f aca="false">import!C109</f>
        <v>0</v>
      </c>
      <c r="J111" s="2" t="n">
        <f aca="false">-export!C109</f>
        <v>-0</v>
      </c>
      <c r="K111" s="2" t="n">
        <f aca="false">-charge!C109</f>
        <v>-0</v>
      </c>
      <c r="L111" s="2" t="n">
        <f aca="false">discharge!C109</f>
        <v>0</v>
      </c>
      <c r="M111" s="2" t="n">
        <f aca="false">soc!C109/investment!$E$2 *100</f>
        <v>0</v>
      </c>
      <c r="N111" s="4" t="n">
        <f aca="false">p_micro!C108</f>
        <v>0</v>
      </c>
    </row>
    <row r="112" customFormat="false" ht="13.8" hidden="false" customHeight="false" outlineLevel="0" collapsed="false">
      <c r="B112" s="11" t="n">
        <f aca="false">_xlfn.NUMBERVALUE(solar!B109)</f>
        <v>0</v>
      </c>
      <c r="C112" s="12" t="n">
        <f aca="false">solar!C109</f>
        <v>0</v>
      </c>
      <c r="D112" s="12" t="n">
        <v>12</v>
      </c>
      <c r="E112" s="6" t="n">
        <v>108</v>
      </c>
      <c r="F112" s="17" t="n">
        <f aca="false">IFERROR(INDEX($B$5:$C$173, MATCH($E112, $B$5:$B$175, 0), 2), 0)*investment!$C$2</f>
        <v>0</v>
      </c>
      <c r="G112" s="6" t="n">
        <f aca="false">demand!C110</f>
        <v>0</v>
      </c>
      <c r="H112" s="2" t="n">
        <f aca="false">solgen!C110</f>
        <v>0</v>
      </c>
      <c r="I112" s="2" t="n">
        <f aca="false">import!C110</f>
        <v>0</v>
      </c>
      <c r="J112" s="2" t="n">
        <f aca="false">-export!C110</f>
        <v>-0</v>
      </c>
      <c r="K112" s="2" t="n">
        <f aca="false">-charge!C110</f>
        <v>-0</v>
      </c>
      <c r="L112" s="2" t="n">
        <f aca="false">discharge!C110</f>
        <v>0</v>
      </c>
      <c r="M112" s="2" t="n">
        <f aca="false">soc!C110/investment!$E$2 *100</f>
        <v>0</v>
      </c>
      <c r="N112" s="4" t="n">
        <f aca="false">p_micro!C109</f>
        <v>0</v>
      </c>
    </row>
    <row r="113" customFormat="false" ht="13.8" hidden="false" customHeight="false" outlineLevel="0" collapsed="false">
      <c r="B113" s="11" t="n">
        <f aca="false">_xlfn.NUMBERVALUE(solar!B110)</f>
        <v>0</v>
      </c>
      <c r="C113" s="12" t="n">
        <f aca="false">solar!C110</f>
        <v>0</v>
      </c>
      <c r="D113" s="12" t="n">
        <v>13</v>
      </c>
      <c r="E113" s="6" t="n">
        <v>109</v>
      </c>
      <c r="F113" s="17" t="n">
        <f aca="false">IFERROR(INDEX($B$5:$C$173, MATCH($E113, $B$5:$B$175, 0), 2), 0)*investment!$C$2</f>
        <v>0</v>
      </c>
      <c r="G113" s="6" t="n">
        <f aca="false">demand!C111</f>
        <v>0</v>
      </c>
      <c r="H113" s="2" t="n">
        <f aca="false">solgen!C111</f>
        <v>0</v>
      </c>
      <c r="I113" s="2" t="n">
        <f aca="false">import!C111</f>
        <v>0</v>
      </c>
      <c r="J113" s="2" t="n">
        <f aca="false">-export!C111</f>
        <v>-0</v>
      </c>
      <c r="K113" s="2" t="n">
        <f aca="false">-charge!C111</f>
        <v>-0</v>
      </c>
      <c r="L113" s="2" t="n">
        <f aca="false">discharge!C111</f>
        <v>0</v>
      </c>
      <c r="M113" s="2" t="n">
        <f aca="false">soc!C111/investment!$E$2 *100</f>
        <v>0</v>
      </c>
      <c r="N113" s="4" t="n">
        <f aca="false">p_micro!C110</f>
        <v>0</v>
      </c>
    </row>
    <row r="114" customFormat="false" ht="13.8" hidden="false" customHeight="false" outlineLevel="0" collapsed="false">
      <c r="B114" s="11" t="n">
        <f aca="false">_xlfn.NUMBERVALUE(solar!B111)</f>
        <v>0</v>
      </c>
      <c r="C114" s="12" t="n">
        <f aca="false">solar!C111</f>
        <v>0</v>
      </c>
      <c r="D114" s="12" t="n">
        <v>14</v>
      </c>
      <c r="E114" s="6" t="n">
        <v>110</v>
      </c>
      <c r="F114" s="17" t="n">
        <f aca="false">IFERROR(INDEX($B$5:$C$173, MATCH($E114, $B$5:$B$175, 0), 2), 0)*investment!$C$2</f>
        <v>0</v>
      </c>
      <c r="G114" s="6" t="n">
        <f aca="false">demand!C112</f>
        <v>0</v>
      </c>
      <c r="H114" s="2" t="n">
        <f aca="false">solgen!C112</f>
        <v>0</v>
      </c>
      <c r="I114" s="2" t="n">
        <f aca="false">import!C112</f>
        <v>0</v>
      </c>
      <c r="J114" s="2" t="n">
        <f aca="false">-export!C112</f>
        <v>-0</v>
      </c>
      <c r="K114" s="2" t="n">
        <f aca="false">-charge!C112</f>
        <v>-0</v>
      </c>
      <c r="L114" s="2" t="n">
        <f aca="false">discharge!C112</f>
        <v>0</v>
      </c>
      <c r="M114" s="2" t="n">
        <f aca="false">soc!C112/investment!$E$2 *100</f>
        <v>0</v>
      </c>
      <c r="N114" s="4" t="n">
        <f aca="false">p_micro!C111</f>
        <v>0</v>
      </c>
    </row>
    <row r="115" customFormat="false" ht="13.8" hidden="false" customHeight="false" outlineLevel="0" collapsed="false">
      <c r="B115" s="11" t="n">
        <f aca="false">_xlfn.NUMBERVALUE(solar!B112)</f>
        <v>0</v>
      </c>
      <c r="C115" s="12" t="n">
        <f aca="false">solar!C112</f>
        <v>0</v>
      </c>
      <c r="D115" s="12" t="n">
        <v>15</v>
      </c>
      <c r="E115" s="6" t="n">
        <v>111</v>
      </c>
      <c r="F115" s="17" t="n">
        <f aca="false">IFERROR(INDEX($B$5:$C$173, MATCH($E115, $B$5:$B$175, 0), 2), 0)*investment!$C$2</f>
        <v>0</v>
      </c>
      <c r="G115" s="6" t="n">
        <f aca="false">demand!C113</f>
        <v>0</v>
      </c>
      <c r="H115" s="2" t="n">
        <f aca="false">solgen!C113</f>
        <v>0</v>
      </c>
      <c r="I115" s="2" t="n">
        <f aca="false">import!C113</f>
        <v>0</v>
      </c>
      <c r="J115" s="2" t="n">
        <f aca="false">-export!C113</f>
        <v>-0</v>
      </c>
      <c r="K115" s="2" t="n">
        <f aca="false">-charge!C113</f>
        <v>-0</v>
      </c>
      <c r="L115" s="2" t="n">
        <f aca="false">discharge!C113</f>
        <v>0</v>
      </c>
      <c r="M115" s="2" t="n">
        <f aca="false">soc!C113/investment!$E$2 *100</f>
        <v>0</v>
      </c>
      <c r="N115" s="4" t="n">
        <f aca="false">p_micro!C112</f>
        <v>0</v>
      </c>
    </row>
    <row r="116" customFormat="false" ht="13.8" hidden="false" customHeight="false" outlineLevel="0" collapsed="false">
      <c r="B116" s="11" t="n">
        <f aca="false">_xlfn.NUMBERVALUE(solar!B113)</f>
        <v>0</v>
      </c>
      <c r="C116" s="12" t="n">
        <f aca="false">solar!C113</f>
        <v>0</v>
      </c>
      <c r="D116" s="12" t="n">
        <v>16</v>
      </c>
      <c r="E116" s="6" t="n">
        <v>112</v>
      </c>
      <c r="F116" s="17" t="n">
        <f aca="false">IFERROR(INDEX($B$5:$C$173, MATCH($E116, $B$5:$B$175, 0), 2), 0)*investment!$C$2</f>
        <v>0</v>
      </c>
      <c r="G116" s="6" t="n">
        <f aca="false">demand!C114</f>
        <v>0</v>
      </c>
      <c r="H116" s="2" t="n">
        <f aca="false">solgen!C114</f>
        <v>0</v>
      </c>
      <c r="I116" s="2" t="n">
        <f aca="false">import!C114</f>
        <v>0</v>
      </c>
      <c r="J116" s="2" t="n">
        <f aca="false">-export!C114</f>
        <v>-0</v>
      </c>
      <c r="K116" s="2" t="n">
        <f aca="false">-charge!C114</f>
        <v>-0</v>
      </c>
      <c r="L116" s="2" t="n">
        <f aca="false">discharge!C114</f>
        <v>0</v>
      </c>
      <c r="M116" s="2" t="n">
        <f aca="false">soc!C114/investment!$E$2 *100</f>
        <v>0</v>
      </c>
      <c r="N116" s="4" t="n">
        <f aca="false">p_micro!C113</f>
        <v>0</v>
      </c>
    </row>
    <row r="117" customFormat="false" ht="13.8" hidden="false" customHeight="false" outlineLevel="0" collapsed="false">
      <c r="B117" s="11" t="n">
        <f aca="false">_xlfn.NUMBERVALUE(solar!B114)</f>
        <v>0</v>
      </c>
      <c r="C117" s="12" t="n">
        <f aca="false">solar!C114</f>
        <v>0</v>
      </c>
      <c r="D117" s="12" t="n">
        <v>17</v>
      </c>
      <c r="E117" s="6" t="n">
        <v>113</v>
      </c>
      <c r="F117" s="17" t="n">
        <f aca="false">IFERROR(INDEX($B$5:$C$173, MATCH($E117, $B$5:$B$175, 0), 2), 0)*investment!$C$2</f>
        <v>0</v>
      </c>
      <c r="G117" s="6" t="n">
        <f aca="false">demand!C115</f>
        <v>0</v>
      </c>
      <c r="H117" s="2" t="n">
        <f aca="false">solgen!C115</f>
        <v>0</v>
      </c>
      <c r="I117" s="2" t="n">
        <f aca="false">import!C115</f>
        <v>0</v>
      </c>
      <c r="J117" s="2" t="n">
        <f aca="false">-export!C115</f>
        <v>-0</v>
      </c>
      <c r="K117" s="2" t="n">
        <f aca="false">-charge!C115</f>
        <v>-0</v>
      </c>
      <c r="L117" s="2" t="n">
        <f aca="false">discharge!C115</f>
        <v>0</v>
      </c>
      <c r="M117" s="2" t="n">
        <f aca="false">soc!C115/investment!$E$2 *100</f>
        <v>0</v>
      </c>
      <c r="N117" s="4" t="n">
        <f aca="false">p_micro!C114</f>
        <v>0</v>
      </c>
    </row>
    <row r="118" customFormat="false" ht="13.8" hidden="false" customHeight="false" outlineLevel="0" collapsed="false">
      <c r="B118" s="11" t="n">
        <f aca="false">_xlfn.NUMBERVALUE(solar!B115)</f>
        <v>0</v>
      </c>
      <c r="C118" s="12" t="n">
        <f aca="false">solar!C115</f>
        <v>0</v>
      </c>
      <c r="D118" s="12" t="n">
        <v>18</v>
      </c>
      <c r="E118" s="6" t="n">
        <v>114</v>
      </c>
      <c r="F118" s="17" t="n">
        <f aca="false">IFERROR(INDEX($B$5:$C$173, MATCH($E118, $B$5:$B$175, 0), 2), 0)*investment!$C$2</f>
        <v>0</v>
      </c>
      <c r="G118" s="6" t="n">
        <f aca="false">demand!C116</f>
        <v>0</v>
      </c>
      <c r="H118" s="2" t="n">
        <f aca="false">solgen!C116</f>
        <v>0</v>
      </c>
      <c r="I118" s="2" t="n">
        <f aca="false">import!C116</f>
        <v>0</v>
      </c>
      <c r="J118" s="2" t="n">
        <f aca="false">-export!C116</f>
        <v>-0</v>
      </c>
      <c r="K118" s="2" t="n">
        <f aca="false">-charge!C116</f>
        <v>-0</v>
      </c>
      <c r="L118" s="2" t="n">
        <f aca="false">discharge!C116</f>
        <v>0</v>
      </c>
      <c r="M118" s="2" t="n">
        <f aca="false">soc!C116/investment!$E$2 *100</f>
        <v>0</v>
      </c>
      <c r="N118" s="4" t="n">
        <f aca="false">p_micro!C115</f>
        <v>0</v>
      </c>
    </row>
    <row r="119" customFormat="false" ht="13.8" hidden="false" customHeight="false" outlineLevel="0" collapsed="false">
      <c r="B119" s="11" t="n">
        <f aca="false">_xlfn.NUMBERVALUE(solar!B116)</f>
        <v>0</v>
      </c>
      <c r="C119" s="12" t="n">
        <f aca="false">solar!C116</f>
        <v>0</v>
      </c>
      <c r="D119" s="12" t="n">
        <v>19</v>
      </c>
      <c r="E119" s="6" t="n">
        <v>115</v>
      </c>
      <c r="F119" s="17" t="n">
        <f aca="false">IFERROR(INDEX($B$5:$C$173, MATCH($E119, $B$5:$B$175, 0), 2), 0)*investment!$C$2</f>
        <v>0</v>
      </c>
      <c r="G119" s="6" t="n">
        <f aca="false">demand!C117</f>
        <v>0</v>
      </c>
      <c r="H119" s="2" t="n">
        <f aca="false">solgen!C117</f>
        <v>0</v>
      </c>
      <c r="I119" s="2" t="n">
        <f aca="false">import!C117</f>
        <v>0</v>
      </c>
      <c r="J119" s="2" t="n">
        <f aca="false">-export!C117</f>
        <v>-0</v>
      </c>
      <c r="K119" s="2" t="n">
        <f aca="false">-charge!C117</f>
        <v>-0</v>
      </c>
      <c r="L119" s="2" t="n">
        <f aca="false">discharge!C117</f>
        <v>0</v>
      </c>
      <c r="M119" s="2" t="n">
        <f aca="false">soc!C117/investment!$E$2 *100</f>
        <v>0</v>
      </c>
      <c r="N119" s="4" t="n">
        <f aca="false">p_micro!C116</f>
        <v>0</v>
      </c>
    </row>
    <row r="120" customFormat="false" ht="13.8" hidden="false" customHeight="false" outlineLevel="0" collapsed="false">
      <c r="B120" s="11" t="n">
        <f aca="false">_xlfn.NUMBERVALUE(solar!B117)</f>
        <v>0</v>
      </c>
      <c r="C120" s="12" t="n">
        <f aca="false">solar!C117</f>
        <v>0</v>
      </c>
      <c r="D120" s="12" t="n">
        <v>20</v>
      </c>
      <c r="E120" s="6" t="n">
        <v>116</v>
      </c>
      <c r="F120" s="17" t="n">
        <f aca="false">IFERROR(INDEX($B$5:$C$173, MATCH($E120, $B$5:$B$175, 0), 2), 0)*investment!$C$2</f>
        <v>0</v>
      </c>
      <c r="G120" s="6" t="n">
        <f aca="false">demand!C118</f>
        <v>0</v>
      </c>
      <c r="H120" s="2" t="n">
        <f aca="false">solgen!C118</f>
        <v>0</v>
      </c>
      <c r="I120" s="2" t="n">
        <f aca="false">import!C118</f>
        <v>0</v>
      </c>
      <c r="J120" s="2" t="n">
        <f aca="false">-export!C118</f>
        <v>-0</v>
      </c>
      <c r="K120" s="2" t="n">
        <f aca="false">-charge!C118</f>
        <v>-0</v>
      </c>
      <c r="L120" s="2" t="n">
        <f aca="false">discharge!C118</f>
        <v>0</v>
      </c>
      <c r="M120" s="2" t="n">
        <f aca="false">soc!C118/investment!$E$2 *100</f>
        <v>0</v>
      </c>
      <c r="N120" s="4" t="n">
        <f aca="false">p_micro!C117</f>
        <v>0</v>
      </c>
    </row>
    <row r="121" customFormat="false" ht="13.8" hidden="false" customHeight="false" outlineLevel="0" collapsed="false">
      <c r="B121" s="11" t="n">
        <f aca="false">_xlfn.NUMBERVALUE(solar!B118)</f>
        <v>0</v>
      </c>
      <c r="C121" s="12" t="n">
        <f aca="false">solar!C118</f>
        <v>0</v>
      </c>
      <c r="D121" s="12" t="n">
        <v>21</v>
      </c>
      <c r="E121" s="6" t="n">
        <v>117</v>
      </c>
      <c r="F121" s="17" t="n">
        <f aca="false">IFERROR(INDEX($B$5:$C$173, MATCH($E121, $B$5:$B$175, 0), 2), 0)*investment!$C$2</f>
        <v>0</v>
      </c>
      <c r="G121" s="6" t="n">
        <f aca="false">demand!C119</f>
        <v>0</v>
      </c>
      <c r="H121" s="2" t="n">
        <f aca="false">solgen!C119</f>
        <v>0</v>
      </c>
      <c r="I121" s="2" t="n">
        <f aca="false">import!C119</f>
        <v>0</v>
      </c>
      <c r="J121" s="2" t="n">
        <f aca="false">-export!C119</f>
        <v>-0</v>
      </c>
      <c r="K121" s="2" t="n">
        <f aca="false">-charge!C119</f>
        <v>-0</v>
      </c>
      <c r="L121" s="2" t="n">
        <f aca="false">discharge!C119</f>
        <v>0</v>
      </c>
      <c r="M121" s="2" t="n">
        <f aca="false">soc!C119/investment!$E$2 *100</f>
        <v>0</v>
      </c>
      <c r="N121" s="4" t="n">
        <f aca="false">p_micro!C118</f>
        <v>0</v>
      </c>
    </row>
    <row r="122" customFormat="false" ht="13.8" hidden="false" customHeight="false" outlineLevel="0" collapsed="false">
      <c r="B122" s="11" t="n">
        <f aca="false">_xlfn.NUMBERVALUE(solar!B119)</f>
        <v>0</v>
      </c>
      <c r="C122" s="12" t="n">
        <f aca="false">solar!C119</f>
        <v>0</v>
      </c>
      <c r="D122" s="12" t="n">
        <v>22</v>
      </c>
      <c r="E122" s="6" t="n">
        <v>118</v>
      </c>
      <c r="F122" s="17" t="n">
        <f aca="false">IFERROR(INDEX($B$5:$C$173, MATCH($E122, $B$5:$B$175, 0), 2), 0)*investment!$C$2</f>
        <v>0</v>
      </c>
      <c r="G122" s="6" t="n">
        <f aca="false">demand!C120</f>
        <v>0</v>
      </c>
      <c r="H122" s="2" t="n">
        <f aca="false">solgen!C120</f>
        <v>0</v>
      </c>
      <c r="I122" s="2" t="n">
        <f aca="false">import!C120</f>
        <v>0</v>
      </c>
      <c r="J122" s="2" t="n">
        <f aca="false">-export!C120</f>
        <v>-0</v>
      </c>
      <c r="K122" s="2" t="n">
        <f aca="false">-charge!C120</f>
        <v>-0</v>
      </c>
      <c r="L122" s="2" t="n">
        <f aca="false">discharge!C120</f>
        <v>0</v>
      </c>
      <c r="M122" s="2" t="n">
        <f aca="false">soc!C120/investment!$E$2 *100</f>
        <v>0</v>
      </c>
      <c r="N122" s="4" t="n">
        <f aca="false">p_micro!C119</f>
        <v>0</v>
      </c>
    </row>
    <row r="123" customFormat="false" ht="13.8" hidden="false" customHeight="false" outlineLevel="0" collapsed="false">
      <c r="B123" s="11" t="n">
        <f aca="false">_xlfn.NUMBERVALUE(solar!B120)</f>
        <v>0</v>
      </c>
      <c r="C123" s="12" t="n">
        <f aca="false">solar!C120</f>
        <v>0</v>
      </c>
      <c r="D123" s="12" t="n">
        <v>23</v>
      </c>
      <c r="E123" s="6" t="n">
        <v>119</v>
      </c>
      <c r="F123" s="17" t="n">
        <f aca="false">IFERROR(INDEX($B$5:$C$173, MATCH($E123, $B$5:$B$175, 0), 2), 0)*investment!$C$2</f>
        <v>0</v>
      </c>
      <c r="G123" s="6" t="n">
        <f aca="false">demand!C121</f>
        <v>0</v>
      </c>
      <c r="H123" s="2" t="n">
        <f aca="false">solgen!C121</f>
        <v>0</v>
      </c>
      <c r="I123" s="2" t="n">
        <f aca="false">import!C121</f>
        <v>0</v>
      </c>
      <c r="J123" s="2" t="n">
        <f aca="false">-export!C121</f>
        <v>-0</v>
      </c>
      <c r="K123" s="2" t="n">
        <f aca="false">-charge!C121</f>
        <v>-0</v>
      </c>
      <c r="L123" s="2" t="n">
        <f aca="false">discharge!C121</f>
        <v>0</v>
      </c>
      <c r="M123" s="2" t="n">
        <f aca="false">soc!C121/investment!$E$2 *100</f>
        <v>0</v>
      </c>
      <c r="N123" s="4" t="n">
        <f aca="false">p_micro!C120</f>
        <v>0</v>
      </c>
    </row>
    <row r="124" customFormat="false" ht="13.8" hidden="false" customHeight="false" outlineLevel="0" collapsed="false">
      <c r="B124" s="11" t="n">
        <f aca="false">_xlfn.NUMBERVALUE(solar!B121)</f>
        <v>0</v>
      </c>
      <c r="C124" s="12" t="n">
        <f aca="false">solar!C121</f>
        <v>0</v>
      </c>
      <c r="D124" s="12" t="n">
        <v>24</v>
      </c>
      <c r="E124" s="6" t="n">
        <v>120</v>
      </c>
      <c r="F124" s="17" t="n">
        <f aca="false">IFERROR(INDEX($B$5:$C$173, MATCH($E124, $B$5:$B$175, 0), 2), 0)*investment!$C$2</f>
        <v>0</v>
      </c>
      <c r="G124" s="6" t="n">
        <f aca="false">demand!C122</f>
        <v>0</v>
      </c>
      <c r="H124" s="2" t="n">
        <f aca="false">solgen!C122</f>
        <v>0</v>
      </c>
      <c r="I124" s="2" t="n">
        <f aca="false">import!C122</f>
        <v>0</v>
      </c>
      <c r="J124" s="2" t="n">
        <f aca="false">-export!C122</f>
        <v>-0</v>
      </c>
      <c r="K124" s="2" t="n">
        <f aca="false">-charge!C122</f>
        <v>-0</v>
      </c>
      <c r="L124" s="2" t="n">
        <f aca="false">discharge!C122</f>
        <v>0</v>
      </c>
      <c r="M124" s="2" t="n">
        <f aca="false">soc!C122/investment!$E$2 *100</f>
        <v>0</v>
      </c>
      <c r="N124" s="4" t="n">
        <f aca="false">p_micro!C121</f>
        <v>0</v>
      </c>
    </row>
    <row r="125" customFormat="false" ht="13.8" hidden="false" customHeight="false" outlineLevel="0" collapsed="false">
      <c r="B125" s="11" t="n">
        <f aca="false">_xlfn.NUMBERVALUE(solar!B122)</f>
        <v>0</v>
      </c>
      <c r="C125" s="12" t="n">
        <f aca="false">solar!C122</f>
        <v>0</v>
      </c>
      <c r="D125" s="12" t="n">
        <v>1</v>
      </c>
      <c r="E125" s="6" t="n">
        <v>121</v>
      </c>
      <c r="F125" s="17" t="n">
        <f aca="false">IFERROR(INDEX($B$5:$C$173, MATCH($E125, $B$5:$B$175, 0), 2), 0)*investment!$C$2</f>
        <v>0</v>
      </c>
      <c r="G125" s="6" t="n">
        <f aca="false">demand!C123</f>
        <v>0</v>
      </c>
      <c r="H125" s="2" t="n">
        <f aca="false">solgen!C123</f>
        <v>0</v>
      </c>
      <c r="I125" s="2" t="n">
        <f aca="false">import!C123</f>
        <v>0</v>
      </c>
      <c r="J125" s="2" t="n">
        <f aca="false">-export!C123</f>
        <v>-0</v>
      </c>
      <c r="K125" s="2" t="n">
        <f aca="false">-charge!C123</f>
        <v>-0</v>
      </c>
      <c r="L125" s="2" t="n">
        <f aca="false">discharge!C123</f>
        <v>0</v>
      </c>
      <c r="M125" s="2" t="n">
        <f aca="false">soc!C123/investment!$E$2 *100</f>
        <v>0</v>
      </c>
      <c r="N125" s="4" t="n">
        <f aca="false">p_micro!C122</f>
        <v>0</v>
      </c>
    </row>
    <row r="126" customFormat="false" ht="13.8" hidden="false" customHeight="false" outlineLevel="0" collapsed="false">
      <c r="B126" s="11" t="n">
        <f aca="false">_xlfn.NUMBERVALUE(solar!B123)</f>
        <v>0</v>
      </c>
      <c r="C126" s="12" t="n">
        <f aca="false">solar!C123</f>
        <v>0</v>
      </c>
      <c r="D126" s="12" t="n">
        <v>2</v>
      </c>
      <c r="E126" s="6" t="n">
        <v>122</v>
      </c>
      <c r="F126" s="17" t="n">
        <f aca="false">IFERROR(INDEX($B$5:$C$173, MATCH($E126, $B$5:$B$175, 0), 2), 0)*investment!$C$2</f>
        <v>0</v>
      </c>
      <c r="G126" s="6" t="n">
        <f aca="false">demand!C124</f>
        <v>0</v>
      </c>
      <c r="H126" s="2" t="n">
        <f aca="false">solgen!C124</f>
        <v>0</v>
      </c>
      <c r="I126" s="2" t="n">
        <f aca="false">import!C124</f>
        <v>0</v>
      </c>
      <c r="J126" s="2" t="n">
        <f aca="false">-export!C124</f>
        <v>-0</v>
      </c>
      <c r="K126" s="2" t="n">
        <f aca="false">-charge!C124</f>
        <v>-0</v>
      </c>
      <c r="L126" s="2" t="n">
        <f aca="false">discharge!C124</f>
        <v>0</v>
      </c>
      <c r="M126" s="2" t="n">
        <f aca="false">soc!C124/investment!$E$2 *100</f>
        <v>0</v>
      </c>
      <c r="N126" s="4" t="n">
        <f aca="false">p_micro!C123</f>
        <v>0</v>
      </c>
    </row>
    <row r="127" customFormat="false" ht="13.8" hidden="false" customHeight="false" outlineLevel="0" collapsed="false">
      <c r="B127" s="11" t="n">
        <f aca="false">_xlfn.NUMBERVALUE(solar!B124)</f>
        <v>0</v>
      </c>
      <c r="C127" s="12" t="n">
        <f aca="false">solar!C124</f>
        <v>0</v>
      </c>
      <c r="D127" s="12" t="n">
        <v>3</v>
      </c>
      <c r="E127" s="6" t="n">
        <v>123</v>
      </c>
      <c r="F127" s="17" t="n">
        <f aca="false">IFERROR(INDEX($B$5:$C$173, MATCH($E127, $B$5:$B$175, 0), 2), 0)*investment!$C$2</f>
        <v>0</v>
      </c>
      <c r="G127" s="6" t="n">
        <f aca="false">demand!C125</f>
        <v>0</v>
      </c>
      <c r="H127" s="2" t="n">
        <f aca="false">solgen!C125</f>
        <v>0</v>
      </c>
      <c r="I127" s="2" t="n">
        <f aca="false">import!C125</f>
        <v>0</v>
      </c>
      <c r="J127" s="2" t="n">
        <f aca="false">-export!C125</f>
        <v>-0</v>
      </c>
      <c r="K127" s="2" t="n">
        <f aca="false">-charge!C125</f>
        <v>-0</v>
      </c>
      <c r="L127" s="2" t="n">
        <f aca="false">discharge!C125</f>
        <v>0</v>
      </c>
      <c r="M127" s="2" t="n">
        <f aca="false">soc!C125/investment!$E$2 *100</f>
        <v>0</v>
      </c>
      <c r="N127" s="4" t="n">
        <f aca="false">p_micro!C124</f>
        <v>0</v>
      </c>
    </row>
    <row r="128" customFormat="false" ht="13.8" hidden="false" customHeight="false" outlineLevel="0" collapsed="false">
      <c r="B128" s="11" t="n">
        <f aca="false">_xlfn.NUMBERVALUE(solar!B125)</f>
        <v>0</v>
      </c>
      <c r="C128" s="12" t="n">
        <f aca="false">solar!C125</f>
        <v>0</v>
      </c>
      <c r="D128" s="12" t="n">
        <v>4</v>
      </c>
      <c r="E128" s="6" t="n">
        <v>124</v>
      </c>
      <c r="F128" s="17" t="n">
        <f aca="false">IFERROR(INDEX($B$5:$C$173, MATCH($E128, $B$5:$B$175, 0), 2), 0)*investment!$C$2</f>
        <v>0</v>
      </c>
      <c r="G128" s="6" t="n">
        <f aca="false">demand!C126</f>
        <v>0</v>
      </c>
      <c r="H128" s="2" t="n">
        <f aca="false">solgen!C126</f>
        <v>0</v>
      </c>
      <c r="I128" s="2" t="n">
        <f aca="false">import!C126</f>
        <v>0</v>
      </c>
      <c r="J128" s="2" t="n">
        <f aca="false">-export!C126</f>
        <v>-0</v>
      </c>
      <c r="K128" s="2" t="n">
        <f aca="false">-charge!C126</f>
        <v>-0</v>
      </c>
      <c r="L128" s="2" t="n">
        <f aca="false">discharge!C126</f>
        <v>0</v>
      </c>
      <c r="M128" s="2" t="n">
        <f aca="false">soc!C126/investment!$E$2 *100</f>
        <v>0</v>
      </c>
      <c r="N128" s="4" t="n">
        <f aca="false">p_micro!C125</f>
        <v>0</v>
      </c>
    </row>
    <row r="129" customFormat="false" ht="13.8" hidden="false" customHeight="false" outlineLevel="0" collapsed="false">
      <c r="B129" s="11" t="n">
        <f aca="false">_xlfn.NUMBERVALUE(solar!B126)</f>
        <v>0</v>
      </c>
      <c r="C129" s="12" t="n">
        <f aca="false">solar!C126</f>
        <v>0</v>
      </c>
      <c r="D129" s="12" t="n">
        <v>5</v>
      </c>
      <c r="E129" s="6" t="n">
        <v>125</v>
      </c>
      <c r="F129" s="17" t="n">
        <f aca="false">IFERROR(INDEX($B$5:$C$173, MATCH($E129, $B$5:$B$175, 0), 2), 0)*investment!$C$2</f>
        <v>0</v>
      </c>
      <c r="G129" s="6" t="n">
        <f aca="false">demand!C127</f>
        <v>0</v>
      </c>
      <c r="H129" s="2" t="n">
        <f aca="false">solgen!C127</f>
        <v>0</v>
      </c>
      <c r="I129" s="2" t="n">
        <f aca="false">import!C127</f>
        <v>0</v>
      </c>
      <c r="J129" s="2" t="n">
        <f aca="false">-export!C127</f>
        <v>-0</v>
      </c>
      <c r="K129" s="2" t="n">
        <f aca="false">-charge!C127</f>
        <v>-0</v>
      </c>
      <c r="L129" s="2" t="n">
        <f aca="false">discharge!C127</f>
        <v>0</v>
      </c>
      <c r="M129" s="2" t="n">
        <f aca="false">soc!C127/investment!$E$2 *100</f>
        <v>0</v>
      </c>
      <c r="N129" s="4" t="n">
        <f aca="false">p_micro!C126</f>
        <v>0</v>
      </c>
    </row>
    <row r="130" customFormat="false" ht="13.8" hidden="false" customHeight="false" outlineLevel="0" collapsed="false">
      <c r="B130" s="11" t="n">
        <f aca="false">_xlfn.NUMBERVALUE(solar!B127)</f>
        <v>0</v>
      </c>
      <c r="C130" s="12" t="n">
        <f aca="false">solar!C127</f>
        <v>0</v>
      </c>
      <c r="D130" s="12" t="n">
        <v>6</v>
      </c>
      <c r="E130" s="6" t="n">
        <v>126</v>
      </c>
      <c r="F130" s="17" t="n">
        <f aca="false">IFERROR(INDEX($B$5:$C$173, MATCH($E130, $B$5:$B$175, 0), 2), 0)*investment!$C$2</f>
        <v>0</v>
      </c>
      <c r="G130" s="6" t="n">
        <f aca="false">demand!C128</f>
        <v>0</v>
      </c>
      <c r="H130" s="2" t="n">
        <f aca="false">solgen!C128</f>
        <v>0</v>
      </c>
      <c r="I130" s="2" t="n">
        <f aca="false">import!C128</f>
        <v>0</v>
      </c>
      <c r="J130" s="2" t="n">
        <f aca="false">-export!C128</f>
        <v>-0</v>
      </c>
      <c r="K130" s="2" t="n">
        <f aca="false">-charge!C128</f>
        <v>-0</v>
      </c>
      <c r="L130" s="2" t="n">
        <f aca="false">discharge!C128</f>
        <v>0</v>
      </c>
      <c r="M130" s="2" t="n">
        <f aca="false">soc!C128/investment!$E$2 *100</f>
        <v>0</v>
      </c>
      <c r="N130" s="4" t="n">
        <f aca="false">p_micro!C127</f>
        <v>0</v>
      </c>
    </row>
    <row r="131" customFormat="false" ht="13.8" hidden="false" customHeight="false" outlineLevel="0" collapsed="false">
      <c r="B131" s="11" t="n">
        <f aca="false">_xlfn.NUMBERVALUE(solar!B128)</f>
        <v>0</v>
      </c>
      <c r="C131" s="12" t="n">
        <f aca="false">solar!C128</f>
        <v>0</v>
      </c>
      <c r="D131" s="12" t="n">
        <v>7</v>
      </c>
      <c r="E131" s="6" t="n">
        <v>127</v>
      </c>
      <c r="F131" s="17" t="n">
        <f aca="false">IFERROR(INDEX($B$5:$C$173, MATCH($E131, $B$5:$B$175, 0), 2), 0)*investment!$C$2</f>
        <v>0</v>
      </c>
      <c r="G131" s="6" t="n">
        <f aca="false">demand!C129</f>
        <v>0</v>
      </c>
      <c r="H131" s="2" t="n">
        <f aca="false">solgen!C129</f>
        <v>0</v>
      </c>
      <c r="I131" s="2" t="n">
        <f aca="false">import!C129</f>
        <v>0</v>
      </c>
      <c r="J131" s="2" t="n">
        <f aca="false">-export!C129</f>
        <v>-0</v>
      </c>
      <c r="K131" s="2" t="n">
        <f aca="false">-charge!C129</f>
        <v>-0</v>
      </c>
      <c r="L131" s="2" t="n">
        <f aca="false">discharge!C129</f>
        <v>0</v>
      </c>
      <c r="M131" s="2" t="n">
        <f aca="false">soc!C129/investment!$E$2 *100</f>
        <v>0</v>
      </c>
      <c r="N131" s="4" t="n">
        <f aca="false">p_micro!C128</f>
        <v>0</v>
      </c>
    </row>
    <row r="132" customFormat="false" ht="13.8" hidden="false" customHeight="false" outlineLevel="0" collapsed="false">
      <c r="B132" s="11" t="n">
        <f aca="false">_xlfn.NUMBERVALUE(solar!B129)</f>
        <v>0</v>
      </c>
      <c r="C132" s="12" t="n">
        <f aca="false">solar!C129</f>
        <v>0</v>
      </c>
      <c r="D132" s="12" t="n">
        <v>8</v>
      </c>
      <c r="E132" s="6" t="n">
        <v>128</v>
      </c>
      <c r="F132" s="17" t="n">
        <f aca="false">IFERROR(INDEX($B$5:$C$173, MATCH($E132, $B$5:$B$175, 0), 2), 0)*investment!$C$2</f>
        <v>0</v>
      </c>
      <c r="G132" s="6" t="n">
        <f aca="false">demand!C130</f>
        <v>0</v>
      </c>
      <c r="H132" s="2" t="n">
        <f aca="false">solgen!C130</f>
        <v>0</v>
      </c>
      <c r="I132" s="2" t="n">
        <f aca="false">import!C130</f>
        <v>0</v>
      </c>
      <c r="J132" s="2" t="n">
        <f aca="false">-export!C130</f>
        <v>-0</v>
      </c>
      <c r="K132" s="2" t="n">
        <f aca="false">-charge!C130</f>
        <v>-0</v>
      </c>
      <c r="L132" s="2" t="n">
        <f aca="false">discharge!C130</f>
        <v>0</v>
      </c>
      <c r="M132" s="2" t="n">
        <f aca="false">soc!C130/investment!$E$2 *100</f>
        <v>0</v>
      </c>
      <c r="N132" s="4" t="n">
        <f aca="false">p_micro!C129</f>
        <v>0</v>
      </c>
    </row>
    <row r="133" customFormat="false" ht="13.8" hidden="false" customHeight="false" outlineLevel="0" collapsed="false">
      <c r="B133" s="11" t="n">
        <f aca="false">_xlfn.NUMBERVALUE(solar!B130)</f>
        <v>0</v>
      </c>
      <c r="C133" s="12" t="n">
        <f aca="false">solar!C130</f>
        <v>0</v>
      </c>
      <c r="D133" s="12" t="n">
        <v>9</v>
      </c>
      <c r="E133" s="6" t="n">
        <v>129</v>
      </c>
      <c r="F133" s="17" t="n">
        <f aca="false">IFERROR(INDEX($B$5:$C$173, MATCH($E133, $B$5:$B$175, 0), 2), 0)*investment!$C$2</f>
        <v>0</v>
      </c>
      <c r="G133" s="6" t="n">
        <f aca="false">demand!C131</f>
        <v>0</v>
      </c>
      <c r="H133" s="2" t="n">
        <f aca="false">solgen!C131</f>
        <v>0</v>
      </c>
      <c r="I133" s="2" t="n">
        <f aca="false">import!C131</f>
        <v>0</v>
      </c>
      <c r="J133" s="2" t="n">
        <f aca="false">-export!C131</f>
        <v>-0</v>
      </c>
      <c r="K133" s="2" t="n">
        <f aca="false">-charge!C131</f>
        <v>-0</v>
      </c>
      <c r="L133" s="2" t="n">
        <f aca="false">discharge!C131</f>
        <v>0</v>
      </c>
      <c r="M133" s="2" t="n">
        <f aca="false">soc!C131/investment!$E$2 *100</f>
        <v>0</v>
      </c>
      <c r="N133" s="4" t="n">
        <f aca="false">p_micro!C130</f>
        <v>0</v>
      </c>
    </row>
    <row r="134" customFormat="false" ht="13.8" hidden="false" customHeight="false" outlineLevel="0" collapsed="false">
      <c r="B134" s="11" t="n">
        <f aca="false">_xlfn.NUMBERVALUE(solar!B131)</f>
        <v>0</v>
      </c>
      <c r="C134" s="12" t="n">
        <f aca="false">solar!C131</f>
        <v>0</v>
      </c>
      <c r="D134" s="12" t="n">
        <v>10</v>
      </c>
      <c r="E134" s="6" t="n">
        <v>130</v>
      </c>
      <c r="F134" s="17" t="n">
        <f aca="false">IFERROR(INDEX($B$5:$C$173, MATCH($E134, $B$5:$B$175, 0), 2), 0)*investment!$C$2</f>
        <v>0</v>
      </c>
      <c r="G134" s="6" t="n">
        <f aca="false">demand!C132</f>
        <v>0</v>
      </c>
      <c r="H134" s="2" t="n">
        <f aca="false">solgen!C132</f>
        <v>0</v>
      </c>
      <c r="I134" s="2" t="n">
        <f aca="false">import!C132</f>
        <v>0</v>
      </c>
      <c r="J134" s="2" t="n">
        <f aca="false">-export!C132</f>
        <v>-0</v>
      </c>
      <c r="K134" s="2" t="n">
        <f aca="false">-charge!C132</f>
        <v>-0</v>
      </c>
      <c r="L134" s="2" t="n">
        <f aca="false">discharge!C132</f>
        <v>0</v>
      </c>
      <c r="M134" s="2" t="n">
        <f aca="false">soc!C132/investment!$E$2 *100</f>
        <v>0</v>
      </c>
      <c r="N134" s="4" t="n">
        <f aca="false">p_micro!C131</f>
        <v>0</v>
      </c>
    </row>
    <row r="135" customFormat="false" ht="13.8" hidden="false" customHeight="false" outlineLevel="0" collapsed="false">
      <c r="B135" s="11" t="n">
        <f aca="false">_xlfn.NUMBERVALUE(solar!B132)</f>
        <v>0</v>
      </c>
      <c r="C135" s="12" t="n">
        <f aca="false">solar!C132</f>
        <v>0</v>
      </c>
      <c r="D135" s="12" t="n">
        <v>11</v>
      </c>
      <c r="E135" s="6" t="n">
        <v>131</v>
      </c>
      <c r="F135" s="17" t="n">
        <f aca="false">IFERROR(INDEX($B$5:$C$173, MATCH($E135, $B$5:$B$175, 0), 2), 0)*investment!$C$2</f>
        <v>0</v>
      </c>
      <c r="G135" s="6" t="n">
        <f aca="false">demand!C133</f>
        <v>0</v>
      </c>
      <c r="H135" s="2" t="n">
        <f aca="false">solgen!C133</f>
        <v>0</v>
      </c>
      <c r="I135" s="2" t="n">
        <f aca="false">import!C133</f>
        <v>0</v>
      </c>
      <c r="J135" s="2" t="n">
        <f aca="false">-export!C133</f>
        <v>-0</v>
      </c>
      <c r="K135" s="2" t="n">
        <f aca="false">-charge!C133</f>
        <v>-0</v>
      </c>
      <c r="L135" s="2" t="n">
        <f aca="false">discharge!C133</f>
        <v>0</v>
      </c>
      <c r="M135" s="2" t="n">
        <f aca="false">soc!C133/investment!$E$2 *100</f>
        <v>0</v>
      </c>
      <c r="N135" s="4" t="n">
        <f aca="false">p_micro!C132</f>
        <v>0</v>
      </c>
    </row>
    <row r="136" customFormat="false" ht="13.8" hidden="false" customHeight="false" outlineLevel="0" collapsed="false">
      <c r="B136" s="11" t="n">
        <f aca="false">_xlfn.NUMBERVALUE(solar!B133)</f>
        <v>0</v>
      </c>
      <c r="C136" s="12" t="n">
        <f aca="false">solar!C133</f>
        <v>0</v>
      </c>
      <c r="D136" s="12" t="n">
        <v>12</v>
      </c>
      <c r="E136" s="6" t="n">
        <v>132</v>
      </c>
      <c r="F136" s="17" t="n">
        <f aca="false">IFERROR(INDEX($B$5:$C$173, MATCH($E136, $B$5:$B$175, 0), 2), 0)*investment!$C$2</f>
        <v>0</v>
      </c>
      <c r="G136" s="6" t="n">
        <f aca="false">demand!C134</f>
        <v>0</v>
      </c>
      <c r="H136" s="2" t="n">
        <f aca="false">solgen!C134</f>
        <v>0</v>
      </c>
      <c r="I136" s="2" t="n">
        <f aca="false">import!C134</f>
        <v>0</v>
      </c>
      <c r="J136" s="2" t="n">
        <f aca="false">-export!C134</f>
        <v>-0</v>
      </c>
      <c r="K136" s="2" t="n">
        <f aca="false">-charge!C134</f>
        <v>-0</v>
      </c>
      <c r="L136" s="2" t="n">
        <f aca="false">discharge!C134</f>
        <v>0</v>
      </c>
      <c r="M136" s="2" t="n">
        <f aca="false">soc!C134/investment!$E$2 *100</f>
        <v>0</v>
      </c>
      <c r="N136" s="4" t="n">
        <f aca="false">p_micro!C133</f>
        <v>0</v>
      </c>
    </row>
    <row r="137" customFormat="false" ht="13.8" hidden="false" customHeight="false" outlineLevel="0" collapsed="false">
      <c r="B137" s="11" t="n">
        <f aca="false">_xlfn.NUMBERVALUE(solar!B134)</f>
        <v>0</v>
      </c>
      <c r="C137" s="12" t="n">
        <f aca="false">solar!C134</f>
        <v>0</v>
      </c>
      <c r="D137" s="12" t="n">
        <v>13</v>
      </c>
      <c r="E137" s="6" t="n">
        <v>133</v>
      </c>
      <c r="F137" s="17" t="n">
        <f aca="false">IFERROR(INDEX($B$5:$C$173, MATCH($E137, $B$5:$B$175, 0), 2), 0)*investment!$C$2</f>
        <v>0</v>
      </c>
      <c r="G137" s="6" t="n">
        <f aca="false">demand!C135</f>
        <v>0</v>
      </c>
      <c r="H137" s="2" t="n">
        <f aca="false">solgen!C135</f>
        <v>0</v>
      </c>
      <c r="I137" s="2" t="n">
        <f aca="false">import!C135</f>
        <v>0</v>
      </c>
      <c r="J137" s="2" t="n">
        <f aca="false">-export!C135</f>
        <v>-0</v>
      </c>
      <c r="K137" s="2" t="n">
        <f aca="false">-charge!C135</f>
        <v>-0</v>
      </c>
      <c r="L137" s="2" t="n">
        <f aca="false">discharge!C135</f>
        <v>0</v>
      </c>
      <c r="M137" s="2" t="n">
        <f aca="false">soc!C135/investment!$E$2 *100</f>
        <v>0</v>
      </c>
      <c r="N137" s="4" t="n">
        <f aca="false">p_micro!C134</f>
        <v>0</v>
      </c>
    </row>
    <row r="138" customFormat="false" ht="13.8" hidden="false" customHeight="false" outlineLevel="0" collapsed="false">
      <c r="B138" s="11" t="n">
        <f aca="false">_xlfn.NUMBERVALUE(solar!B135)</f>
        <v>0</v>
      </c>
      <c r="C138" s="12" t="n">
        <f aca="false">solar!C135</f>
        <v>0</v>
      </c>
      <c r="D138" s="12" t="n">
        <v>14</v>
      </c>
      <c r="E138" s="6" t="n">
        <v>134</v>
      </c>
      <c r="F138" s="17" t="n">
        <f aca="false">IFERROR(INDEX($B$5:$C$173, MATCH($E138, $B$5:$B$175, 0), 2), 0)*investment!$C$2</f>
        <v>0</v>
      </c>
      <c r="G138" s="6" t="n">
        <f aca="false">demand!C136</f>
        <v>0</v>
      </c>
      <c r="H138" s="2" t="n">
        <f aca="false">solgen!C136</f>
        <v>0</v>
      </c>
      <c r="I138" s="2" t="n">
        <f aca="false">import!C136</f>
        <v>0</v>
      </c>
      <c r="J138" s="2" t="n">
        <f aca="false">-export!C136</f>
        <v>-0</v>
      </c>
      <c r="K138" s="2" t="n">
        <f aca="false">-charge!C136</f>
        <v>-0</v>
      </c>
      <c r="L138" s="2" t="n">
        <f aca="false">discharge!C136</f>
        <v>0</v>
      </c>
      <c r="M138" s="2" t="n">
        <f aca="false">soc!C136/investment!$E$2 *100</f>
        <v>0</v>
      </c>
      <c r="N138" s="4" t="n">
        <f aca="false">p_micro!C135</f>
        <v>0</v>
      </c>
    </row>
    <row r="139" customFormat="false" ht="13.8" hidden="false" customHeight="false" outlineLevel="0" collapsed="false">
      <c r="B139" s="11" t="n">
        <f aca="false">_xlfn.NUMBERVALUE(solar!B136)</f>
        <v>0</v>
      </c>
      <c r="C139" s="12" t="n">
        <f aca="false">solar!C136</f>
        <v>0</v>
      </c>
      <c r="D139" s="12" t="n">
        <v>15</v>
      </c>
      <c r="E139" s="6" t="n">
        <v>135</v>
      </c>
      <c r="F139" s="17" t="n">
        <f aca="false">IFERROR(INDEX($B$5:$C$173, MATCH($E139, $B$5:$B$175, 0), 2), 0)*investment!$C$2</f>
        <v>0</v>
      </c>
      <c r="G139" s="6" t="n">
        <f aca="false">demand!C137</f>
        <v>0</v>
      </c>
      <c r="H139" s="2" t="n">
        <f aca="false">solgen!C137</f>
        <v>0</v>
      </c>
      <c r="I139" s="2" t="n">
        <f aca="false">import!C137</f>
        <v>0</v>
      </c>
      <c r="J139" s="2" t="n">
        <f aca="false">-export!C137</f>
        <v>-0</v>
      </c>
      <c r="K139" s="2" t="n">
        <f aca="false">-charge!C137</f>
        <v>-0</v>
      </c>
      <c r="L139" s="2" t="n">
        <f aca="false">discharge!C137</f>
        <v>0</v>
      </c>
      <c r="M139" s="2" t="n">
        <f aca="false">soc!C137/investment!$E$2 *100</f>
        <v>0</v>
      </c>
      <c r="N139" s="4" t="n">
        <f aca="false">p_micro!C136</f>
        <v>0</v>
      </c>
    </row>
    <row r="140" customFormat="false" ht="13.8" hidden="false" customHeight="false" outlineLevel="0" collapsed="false">
      <c r="B140" s="11" t="n">
        <f aca="false">_xlfn.NUMBERVALUE(solar!B137)</f>
        <v>0</v>
      </c>
      <c r="C140" s="12" t="n">
        <f aca="false">solar!C137</f>
        <v>0</v>
      </c>
      <c r="D140" s="12" t="n">
        <v>16</v>
      </c>
      <c r="E140" s="6" t="n">
        <v>136</v>
      </c>
      <c r="F140" s="17" t="n">
        <f aca="false">IFERROR(INDEX($B$5:$C$173, MATCH($E140, $B$5:$B$175, 0), 2), 0)*investment!$C$2</f>
        <v>0</v>
      </c>
      <c r="G140" s="6" t="n">
        <f aca="false">demand!C138</f>
        <v>0</v>
      </c>
      <c r="H140" s="2" t="n">
        <f aca="false">solgen!C138</f>
        <v>0</v>
      </c>
      <c r="I140" s="2" t="n">
        <f aca="false">import!C138</f>
        <v>0</v>
      </c>
      <c r="J140" s="2" t="n">
        <f aca="false">-export!C138</f>
        <v>-0</v>
      </c>
      <c r="K140" s="2" t="n">
        <f aca="false">-charge!C138</f>
        <v>-0</v>
      </c>
      <c r="L140" s="2" t="n">
        <f aca="false">discharge!C138</f>
        <v>0</v>
      </c>
      <c r="M140" s="2" t="n">
        <f aca="false">soc!C138/investment!$E$2 *100</f>
        <v>0</v>
      </c>
      <c r="N140" s="4" t="n">
        <f aca="false">p_micro!C137</f>
        <v>0</v>
      </c>
    </row>
    <row r="141" customFormat="false" ht="13.8" hidden="false" customHeight="false" outlineLevel="0" collapsed="false">
      <c r="B141" s="11" t="n">
        <f aca="false">_xlfn.NUMBERVALUE(solar!B138)</f>
        <v>0</v>
      </c>
      <c r="C141" s="12" t="n">
        <f aca="false">solar!C138</f>
        <v>0</v>
      </c>
      <c r="D141" s="12" t="n">
        <v>17</v>
      </c>
      <c r="E141" s="6" t="n">
        <v>137</v>
      </c>
      <c r="F141" s="17" t="n">
        <f aca="false">IFERROR(INDEX($B$5:$C$173, MATCH($E141, $B$5:$B$175, 0), 2), 0)*investment!$C$2</f>
        <v>0</v>
      </c>
      <c r="G141" s="6" t="n">
        <f aca="false">demand!C139</f>
        <v>0</v>
      </c>
      <c r="H141" s="2" t="n">
        <f aca="false">solgen!C139</f>
        <v>0</v>
      </c>
      <c r="I141" s="2" t="n">
        <f aca="false">import!C139</f>
        <v>0</v>
      </c>
      <c r="J141" s="2" t="n">
        <f aca="false">-export!C139</f>
        <v>-0</v>
      </c>
      <c r="K141" s="2" t="n">
        <f aca="false">-charge!C139</f>
        <v>-0</v>
      </c>
      <c r="L141" s="2" t="n">
        <f aca="false">discharge!C139</f>
        <v>0</v>
      </c>
      <c r="M141" s="2" t="n">
        <f aca="false">soc!C139/investment!$E$2 *100</f>
        <v>0</v>
      </c>
      <c r="N141" s="4" t="n">
        <f aca="false">p_micro!C138</f>
        <v>0</v>
      </c>
    </row>
    <row r="142" customFormat="false" ht="13.8" hidden="false" customHeight="false" outlineLevel="0" collapsed="false">
      <c r="B142" s="11" t="n">
        <f aca="false">_xlfn.NUMBERVALUE(solar!B139)</f>
        <v>0</v>
      </c>
      <c r="C142" s="12" t="n">
        <f aca="false">solar!C139</f>
        <v>0</v>
      </c>
      <c r="D142" s="12" t="n">
        <v>18</v>
      </c>
      <c r="E142" s="6" t="n">
        <v>138</v>
      </c>
      <c r="F142" s="17" t="n">
        <f aca="false">IFERROR(INDEX($B$5:$C$173, MATCH($E142, $B$5:$B$175, 0), 2), 0)*investment!$C$2</f>
        <v>0</v>
      </c>
      <c r="G142" s="6" t="n">
        <f aca="false">demand!C140</f>
        <v>0</v>
      </c>
      <c r="H142" s="2" t="n">
        <f aca="false">solgen!C140</f>
        <v>0</v>
      </c>
      <c r="I142" s="2" t="n">
        <f aca="false">import!C140</f>
        <v>0</v>
      </c>
      <c r="J142" s="2" t="n">
        <f aca="false">-export!C140</f>
        <v>-0</v>
      </c>
      <c r="K142" s="2" t="n">
        <f aca="false">-charge!C140</f>
        <v>-0</v>
      </c>
      <c r="L142" s="2" t="n">
        <f aca="false">discharge!C140</f>
        <v>0</v>
      </c>
      <c r="M142" s="2" t="n">
        <f aca="false">soc!C140/investment!$E$2 *100</f>
        <v>0</v>
      </c>
      <c r="N142" s="4" t="n">
        <f aca="false">p_micro!C139</f>
        <v>0</v>
      </c>
    </row>
    <row r="143" customFormat="false" ht="13.8" hidden="false" customHeight="false" outlineLevel="0" collapsed="false">
      <c r="B143" s="11" t="n">
        <f aca="false">_xlfn.NUMBERVALUE(solar!B140)</f>
        <v>0</v>
      </c>
      <c r="C143" s="12" t="n">
        <f aca="false">solar!C140</f>
        <v>0</v>
      </c>
      <c r="D143" s="12" t="n">
        <v>19</v>
      </c>
      <c r="E143" s="6" t="n">
        <v>139</v>
      </c>
      <c r="F143" s="17" t="n">
        <f aca="false">IFERROR(INDEX($B$5:$C$173, MATCH($E143, $B$5:$B$175, 0), 2), 0)*investment!$C$2</f>
        <v>0</v>
      </c>
      <c r="G143" s="6" t="n">
        <f aca="false">demand!C141</f>
        <v>0</v>
      </c>
      <c r="H143" s="2" t="n">
        <f aca="false">solgen!C141</f>
        <v>0</v>
      </c>
      <c r="I143" s="2" t="n">
        <f aca="false">import!C141</f>
        <v>0</v>
      </c>
      <c r="J143" s="2" t="n">
        <f aca="false">-export!C141</f>
        <v>-0</v>
      </c>
      <c r="K143" s="2" t="n">
        <f aca="false">-charge!C141</f>
        <v>-0</v>
      </c>
      <c r="L143" s="2" t="n">
        <f aca="false">discharge!C141</f>
        <v>0</v>
      </c>
      <c r="M143" s="2" t="n">
        <f aca="false">soc!C141/investment!$E$2 *100</f>
        <v>0</v>
      </c>
      <c r="N143" s="4" t="n">
        <f aca="false">p_micro!C140</f>
        <v>0</v>
      </c>
    </row>
    <row r="144" customFormat="false" ht="13.8" hidden="false" customHeight="false" outlineLevel="0" collapsed="false">
      <c r="B144" s="11" t="n">
        <f aca="false">_xlfn.NUMBERVALUE(solar!B141)</f>
        <v>0</v>
      </c>
      <c r="C144" s="12" t="n">
        <f aca="false">solar!C141</f>
        <v>0</v>
      </c>
      <c r="D144" s="12" t="n">
        <v>20</v>
      </c>
      <c r="E144" s="6" t="n">
        <v>140</v>
      </c>
      <c r="F144" s="17" t="n">
        <f aca="false">IFERROR(INDEX($B$5:$C$173, MATCH($E144, $B$5:$B$175, 0), 2), 0)*investment!$C$2</f>
        <v>0</v>
      </c>
      <c r="G144" s="6" t="n">
        <f aca="false">demand!C142</f>
        <v>0</v>
      </c>
      <c r="H144" s="2" t="n">
        <f aca="false">solgen!C142</f>
        <v>0</v>
      </c>
      <c r="I144" s="2" t="n">
        <f aca="false">import!C142</f>
        <v>0</v>
      </c>
      <c r="J144" s="2" t="n">
        <f aca="false">-export!C142</f>
        <v>-0</v>
      </c>
      <c r="K144" s="2" t="n">
        <f aca="false">-charge!C142</f>
        <v>-0</v>
      </c>
      <c r="L144" s="2" t="n">
        <f aca="false">discharge!C142</f>
        <v>0</v>
      </c>
      <c r="M144" s="2" t="n">
        <f aca="false">soc!C142/investment!$E$2 *100</f>
        <v>0</v>
      </c>
      <c r="N144" s="4" t="n">
        <f aca="false">p_micro!C141</f>
        <v>0</v>
      </c>
    </row>
    <row r="145" customFormat="false" ht="13.8" hidden="false" customHeight="false" outlineLevel="0" collapsed="false">
      <c r="B145" s="11" t="n">
        <f aca="false">_xlfn.NUMBERVALUE(solar!B142)</f>
        <v>0</v>
      </c>
      <c r="C145" s="12" t="n">
        <f aca="false">solar!C142</f>
        <v>0</v>
      </c>
      <c r="D145" s="12" t="n">
        <v>21</v>
      </c>
      <c r="E145" s="6" t="n">
        <v>141</v>
      </c>
      <c r="F145" s="17" t="n">
        <f aca="false">IFERROR(INDEX($B$5:$C$173, MATCH($E145, $B$5:$B$175, 0), 2), 0)*investment!$C$2</f>
        <v>0</v>
      </c>
      <c r="G145" s="6" t="n">
        <f aca="false">demand!C143</f>
        <v>0</v>
      </c>
      <c r="H145" s="2" t="n">
        <f aca="false">solgen!C143</f>
        <v>0</v>
      </c>
      <c r="I145" s="2" t="n">
        <f aca="false">import!C143</f>
        <v>0</v>
      </c>
      <c r="J145" s="2" t="n">
        <f aca="false">-export!C143</f>
        <v>-0</v>
      </c>
      <c r="K145" s="2" t="n">
        <f aca="false">-charge!C143</f>
        <v>-0</v>
      </c>
      <c r="L145" s="2" t="n">
        <f aca="false">discharge!C143</f>
        <v>0</v>
      </c>
      <c r="M145" s="2" t="n">
        <f aca="false">soc!C143/investment!$E$2 *100</f>
        <v>0</v>
      </c>
      <c r="N145" s="4" t="n">
        <f aca="false">p_micro!C142</f>
        <v>0</v>
      </c>
    </row>
    <row r="146" customFormat="false" ht="13.8" hidden="false" customHeight="false" outlineLevel="0" collapsed="false">
      <c r="B146" s="11" t="n">
        <f aca="false">_xlfn.NUMBERVALUE(solar!B143)</f>
        <v>0</v>
      </c>
      <c r="C146" s="12" t="n">
        <f aca="false">solar!C143</f>
        <v>0</v>
      </c>
      <c r="D146" s="12" t="n">
        <v>22</v>
      </c>
      <c r="E146" s="6" t="n">
        <v>142</v>
      </c>
      <c r="F146" s="17" t="n">
        <f aca="false">IFERROR(INDEX($B$5:$C$173, MATCH($E146, $B$5:$B$175, 0), 2), 0)*investment!$C$2</f>
        <v>0</v>
      </c>
      <c r="G146" s="6" t="n">
        <f aca="false">demand!C144</f>
        <v>0</v>
      </c>
      <c r="H146" s="2" t="n">
        <f aca="false">solgen!C144</f>
        <v>0</v>
      </c>
      <c r="I146" s="2" t="n">
        <f aca="false">import!C144</f>
        <v>0</v>
      </c>
      <c r="J146" s="2" t="n">
        <f aca="false">-export!C144</f>
        <v>-0</v>
      </c>
      <c r="K146" s="2" t="n">
        <f aca="false">-charge!C144</f>
        <v>-0</v>
      </c>
      <c r="L146" s="2" t="n">
        <f aca="false">discharge!C144</f>
        <v>0</v>
      </c>
      <c r="M146" s="2" t="n">
        <f aca="false">soc!C144/investment!$E$2 *100</f>
        <v>0</v>
      </c>
      <c r="N146" s="4" t="n">
        <f aca="false">p_micro!C143</f>
        <v>0</v>
      </c>
    </row>
    <row r="147" customFormat="false" ht="13.8" hidden="false" customHeight="false" outlineLevel="0" collapsed="false">
      <c r="B147" s="11" t="n">
        <f aca="false">_xlfn.NUMBERVALUE(solar!B144)</f>
        <v>0</v>
      </c>
      <c r="C147" s="12" t="n">
        <f aca="false">solar!C144</f>
        <v>0</v>
      </c>
      <c r="D147" s="12" t="n">
        <v>23</v>
      </c>
      <c r="E147" s="6" t="n">
        <v>143</v>
      </c>
      <c r="F147" s="17" t="n">
        <f aca="false">IFERROR(INDEX($B$5:$C$173, MATCH($E147, $B$5:$B$175, 0), 2), 0)*investment!$C$2</f>
        <v>0</v>
      </c>
      <c r="G147" s="6" t="n">
        <f aca="false">demand!C145</f>
        <v>0</v>
      </c>
      <c r="H147" s="2" t="n">
        <f aca="false">solgen!C145</f>
        <v>0</v>
      </c>
      <c r="I147" s="2" t="n">
        <f aca="false">import!C145</f>
        <v>0</v>
      </c>
      <c r="J147" s="2" t="n">
        <f aca="false">-export!C145</f>
        <v>-0</v>
      </c>
      <c r="K147" s="2" t="n">
        <f aca="false">-charge!C145</f>
        <v>-0</v>
      </c>
      <c r="L147" s="2" t="n">
        <f aca="false">discharge!C145</f>
        <v>0</v>
      </c>
      <c r="M147" s="2" t="n">
        <f aca="false">soc!C145/investment!$E$2 *100</f>
        <v>0</v>
      </c>
      <c r="N147" s="4" t="n">
        <f aca="false">p_micro!C144</f>
        <v>0</v>
      </c>
    </row>
    <row r="148" customFormat="false" ht="13.8" hidden="false" customHeight="false" outlineLevel="0" collapsed="false">
      <c r="B148" s="11" t="n">
        <f aca="false">_xlfn.NUMBERVALUE(solar!B145)</f>
        <v>0</v>
      </c>
      <c r="C148" s="12" t="n">
        <f aca="false">solar!C145</f>
        <v>0</v>
      </c>
      <c r="D148" s="12" t="n">
        <v>24</v>
      </c>
      <c r="E148" s="6" t="n">
        <v>144</v>
      </c>
      <c r="F148" s="17" t="n">
        <f aca="false">IFERROR(INDEX($B$5:$C$173, MATCH($E148, $B$5:$B$175, 0), 2), 0)*investment!$C$2</f>
        <v>0</v>
      </c>
      <c r="G148" s="6" t="n">
        <f aca="false">demand!C146</f>
        <v>0</v>
      </c>
      <c r="H148" s="2" t="n">
        <f aca="false">solgen!C146</f>
        <v>0</v>
      </c>
      <c r="I148" s="2" t="n">
        <f aca="false">import!C146</f>
        <v>0</v>
      </c>
      <c r="J148" s="2" t="n">
        <f aca="false">-export!C146</f>
        <v>-0</v>
      </c>
      <c r="K148" s="2" t="n">
        <f aca="false">-charge!C146</f>
        <v>-0</v>
      </c>
      <c r="L148" s="2" t="n">
        <f aca="false">discharge!C146</f>
        <v>0</v>
      </c>
      <c r="M148" s="2" t="n">
        <f aca="false">soc!C146/investment!$E$2 *100</f>
        <v>0</v>
      </c>
      <c r="N148" s="4" t="n">
        <f aca="false">p_micro!C145</f>
        <v>0</v>
      </c>
    </row>
    <row r="149" customFormat="false" ht="13.8" hidden="false" customHeight="false" outlineLevel="0" collapsed="false">
      <c r="B149" s="11" t="n">
        <f aca="false">_xlfn.NUMBERVALUE(solar!B146)</f>
        <v>0</v>
      </c>
      <c r="C149" s="12" t="n">
        <f aca="false">solar!C146</f>
        <v>0</v>
      </c>
      <c r="D149" s="12" t="n">
        <v>1</v>
      </c>
      <c r="E149" s="6" t="n">
        <v>145</v>
      </c>
      <c r="F149" s="17" t="n">
        <f aca="false">IFERROR(INDEX($B$5:$C$173, MATCH($E149, $B$5:$B$175, 0), 2), 0)*investment!$C$2</f>
        <v>0</v>
      </c>
      <c r="G149" s="6" t="n">
        <f aca="false">demand!C147</f>
        <v>0</v>
      </c>
      <c r="H149" s="2" t="n">
        <f aca="false">solgen!C147</f>
        <v>0</v>
      </c>
      <c r="I149" s="2" t="n">
        <f aca="false">import!C147</f>
        <v>0</v>
      </c>
      <c r="J149" s="2" t="n">
        <f aca="false">-export!C147</f>
        <v>-0</v>
      </c>
      <c r="K149" s="2" t="n">
        <f aca="false">-charge!C147</f>
        <v>-0</v>
      </c>
      <c r="L149" s="2" t="n">
        <f aca="false">discharge!C147</f>
        <v>0</v>
      </c>
      <c r="M149" s="2" t="n">
        <f aca="false">soc!C147/investment!$E$2 *100</f>
        <v>0</v>
      </c>
      <c r="N149" s="4" t="n">
        <f aca="false">p_micro!C146</f>
        <v>0</v>
      </c>
    </row>
    <row r="150" customFormat="false" ht="13.8" hidden="false" customHeight="false" outlineLevel="0" collapsed="false">
      <c r="B150" s="11" t="n">
        <f aca="false">_xlfn.NUMBERVALUE(solar!B147)</f>
        <v>0</v>
      </c>
      <c r="C150" s="12" t="n">
        <f aca="false">solar!C147</f>
        <v>0</v>
      </c>
      <c r="D150" s="12" t="n">
        <v>2</v>
      </c>
      <c r="E150" s="6" t="n">
        <v>146</v>
      </c>
      <c r="F150" s="17" t="n">
        <f aca="false">IFERROR(INDEX($B$5:$C$173, MATCH($E150, $B$5:$B$175, 0), 2), 0)*investment!$C$2</f>
        <v>0</v>
      </c>
      <c r="G150" s="6" t="n">
        <f aca="false">demand!C148</f>
        <v>0</v>
      </c>
      <c r="H150" s="2" t="n">
        <f aca="false">solgen!C148</f>
        <v>0</v>
      </c>
      <c r="I150" s="2" t="n">
        <f aca="false">import!C148</f>
        <v>0</v>
      </c>
      <c r="J150" s="2" t="n">
        <f aca="false">-export!C148</f>
        <v>-0</v>
      </c>
      <c r="K150" s="2" t="n">
        <f aca="false">-charge!C148</f>
        <v>-0</v>
      </c>
      <c r="L150" s="2" t="n">
        <f aca="false">discharge!C148</f>
        <v>0</v>
      </c>
      <c r="M150" s="2" t="n">
        <f aca="false">soc!C148/investment!$E$2 *100</f>
        <v>0</v>
      </c>
      <c r="N150" s="4" t="n">
        <f aca="false">p_micro!C147</f>
        <v>0</v>
      </c>
    </row>
    <row r="151" customFormat="false" ht="13.8" hidden="false" customHeight="false" outlineLevel="0" collapsed="false">
      <c r="B151" s="11" t="n">
        <f aca="false">_xlfn.NUMBERVALUE(solar!B148)</f>
        <v>0</v>
      </c>
      <c r="C151" s="12" t="n">
        <f aca="false">solar!C148</f>
        <v>0</v>
      </c>
      <c r="D151" s="12" t="n">
        <v>3</v>
      </c>
      <c r="E151" s="6" t="n">
        <v>147</v>
      </c>
      <c r="F151" s="17" t="n">
        <f aca="false">IFERROR(INDEX($B$5:$C$173, MATCH($E151, $B$5:$B$175, 0), 2), 0)*investment!$C$2</f>
        <v>0</v>
      </c>
      <c r="G151" s="6" t="n">
        <f aca="false">demand!C149</f>
        <v>0</v>
      </c>
      <c r="H151" s="2" t="n">
        <f aca="false">solgen!C149</f>
        <v>0</v>
      </c>
      <c r="I151" s="2" t="n">
        <f aca="false">import!C149</f>
        <v>0</v>
      </c>
      <c r="J151" s="2" t="n">
        <f aca="false">-export!C149</f>
        <v>-0</v>
      </c>
      <c r="K151" s="2" t="n">
        <f aca="false">-charge!C149</f>
        <v>-0</v>
      </c>
      <c r="L151" s="2" t="n">
        <f aca="false">discharge!C149</f>
        <v>0</v>
      </c>
      <c r="M151" s="2" t="n">
        <f aca="false">soc!C149/investment!$E$2 *100</f>
        <v>0</v>
      </c>
      <c r="N151" s="4" t="n">
        <f aca="false">p_micro!C148</f>
        <v>0</v>
      </c>
    </row>
    <row r="152" customFormat="false" ht="13.8" hidden="false" customHeight="false" outlineLevel="0" collapsed="false">
      <c r="B152" s="11" t="n">
        <f aca="false">_xlfn.NUMBERVALUE(solar!B149)</f>
        <v>0</v>
      </c>
      <c r="C152" s="12" t="n">
        <f aca="false">solar!C149</f>
        <v>0</v>
      </c>
      <c r="D152" s="12" t="n">
        <v>4</v>
      </c>
      <c r="E152" s="6" t="n">
        <v>148</v>
      </c>
      <c r="F152" s="17" t="n">
        <f aca="false">IFERROR(INDEX($B$5:$C$173, MATCH($E152, $B$5:$B$175, 0), 2), 0)*investment!$C$2</f>
        <v>0</v>
      </c>
      <c r="G152" s="6" t="n">
        <f aca="false">demand!C150</f>
        <v>0</v>
      </c>
      <c r="H152" s="2" t="n">
        <f aca="false">solgen!C150</f>
        <v>0</v>
      </c>
      <c r="I152" s="2" t="n">
        <f aca="false">import!C150</f>
        <v>0</v>
      </c>
      <c r="J152" s="2" t="n">
        <f aca="false">-export!C150</f>
        <v>-0</v>
      </c>
      <c r="K152" s="2" t="n">
        <f aca="false">-charge!C150</f>
        <v>-0</v>
      </c>
      <c r="L152" s="2" t="n">
        <f aca="false">discharge!C150</f>
        <v>0</v>
      </c>
      <c r="M152" s="2" t="n">
        <f aca="false">soc!C150/investment!$E$2 *100</f>
        <v>0</v>
      </c>
      <c r="N152" s="4" t="n">
        <f aca="false">p_micro!C149</f>
        <v>0</v>
      </c>
    </row>
    <row r="153" customFormat="false" ht="13.8" hidden="false" customHeight="false" outlineLevel="0" collapsed="false">
      <c r="B153" s="11" t="n">
        <f aca="false">_xlfn.NUMBERVALUE(solar!B150)</f>
        <v>0</v>
      </c>
      <c r="C153" s="12" t="n">
        <f aca="false">solar!C150</f>
        <v>0</v>
      </c>
      <c r="D153" s="12" t="n">
        <v>5</v>
      </c>
      <c r="E153" s="6" t="n">
        <v>149</v>
      </c>
      <c r="F153" s="17" t="n">
        <f aca="false">IFERROR(INDEX($B$5:$C$173, MATCH($E153, $B$5:$B$175, 0), 2), 0)*investment!$C$2</f>
        <v>0</v>
      </c>
      <c r="G153" s="6" t="n">
        <f aca="false">demand!C151</f>
        <v>0</v>
      </c>
      <c r="H153" s="2" t="n">
        <f aca="false">solgen!C151</f>
        <v>0</v>
      </c>
      <c r="I153" s="2" t="n">
        <f aca="false">import!C151</f>
        <v>0</v>
      </c>
      <c r="J153" s="2" t="n">
        <f aca="false">-export!C151</f>
        <v>-0</v>
      </c>
      <c r="K153" s="2" t="n">
        <f aca="false">-charge!C151</f>
        <v>-0</v>
      </c>
      <c r="L153" s="2" t="n">
        <f aca="false">discharge!C151</f>
        <v>0</v>
      </c>
      <c r="M153" s="2" t="n">
        <f aca="false">soc!C151/investment!$E$2 *100</f>
        <v>22.0421682750382</v>
      </c>
      <c r="N153" s="4" t="n">
        <f aca="false">p_micro!C150</f>
        <v>0</v>
      </c>
    </row>
    <row r="154" customFormat="false" ht="13.8" hidden="false" customHeight="false" outlineLevel="0" collapsed="false">
      <c r="B154" s="11" t="n">
        <f aca="false">_xlfn.NUMBERVALUE(solar!B151)</f>
        <v>0</v>
      </c>
      <c r="C154" s="12" t="n">
        <f aca="false">solar!C151</f>
        <v>0</v>
      </c>
      <c r="D154" s="12" t="n">
        <v>6</v>
      </c>
      <c r="E154" s="6" t="n">
        <v>150</v>
      </c>
      <c r="F154" s="17" t="n">
        <f aca="false">IFERROR(INDEX($B$5:$C$173, MATCH($E154, $B$5:$B$175, 0), 2), 0)*investment!$C$2</f>
        <v>0</v>
      </c>
      <c r="G154" s="6" t="n">
        <f aca="false">demand!C152</f>
        <v>0</v>
      </c>
      <c r="H154" s="2" t="n">
        <f aca="false">solgen!C152</f>
        <v>0</v>
      </c>
      <c r="I154" s="2" t="n">
        <f aca="false">import!C152</f>
        <v>0</v>
      </c>
      <c r="J154" s="2" t="n">
        <f aca="false">-export!C152</f>
        <v>-0</v>
      </c>
      <c r="K154" s="2" t="n">
        <f aca="false">-charge!C152</f>
        <v>-0</v>
      </c>
      <c r="L154" s="2" t="n">
        <f aca="false">discharge!C152</f>
        <v>0</v>
      </c>
      <c r="M154" s="2" t="n">
        <f aca="false">soc!C152/investment!$E$2 *100</f>
        <v>26.1304008859463</v>
      </c>
      <c r="N154" s="4" t="n">
        <f aca="false">p_micro!C151</f>
        <v>0</v>
      </c>
    </row>
    <row r="155" customFormat="false" ht="13.8" hidden="false" customHeight="false" outlineLevel="0" collapsed="false">
      <c r="B155" s="11" t="n">
        <f aca="false">_xlfn.NUMBERVALUE(solar!B152)</f>
        <v>0</v>
      </c>
      <c r="C155" s="12" t="n">
        <f aca="false">solar!C152</f>
        <v>0</v>
      </c>
      <c r="D155" s="12" t="n">
        <v>7</v>
      </c>
      <c r="E155" s="6" t="n">
        <v>151</v>
      </c>
      <c r="F155" s="17" t="n">
        <f aca="false">IFERROR(INDEX($B$5:$C$173, MATCH($E155, $B$5:$B$175, 0), 2), 0)*investment!$C$2</f>
        <v>0</v>
      </c>
      <c r="G155" s="6" t="n">
        <f aca="false">demand!C153</f>
        <v>0</v>
      </c>
      <c r="H155" s="2" t="n">
        <f aca="false">solgen!C153</f>
        <v>0</v>
      </c>
      <c r="I155" s="2" t="n">
        <f aca="false">import!C153</f>
        <v>0</v>
      </c>
      <c r="J155" s="2" t="n">
        <f aca="false">-export!C153</f>
        <v>-0</v>
      </c>
      <c r="K155" s="2" t="n">
        <f aca="false">-charge!C153</f>
        <v>-0</v>
      </c>
      <c r="L155" s="2" t="n">
        <f aca="false">discharge!C153</f>
        <v>0</v>
      </c>
      <c r="M155" s="2" t="n">
        <f aca="false">soc!C153/investment!$E$2 *100</f>
        <v>52.2338308993428</v>
      </c>
      <c r="N155" s="4" t="n">
        <f aca="false">p_micro!C152</f>
        <v>0</v>
      </c>
    </row>
    <row r="156" customFormat="false" ht="13.8" hidden="false" customHeight="false" outlineLevel="0" collapsed="false">
      <c r="B156" s="11" t="n">
        <f aca="false">_xlfn.NUMBERVALUE(solar!B153)</f>
        <v>0</v>
      </c>
      <c r="C156" s="12" t="n">
        <f aca="false">solar!C153</f>
        <v>0</v>
      </c>
      <c r="D156" s="12" t="n">
        <v>8</v>
      </c>
      <c r="E156" s="6" t="n">
        <v>152</v>
      </c>
      <c r="F156" s="17" t="n">
        <f aca="false">IFERROR(INDEX($B$5:$C$173, MATCH($E156, $B$5:$B$175, 0), 2), 0)*investment!$C$2</f>
        <v>0</v>
      </c>
      <c r="G156" s="6" t="n">
        <f aca="false">demand!C154</f>
        <v>0</v>
      </c>
      <c r="H156" s="2" t="n">
        <f aca="false">solgen!C154</f>
        <v>0</v>
      </c>
      <c r="I156" s="2" t="n">
        <f aca="false">import!C154</f>
        <v>0</v>
      </c>
      <c r="J156" s="2" t="n">
        <f aca="false">-export!C154</f>
        <v>-0</v>
      </c>
      <c r="K156" s="2" t="n">
        <f aca="false">-charge!C154</f>
        <v>-0</v>
      </c>
      <c r="L156" s="2" t="n">
        <f aca="false">discharge!C154</f>
        <v>0</v>
      </c>
      <c r="M156" s="2" t="n">
        <f aca="false">soc!C154/investment!$E$2 *100</f>
        <v>52.2333085610337</v>
      </c>
      <c r="N156" s="4" t="n">
        <f aca="false">p_micro!C153</f>
        <v>0</v>
      </c>
    </row>
    <row r="157" customFormat="false" ht="13.8" hidden="false" customHeight="false" outlineLevel="0" collapsed="false">
      <c r="B157" s="11" t="n">
        <f aca="false">_xlfn.NUMBERVALUE(solar!B154)</f>
        <v>0</v>
      </c>
      <c r="C157" s="12" t="n">
        <f aca="false">solar!C154</f>
        <v>0</v>
      </c>
      <c r="D157" s="12" t="n">
        <v>9</v>
      </c>
      <c r="E157" s="6" t="n">
        <v>153</v>
      </c>
      <c r="F157" s="17" t="n">
        <f aca="false">IFERROR(INDEX($B$5:$C$173, MATCH($E157, $B$5:$B$175, 0), 2), 0)*investment!$C$2</f>
        <v>0</v>
      </c>
      <c r="G157" s="6" t="n">
        <f aca="false">demand!C155</f>
        <v>0</v>
      </c>
      <c r="H157" s="2" t="n">
        <f aca="false">solgen!C155</f>
        <v>0</v>
      </c>
      <c r="I157" s="2" t="n">
        <f aca="false">import!C155</f>
        <v>0</v>
      </c>
      <c r="J157" s="2" t="n">
        <f aca="false">-export!C155</f>
        <v>-0</v>
      </c>
      <c r="K157" s="2" t="n">
        <f aca="false">-charge!C155</f>
        <v>-0</v>
      </c>
      <c r="L157" s="2" t="n">
        <f aca="false">discharge!C155</f>
        <v>0</v>
      </c>
      <c r="M157" s="2" t="n">
        <f aca="false">soc!C155/investment!$E$2 *100</f>
        <v>81.9194771867414</v>
      </c>
      <c r="N157" s="4" t="n">
        <f aca="false">p_micro!C154</f>
        <v>0</v>
      </c>
    </row>
    <row r="158" customFormat="false" ht="13.8" hidden="false" customHeight="false" outlineLevel="0" collapsed="false">
      <c r="B158" s="11" t="n">
        <f aca="false">_xlfn.NUMBERVALUE(solar!B155)</f>
        <v>0</v>
      </c>
      <c r="C158" s="12" t="n">
        <f aca="false">solar!C155</f>
        <v>0</v>
      </c>
      <c r="D158" s="12" t="n">
        <v>10</v>
      </c>
      <c r="E158" s="6" t="n">
        <v>154</v>
      </c>
      <c r="F158" s="17" t="n">
        <f aca="false">IFERROR(INDEX($B$5:$C$173, MATCH($E158, $B$5:$B$175, 0), 2), 0)*investment!$C$2</f>
        <v>0</v>
      </c>
      <c r="G158" s="6" t="n">
        <f aca="false">demand!C156</f>
        <v>0</v>
      </c>
      <c r="H158" s="2" t="n">
        <f aca="false">solgen!C156</f>
        <v>0</v>
      </c>
      <c r="I158" s="2" t="n">
        <f aca="false">import!C156</f>
        <v>0</v>
      </c>
      <c r="J158" s="2" t="n">
        <f aca="false">-export!C156</f>
        <v>-0</v>
      </c>
      <c r="K158" s="2" t="n">
        <f aca="false">-charge!C156</f>
        <v>-0</v>
      </c>
      <c r="L158" s="2" t="n">
        <f aca="false">discharge!C156</f>
        <v>0</v>
      </c>
      <c r="M158" s="2" t="n">
        <f aca="false">soc!C156/investment!$E$2 *100</f>
        <v>92.0229808431274</v>
      </c>
      <c r="N158" s="4" t="n">
        <f aca="false">p_micro!C155</f>
        <v>0</v>
      </c>
    </row>
    <row r="159" customFormat="false" ht="13.8" hidden="false" customHeight="false" outlineLevel="0" collapsed="false">
      <c r="B159" s="11" t="n">
        <f aca="false">_xlfn.NUMBERVALUE(solar!B156)</f>
        <v>0</v>
      </c>
      <c r="C159" s="12" t="n">
        <f aca="false">solar!C156</f>
        <v>0</v>
      </c>
      <c r="D159" s="12" t="n">
        <v>11</v>
      </c>
      <c r="E159" s="6" t="n">
        <v>155</v>
      </c>
      <c r="F159" s="17" t="n">
        <f aca="false">IFERROR(INDEX($B$5:$C$173, MATCH($E159, $B$5:$B$175, 0), 2), 0)*investment!$C$2</f>
        <v>0</v>
      </c>
      <c r="G159" s="6" t="n">
        <f aca="false">demand!C157</f>
        <v>0</v>
      </c>
      <c r="H159" s="2" t="n">
        <f aca="false">solgen!C157</f>
        <v>0</v>
      </c>
      <c r="I159" s="2" t="n">
        <f aca="false">import!C157</f>
        <v>0</v>
      </c>
      <c r="J159" s="2" t="n">
        <f aca="false">-export!C157</f>
        <v>-0</v>
      </c>
      <c r="K159" s="2" t="n">
        <f aca="false">-charge!C157</f>
        <v>-0</v>
      </c>
      <c r="L159" s="2" t="n">
        <f aca="false">discharge!C157</f>
        <v>0</v>
      </c>
      <c r="M159" s="2" t="n">
        <f aca="false">soc!C157/investment!$E$2 *100</f>
        <v>93.7569843613365</v>
      </c>
      <c r="N159" s="4" t="n">
        <f aca="false">p_micro!C156</f>
        <v>0</v>
      </c>
    </row>
    <row r="160" customFormat="false" ht="13.8" hidden="false" customHeight="false" outlineLevel="0" collapsed="false">
      <c r="B160" s="11" t="n">
        <f aca="false">_xlfn.NUMBERVALUE(solar!B157)</f>
        <v>0</v>
      </c>
      <c r="C160" s="12" t="n">
        <f aca="false">solar!C157</f>
        <v>0</v>
      </c>
      <c r="D160" s="12" t="n">
        <v>12</v>
      </c>
      <c r="E160" s="6" t="n">
        <v>156</v>
      </c>
      <c r="F160" s="17" t="n">
        <f aca="false">IFERROR(INDEX($B$5:$C$173, MATCH($E160, $B$5:$B$175, 0), 2), 0)*investment!$C$2</f>
        <v>0</v>
      </c>
      <c r="G160" s="6" t="n">
        <f aca="false">demand!C158</f>
        <v>0</v>
      </c>
      <c r="H160" s="2" t="n">
        <f aca="false">solgen!C158</f>
        <v>0</v>
      </c>
      <c r="I160" s="2" t="n">
        <f aca="false">import!C158</f>
        <v>0</v>
      </c>
      <c r="J160" s="2" t="n">
        <f aca="false">-export!C158</f>
        <v>-0</v>
      </c>
      <c r="K160" s="2" t="n">
        <f aca="false">-charge!C158</f>
        <v>-0</v>
      </c>
      <c r="L160" s="2" t="n">
        <f aca="false">discharge!C158</f>
        <v>0</v>
      </c>
      <c r="M160" s="2" t="n">
        <f aca="false">soc!C158/investment!$E$2 *100</f>
        <v>96.5468138814834</v>
      </c>
      <c r="N160" s="4" t="n">
        <f aca="false">p_micro!C157</f>
        <v>0</v>
      </c>
    </row>
    <row r="161" customFormat="false" ht="13.8" hidden="false" customHeight="false" outlineLevel="0" collapsed="false">
      <c r="B161" s="11" t="n">
        <f aca="false">_xlfn.NUMBERVALUE(solar!B158)</f>
        <v>0</v>
      </c>
      <c r="C161" s="12" t="n">
        <f aca="false">solar!C158</f>
        <v>0</v>
      </c>
      <c r="D161" s="12" t="n">
        <v>13</v>
      </c>
      <c r="E161" s="6" t="n">
        <v>157</v>
      </c>
      <c r="F161" s="17" t="n">
        <f aca="false">IFERROR(INDEX($B$5:$C$173, MATCH($E161, $B$5:$B$175, 0), 2), 0)*investment!$C$2</f>
        <v>0</v>
      </c>
      <c r="G161" s="6" t="n">
        <f aca="false">demand!C159</f>
        <v>0</v>
      </c>
      <c r="H161" s="2" t="n">
        <f aca="false">solgen!C159</f>
        <v>0</v>
      </c>
      <c r="I161" s="2" t="n">
        <f aca="false">import!C159</f>
        <v>0</v>
      </c>
      <c r="J161" s="2" t="n">
        <f aca="false">-export!C159</f>
        <v>-0</v>
      </c>
      <c r="K161" s="2" t="n">
        <f aca="false">-charge!C159</f>
        <v>-0</v>
      </c>
      <c r="L161" s="2" t="n">
        <f aca="false">discharge!C159</f>
        <v>0</v>
      </c>
      <c r="M161" s="2" t="n">
        <f aca="false">soc!C159/investment!$E$2 *100</f>
        <v>96.5458484133446</v>
      </c>
      <c r="N161" s="4" t="n">
        <f aca="false">p_micro!C158</f>
        <v>0</v>
      </c>
    </row>
    <row r="162" customFormat="false" ht="13.8" hidden="false" customHeight="false" outlineLevel="0" collapsed="false">
      <c r="B162" s="11" t="n">
        <f aca="false">_xlfn.NUMBERVALUE(solar!B159)</f>
        <v>0</v>
      </c>
      <c r="C162" s="12" t="n">
        <f aca="false">solar!C159</f>
        <v>0</v>
      </c>
      <c r="D162" s="12" t="n">
        <v>14</v>
      </c>
      <c r="E162" s="6" t="n">
        <v>158</v>
      </c>
      <c r="F162" s="17" t="n">
        <f aca="false">IFERROR(INDEX($B$5:$C$173, MATCH($E162, $B$5:$B$175, 0), 2), 0)*investment!$C$2</f>
        <v>0</v>
      </c>
      <c r="G162" s="6" t="n">
        <f aca="false">demand!C160</f>
        <v>0</v>
      </c>
      <c r="H162" s="2" t="n">
        <f aca="false">solgen!C160</f>
        <v>0</v>
      </c>
      <c r="I162" s="2" t="n">
        <f aca="false">import!C160</f>
        <v>0</v>
      </c>
      <c r="J162" s="2" t="n">
        <f aca="false">-export!C160</f>
        <v>-0</v>
      </c>
      <c r="K162" s="2" t="n">
        <f aca="false">-charge!C160</f>
        <v>-0</v>
      </c>
      <c r="L162" s="2" t="n">
        <f aca="false">discharge!C160</f>
        <v>0</v>
      </c>
      <c r="M162" s="2" t="n">
        <f aca="false">soc!C160/investment!$E$2 *100</f>
        <v>96.5448829548605</v>
      </c>
      <c r="N162" s="4" t="n">
        <f aca="false">p_micro!C159</f>
        <v>0</v>
      </c>
    </row>
    <row r="163" customFormat="false" ht="13.8" hidden="false" customHeight="false" outlineLevel="0" collapsed="false">
      <c r="B163" s="11" t="n">
        <f aca="false">_xlfn.NUMBERVALUE(solar!B160)</f>
        <v>0</v>
      </c>
      <c r="C163" s="12" t="n">
        <f aca="false">solar!C160</f>
        <v>0</v>
      </c>
      <c r="D163" s="12" t="n">
        <v>15</v>
      </c>
      <c r="E163" s="6" t="n">
        <v>159</v>
      </c>
      <c r="F163" s="17" t="n">
        <f aca="false">IFERROR(INDEX($B$5:$C$173, MATCH($E163, $B$5:$B$175, 0), 2), 0)*investment!$C$2</f>
        <v>0</v>
      </c>
      <c r="G163" s="6" t="n">
        <f aca="false">demand!C161</f>
        <v>0</v>
      </c>
      <c r="H163" s="2" t="n">
        <f aca="false">solgen!C161</f>
        <v>0</v>
      </c>
      <c r="I163" s="2" t="n">
        <f aca="false">import!C161</f>
        <v>0</v>
      </c>
      <c r="J163" s="2" t="n">
        <f aca="false">-export!C161</f>
        <v>-0</v>
      </c>
      <c r="K163" s="2" t="n">
        <f aca="false">-charge!C161</f>
        <v>-0</v>
      </c>
      <c r="L163" s="2" t="n">
        <f aca="false">discharge!C161</f>
        <v>0</v>
      </c>
      <c r="M163" s="2" t="n">
        <f aca="false">soc!C161/investment!$E$2 *100</f>
        <v>97.6652075812433</v>
      </c>
      <c r="N163" s="4" t="n">
        <f aca="false">p_micro!C160</f>
        <v>0</v>
      </c>
    </row>
    <row r="164" customFormat="false" ht="13.8" hidden="false" customHeight="false" outlineLevel="0" collapsed="false">
      <c r="B164" s="11" t="n">
        <f aca="false">_xlfn.NUMBERVALUE(solar!B161)</f>
        <v>0</v>
      </c>
      <c r="C164" s="12" t="n">
        <f aca="false">solar!C161</f>
        <v>0</v>
      </c>
      <c r="D164" s="12" t="n">
        <v>16</v>
      </c>
      <c r="E164" s="6" t="n">
        <v>160</v>
      </c>
      <c r="F164" s="17" t="n">
        <f aca="false">IFERROR(INDEX($B$5:$C$173, MATCH($E164, $B$5:$B$175, 0), 2), 0)*investment!$C$2</f>
        <v>0</v>
      </c>
      <c r="G164" s="6" t="n">
        <f aca="false">demand!C162</f>
        <v>0</v>
      </c>
      <c r="H164" s="2" t="n">
        <f aca="false">solgen!C162</f>
        <v>0</v>
      </c>
      <c r="I164" s="2" t="n">
        <f aca="false">import!C162</f>
        <v>0</v>
      </c>
      <c r="J164" s="2" t="n">
        <f aca="false">-export!C162</f>
        <v>-0</v>
      </c>
      <c r="K164" s="2" t="n">
        <f aca="false">-charge!C162</f>
        <v>-0</v>
      </c>
      <c r="L164" s="2" t="n">
        <f aca="false">discharge!C162</f>
        <v>0</v>
      </c>
      <c r="M164" s="2" t="n">
        <f aca="false">soc!C162/investment!$E$2 *100</f>
        <v>97.6642309291675</v>
      </c>
      <c r="N164" s="4" t="n">
        <f aca="false">p_micro!C161</f>
        <v>0</v>
      </c>
    </row>
    <row r="165" customFormat="false" ht="13.8" hidden="false" customHeight="false" outlineLevel="0" collapsed="false">
      <c r="B165" s="11" t="n">
        <f aca="false">_xlfn.NUMBERVALUE(solar!B162)</f>
        <v>0</v>
      </c>
      <c r="C165" s="12" t="n">
        <f aca="false">solar!C162</f>
        <v>0</v>
      </c>
      <c r="D165" s="12" t="n">
        <v>17</v>
      </c>
      <c r="E165" s="6" t="n">
        <v>161</v>
      </c>
      <c r="F165" s="17" t="n">
        <f aca="false">IFERROR(INDEX($B$5:$C$173, MATCH($E165, $B$5:$B$175, 0), 2), 0)*investment!$C$2</f>
        <v>0</v>
      </c>
      <c r="G165" s="6" t="n">
        <f aca="false">demand!C163</f>
        <v>0</v>
      </c>
      <c r="H165" s="2" t="n">
        <f aca="false">solgen!C163</f>
        <v>0</v>
      </c>
      <c r="I165" s="2" t="n">
        <f aca="false">import!C163</f>
        <v>0</v>
      </c>
      <c r="J165" s="2" t="n">
        <f aca="false">-export!C163</f>
        <v>-0</v>
      </c>
      <c r="K165" s="2" t="n">
        <f aca="false">-charge!C163</f>
        <v>-0</v>
      </c>
      <c r="L165" s="2" t="n">
        <f aca="false">discharge!C163</f>
        <v>0</v>
      </c>
      <c r="M165" s="2" t="n">
        <f aca="false">soc!C163/investment!$E$2 *100</f>
        <v>100</v>
      </c>
      <c r="N165" s="4" t="n">
        <f aca="false">p_micro!C162</f>
        <v>0</v>
      </c>
    </row>
    <row r="166" customFormat="false" ht="13.8" hidden="false" customHeight="false" outlineLevel="0" collapsed="false">
      <c r="B166" s="11" t="n">
        <f aca="false">_xlfn.NUMBERVALUE(solar!B163)</f>
        <v>0</v>
      </c>
      <c r="C166" s="12" t="n">
        <f aca="false">solar!C163</f>
        <v>0</v>
      </c>
      <c r="D166" s="12" t="n">
        <v>18</v>
      </c>
      <c r="E166" s="6" t="n">
        <v>162</v>
      </c>
      <c r="F166" s="17" t="n">
        <f aca="false">IFERROR(INDEX($B$5:$C$173, MATCH($E166, $B$5:$B$175, 0), 2), 0)*investment!$C$2</f>
        <v>0</v>
      </c>
      <c r="G166" s="6" t="n">
        <f aca="false">demand!C164</f>
        <v>0</v>
      </c>
      <c r="H166" s="2" t="n">
        <f aca="false">solgen!C164</f>
        <v>0</v>
      </c>
      <c r="I166" s="2" t="n">
        <f aca="false">import!C164</f>
        <v>0</v>
      </c>
      <c r="J166" s="2" t="n">
        <f aca="false">-export!C164</f>
        <v>-0</v>
      </c>
      <c r="K166" s="2" t="n">
        <f aca="false">-charge!C164</f>
        <v>-0</v>
      </c>
      <c r="L166" s="2" t="n">
        <f aca="false">discharge!C164</f>
        <v>0</v>
      </c>
      <c r="M166" s="2" t="n">
        <f aca="false">soc!C164/investment!$E$2 *100</f>
        <v>99.999</v>
      </c>
      <c r="N166" s="4" t="n">
        <f aca="false">p_micro!C163</f>
        <v>0</v>
      </c>
    </row>
    <row r="167" customFormat="false" ht="13.8" hidden="false" customHeight="false" outlineLevel="0" collapsed="false">
      <c r="B167" s="11" t="n">
        <f aca="false">_xlfn.NUMBERVALUE(solar!B164)</f>
        <v>0</v>
      </c>
      <c r="C167" s="12" t="n">
        <f aca="false">solar!C164</f>
        <v>0</v>
      </c>
      <c r="D167" s="12" t="n">
        <v>19</v>
      </c>
      <c r="E167" s="6" t="n">
        <v>163</v>
      </c>
      <c r="F167" s="17" t="n">
        <f aca="false">IFERROR(INDEX($B$5:$C$173, MATCH($E167, $B$5:$B$175, 0), 2), 0)*investment!$C$2</f>
        <v>0</v>
      </c>
      <c r="G167" s="6" t="n">
        <f aca="false">demand!C165</f>
        <v>0</v>
      </c>
      <c r="H167" s="2" t="n">
        <f aca="false">solgen!C165</f>
        <v>0</v>
      </c>
      <c r="I167" s="2" t="n">
        <f aca="false">import!C165</f>
        <v>0</v>
      </c>
      <c r="J167" s="2" t="n">
        <f aca="false">-export!C165</f>
        <v>-0</v>
      </c>
      <c r="K167" s="2" t="n">
        <f aca="false">-charge!C165</f>
        <v>-0</v>
      </c>
      <c r="L167" s="2" t="n">
        <f aca="false">discharge!C165</f>
        <v>0</v>
      </c>
      <c r="M167" s="2" t="n">
        <f aca="false">soc!C165/investment!$E$2 *100</f>
        <v>99.99800001</v>
      </c>
      <c r="N167" s="4" t="n">
        <f aca="false">p_micro!C164</f>
        <v>0</v>
      </c>
    </row>
    <row r="168" customFormat="false" ht="13.8" hidden="false" customHeight="false" outlineLevel="0" collapsed="false">
      <c r="B168" s="11" t="n">
        <f aca="false">_xlfn.NUMBERVALUE(solar!B165)</f>
        <v>0</v>
      </c>
      <c r="C168" s="12" t="n">
        <f aca="false">solar!C165</f>
        <v>0</v>
      </c>
      <c r="D168" s="12" t="n">
        <v>20</v>
      </c>
      <c r="E168" s="6" t="n">
        <v>164</v>
      </c>
      <c r="F168" s="17" t="n">
        <f aca="false">IFERROR(INDEX($B$5:$C$173, MATCH($E168, $B$5:$B$175, 0), 2), 0)*investment!$C$2</f>
        <v>0</v>
      </c>
      <c r="G168" s="6" t="n">
        <f aca="false">demand!C166</f>
        <v>0</v>
      </c>
      <c r="H168" s="2" t="n">
        <f aca="false">solgen!C166</f>
        <v>0</v>
      </c>
      <c r="I168" s="2" t="n">
        <f aca="false">import!C166</f>
        <v>0</v>
      </c>
      <c r="J168" s="2" t="n">
        <f aca="false">-export!C166</f>
        <v>-0</v>
      </c>
      <c r="K168" s="2" t="n">
        <f aca="false">-charge!C166</f>
        <v>-0</v>
      </c>
      <c r="L168" s="2" t="n">
        <f aca="false">discharge!C166</f>
        <v>0</v>
      </c>
      <c r="M168" s="2" t="n">
        <f aca="false">soc!C166/investment!$E$2 *100</f>
        <v>99.9970000299999</v>
      </c>
      <c r="N168" s="4" t="n">
        <f aca="false">p_micro!C165</f>
        <v>0</v>
      </c>
    </row>
    <row r="169" customFormat="false" ht="13.8" hidden="false" customHeight="false" outlineLevel="0" collapsed="false">
      <c r="B169" s="11" t="n">
        <f aca="false">_xlfn.NUMBERVALUE(solar!B166)</f>
        <v>0</v>
      </c>
      <c r="C169" s="12" t="n">
        <f aca="false">solar!C166</f>
        <v>0</v>
      </c>
      <c r="D169" s="12" t="n">
        <v>21</v>
      </c>
      <c r="E169" s="6" t="n">
        <v>165</v>
      </c>
      <c r="F169" s="17" t="n">
        <f aca="false">IFERROR(INDEX($B$5:$C$173, MATCH($E169, $B$5:$B$175, 0), 2), 0)*investment!$C$2</f>
        <v>0</v>
      </c>
      <c r="G169" s="6" t="n">
        <f aca="false">demand!C167</f>
        <v>0</v>
      </c>
      <c r="H169" s="2" t="n">
        <f aca="false">solgen!C167</f>
        <v>0</v>
      </c>
      <c r="I169" s="2" t="n">
        <f aca="false">import!C167</f>
        <v>0</v>
      </c>
      <c r="J169" s="2" t="n">
        <f aca="false">-export!C167</f>
        <v>-0</v>
      </c>
      <c r="K169" s="2" t="n">
        <f aca="false">-charge!C167</f>
        <v>-0</v>
      </c>
      <c r="L169" s="2" t="n">
        <f aca="false">discharge!C167</f>
        <v>0</v>
      </c>
      <c r="M169" s="2" t="n">
        <f aca="false">soc!C167/investment!$E$2 *100</f>
        <v>99.9960000599996</v>
      </c>
      <c r="N169" s="4" t="n">
        <f aca="false">p_micro!C166</f>
        <v>0</v>
      </c>
    </row>
    <row r="170" customFormat="false" ht="13.8" hidden="false" customHeight="false" outlineLevel="0" collapsed="false">
      <c r="B170" s="11" t="n">
        <f aca="false">_xlfn.NUMBERVALUE(solar!B167)</f>
        <v>0</v>
      </c>
      <c r="C170" s="12" t="n">
        <f aca="false">solar!C167</f>
        <v>0</v>
      </c>
      <c r="D170" s="12" t="n">
        <v>22</v>
      </c>
      <c r="E170" s="6" t="n">
        <v>166</v>
      </c>
      <c r="F170" s="17" t="n">
        <f aca="false">IFERROR(INDEX($B$5:$C$173, MATCH($E170, $B$5:$B$175, 0), 2), 0)*investment!$C$2</f>
        <v>0</v>
      </c>
      <c r="G170" s="6" t="n">
        <f aca="false">demand!C168</f>
        <v>0</v>
      </c>
      <c r="H170" s="2" t="n">
        <f aca="false">solgen!C168</f>
        <v>0</v>
      </c>
      <c r="I170" s="2" t="n">
        <f aca="false">import!C168</f>
        <v>0</v>
      </c>
      <c r="J170" s="2" t="n">
        <f aca="false">-export!C168</f>
        <v>-0</v>
      </c>
      <c r="K170" s="2" t="n">
        <f aca="false">-charge!C168</f>
        <v>-0</v>
      </c>
      <c r="L170" s="2" t="n">
        <f aca="false">discharge!C168</f>
        <v>0</v>
      </c>
      <c r="M170" s="2" t="n">
        <f aca="false">soc!C168/investment!$E$2 *100</f>
        <v>99.995000099999</v>
      </c>
      <c r="N170" s="4" t="n">
        <f aca="false">p_micro!C167</f>
        <v>0</v>
      </c>
    </row>
    <row r="171" customFormat="false" ht="13.8" hidden="false" customHeight="false" outlineLevel="0" collapsed="false">
      <c r="B171" s="11" t="n">
        <f aca="false">_xlfn.NUMBERVALUE(solar!B168)</f>
        <v>0</v>
      </c>
      <c r="C171" s="12" t="n">
        <f aca="false">solar!C168</f>
        <v>0</v>
      </c>
      <c r="D171" s="12" t="n">
        <v>23</v>
      </c>
      <c r="E171" s="6" t="n">
        <v>167</v>
      </c>
      <c r="F171" s="17" t="n">
        <f aca="false">IFERROR(INDEX($B$5:$C$173, MATCH($E171, $B$5:$B$175, 0), 2), 0)*investment!$C$2</f>
        <v>0</v>
      </c>
      <c r="G171" s="6" t="n">
        <f aca="false">demand!C169</f>
        <v>0</v>
      </c>
      <c r="H171" s="2" t="n">
        <f aca="false">solgen!C169</f>
        <v>0</v>
      </c>
      <c r="I171" s="2" t="n">
        <f aca="false">import!C169</f>
        <v>0</v>
      </c>
      <c r="J171" s="2" t="n">
        <f aca="false">-export!C169</f>
        <v>-0</v>
      </c>
      <c r="K171" s="2" t="n">
        <f aca="false">-charge!C169</f>
        <v>-0</v>
      </c>
      <c r="L171" s="2" t="n">
        <f aca="false">discharge!C169</f>
        <v>0</v>
      </c>
      <c r="M171" s="2" t="n">
        <f aca="false">soc!C169/investment!$E$2 *100</f>
        <v>99.994000149998</v>
      </c>
      <c r="N171" s="4" t="n">
        <f aca="false">p_micro!C168</f>
        <v>0</v>
      </c>
    </row>
    <row r="172" customFormat="false" ht="13.8" hidden="false" customHeight="false" outlineLevel="0" collapsed="false">
      <c r="B172" s="11" t="n">
        <f aca="false">_xlfn.NUMBERVALUE(solar!B169)</f>
        <v>0</v>
      </c>
      <c r="C172" s="12" t="n">
        <f aca="false">solar!C169</f>
        <v>0</v>
      </c>
      <c r="D172" s="12" t="n">
        <v>24</v>
      </c>
      <c r="E172" s="6" t="n">
        <v>168</v>
      </c>
      <c r="F172" s="17" t="n">
        <f aca="false">IFERROR(INDEX($B$5:$C$173, MATCH($E172, $B$5:$B$175, 0), 2), 0)*investment!$C$2</f>
        <v>0</v>
      </c>
      <c r="G172" s="6" t="n">
        <f aca="false">demand!C170</f>
        <v>0</v>
      </c>
      <c r="H172" s="2" t="n">
        <f aca="false">solgen!C170</f>
        <v>0</v>
      </c>
      <c r="I172" s="2" t="n">
        <f aca="false">import!C170</f>
        <v>0</v>
      </c>
      <c r="J172" s="2" t="n">
        <f aca="false">-export!C170</f>
        <v>-0</v>
      </c>
      <c r="K172" s="2" t="n">
        <f aca="false">-charge!C170</f>
        <v>-0</v>
      </c>
      <c r="L172" s="2" t="n">
        <f aca="false">discharge!C170</f>
        <v>0</v>
      </c>
      <c r="M172" s="2" t="n">
        <f aca="false">soc!C170/investment!$E$2 *100</f>
        <v>99.9930002099965</v>
      </c>
      <c r="N172" s="4" t="n">
        <f aca="false">p_micro!C169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H79" activeCellId="0" sqref="H79"/>
    </sheetView>
  </sheetViews>
  <sheetFormatPr defaultColWidth="8.54296875" defaultRowHeight="13.8" zeroHeight="false" outlineLevelRow="0" outlineLevelCol="0"/>
  <cols>
    <col collapsed="false" customWidth="true" hidden="false" outlineLevel="0" max="2" min="2" style="6" width="8.85"/>
    <col collapsed="false" customWidth="true" hidden="false" outlineLevel="0" max="4" min="4" style="6" width="8.85"/>
    <col collapsed="false" customWidth="true" hidden="false" outlineLevel="0" max="5" min="5" style="7" width="8.85"/>
    <col collapsed="false" customWidth="true" hidden="false" outlineLevel="0" max="6" min="6" style="2" width="9.43"/>
  </cols>
  <sheetData>
    <row r="2" customFormat="false" ht="13.8" hidden="false" customHeight="false" outlineLevel="0" collapsed="false">
      <c r="B2" s="8" t="s">
        <v>3</v>
      </c>
      <c r="C2" s="9" t="n">
        <v>2</v>
      </c>
      <c r="D2" s="10" t="s">
        <v>17</v>
      </c>
    </row>
    <row r="4" customFormat="false" ht="13.8" hidden="false" customHeight="false" outlineLevel="0" collapsed="false">
      <c r="B4" s="11" t="s">
        <v>5</v>
      </c>
      <c r="C4" s="12"/>
      <c r="D4" s="13" t="s">
        <v>7</v>
      </c>
      <c r="E4" s="14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5" t="s">
        <v>14</v>
      </c>
      <c r="L4" s="15" t="s">
        <v>15</v>
      </c>
    </row>
    <row r="5" customFormat="false" ht="13.8" hidden="false" customHeight="false" outlineLevel="0" collapsed="false">
      <c r="B5" s="11" t="n">
        <f aca="false">_xlfn.NUMBERVALUE(solar!B2)</f>
        <v>8</v>
      </c>
      <c r="C5" s="12" t="n">
        <f aca="false">solar!C2</f>
        <v>0</v>
      </c>
      <c r="D5" s="6" t="n">
        <v>1</v>
      </c>
      <c r="E5" s="17" t="n">
        <f aca="false">IFERROR(INDEX($B$5:$C$173, MATCH($D5, $B$5:$B$175, 0), 2), 0)*investment!$C$3</f>
        <v>0</v>
      </c>
      <c r="F5" s="18" t="n">
        <f aca="false">demand!D3</f>
        <v>0</v>
      </c>
      <c r="G5" s="2" t="n">
        <f aca="false">solgen!D3</f>
        <v>0</v>
      </c>
      <c r="H5" s="2" t="n">
        <f aca="false">import!D3</f>
        <v>0</v>
      </c>
      <c r="I5" s="2" t="n">
        <f aca="false">-export!D3</f>
        <v>-0</v>
      </c>
      <c r="J5" s="2" t="n">
        <f aca="false">-charge!D3</f>
        <v>-0</v>
      </c>
      <c r="K5" s="2" t="n">
        <f aca="false">discharge!D3</f>
        <v>0</v>
      </c>
      <c r="L5" s="2" t="n">
        <f aca="false">soc!D3/investment!$E$3 *100</f>
        <v>70</v>
      </c>
    </row>
    <row r="6" customFormat="false" ht="13.8" hidden="false" customHeight="false" outlineLevel="0" collapsed="false">
      <c r="B6" s="11" t="n">
        <f aca="false">_xlfn.NUMBERVALUE(solar!B3)</f>
        <v>9</v>
      </c>
      <c r="C6" s="12" t="n">
        <f aca="false">solar!C3</f>
        <v>0</v>
      </c>
      <c r="D6" s="6" t="n">
        <v>2</v>
      </c>
      <c r="E6" s="17" t="n">
        <f aca="false">IFERROR(INDEX($B$5:$C$173, MATCH($D6, $B$5:$B$175, 0), 2), 0)*investment!$C$3</f>
        <v>0</v>
      </c>
      <c r="F6" s="18" t="n">
        <f aca="false">demand!D4</f>
        <v>0</v>
      </c>
      <c r="G6" s="2" t="n">
        <f aca="false">solgen!D4</f>
        <v>0</v>
      </c>
      <c r="H6" s="2" t="n">
        <f aca="false">import!D4</f>
        <v>0</v>
      </c>
      <c r="I6" s="2" t="n">
        <f aca="false">-export!D4</f>
        <v>-0</v>
      </c>
      <c r="J6" s="2" t="n">
        <f aca="false">-charge!D4</f>
        <v>-0</v>
      </c>
      <c r="K6" s="2" t="n">
        <f aca="false">discharge!D4</f>
        <v>0</v>
      </c>
      <c r="L6" s="2" t="n">
        <f aca="false">soc!D4/investment!$E$3 *100</f>
        <v>69.9993</v>
      </c>
    </row>
    <row r="7" customFormat="false" ht="13.8" hidden="false" customHeight="false" outlineLevel="0" collapsed="false">
      <c r="B7" s="11" t="n">
        <f aca="false">_xlfn.NUMBERVALUE(solar!B4)</f>
        <v>10</v>
      </c>
      <c r="C7" s="12" t="n">
        <f aca="false">solar!C4</f>
        <v>0</v>
      </c>
      <c r="D7" s="6" t="n">
        <v>3</v>
      </c>
      <c r="E7" s="17" t="n">
        <f aca="false">IFERROR(INDEX($B$5:$C$173, MATCH($D7, $B$5:$B$175, 0), 2), 0)*investment!$C$3</f>
        <v>0</v>
      </c>
      <c r="F7" s="18" t="n">
        <f aca="false">demand!D5</f>
        <v>0</v>
      </c>
      <c r="G7" s="2" t="n">
        <f aca="false">solgen!D5</f>
        <v>0</v>
      </c>
      <c r="H7" s="2" t="n">
        <f aca="false">import!D5</f>
        <v>0</v>
      </c>
      <c r="I7" s="2" t="n">
        <f aca="false">-export!D5</f>
        <v>-0</v>
      </c>
      <c r="J7" s="2" t="n">
        <f aca="false">-charge!D5</f>
        <v>-0</v>
      </c>
      <c r="K7" s="2" t="n">
        <f aca="false">discharge!D5</f>
        <v>0</v>
      </c>
      <c r="L7" s="2" t="n">
        <f aca="false">soc!D5/investment!$E$3 *100</f>
        <v>69.998600007</v>
      </c>
    </row>
    <row r="8" customFormat="false" ht="13.8" hidden="false" customHeight="false" outlineLevel="0" collapsed="false">
      <c r="B8" s="11" t="n">
        <f aca="false">_xlfn.NUMBERVALUE(solar!B5)</f>
        <v>11</v>
      </c>
      <c r="C8" s="12" t="n">
        <f aca="false">solar!C5</f>
        <v>0</v>
      </c>
      <c r="D8" s="6" t="n">
        <v>4</v>
      </c>
      <c r="E8" s="17" t="n">
        <f aca="false">IFERROR(INDEX($B$5:$C$173, MATCH($D8, $B$5:$B$175, 0), 2), 0)*investment!$C$3</f>
        <v>0</v>
      </c>
      <c r="F8" s="18" t="n">
        <f aca="false">demand!D6</f>
        <v>0</v>
      </c>
      <c r="G8" s="2" t="n">
        <f aca="false">solgen!D6</f>
        <v>0</v>
      </c>
      <c r="H8" s="2" t="n">
        <f aca="false">import!D6</f>
        <v>0</v>
      </c>
      <c r="I8" s="2" t="n">
        <f aca="false">-export!D6</f>
        <v>-0</v>
      </c>
      <c r="J8" s="2" t="n">
        <f aca="false">-charge!D6</f>
        <v>-0</v>
      </c>
      <c r="K8" s="2" t="n">
        <f aca="false">discharge!D6</f>
        <v>0</v>
      </c>
      <c r="L8" s="2" t="n">
        <f aca="false">soc!D6/investment!$E$3 *100</f>
        <v>68.3845276640815</v>
      </c>
    </row>
    <row r="9" customFormat="false" ht="13.8" hidden="false" customHeight="false" outlineLevel="0" collapsed="false">
      <c r="B9" s="11" t="n">
        <f aca="false">_xlfn.NUMBERVALUE(solar!B6)</f>
        <v>12</v>
      </c>
      <c r="C9" s="12" t="n">
        <f aca="false">solar!C6</f>
        <v>0</v>
      </c>
      <c r="D9" s="6" t="n">
        <v>5</v>
      </c>
      <c r="E9" s="17" t="n">
        <f aca="false">IFERROR(INDEX($B$5:$C$173, MATCH($D9, $B$5:$B$175, 0), 2), 0)*investment!$C$3</f>
        <v>0</v>
      </c>
      <c r="F9" s="18" t="n">
        <f aca="false">demand!D7</f>
        <v>0</v>
      </c>
      <c r="G9" s="2" t="n">
        <f aca="false">solgen!D7</f>
        <v>0</v>
      </c>
      <c r="H9" s="2" t="n">
        <f aca="false">import!D7</f>
        <v>0</v>
      </c>
      <c r="I9" s="2" t="n">
        <f aca="false">-export!D7</f>
        <v>-0</v>
      </c>
      <c r="J9" s="2" t="n">
        <f aca="false">-charge!D7</f>
        <v>-0</v>
      </c>
      <c r="K9" s="2" t="n">
        <f aca="false">discharge!D7</f>
        <v>0</v>
      </c>
      <c r="L9" s="2" t="n">
        <f aca="false">soc!D7/investment!$E$3 *100</f>
        <v>63.5437267480497</v>
      </c>
    </row>
    <row r="10" customFormat="false" ht="13.8" hidden="false" customHeight="false" outlineLevel="0" collapsed="false">
      <c r="B10" s="11" t="n">
        <f aca="false">_xlfn.NUMBERVALUE(solar!B7)</f>
        <v>13</v>
      </c>
      <c r="C10" s="12" t="n">
        <f aca="false">solar!C7</f>
        <v>0</v>
      </c>
      <c r="D10" s="6" t="n">
        <v>6</v>
      </c>
      <c r="E10" s="17" t="n">
        <f aca="false">IFERROR(INDEX($B$5:$C$173, MATCH($D10, $B$5:$B$175, 0), 2), 0)*investment!$C$3</f>
        <v>0</v>
      </c>
      <c r="F10" s="18" t="n">
        <f aca="false">demand!D8</f>
        <v>0</v>
      </c>
      <c r="G10" s="2" t="n">
        <f aca="false">solgen!D8</f>
        <v>0</v>
      </c>
      <c r="H10" s="2" t="n">
        <f aca="false">import!D8</f>
        <v>0</v>
      </c>
      <c r="I10" s="2" t="n">
        <f aca="false">-export!D8</f>
        <v>-0</v>
      </c>
      <c r="J10" s="2" t="n">
        <f aca="false">-charge!D8</f>
        <v>-0</v>
      </c>
      <c r="K10" s="2" t="n">
        <f aca="false">discharge!D8</f>
        <v>0</v>
      </c>
      <c r="L10" s="2" t="n">
        <f aca="false">soc!D8/investment!$E$3 *100</f>
        <v>58.702974240027</v>
      </c>
    </row>
    <row r="11" customFormat="false" ht="13.8" hidden="false" customHeight="false" outlineLevel="0" collapsed="false">
      <c r="B11" s="11" t="n">
        <f aca="false">_xlfn.NUMBERVALUE(solar!B8)</f>
        <v>14</v>
      </c>
      <c r="C11" s="12" t="n">
        <f aca="false">solar!C8</f>
        <v>0</v>
      </c>
      <c r="D11" s="6" t="n">
        <v>7</v>
      </c>
      <c r="E11" s="17" t="n">
        <f aca="false">IFERROR(INDEX($B$5:$C$173, MATCH($D11, $B$5:$B$175, 0), 2), 0)*investment!$C$3</f>
        <v>0</v>
      </c>
      <c r="F11" s="18" t="n">
        <f aca="false">demand!D9</f>
        <v>0</v>
      </c>
      <c r="G11" s="2" t="n">
        <f aca="false">solgen!D9</f>
        <v>0</v>
      </c>
      <c r="H11" s="2" t="n">
        <f aca="false">import!D9</f>
        <v>0</v>
      </c>
      <c r="I11" s="2" t="n">
        <f aca="false">-export!D9</f>
        <v>-0</v>
      </c>
      <c r="J11" s="2" t="n">
        <f aca="false">-charge!D9</f>
        <v>-0</v>
      </c>
      <c r="K11" s="2" t="n">
        <f aca="false">discharge!D9</f>
        <v>0</v>
      </c>
      <c r="L11" s="2" t="n">
        <f aca="false">soc!D9/investment!$E$3 *100</f>
        <v>53.8622701395294</v>
      </c>
    </row>
    <row r="12" customFormat="false" ht="13.8" hidden="false" customHeight="false" outlineLevel="0" collapsed="false">
      <c r="B12" s="11" t="n">
        <f aca="false">_xlfn.NUMBERVALUE(solar!B9)</f>
        <v>15</v>
      </c>
      <c r="C12" s="12" t="n">
        <f aca="false">solar!C9</f>
        <v>0</v>
      </c>
      <c r="D12" s="6" t="n">
        <v>8</v>
      </c>
      <c r="E12" s="17" t="n">
        <f aca="false">IFERROR(INDEX($B$5:$C$173, MATCH($D12, $B$5:$B$175, 0), 2), 0)*investment!$C$3</f>
        <v>0</v>
      </c>
      <c r="F12" s="18" t="n">
        <f aca="false">demand!D10</f>
        <v>0</v>
      </c>
      <c r="G12" s="2" t="n">
        <f aca="false">solgen!D10</f>
        <v>0</v>
      </c>
      <c r="H12" s="2" t="n">
        <f aca="false">import!D10</f>
        <v>0</v>
      </c>
      <c r="I12" s="2" t="n">
        <f aca="false">-export!D10</f>
        <v>-0</v>
      </c>
      <c r="J12" s="2" t="n">
        <f aca="false">-charge!D10</f>
        <v>-0</v>
      </c>
      <c r="K12" s="2" t="n">
        <f aca="false">discharge!D10</f>
        <v>0</v>
      </c>
      <c r="L12" s="2" t="n">
        <f aca="false">soc!D10/investment!$E$3 *100</f>
        <v>49.0216144460728</v>
      </c>
    </row>
    <row r="13" customFormat="false" ht="13.8" hidden="false" customHeight="false" outlineLevel="0" collapsed="false">
      <c r="B13" s="11" t="n">
        <f aca="false">_xlfn.NUMBERVALUE(solar!B10)</f>
        <v>16</v>
      </c>
      <c r="C13" s="12" t="n">
        <f aca="false">solar!C10</f>
        <v>0</v>
      </c>
      <c r="D13" s="6" t="n">
        <v>9</v>
      </c>
      <c r="E13" s="17" t="n">
        <f aca="false">IFERROR(INDEX($B$5:$C$173, MATCH($D13, $B$5:$B$175, 0), 2), 0)*investment!$C$3</f>
        <v>0</v>
      </c>
      <c r="F13" s="18" t="n">
        <f aca="false">demand!D11</f>
        <v>0</v>
      </c>
      <c r="G13" s="2" t="n">
        <f aca="false">solgen!D11</f>
        <v>0</v>
      </c>
      <c r="H13" s="2" t="n">
        <f aca="false">import!D11</f>
        <v>0</v>
      </c>
      <c r="I13" s="2" t="n">
        <f aca="false">-export!D11</f>
        <v>-0</v>
      </c>
      <c r="J13" s="2" t="n">
        <f aca="false">-charge!D11</f>
        <v>-0</v>
      </c>
      <c r="K13" s="2" t="n">
        <f aca="false">discharge!D11</f>
        <v>0</v>
      </c>
      <c r="L13" s="2" t="n">
        <f aca="false">soc!D11/investment!$E$3 *100</f>
        <v>44.1810071591732</v>
      </c>
    </row>
    <row r="14" customFormat="false" ht="13.8" hidden="false" customHeight="false" outlineLevel="0" collapsed="false">
      <c r="B14" s="11" t="n">
        <f aca="false">_xlfn.NUMBERVALUE(solar!B11)</f>
        <v>17</v>
      </c>
      <c r="C14" s="12" t="n">
        <f aca="false">solar!C11</f>
        <v>0</v>
      </c>
      <c r="D14" s="6" t="n">
        <v>10</v>
      </c>
      <c r="E14" s="17" t="n">
        <f aca="false">IFERROR(INDEX($B$5:$C$173, MATCH($D14, $B$5:$B$175, 0), 2), 0)*investment!$C$3</f>
        <v>0</v>
      </c>
      <c r="F14" s="18" t="n">
        <f aca="false">demand!D12</f>
        <v>0</v>
      </c>
      <c r="G14" s="2" t="n">
        <f aca="false">solgen!D12</f>
        <v>0</v>
      </c>
      <c r="H14" s="2" t="n">
        <f aca="false">import!D12</f>
        <v>0</v>
      </c>
      <c r="I14" s="2" t="n">
        <f aca="false">-export!D12</f>
        <v>-0</v>
      </c>
      <c r="J14" s="2" t="n">
        <f aca="false">-charge!D12</f>
        <v>-0</v>
      </c>
      <c r="K14" s="2" t="n">
        <f aca="false">discharge!D12</f>
        <v>0</v>
      </c>
      <c r="L14" s="2" t="n">
        <f aca="false">soc!D12/investment!$E$3 *100</f>
        <v>39.3404482783464</v>
      </c>
    </row>
    <row r="15" customFormat="false" ht="13.8" hidden="false" customHeight="false" outlineLevel="0" collapsed="false">
      <c r="B15" s="11" t="n">
        <f aca="false">_xlfn.NUMBERVALUE(solar!B12)</f>
        <v>18</v>
      </c>
      <c r="C15" s="12" t="n">
        <f aca="false">solar!C12</f>
        <v>0</v>
      </c>
      <c r="D15" s="6" t="n">
        <v>11</v>
      </c>
      <c r="E15" s="17" t="n">
        <f aca="false">IFERROR(INDEX($B$5:$C$173, MATCH($D15, $B$5:$B$175, 0), 2), 0)*investment!$C$3</f>
        <v>0</v>
      </c>
      <c r="F15" s="18" t="n">
        <f aca="false">demand!D13</f>
        <v>0</v>
      </c>
      <c r="G15" s="2" t="n">
        <f aca="false">solgen!D13</f>
        <v>0</v>
      </c>
      <c r="H15" s="2" t="n">
        <f aca="false">import!D13</f>
        <v>0</v>
      </c>
      <c r="I15" s="2" t="n">
        <f aca="false">-export!D13</f>
        <v>-0</v>
      </c>
      <c r="J15" s="2" t="n">
        <f aca="false">-charge!D13</f>
        <v>-0</v>
      </c>
      <c r="K15" s="2" t="n">
        <f aca="false">discharge!D13</f>
        <v>0</v>
      </c>
      <c r="L15" s="2" t="n">
        <f aca="false">soc!D13/investment!$E$3 *100</f>
        <v>34.4999378031084</v>
      </c>
    </row>
    <row r="16" customFormat="false" ht="13.8" hidden="false" customHeight="false" outlineLevel="0" collapsed="false">
      <c r="B16" s="11" t="n">
        <f aca="false">_xlfn.NUMBERVALUE(solar!B13)</f>
        <v>19</v>
      </c>
      <c r="C16" s="12" t="n">
        <f aca="false">solar!C13</f>
        <v>0</v>
      </c>
      <c r="D16" s="6" t="n">
        <v>12</v>
      </c>
      <c r="E16" s="17" t="n">
        <f aca="false">IFERROR(INDEX($B$5:$C$173, MATCH($D16, $B$5:$B$175, 0), 2), 0)*investment!$C$3</f>
        <v>0</v>
      </c>
      <c r="F16" s="18" t="n">
        <f aca="false">demand!D14</f>
        <v>0</v>
      </c>
      <c r="G16" s="2" t="n">
        <f aca="false">solgen!D14</f>
        <v>0</v>
      </c>
      <c r="H16" s="2" t="n">
        <f aca="false">import!D14</f>
        <v>0</v>
      </c>
      <c r="I16" s="2" t="n">
        <f aca="false">-export!D14</f>
        <v>-0</v>
      </c>
      <c r="J16" s="2" t="n">
        <f aca="false">-charge!D14</f>
        <v>-0</v>
      </c>
      <c r="K16" s="2" t="n">
        <f aca="false">discharge!D14</f>
        <v>0</v>
      </c>
      <c r="L16" s="2" t="n">
        <f aca="false">soc!D14/investment!$E$3 *100</f>
        <v>29.6594757329752</v>
      </c>
    </row>
    <row r="17" customFormat="false" ht="13.8" hidden="false" customHeight="false" outlineLevel="0" collapsed="false">
      <c r="B17" s="11" t="n">
        <f aca="false">_xlfn.NUMBERVALUE(solar!B14)</f>
        <v>32</v>
      </c>
      <c r="C17" s="12" t="n">
        <f aca="false">solar!C14</f>
        <v>0</v>
      </c>
      <c r="D17" s="6" t="n">
        <v>13</v>
      </c>
      <c r="E17" s="17" t="n">
        <f aca="false">IFERROR(INDEX($B$5:$C$173, MATCH($D17, $B$5:$B$175, 0), 2), 0)*investment!$C$3</f>
        <v>0</v>
      </c>
      <c r="F17" s="18" t="n">
        <f aca="false">demand!D15</f>
        <v>0</v>
      </c>
      <c r="G17" s="2" t="n">
        <f aca="false">solgen!D15</f>
        <v>0</v>
      </c>
      <c r="H17" s="2" t="n">
        <f aca="false">import!D15</f>
        <v>0</v>
      </c>
      <c r="I17" s="2" t="n">
        <f aca="false">-export!D15</f>
        <v>-0</v>
      </c>
      <c r="J17" s="2" t="n">
        <f aca="false">-charge!D15</f>
        <v>-0</v>
      </c>
      <c r="K17" s="2" t="n">
        <f aca="false">discharge!D15</f>
        <v>0</v>
      </c>
      <c r="L17" s="2" t="n">
        <f aca="false">soc!D15/investment!$E$3 *100</f>
        <v>24.8190620674627</v>
      </c>
    </row>
    <row r="18" customFormat="false" ht="13.8" hidden="false" customHeight="false" outlineLevel="0" collapsed="false">
      <c r="B18" s="11" t="n">
        <f aca="false">_xlfn.NUMBERVALUE(solar!B15)</f>
        <v>33</v>
      </c>
      <c r="C18" s="12" t="n">
        <f aca="false">solar!C15</f>
        <v>0</v>
      </c>
      <c r="D18" s="6" t="n">
        <v>14</v>
      </c>
      <c r="E18" s="17" t="n">
        <f aca="false">IFERROR(INDEX($B$5:$C$173, MATCH($D18, $B$5:$B$175, 0), 2), 0)*investment!$C$3</f>
        <v>0</v>
      </c>
      <c r="F18" s="18" t="n">
        <f aca="false">demand!D16</f>
        <v>0</v>
      </c>
      <c r="G18" s="2" t="n">
        <f aca="false">solgen!D16</f>
        <v>0</v>
      </c>
      <c r="H18" s="2" t="n">
        <f aca="false">import!D16</f>
        <v>0</v>
      </c>
      <c r="I18" s="2" t="n">
        <f aca="false">-export!D16</f>
        <v>-0</v>
      </c>
      <c r="J18" s="2" t="n">
        <f aca="false">-charge!D16</f>
        <v>-0</v>
      </c>
      <c r="K18" s="2" t="n">
        <f aca="false">discharge!D16</f>
        <v>0</v>
      </c>
      <c r="L18" s="2" t="n">
        <f aca="false">soc!D16/investment!$E$3 *100</f>
        <v>19.9786968060868</v>
      </c>
    </row>
    <row r="19" customFormat="false" ht="13.8" hidden="false" customHeight="false" outlineLevel="0" collapsed="false">
      <c r="B19" s="11" t="n">
        <f aca="false">_xlfn.NUMBERVALUE(solar!B16)</f>
        <v>34</v>
      </c>
      <c r="C19" s="12" t="n">
        <f aca="false">solar!C16</f>
        <v>0</v>
      </c>
      <c r="D19" s="6" t="n">
        <v>15</v>
      </c>
      <c r="E19" s="17" t="n">
        <f aca="false">IFERROR(INDEX($B$5:$C$173, MATCH($D19, $B$5:$B$175, 0), 2), 0)*investment!$C$3</f>
        <v>0</v>
      </c>
      <c r="F19" s="18" t="n">
        <f aca="false">demand!D17</f>
        <v>0</v>
      </c>
      <c r="G19" s="2" t="n">
        <f aca="false">solgen!D17</f>
        <v>0</v>
      </c>
      <c r="H19" s="2" t="n">
        <f aca="false">import!D17</f>
        <v>0</v>
      </c>
      <c r="I19" s="2" t="n">
        <f aca="false">-export!D17</f>
        <v>-0</v>
      </c>
      <c r="J19" s="2" t="n">
        <f aca="false">-charge!D17</f>
        <v>-0</v>
      </c>
      <c r="K19" s="2" t="n">
        <f aca="false">discharge!D17</f>
        <v>0</v>
      </c>
      <c r="L19" s="2" t="n">
        <f aca="false">soc!D17/investment!$E$3 *100</f>
        <v>15.1383799483635</v>
      </c>
    </row>
    <row r="20" customFormat="false" ht="13.8" hidden="false" customHeight="false" outlineLevel="0" collapsed="false">
      <c r="B20" s="11" t="n">
        <f aca="false">_xlfn.NUMBERVALUE(solar!B17)</f>
        <v>35</v>
      </c>
      <c r="C20" s="12" t="n">
        <f aca="false">solar!C17</f>
        <v>0</v>
      </c>
      <c r="D20" s="6" t="n">
        <v>16</v>
      </c>
      <c r="E20" s="17" t="n">
        <f aca="false">IFERROR(INDEX($B$5:$C$173, MATCH($D20, $B$5:$B$175, 0), 2), 0)*investment!$C$3</f>
        <v>0</v>
      </c>
      <c r="F20" s="18" t="n">
        <f aca="false">demand!D18</f>
        <v>0</v>
      </c>
      <c r="G20" s="2" t="n">
        <f aca="false">solgen!D18</f>
        <v>0</v>
      </c>
      <c r="H20" s="2" t="n">
        <f aca="false">import!D18</f>
        <v>0</v>
      </c>
      <c r="I20" s="2" t="n">
        <f aca="false">-export!D18</f>
        <v>-0</v>
      </c>
      <c r="J20" s="2" t="n">
        <f aca="false">-charge!D18</f>
        <v>-0</v>
      </c>
      <c r="K20" s="2" t="n">
        <f aca="false">discharge!D18</f>
        <v>0</v>
      </c>
      <c r="L20" s="2" t="n">
        <f aca="false">soc!D18/investment!$E$3 *100</f>
        <v>10.2981114938089</v>
      </c>
    </row>
    <row r="21" customFormat="false" ht="13.8" hidden="false" customHeight="false" outlineLevel="0" collapsed="false">
      <c r="B21" s="11" t="n">
        <f aca="false">_xlfn.NUMBERVALUE(solar!B18)</f>
        <v>36</v>
      </c>
      <c r="C21" s="12" t="n">
        <f aca="false">solar!C18</f>
        <v>0</v>
      </c>
      <c r="D21" s="6" t="n">
        <v>17</v>
      </c>
      <c r="E21" s="17" t="n">
        <f aca="false">IFERROR(INDEX($B$5:$C$173, MATCH($D21, $B$5:$B$175, 0), 2), 0)*investment!$C$3</f>
        <v>0</v>
      </c>
      <c r="F21" s="18" t="n">
        <f aca="false">demand!D19</f>
        <v>0</v>
      </c>
      <c r="G21" s="2" t="n">
        <f aca="false">solgen!D19</f>
        <v>0</v>
      </c>
      <c r="H21" s="2" t="n">
        <f aca="false">import!D19</f>
        <v>0</v>
      </c>
      <c r="I21" s="2" t="n">
        <f aca="false">-export!D19</f>
        <v>-0</v>
      </c>
      <c r="J21" s="2" t="n">
        <f aca="false">-charge!D19</f>
        <v>-0</v>
      </c>
      <c r="K21" s="2" t="n">
        <f aca="false">discharge!D19</f>
        <v>0</v>
      </c>
      <c r="L21" s="2" t="n">
        <f aca="false">soc!D19/investment!$E$3 *100</f>
        <v>5.45789144193873</v>
      </c>
    </row>
    <row r="22" customFormat="false" ht="13.8" hidden="false" customHeight="false" outlineLevel="0" collapsed="false">
      <c r="B22" s="11" t="n">
        <f aca="false">_xlfn.NUMBERVALUE(solar!B19)</f>
        <v>37</v>
      </c>
      <c r="C22" s="12" t="n">
        <f aca="false">solar!C19</f>
        <v>0</v>
      </c>
      <c r="D22" s="6" t="n">
        <v>18</v>
      </c>
      <c r="E22" s="17" t="n">
        <f aca="false">IFERROR(INDEX($B$5:$C$173, MATCH($D22, $B$5:$B$175, 0), 2), 0)*investment!$C$3</f>
        <v>0</v>
      </c>
      <c r="F22" s="18" t="n">
        <f aca="false">demand!D20</f>
        <v>0</v>
      </c>
      <c r="G22" s="2" t="n">
        <f aca="false">solgen!D20</f>
        <v>0</v>
      </c>
      <c r="H22" s="2" t="n">
        <f aca="false">import!D20</f>
        <v>0</v>
      </c>
      <c r="I22" s="2" t="n">
        <f aca="false">-export!D20</f>
        <v>-0</v>
      </c>
      <c r="J22" s="2" t="n">
        <f aca="false">-charge!D20</f>
        <v>-0</v>
      </c>
      <c r="K22" s="2" t="n">
        <f aca="false">discharge!D20</f>
        <v>0</v>
      </c>
      <c r="L22" s="2" t="n">
        <f aca="false">soc!D20/investment!$E$3 *100</f>
        <v>0.617719792269118</v>
      </c>
    </row>
    <row r="23" customFormat="false" ht="13.8" hidden="false" customHeight="false" outlineLevel="0" collapsed="false">
      <c r="B23" s="11" t="n">
        <f aca="false">_xlfn.NUMBERVALUE(solar!B20)</f>
        <v>38</v>
      </c>
      <c r="C23" s="12" t="n">
        <f aca="false">solar!C20</f>
        <v>0</v>
      </c>
      <c r="D23" s="6" t="n">
        <v>19</v>
      </c>
      <c r="E23" s="17" t="n">
        <f aca="false">IFERROR(INDEX($B$5:$C$173, MATCH($D23, $B$5:$B$175, 0), 2), 0)*investment!$C$3</f>
        <v>0</v>
      </c>
      <c r="F23" s="18" t="n">
        <f aca="false">demand!D21</f>
        <v>0</v>
      </c>
      <c r="G23" s="2" t="n">
        <f aca="false">solgen!D21</f>
        <v>0</v>
      </c>
      <c r="H23" s="2" t="n">
        <f aca="false">import!D21</f>
        <v>0</v>
      </c>
      <c r="I23" s="2" t="n">
        <f aca="false">-export!D21</f>
        <v>-0</v>
      </c>
      <c r="J23" s="2" t="n">
        <f aca="false">-charge!D21</f>
        <v>-0</v>
      </c>
      <c r="K23" s="2" t="n">
        <f aca="false">discharge!D21</f>
        <v>0</v>
      </c>
      <c r="L23" s="2" t="n">
        <f aca="false">soc!D21/investment!$E$3 *100</f>
        <v>0</v>
      </c>
    </row>
    <row r="24" customFormat="false" ht="13.8" hidden="false" customHeight="false" outlineLevel="0" collapsed="false">
      <c r="B24" s="11" t="n">
        <f aca="false">_xlfn.NUMBERVALUE(solar!B21)</f>
        <v>39</v>
      </c>
      <c r="C24" s="12" t="n">
        <f aca="false">solar!C21</f>
        <v>0</v>
      </c>
      <c r="D24" s="6" t="n">
        <v>20</v>
      </c>
      <c r="E24" s="17" t="n">
        <f aca="false">IFERROR(INDEX($B$5:$C$173, MATCH($D24, $B$5:$B$175, 0), 2), 0)*investment!$C$3</f>
        <v>0</v>
      </c>
      <c r="F24" s="18" t="n">
        <f aca="false">demand!D22</f>
        <v>0</v>
      </c>
      <c r="G24" s="2" t="n">
        <f aca="false">solgen!D22</f>
        <v>0</v>
      </c>
      <c r="H24" s="2" t="n">
        <f aca="false">import!D22</f>
        <v>0</v>
      </c>
      <c r="I24" s="2" t="n">
        <f aca="false">-export!D22</f>
        <v>-0</v>
      </c>
      <c r="J24" s="2" t="n">
        <f aca="false">-charge!D22</f>
        <v>-0</v>
      </c>
      <c r="K24" s="2" t="n">
        <f aca="false">discharge!D22</f>
        <v>0</v>
      </c>
      <c r="L24" s="2" t="n">
        <f aca="false">soc!D22/investment!$E$3 *100</f>
        <v>0</v>
      </c>
    </row>
    <row r="25" customFormat="false" ht="13.8" hidden="false" customHeight="false" outlineLevel="0" collapsed="false">
      <c r="B25" s="11" t="n">
        <f aca="false">_xlfn.NUMBERVALUE(solar!B22)</f>
        <v>40</v>
      </c>
      <c r="C25" s="12" t="n">
        <f aca="false">solar!C22</f>
        <v>0</v>
      </c>
      <c r="D25" s="6" t="n">
        <v>21</v>
      </c>
      <c r="E25" s="17" t="n">
        <f aca="false">IFERROR(INDEX($B$5:$C$173, MATCH($D25, $B$5:$B$175, 0), 2), 0)*investment!$C$3</f>
        <v>0</v>
      </c>
      <c r="F25" s="18" t="n">
        <f aca="false">demand!D23</f>
        <v>0</v>
      </c>
      <c r="G25" s="2" t="n">
        <f aca="false">solgen!D23</f>
        <v>0</v>
      </c>
      <c r="H25" s="2" t="n">
        <f aca="false">import!D23</f>
        <v>0</v>
      </c>
      <c r="I25" s="2" t="n">
        <f aca="false">-export!D23</f>
        <v>-0</v>
      </c>
      <c r="J25" s="2" t="n">
        <f aca="false">-charge!D23</f>
        <v>-0</v>
      </c>
      <c r="K25" s="2" t="n">
        <f aca="false">discharge!D23</f>
        <v>0</v>
      </c>
      <c r="L25" s="2" t="n">
        <f aca="false">soc!D23/investment!$E$3 *100</f>
        <v>0</v>
      </c>
    </row>
    <row r="26" customFormat="false" ht="13.8" hidden="false" customHeight="false" outlineLevel="0" collapsed="false">
      <c r="B26" s="11" t="n">
        <f aca="false">_xlfn.NUMBERVALUE(solar!B23)</f>
        <v>41</v>
      </c>
      <c r="C26" s="12" t="n">
        <f aca="false">solar!C23</f>
        <v>0</v>
      </c>
      <c r="D26" s="6" t="n">
        <v>22</v>
      </c>
      <c r="E26" s="17" t="n">
        <f aca="false">IFERROR(INDEX($B$5:$C$173, MATCH($D26, $B$5:$B$175, 0), 2), 0)*investment!$C$3</f>
        <v>0</v>
      </c>
      <c r="F26" s="18" t="n">
        <f aca="false">demand!D24</f>
        <v>0</v>
      </c>
      <c r="G26" s="2" t="n">
        <f aca="false">solgen!D24</f>
        <v>0</v>
      </c>
      <c r="H26" s="2" t="n">
        <f aca="false">import!D24</f>
        <v>0</v>
      </c>
      <c r="I26" s="2" t="n">
        <f aca="false">-export!D24</f>
        <v>-0</v>
      </c>
      <c r="J26" s="2" t="n">
        <f aca="false">-charge!D24</f>
        <v>-0</v>
      </c>
      <c r="K26" s="2" t="n">
        <f aca="false">discharge!D24</f>
        <v>0</v>
      </c>
      <c r="L26" s="2" t="n">
        <f aca="false">soc!D24/investment!$E$3 *100</f>
        <v>0</v>
      </c>
    </row>
    <row r="27" customFormat="false" ht="13.8" hidden="false" customHeight="false" outlineLevel="0" collapsed="false">
      <c r="B27" s="11" t="n">
        <f aca="false">_xlfn.NUMBERVALUE(solar!B24)</f>
        <v>42</v>
      </c>
      <c r="C27" s="12" t="n">
        <f aca="false">solar!C24</f>
        <v>0</v>
      </c>
      <c r="D27" s="6" t="n">
        <v>23</v>
      </c>
      <c r="E27" s="17" t="n">
        <f aca="false">IFERROR(INDEX($B$5:$C$173, MATCH($D27, $B$5:$B$175, 0), 2), 0)*investment!$C$3</f>
        <v>0</v>
      </c>
      <c r="F27" s="18" t="n">
        <f aca="false">demand!D25</f>
        <v>0</v>
      </c>
      <c r="G27" s="2" t="n">
        <f aca="false">solgen!D25</f>
        <v>0</v>
      </c>
      <c r="H27" s="2" t="n">
        <f aca="false">import!D25</f>
        <v>0</v>
      </c>
      <c r="I27" s="2" t="n">
        <f aca="false">-export!D25</f>
        <v>-0</v>
      </c>
      <c r="J27" s="2" t="n">
        <f aca="false">-charge!D25</f>
        <v>-0</v>
      </c>
      <c r="K27" s="2" t="n">
        <f aca="false">discharge!D25</f>
        <v>0</v>
      </c>
      <c r="L27" s="2" t="n">
        <f aca="false">soc!D25/investment!$E$3 *100</f>
        <v>0</v>
      </c>
    </row>
    <row r="28" customFormat="false" ht="13.8" hidden="false" customHeight="false" outlineLevel="0" collapsed="false">
      <c r="B28" s="11" t="n">
        <f aca="false">_xlfn.NUMBERVALUE(solar!B25)</f>
        <v>43</v>
      </c>
      <c r="C28" s="12" t="n">
        <f aca="false">solar!C25</f>
        <v>0</v>
      </c>
      <c r="D28" s="6" t="n">
        <v>24</v>
      </c>
      <c r="E28" s="17" t="n">
        <f aca="false">IFERROR(INDEX($B$5:$C$173, MATCH($D28, $B$5:$B$175, 0), 2), 0)*investment!$C$3</f>
        <v>0</v>
      </c>
      <c r="F28" s="18" t="n">
        <f aca="false">demand!D26</f>
        <v>0</v>
      </c>
      <c r="G28" s="2" t="n">
        <f aca="false">solgen!D26</f>
        <v>0</v>
      </c>
      <c r="H28" s="2" t="n">
        <f aca="false">import!D26</f>
        <v>0</v>
      </c>
      <c r="I28" s="2" t="n">
        <f aca="false">-export!D26</f>
        <v>-0</v>
      </c>
      <c r="J28" s="2" t="n">
        <f aca="false">-charge!D26</f>
        <v>-0</v>
      </c>
      <c r="K28" s="2" t="n">
        <f aca="false">discharge!D26</f>
        <v>0</v>
      </c>
      <c r="L28" s="2" t="n">
        <f aca="false">soc!D26/investment!$E$3 *100</f>
        <v>0</v>
      </c>
    </row>
    <row r="29" customFormat="false" ht="13.8" hidden="false" customHeight="false" outlineLevel="0" collapsed="false">
      <c r="B29" s="11" t="n">
        <f aca="false">_xlfn.NUMBERVALUE(solar!B26)</f>
        <v>56</v>
      </c>
      <c r="C29" s="12" t="n">
        <f aca="false">solar!C26</f>
        <v>0</v>
      </c>
      <c r="D29" s="6" t="n">
        <v>25</v>
      </c>
      <c r="E29" s="17" t="n">
        <f aca="false">IFERROR(INDEX($B$5:$C$173, MATCH($D29, $B$5:$B$175, 0), 2), 0)*investment!$C$3</f>
        <v>0</v>
      </c>
      <c r="F29" s="18" t="n">
        <f aca="false">demand!D27</f>
        <v>0</v>
      </c>
      <c r="G29" s="2" t="n">
        <f aca="false">solgen!D27</f>
        <v>0</v>
      </c>
      <c r="H29" s="2" t="n">
        <f aca="false">import!D27</f>
        <v>0</v>
      </c>
      <c r="I29" s="2" t="n">
        <f aca="false">-export!D27</f>
        <v>-0</v>
      </c>
      <c r="J29" s="2" t="n">
        <f aca="false">-charge!D27</f>
        <v>-0</v>
      </c>
      <c r="K29" s="2" t="n">
        <f aca="false">discharge!D27</f>
        <v>0</v>
      </c>
      <c r="L29" s="2" t="n">
        <f aca="false">soc!D27/investment!$E$3 *100</f>
        <v>0</v>
      </c>
    </row>
    <row r="30" customFormat="false" ht="13.8" hidden="false" customHeight="false" outlineLevel="0" collapsed="false">
      <c r="B30" s="11" t="n">
        <f aca="false">_xlfn.NUMBERVALUE(solar!B27)</f>
        <v>57</v>
      </c>
      <c r="C30" s="12" t="n">
        <f aca="false">solar!C27</f>
        <v>0</v>
      </c>
      <c r="D30" s="6" t="n">
        <v>26</v>
      </c>
      <c r="E30" s="17" t="n">
        <f aca="false">IFERROR(INDEX($B$5:$C$173, MATCH($D30, $B$5:$B$175, 0), 2), 0)*investment!$C$3</f>
        <v>0</v>
      </c>
      <c r="F30" s="18" t="n">
        <f aca="false">demand!D28</f>
        <v>0</v>
      </c>
      <c r="G30" s="2" t="n">
        <f aca="false">solgen!D28</f>
        <v>0</v>
      </c>
      <c r="H30" s="2" t="n">
        <f aca="false">import!D28</f>
        <v>0</v>
      </c>
      <c r="I30" s="2" t="n">
        <f aca="false">-export!D28</f>
        <v>-0</v>
      </c>
      <c r="J30" s="2" t="n">
        <f aca="false">-charge!D28</f>
        <v>-0</v>
      </c>
      <c r="K30" s="2" t="n">
        <f aca="false">discharge!D28</f>
        <v>0</v>
      </c>
      <c r="L30" s="2" t="n">
        <f aca="false">soc!D28/investment!$E$3 *100</f>
        <v>0</v>
      </c>
    </row>
    <row r="31" customFormat="false" ht="13.8" hidden="false" customHeight="false" outlineLevel="0" collapsed="false">
      <c r="B31" s="11" t="n">
        <f aca="false">_xlfn.NUMBERVALUE(solar!B28)</f>
        <v>58</v>
      </c>
      <c r="C31" s="12" t="n">
        <f aca="false">solar!C28</f>
        <v>0</v>
      </c>
      <c r="D31" s="6" t="n">
        <v>27</v>
      </c>
      <c r="E31" s="17" t="n">
        <f aca="false">IFERROR(INDEX($B$5:$C$173, MATCH($D31, $B$5:$B$175, 0), 2), 0)*investment!$C$3</f>
        <v>0</v>
      </c>
      <c r="F31" s="18" t="n">
        <f aca="false">demand!D29</f>
        <v>0</v>
      </c>
      <c r="G31" s="2" t="n">
        <f aca="false">solgen!D29</f>
        <v>0</v>
      </c>
      <c r="H31" s="2" t="n">
        <f aca="false">import!D29</f>
        <v>0</v>
      </c>
      <c r="I31" s="2" t="n">
        <f aca="false">-export!D29</f>
        <v>-0</v>
      </c>
      <c r="J31" s="2" t="n">
        <f aca="false">-charge!D29</f>
        <v>-0</v>
      </c>
      <c r="K31" s="2" t="n">
        <f aca="false">discharge!D29</f>
        <v>0</v>
      </c>
      <c r="L31" s="2" t="n">
        <f aca="false">soc!D29/investment!$E$3 *100</f>
        <v>0</v>
      </c>
    </row>
    <row r="32" customFormat="false" ht="13.8" hidden="false" customHeight="false" outlineLevel="0" collapsed="false">
      <c r="B32" s="11" t="n">
        <f aca="false">_xlfn.NUMBERVALUE(solar!B29)</f>
        <v>59</v>
      </c>
      <c r="C32" s="12" t="n">
        <f aca="false">solar!C29</f>
        <v>0</v>
      </c>
      <c r="D32" s="6" t="n">
        <v>28</v>
      </c>
      <c r="E32" s="17" t="n">
        <f aca="false">IFERROR(INDEX($B$5:$C$173, MATCH($D32, $B$5:$B$175, 0), 2), 0)*investment!$C$3</f>
        <v>0</v>
      </c>
      <c r="F32" s="18" t="n">
        <f aca="false">demand!D30</f>
        <v>0</v>
      </c>
      <c r="G32" s="2" t="n">
        <f aca="false">solgen!D30</f>
        <v>0</v>
      </c>
      <c r="H32" s="2" t="n">
        <f aca="false">import!D30</f>
        <v>0</v>
      </c>
      <c r="I32" s="2" t="n">
        <f aca="false">-export!D30</f>
        <v>-0</v>
      </c>
      <c r="J32" s="2" t="n">
        <f aca="false">-charge!D30</f>
        <v>-0</v>
      </c>
      <c r="K32" s="2" t="n">
        <f aca="false">discharge!D30</f>
        <v>0</v>
      </c>
      <c r="L32" s="2" t="n">
        <f aca="false">soc!D30/investment!$E$3 *100</f>
        <v>0</v>
      </c>
    </row>
    <row r="33" customFormat="false" ht="13.8" hidden="false" customHeight="false" outlineLevel="0" collapsed="false">
      <c r="B33" s="11" t="n">
        <f aca="false">_xlfn.NUMBERVALUE(solar!B30)</f>
        <v>60</v>
      </c>
      <c r="C33" s="12" t="n">
        <f aca="false">solar!C30</f>
        <v>0</v>
      </c>
      <c r="D33" s="6" t="n">
        <v>29</v>
      </c>
      <c r="E33" s="17" t="n">
        <f aca="false">IFERROR(INDEX($B$5:$C$173, MATCH($D33, $B$5:$B$175, 0), 2), 0)*investment!$C$3</f>
        <v>0</v>
      </c>
      <c r="F33" s="18" t="n">
        <f aca="false">demand!D31</f>
        <v>0</v>
      </c>
      <c r="G33" s="2" t="n">
        <f aca="false">solgen!D31</f>
        <v>0</v>
      </c>
      <c r="H33" s="2" t="n">
        <f aca="false">import!D31</f>
        <v>0</v>
      </c>
      <c r="I33" s="2" t="n">
        <f aca="false">-export!D31</f>
        <v>-0</v>
      </c>
      <c r="J33" s="2" t="n">
        <f aca="false">-charge!D31</f>
        <v>-0</v>
      </c>
      <c r="K33" s="2" t="n">
        <f aca="false">discharge!D31</f>
        <v>0</v>
      </c>
      <c r="L33" s="2" t="n">
        <f aca="false">soc!D31/investment!$E$3 *100</f>
        <v>0</v>
      </c>
    </row>
    <row r="34" customFormat="false" ht="13.8" hidden="false" customHeight="false" outlineLevel="0" collapsed="false">
      <c r="B34" s="11" t="n">
        <f aca="false">_xlfn.NUMBERVALUE(solar!B31)</f>
        <v>61</v>
      </c>
      <c r="C34" s="12" t="n">
        <f aca="false">solar!C31</f>
        <v>0</v>
      </c>
      <c r="D34" s="6" t="n">
        <v>30</v>
      </c>
      <c r="E34" s="17" t="n">
        <f aca="false">IFERROR(INDEX($B$5:$C$173, MATCH($D34, $B$5:$B$175, 0), 2), 0)*investment!$C$3</f>
        <v>0</v>
      </c>
      <c r="F34" s="18" t="n">
        <f aca="false">demand!D32</f>
        <v>0</v>
      </c>
      <c r="G34" s="2" t="n">
        <f aca="false">solgen!D32</f>
        <v>0</v>
      </c>
      <c r="H34" s="2" t="n">
        <f aca="false">import!D32</f>
        <v>0</v>
      </c>
      <c r="I34" s="2" t="n">
        <f aca="false">-export!D32</f>
        <v>-0</v>
      </c>
      <c r="J34" s="2" t="n">
        <f aca="false">-charge!D32</f>
        <v>-0</v>
      </c>
      <c r="K34" s="2" t="n">
        <f aca="false">discharge!D32</f>
        <v>0</v>
      </c>
      <c r="L34" s="2" t="n">
        <f aca="false">soc!D32/investment!$E$3 *100</f>
        <v>0.43806452010565</v>
      </c>
    </row>
    <row r="35" customFormat="false" ht="13.8" hidden="false" customHeight="false" outlineLevel="0" collapsed="false">
      <c r="B35" s="11" t="n">
        <f aca="false">_xlfn.NUMBERVALUE(solar!B32)</f>
        <v>62</v>
      </c>
      <c r="C35" s="12" t="n">
        <f aca="false">solar!C32</f>
        <v>0</v>
      </c>
      <c r="D35" s="6" t="n">
        <v>31</v>
      </c>
      <c r="E35" s="17" t="n">
        <f aca="false">IFERROR(INDEX($B$5:$C$173, MATCH($D35, $B$5:$B$175, 0), 2), 0)*investment!$C$3</f>
        <v>0</v>
      </c>
      <c r="F35" s="18" t="n">
        <f aca="false">demand!D33</f>
        <v>0</v>
      </c>
      <c r="G35" s="2" t="n">
        <f aca="false">solgen!D33</f>
        <v>0</v>
      </c>
      <c r="H35" s="2" t="n">
        <f aca="false">import!D33</f>
        <v>0</v>
      </c>
      <c r="I35" s="2" t="n">
        <f aca="false">-export!D33</f>
        <v>-0</v>
      </c>
      <c r="J35" s="2" t="n">
        <f aca="false">-charge!D33</f>
        <v>-0</v>
      </c>
      <c r="K35" s="2" t="n">
        <f aca="false">discharge!D33</f>
        <v>0</v>
      </c>
      <c r="L35" s="2" t="n">
        <f aca="false">soc!D33/investment!$E$3 *100</f>
        <v>1.15473610362366</v>
      </c>
    </row>
    <row r="36" customFormat="false" ht="13.8" hidden="false" customHeight="false" outlineLevel="0" collapsed="false">
      <c r="B36" s="11" t="n">
        <f aca="false">_xlfn.NUMBERVALUE(solar!B33)</f>
        <v>63</v>
      </c>
      <c r="C36" s="12" t="n">
        <f aca="false">solar!C33</f>
        <v>0</v>
      </c>
      <c r="D36" s="6" t="n">
        <v>32</v>
      </c>
      <c r="E36" s="17" t="n">
        <f aca="false">IFERROR(INDEX($B$5:$C$173, MATCH($D36, $B$5:$B$175, 0), 2), 0)*investment!$C$3</f>
        <v>0</v>
      </c>
      <c r="F36" s="18" t="n">
        <f aca="false">demand!D34</f>
        <v>0</v>
      </c>
      <c r="G36" s="2" t="n">
        <f aca="false">solgen!D34</f>
        <v>0</v>
      </c>
      <c r="H36" s="2" t="n">
        <f aca="false">import!D34</f>
        <v>0</v>
      </c>
      <c r="I36" s="2" t="n">
        <f aca="false">-export!D34</f>
        <v>-0</v>
      </c>
      <c r="J36" s="2" t="n">
        <f aca="false">-charge!D34</f>
        <v>-0</v>
      </c>
      <c r="K36" s="2" t="n">
        <f aca="false">discharge!D34</f>
        <v>0</v>
      </c>
      <c r="L36" s="2" t="n">
        <f aca="false">soc!D34/investment!$E$3 *100</f>
        <v>2.1144906439804</v>
      </c>
    </row>
    <row r="37" customFormat="false" ht="13.8" hidden="false" customHeight="false" outlineLevel="0" collapsed="false">
      <c r="B37" s="11" t="n">
        <f aca="false">_xlfn.NUMBERVALUE(solar!B34)</f>
        <v>64</v>
      </c>
      <c r="C37" s="12" t="n">
        <f aca="false">solar!C34</f>
        <v>0</v>
      </c>
      <c r="D37" s="6" t="n">
        <v>33</v>
      </c>
      <c r="E37" s="17" t="n">
        <f aca="false">IFERROR(INDEX($B$5:$C$173, MATCH($D37, $B$5:$B$175, 0), 2), 0)*investment!$C$3</f>
        <v>0</v>
      </c>
      <c r="F37" s="18" t="n">
        <f aca="false">demand!D35</f>
        <v>0</v>
      </c>
      <c r="G37" s="2" t="n">
        <f aca="false">solgen!D35</f>
        <v>0</v>
      </c>
      <c r="H37" s="2" t="n">
        <f aca="false">import!D35</f>
        <v>0</v>
      </c>
      <c r="I37" s="2" t="n">
        <f aca="false">-export!D35</f>
        <v>-0</v>
      </c>
      <c r="J37" s="2" t="n">
        <f aca="false">-charge!D35</f>
        <v>-0</v>
      </c>
      <c r="K37" s="2" t="n">
        <f aca="false">discharge!D35</f>
        <v>0</v>
      </c>
      <c r="L37" s="2" t="n">
        <f aca="false">soc!D35/investment!$E$3 *100</f>
        <v>3.31732571034629</v>
      </c>
    </row>
    <row r="38" customFormat="false" ht="13.8" hidden="false" customHeight="false" outlineLevel="0" collapsed="false">
      <c r="B38" s="11" t="n">
        <f aca="false">_xlfn.NUMBERVALUE(solar!B35)</f>
        <v>65</v>
      </c>
      <c r="C38" s="12" t="n">
        <f aca="false">solar!C35</f>
        <v>0</v>
      </c>
      <c r="D38" s="6" t="n">
        <v>34</v>
      </c>
      <c r="E38" s="17" t="n">
        <f aca="false">IFERROR(INDEX($B$5:$C$173, MATCH($D38, $B$5:$B$175, 0), 2), 0)*investment!$C$3</f>
        <v>0</v>
      </c>
      <c r="F38" s="18" t="n">
        <f aca="false">demand!D36</f>
        <v>0</v>
      </c>
      <c r="G38" s="2" t="n">
        <f aca="false">solgen!D36</f>
        <v>0</v>
      </c>
      <c r="H38" s="2" t="n">
        <f aca="false">import!D36</f>
        <v>0</v>
      </c>
      <c r="I38" s="2" t="n">
        <f aca="false">-export!D36</f>
        <v>-0</v>
      </c>
      <c r="J38" s="2" t="n">
        <f aca="false">-charge!D36</f>
        <v>-0</v>
      </c>
      <c r="K38" s="2" t="n">
        <f aca="false">discharge!D36</f>
        <v>0</v>
      </c>
      <c r="L38" s="2" t="n">
        <f aca="false">soc!D36/investment!$E$3 *100</f>
        <v>4.5948112825916</v>
      </c>
    </row>
    <row r="39" customFormat="false" ht="13.8" hidden="false" customHeight="false" outlineLevel="0" collapsed="false">
      <c r="B39" s="11" t="n">
        <f aca="false">_xlfn.NUMBERVALUE(solar!B36)</f>
        <v>66</v>
      </c>
      <c r="C39" s="12" t="n">
        <f aca="false">solar!C36</f>
        <v>0</v>
      </c>
      <c r="D39" s="6" t="n">
        <v>35</v>
      </c>
      <c r="E39" s="17" t="n">
        <f aca="false">IFERROR(INDEX($B$5:$C$173, MATCH($D39, $B$5:$B$175, 0), 2), 0)*investment!$C$3</f>
        <v>0</v>
      </c>
      <c r="F39" s="18" t="n">
        <f aca="false">demand!D37</f>
        <v>0</v>
      </c>
      <c r="G39" s="2" t="n">
        <f aca="false">solgen!D37</f>
        <v>0</v>
      </c>
      <c r="H39" s="2" t="n">
        <f aca="false">import!D37</f>
        <v>0</v>
      </c>
      <c r="I39" s="2" t="n">
        <f aca="false">-export!D37</f>
        <v>-0</v>
      </c>
      <c r="J39" s="2" t="n">
        <f aca="false">-charge!D37</f>
        <v>-0</v>
      </c>
      <c r="K39" s="2" t="n">
        <f aca="false">discharge!D37</f>
        <v>0</v>
      </c>
      <c r="L39" s="2" t="n">
        <f aca="false">soc!D37/investment!$E$3 *100</f>
        <v>5.94694661421124</v>
      </c>
    </row>
    <row r="40" customFormat="false" ht="13.8" hidden="false" customHeight="false" outlineLevel="0" collapsed="false">
      <c r="B40" s="11" t="n">
        <f aca="false">_xlfn.NUMBERVALUE(solar!B37)</f>
        <v>67</v>
      </c>
      <c r="C40" s="12" t="n">
        <f aca="false">solar!C37</f>
        <v>0</v>
      </c>
      <c r="D40" s="6" t="n">
        <v>36</v>
      </c>
      <c r="E40" s="17" t="n">
        <f aca="false">IFERROR(INDEX($B$5:$C$173, MATCH($D40, $B$5:$B$175, 0), 2), 0)*investment!$C$3</f>
        <v>0</v>
      </c>
      <c r="F40" s="18" t="n">
        <f aca="false">demand!D38</f>
        <v>0</v>
      </c>
      <c r="G40" s="2" t="n">
        <f aca="false">solgen!D38</f>
        <v>0</v>
      </c>
      <c r="H40" s="2" t="n">
        <f aca="false">import!D38</f>
        <v>0</v>
      </c>
      <c r="I40" s="2" t="n">
        <f aca="false">-export!D38</f>
        <v>-0</v>
      </c>
      <c r="J40" s="2" t="n">
        <f aca="false">-charge!D38</f>
        <v>-0</v>
      </c>
      <c r="K40" s="2" t="n">
        <f aca="false">discharge!D38</f>
        <v>0</v>
      </c>
      <c r="L40" s="2" t="n">
        <f aca="false">soc!D38/investment!$E$3 *100</f>
        <v>7.37373095870765</v>
      </c>
    </row>
    <row r="41" customFormat="false" ht="13.8" hidden="false" customHeight="false" outlineLevel="0" collapsed="false">
      <c r="B41" s="11" t="n">
        <f aca="false">_xlfn.NUMBERVALUE(solar!B38)</f>
        <v>80</v>
      </c>
      <c r="C41" s="12" t="n">
        <f aca="false">solar!C38</f>
        <v>0</v>
      </c>
      <c r="D41" s="6" t="n">
        <v>37</v>
      </c>
      <c r="E41" s="17" t="n">
        <f aca="false">IFERROR(INDEX($B$5:$C$173, MATCH($D41, $B$5:$B$175, 0), 2), 0)*investment!$C$3</f>
        <v>0</v>
      </c>
      <c r="F41" s="18" t="n">
        <f aca="false">demand!D39</f>
        <v>0</v>
      </c>
      <c r="G41" s="2" t="n">
        <f aca="false">solgen!D39</f>
        <v>0</v>
      </c>
      <c r="H41" s="2" t="n">
        <f aca="false">import!D39</f>
        <v>0</v>
      </c>
      <c r="I41" s="2" t="n">
        <f aca="false">-export!D39</f>
        <v>-0</v>
      </c>
      <c r="J41" s="2" t="n">
        <f aca="false">-charge!D39</f>
        <v>-0</v>
      </c>
      <c r="K41" s="2" t="n">
        <f aca="false">discharge!D39</f>
        <v>0</v>
      </c>
      <c r="L41" s="2" t="n">
        <f aca="false">soc!D39/investment!$E$3 *100</f>
        <v>8.87516356959067</v>
      </c>
    </row>
    <row r="42" customFormat="false" ht="13.8" hidden="false" customHeight="false" outlineLevel="0" collapsed="false">
      <c r="B42" s="11" t="n">
        <f aca="false">_xlfn.NUMBERVALUE(solar!B39)</f>
        <v>81</v>
      </c>
      <c r="C42" s="12" t="n">
        <f aca="false">solar!C39</f>
        <v>0</v>
      </c>
      <c r="D42" s="6" t="n">
        <v>38</v>
      </c>
      <c r="E42" s="17" t="n">
        <f aca="false">IFERROR(INDEX($B$5:$C$173, MATCH($D42, $B$5:$B$175, 0), 2), 0)*investment!$C$3</f>
        <v>0</v>
      </c>
      <c r="F42" s="18" t="n">
        <f aca="false">demand!D40</f>
        <v>0</v>
      </c>
      <c r="G42" s="2" t="n">
        <f aca="false">solgen!D40</f>
        <v>0</v>
      </c>
      <c r="H42" s="2" t="n">
        <f aca="false">import!D40</f>
        <v>0</v>
      </c>
      <c r="I42" s="2" t="n">
        <f aca="false">-export!D40</f>
        <v>-0</v>
      </c>
      <c r="J42" s="2" t="n">
        <f aca="false">-charge!D40</f>
        <v>-0</v>
      </c>
      <c r="K42" s="2" t="n">
        <f aca="false">discharge!D40</f>
        <v>0</v>
      </c>
      <c r="L42" s="2" t="n">
        <f aca="false">soc!D40/investment!$E$3 *100</f>
        <v>10.8901346627918</v>
      </c>
    </row>
    <row r="43" customFormat="false" ht="13.8" hidden="false" customHeight="false" outlineLevel="0" collapsed="false">
      <c r="B43" s="11" t="n">
        <f aca="false">_xlfn.NUMBERVALUE(solar!B40)</f>
        <v>82</v>
      </c>
      <c r="C43" s="12" t="n">
        <f aca="false">solar!C40</f>
        <v>0</v>
      </c>
      <c r="D43" s="6" t="n">
        <v>39</v>
      </c>
      <c r="E43" s="17" t="n">
        <f aca="false">IFERROR(INDEX($B$5:$C$173, MATCH($D43, $B$5:$B$175, 0), 2), 0)*investment!$C$3</f>
        <v>0</v>
      </c>
      <c r="F43" s="18" t="n">
        <f aca="false">demand!D41</f>
        <v>0</v>
      </c>
      <c r="G43" s="2" t="n">
        <f aca="false">solgen!D41</f>
        <v>0</v>
      </c>
      <c r="H43" s="2" t="n">
        <f aca="false">import!D41</f>
        <v>0</v>
      </c>
      <c r="I43" s="2" t="n">
        <f aca="false">-export!D41</f>
        <v>-0</v>
      </c>
      <c r="J43" s="2" t="n">
        <f aca="false">-charge!D41</f>
        <v>-0</v>
      </c>
      <c r="K43" s="2" t="n">
        <f aca="false">discharge!D41</f>
        <v>0</v>
      </c>
      <c r="L43" s="2" t="n">
        <f aca="false">soc!D41/investment!$E$3 *100</f>
        <v>13.4186391029263</v>
      </c>
    </row>
    <row r="44" customFormat="false" ht="13.8" hidden="false" customHeight="false" outlineLevel="0" collapsed="false">
      <c r="B44" s="11" t="n">
        <f aca="false">_xlfn.NUMBERVALUE(solar!B41)</f>
        <v>83</v>
      </c>
      <c r="C44" s="12" t="n">
        <f aca="false">solar!C41</f>
        <v>0</v>
      </c>
      <c r="D44" s="6" t="n">
        <v>40</v>
      </c>
      <c r="E44" s="17" t="n">
        <f aca="false">IFERROR(INDEX($B$5:$C$173, MATCH($D44, $B$5:$B$175, 0), 2), 0)*investment!$C$3</f>
        <v>0</v>
      </c>
      <c r="F44" s="18" t="n">
        <f aca="false">demand!D42</f>
        <v>0</v>
      </c>
      <c r="G44" s="2" t="n">
        <f aca="false">solgen!D42</f>
        <v>0</v>
      </c>
      <c r="H44" s="2" t="n">
        <f aca="false">import!D42</f>
        <v>0</v>
      </c>
      <c r="I44" s="2" t="n">
        <f aca="false">-export!D42</f>
        <v>-0</v>
      </c>
      <c r="J44" s="2" t="n">
        <f aca="false">-charge!D42</f>
        <v>-0</v>
      </c>
      <c r="K44" s="2" t="n">
        <f aca="false">discharge!D42</f>
        <v>0</v>
      </c>
      <c r="L44" s="2" t="n">
        <f aca="false">soc!D42/investment!$E$3 *100</f>
        <v>16.4606717546606</v>
      </c>
    </row>
    <row r="45" customFormat="false" ht="13.8" hidden="false" customHeight="false" outlineLevel="0" collapsed="false">
      <c r="B45" s="11" t="n">
        <f aca="false">_xlfn.NUMBERVALUE(solar!B42)</f>
        <v>84</v>
      </c>
      <c r="C45" s="12" t="n">
        <f aca="false">solar!C42</f>
        <v>0</v>
      </c>
      <c r="D45" s="6" t="n">
        <v>41</v>
      </c>
      <c r="E45" s="17" t="n">
        <f aca="false">IFERROR(INDEX($B$5:$C$173, MATCH($D45, $B$5:$B$175, 0), 2), 0)*investment!$C$3</f>
        <v>0</v>
      </c>
      <c r="F45" s="18" t="n">
        <f aca="false">demand!D43</f>
        <v>0</v>
      </c>
      <c r="G45" s="2" t="n">
        <f aca="false">solgen!D43</f>
        <v>0</v>
      </c>
      <c r="H45" s="2" t="n">
        <f aca="false">import!D43</f>
        <v>0</v>
      </c>
      <c r="I45" s="2" t="n">
        <f aca="false">-export!D43</f>
        <v>-0</v>
      </c>
      <c r="J45" s="2" t="n">
        <f aca="false">-charge!D43</f>
        <v>-0</v>
      </c>
      <c r="K45" s="2" t="n">
        <f aca="false">discharge!D43</f>
        <v>0</v>
      </c>
      <c r="L45" s="2" t="n">
        <f aca="false">soc!D43/investment!$E$3 *100</f>
        <v>20.0162274827126</v>
      </c>
    </row>
    <row r="46" customFormat="false" ht="13.8" hidden="false" customHeight="false" outlineLevel="0" collapsed="false">
      <c r="B46" s="11" t="n">
        <f aca="false">_xlfn.NUMBERVALUE(solar!B43)</f>
        <v>85</v>
      </c>
      <c r="C46" s="12" t="n">
        <f aca="false">solar!C43</f>
        <v>0</v>
      </c>
      <c r="D46" s="6" t="n">
        <v>42</v>
      </c>
      <c r="E46" s="17" t="n">
        <f aca="false">IFERROR(INDEX($B$5:$C$173, MATCH($D46, $B$5:$B$175, 0), 2), 0)*investment!$C$3</f>
        <v>0</v>
      </c>
      <c r="F46" s="18" t="n">
        <f aca="false">demand!D44</f>
        <v>0</v>
      </c>
      <c r="G46" s="2" t="n">
        <f aca="false">solgen!D44</f>
        <v>0</v>
      </c>
      <c r="H46" s="2" t="n">
        <f aca="false">import!D44</f>
        <v>0</v>
      </c>
      <c r="I46" s="2" t="n">
        <f aca="false">-export!D44</f>
        <v>-0</v>
      </c>
      <c r="J46" s="2" t="n">
        <f aca="false">-charge!D44</f>
        <v>-0</v>
      </c>
      <c r="K46" s="2" t="n">
        <f aca="false">discharge!D44</f>
        <v>0</v>
      </c>
      <c r="L46" s="2" t="n">
        <f aca="false">soc!D44/investment!$E$3 *100</f>
        <v>23.6455665449829</v>
      </c>
    </row>
    <row r="47" customFormat="false" ht="13.8" hidden="false" customHeight="false" outlineLevel="0" collapsed="false">
      <c r="B47" s="11" t="n">
        <f aca="false">_xlfn.NUMBERVALUE(solar!B44)</f>
        <v>86</v>
      </c>
      <c r="C47" s="12" t="n">
        <f aca="false">solar!C44</f>
        <v>0</v>
      </c>
      <c r="D47" s="6" t="n">
        <v>43</v>
      </c>
      <c r="E47" s="17" t="n">
        <f aca="false">IFERROR(INDEX($B$5:$C$173, MATCH($D47, $B$5:$B$175, 0), 2), 0)*investment!$C$3</f>
        <v>0</v>
      </c>
      <c r="F47" s="18" t="n">
        <f aca="false">demand!D45</f>
        <v>0</v>
      </c>
      <c r="G47" s="2" t="n">
        <f aca="false">solgen!D45</f>
        <v>0</v>
      </c>
      <c r="H47" s="2" t="n">
        <f aca="false">import!D45</f>
        <v>0</v>
      </c>
      <c r="I47" s="2" t="n">
        <f aca="false">-export!D45</f>
        <v>-0</v>
      </c>
      <c r="J47" s="2" t="n">
        <f aca="false">-charge!D45</f>
        <v>-0</v>
      </c>
      <c r="K47" s="2" t="n">
        <f aca="false">discharge!D45</f>
        <v>0</v>
      </c>
      <c r="L47" s="2" t="n">
        <f aca="false">soc!D45/investment!$E$3 *100</f>
        <v>27.348688203638</v>
      </c>
    </row>
    <row r="48" customFormat="false" ht="13.8" hidden="false" customHeight="false" outlineLevel="0" collapsed="false">
      <c r="B48" s="11" t="n">
        <f aca="false">_xlfn.NUMBERVALUE(solar!B45)</f>
        <v>87</v>
      </c>
      <c r="C48" s="12" t="n">
        <f aca="false">solar!C45</f>
        <v>0</v>
      </c>
      <c r="D48" s="6" t="n">
        <v>44</v>
      </c>
      <c r="E48" s="17" t="n">
        <f aca="false">IFERROR(INDEX($B$5:$C$173, MATCH($D48, $B$5:$B$175, 0), 2), 0)*investment!$C$3</f>
        <v>0</v>
      </c>
      <c r="F48" s="18" t="n">
        <f aca="false">demand!D46</f>
        <v>0</v>
      </c>
      <c r="G48" s="2" t="n">
        <f aca="false">solgen!D46</f>
        <v>0</v>
      </c>
      <c r="H48" s="2" t="n">
        <f aca="false">import!D46</f>
        <v>0</v>
      </c>
      <c r="I48" s="2" t="n">
        <f aca="false">-export!D46</f>
        <v>-0</v>
      </c>
      <c r="J48" s="2" t="n">
        <f aca="false">-charge!D46</f>
        <v>-0</v>
      </c>
      <c r="K48" s="2" t="n">
        <f aca="false">discharge!D46</f>
        <v>0</v>
      </c>
      <c r="L48" s="2" t="n">
        <f aca="false">soc!D46/investment!$E$3 *100</f>
        <v>31.125591720852</v>
      </c>
    </row>
    <row r="49" customFormat="false" ht="13.8" hidden="false" customHeight="false" outlineLevel="0" collapsed="false">
      <c r="B49" s="11" t="n">
        <f aca="false">_xlfn.NUMBERVALUE(solar!B46)</f>
        <v>88</v>
      </c>
      <c r="C49" s="12" t="n">
        <f aca="false">solar!C46</f>
        <v>0</v>
      </c>
      <c r="D49" s="6" t="n">
        <v>45</v>
      </c>
      <c r="E49" s="17" t="n">
        <f aca="false">IFERROR(INDEX($B$5:$C$173, MATCH($D49, $B$5:$B$175, 0), 2), 0)*investment!$C$3</f>
        <v>0</v>
      </c>
      <c r="F49" s="18" t="n">
        <f aca="false">demand!D47</f>
        <v>0</v>
      </c>
      <c r="G49" s="2" t="n">
        <f aca="false">solgen!D47</f>
        <v>0</v>
      </c>
      <c r="H49" s="2" t="n">
        <f aca="false">import!D47</f>
        <v>0</v>
      </c>
      <c r="I49" s="2" t="n">
        <f aca="false">-export!D47</f>
        <v>-0</v>
      </c>
      <c r="J49" s="2" t="n">
        <f aca="false">-charge!D47</f>
        <v>-0</v>
      </c>
      <c r="K49" s="2" t="n">
        <f aca="false">discharge!D47</f>
        <v>0</v>
      </c>
      <c r="L49" s="2" t="n">
        <f aca="false">soc!D47/investment!$E$3 *100</f>
        <v>34.9762763588063</v>
      </c>
    </row>
    <row r="50" customFormat="false" ht="13.8" hidden="false" customHeight="false" outlineLevel="0" collapsed="false">
      <c r="B50" s="11" t="n">
        <f aca="false">_xlfn.NUMBERVALUE(solar!B47)</f>
        <v>89</v>
      </c>
      <c r="C50" s="12" t="n">
        <f aca="false">solar!C47</f>
        <v>0</v>
      </c>
      <c r="D50" s="6" t="n">
        <v>46</v>
      </c>
      <c r="E50" s="17" t="n">
        <f aca="false">IFERROR(INDEX($B$5:$C$173, MATCH($D50, $B$5:$B$175, 0), 2), 0)*investment!$C$3</f>
        <v>0</v>
      </c>
      <c r="F50" s="18" t="n">
        <f aca="false">demand!D48</f>
        <v>0</v>
      </c>
      <c r="G50" s="2" t="n">
        <f aca="false">solgen!D48</f>
        <v>0</v>
      </c>
      <c r="H50" s="2" t="n">
        <f aca="false">import!D48</f>
        <v>0</v>
      </c>
      <c r="I50" s="2" t="n">
        <f aca="false">-export!D48</f>
        <v>-0</v>
      </c>
      <c r="J50" s="2" t="n">
        <f aca="false">-charge!D48</f>
        <v>-0</v>
      </c>
      <c r="K50" s="2" t="n">
        <f aca="false">discharge!D48</f>
        <v>0</v>
      </c>
      <c r="L50" s="2" t="n">
        <f aca="false">soc!D48/investment!$E$3 *100</f>
        <v>38.8410987297671</v>
      </c>
    </row>
    <row r="51" customFormat="false" ht="13.8" hidden="false" customHeight="false" outlineLevel="0" collapsed="false">
      <c r="B51" s="11" t="n">
        <f aca="false">_xlfn.NUMBERVALUE(solar!B48)</f>
        <v>90</v>
      </c>
      <c r="C51" s="12" t="n">
        <f aca="false">solar!C48</f>
        <v>0</v>
      </c>
      <c r="D51" s="6" t="n">
        <v>47</v>
      </c>
      <c r="E51" s="17" t="n">
        <f aca="false">IFERROR(INDEX($B$5:$C$173, MATCH($D51, $B$5:$B$175, 0), 2), 0)*investment!$C$3</f>
        <v>0</v>
      </c>
      <c r="F51" s="18" t="n">
        <f aca="false">demand!D49</f>
        <v>0</v>
      </c>
      <c r="G51" s="2" t="n">
        <f aca="false">solgen!D49</f>
        <v>0</v>
      </c>
      <c r="H51" s="2" t="n">
        <f aca="false">import!D49</f>
        <v>0</v>
      </c>
      <c r="I51" s="2" t="n">
        <f aca="false">-export!D49</f>
        <v>-0</v>
      </c>
      <c r="J51" s="2" t="n">
        <f aca="false">-charge!D49</f>
        <v>-0</v>
      </c>
      <c r="K51" s="2" t="n">
        <f aca="false">discharge!D49</f>
        <v>0</v>
      </c>
      <c r="L51" s="2" t="n">
        <f aca="false">soc!D49/investment!$E$3 *100</f>
        <v>42.7200586923569</v>
      </c>
    </row>
    <row r="52" customFormat="false" ht="13.8" hidden="false" customHeight="false" outlineLevel="0" collapsed="false">
      <c r="B52" s="11" t="n">
        <f aca="false">_xlfn.NUMBERVALUE(solar!B49)</f>
        <v>91</v>
      </c>
      <c r="C52" s="12" t="n">
        <f aca="false">solar!C49</f>
        <v>0</v>
      </c>
      <c r="D52" s="6" t="n">
        <v>48</v>
      </c>
      <c r="E52" s="17" t="n">
        <f aca="false">IFERROR(INDEX($B$5:$C$173, MATCH($D52, $B$5:$B$175, 0), 2), 0)*investment!$C$3</f>
        <v>0</v>
      </c>
      <c r="F52" s="18" t="n">
        <f aca="false">demand!D50</f>
        <v>0</v>
      </c>
      <c r="G52" s="2" t="n">
        <f aca="false">solgen!D50</f>
        <v>0</v>
      </c>
      <c r="H52" s="2" t="n">
        <f aca="false">import!D50</f>
        <v>0</v>
      </c>
      <c r="I52" s="2" t="n">
        <f aca="false">-export!D50</f>
        <v>-0</v>
      </c>
      <c r="J52" s="2" t="n">
        <f aca="false">-charge!D50</f>
        <v>-0</v>
      </c>
      <c r="K52" s="2" t="n">
        <f aca="false">discharge!D50</f>
        <v>0</v>
      </c>
      <c r="L52" s="2" t="n">
        <f aca="false">soc!D50/investment!$E$3 *100</f>
        <v>46.6131561051999</v>
      </c>
    </row>
    <row r="53" customFormat="false" ht="13.8" hidden="false" customHeight="false" outlineLevel="0" collapsed="false">
      <c r="B53" s="11" t="n">
        <f aca="false">_xlfn.NUMBERVALUE(solar!B50)</f>
        <v>104</v>
      </c>
      <c r="C53" s="12" t="n">
        <f aca="false">solar!C50</f>
        <v>0</v>
      </c>
      <c r="D53" s="6" t="n">
        <v>49</v>
      </c>
      <c r="E53" s="17" t="n">
        <f aca="false">IFERROR(INDEX($B$5:$C$173, MATCH($D53, $B$5:$B$175, 0), 2), 0)*investment!$C$3</f>
        <v>0</v>
      </c>
      <c r="F53" s="18" t="n">
        <f aca="false">demand!D51</f>
        <v>0</v>
      </c>
      <c r="G53" s="2" t="n">
        <f aca="false">solgen!D51</f>
        <v>0</v>
      </c>
      <c r="H53" s="2" t="n">
        <f aca="false">import!D51</f>
        <v>0</v>
      </c>
      <c r="I53" s="2" t="n">
        <f aca="false">-export!D51</f>
        <v>-0</v>
      </c>
      <c r="J53" s="2" t="n">
        <f aca="false">-charge!D51</f>
        <v>-0</v>
      </c>
      <c r="K53" s="2" t="n">
        <f aca="false">discharge!D51</f>
        <v>0</v>
      </c>
      <c r="L53" s="2" t="n">
        <f aca="false">soc!D51/investment!$E$3 *100</f>
        <v>50.5203908269217</v>
      </c>
    </row>
    <row r="54" customFormat="false" ht="13.8" hidden="false" customHeight="false" outlineLevel="0" collapsed="false">
      <c r="B54" s="11" t="n">
        <f aca="false">_xlfn.NUMBERVALUE(solar!B51)</f>
        <v>105</v>
      </c>
      <c r="C54" s="12" t="n">
        <f aca="false">solar!C51</f>
        <v>0</v>
      </c>
      <c r="D54" s="6" t="n">
        <v>50</v>
      </c>
      <c r="E54" s="17" t="n">
        <f aca="false">IFERROR(INDEX($B$5:$C$173, MATCH($D54, $B$5:$B$175, 0), 2), 0)*investment!$C$3</f>
        <v>0</v>
      </c>
      <c r="F54" s="18" t="n">
        <f aca="false">demand!D52</f>
        <v>0</v>
      </c>
      <c r="G54" s="2" t="n">
        <f aca="false">solgen!D52</f>
        <v>0</v>
      </c>
      <c r="H54" s="2" t="n">
        <f aca="false">import!D52</f>
        <v>0</v>
      </c>
      <c r="I54" s="2" t="n">
        <f aca="false">-export!D52</f>
        <v>-0</v>
      </c>
      <c r="J54" s="2" t="n">
        <f aca="false">-charge!D52</f>
        <v>-0</v>
      </c>
      <c r="K54" s="2" t="n">
        <f aca="false">discharge!D52</f>
        <v>0</v>
      </c>
      <c r="L54" s="2" t="n">
        <f aca="false">soc!D52/investment!$E$3 *100</f>
        <v>54.4563909083881</v>
      </c>
    </row>
    <row r="55" customFormat="false" ht="13.8" hidden="false" customHeight="false" outlineLevel="0" collapsed="false">
      <c r="B55" s="11" t="n">
        <f aca="false">_xlfn.NUMBERVALUE(solar!B52)</f>
        <v>106</v>
      </c>
      <c r="C55" s="12" t="n">
        <f aca="false">solar!C52</f>
        <v>0</v>
      </c>
      <c r="D55" s="6" t="n">
        <v>51</v>
      </c>
      <c r="E55" s="17" t="n">
        <f aca="false">IFERROR(INDEX($B$5:$C$173, MATCH($D55, $B$5:$B$175, 0), 2), 0)*investment!$C$3</f>
        <v>0</v>
      </c>
      <c r="F55" s="18" t="n">
        <f aca="false">demand!D53</f>
        <v>0</v>
      </c>
      <c r="G55" s="2" t="n">
        <f aca="false">solgen!D53</f>
        <v>0</v>
      </c>
      <c r="H55" s="2" t="n">
        <f aca="false">import!D53</f>
        <v>0</v>
      </c>
      <c r="I55" s="2" t="n">
        <f aca="false">-export!D53</f>
        <v>-0</v>
      </c>
      <c r="J55" s="2" t="n">
        <f aca="false">-charge!D53</f>
        <v>-0</v>
      </c>
      <c r="K55" s="2" t="n">
        <f aca="false">discharge!D53</f>
        <v>0</v>
      </c>
      <c r="L55" s="2" t="n">
        <f aca="false">soc!D53/investment!$E$3 *100</f>
        <v>58.4211560619458</v>
      </c>
    </row>
    <row r="56" customFormat="false" ht="13.8" hidden="false" customHeight="false" outlineLevel="0" collapsed="false">
      <c r="B56" s="11" t="n">
        <f aca="false">_xlfn.NUMBERVALUE(solar!B53)</f>
        <v>107</v>
      </c>
      <c r="C56" s="12" t="n">
        <f aca="false">solar!C53</f>
        <v>0</v>
      </c>
      <c r="D56" s="6" t="n">
        <v>52</v>
      </c>
      <c r="E56" s="17" t="n">
        <f aca="false">IFERROR(INDEX($B$5:$C$173, MATCH($D56, $B$5:$B$175, 0), 2), 0)*investment!$C$3</f>
        <v>0</v>
      </c>
      <c r="F56" s="18" t="n">
        <f aca="false">demand!D54</f>
        <v>0</v>
      </c>
      <c r="G56" s="2" t="n">
        <f aca="false">solgen!D54</f>
        <v>0</v>
      </c>
      <c r="H56" s="2" t="n">
        <f aca="false">import!D54</f>
        <v>0</v>
      </c>
      <c r="I56" s="2" t="n">
        <f aca="false">-export!D54</f>
        <v>-0</v>
      </c>
      <c r="J56" s="2" t="n">
        <f aca="false">-charge!D54</f>
        <v>-0</v>
      </c>
      <c r="K56" s="2" t="n">
        <f aca="false">discharge!D54</f>
        <v>0</v>
      </c>
      <c r="L56" s="2" t="n">
        <f aca="false">soc!D54/investment!$E$3 *100</f>
        <v>62.4146859999439</v>
      </c>
    </row>
    <row r="57" customFormat="false" ht="13.8" hidden="false" customHeight="false" outlineLevel="0" collapsed="false">
      <c r="B57" s="11" t="n">
        <f aca="false">_xlfn.NUMBERVALUE(solar!B54)</f>
        <v>108</v>
      </c>
      <c r="C57" s="12" t="n">
        <f aca="false">solar!C54</f>
        <v>0</v>
      </c>
      <c r="D57" s="6" t="n">
        <v>53</v>
      </c>
      <c r="E57" s="17" t="n">
        <f aca="false">IFERROR(INDEX($B$5:$C$173, MATCH($D57, $B$5:$B$175, 0), 2), 0)*investment!$C$3</f>
        <v>0</v>
      </c>
      <c r="F57" s="18" t="n">
        <f aca="false">demand!D55</f>
        <v>0</v>
      </c>
      <c r="G57" s="2" t="n">
        <f aca="false">solgen!D55</f>
        <v>0</v>
      </c>
      <c r="H57" s="2" t="n">
        <f aca="false">import!D55</f>
        <v>0</v>
      </c>
      <c r="I57" s="2" t="n">
        <f aca="false">-export!D55</f>
        <v>-0</v>
      </c>
      <c r="J57" s="2" t="n">
        <f aca="false">-charge!D55</f>
        <v>-0</v>
      </c>
      <c r="K57" s="2" t="n">
        <f aca="false">discharge!D55</f>
        <v>0</v>
      </c>
      <c r="L57" s="2" t="n">
        <f aca="false">soc!D55/investment!$E$3 *100</f>
        <v>66.4369804347346</v>
      </c>
    </row>
    <row r="58" customFormat="false" ht="13.8" hidden="false" customHeight="false" outlineLevel="0" collapsed="false">
      <c r="B58" s="11" t="n">
        <f aca="false">_xlfn.NUMBERVALUE(solar!B55)</f>
        <v>109</v>
      </c>
      <c r="C58" s="12" t="n">
        <f aca="false">solar!C55</f>
        <v>0</v>
      </c>
      <c r="D58" s="6" t="n">
        <v>54</v>
      </c>
      <c r="E58" s="17" t="n">
        <f aca="false">IFERROR(INDEX($B$5:$C$173, MATCH($D58, $B$5:$B$175, 0), 2), 0)*investment!$C$3</f>
        <v>0</v>
      </c>
      <c r="F58" s="18" t="n">
        <f aca="false">demand!D56</f>
        <v>0</v>
      </c>
      <c r="G58" s="2" t="n">
        <f aca="false">solgen!D56</f>
        <v>0</v>
      </c>
      <c r="H58" s="2" t="n">
        <f aca="false">import!D56</f>
        <v>0</v>
      </c>
      <c r="I58" s="2" t="n">
        <f aca="false">-export!D56</f>
        <v>-0</v>
      </c>
      <c r="J58" s="2" t="n">
        <f aca="false">-charge!D56</f>
        <v>-0</v>
      </c>
      <c r="K58" s="2" t="n">
        <f aca="false">discharge!D56</f>
        <v>0</v>
      </c>
      <c r="L58" s="2" t="n">
        <f aca="false">soc!D56/investment!$E$3 *100</f>
        <v>70.3258484322805</v>
      </c>
    </row>
    <row r="59" customFormat="false" ht="13.8" hidden="false" customHeight="false" outlineLevel="0" collapsed="false">
      <c r="B59" s="11" t="n">
        <f aca="false">_xlfn.NUMBERVALUE(solar!B56)</f>
        <v>110</v>
      </c>
      <c r="C59" s="12" t="n">
        <f aca="false">solar!C56</f>
        <v>0</v>
      </c>
      <c r="D59" s="6" t="n">
        <v>55</v>
      </c>
      <c r="E59" s="17" t="n">
        <f aca="false">IFERROR(INDEX($B$5:$C$173, MATCH($D59, $B$5:$B$175, 0), 2), 0)*investment!$C$3</f>
        <v>0</v>
      </c>
      <c r="F59" s="18" t="n">
        <f aca="false">demand!D57</f>
        <v>0</v>
      </c>
      <c r="G59" s="2" t="n">
        <f aca="false">solgen!D57</f>
        <v>0</v>
      </c>
      <c r="H59" s="2" t="n">
        <f aca="false">import!D57</f>
        <v>0</v>
      </c>
      <c r="I59" s="2" t="n">
        <f aca="false">-export!D57</f>
        <v>-0</v>
      </c>
      <c r="J59" s="2" t="n">
        <f aca="false">-charge!D57</f>
        <v>-0</v>
      </c>
      <c r="K59" s="2" t="n">
        <f aca="false">discharge!D57</f>
        <v>0</v>
      </c>
      <c r="L59" s="2" t="n">
        <f aca="false">soc!D57/investment!$E$3 *100</f>
        <v>74.081291326846</v>
      </c>
    </row>
    <row r="60" customFormat="false" ht="13.8" hidden="false" customHeight="false" outlineLevel="0" collapsed="false">
      <c r="B60" s="11" t="n">
        <f aca="false">_xlfn.NUMBERVALUE(solar!B57)</f>
        <v>111</v>
      </c>
      <c r="C60" s="12" t="n">
        <f aca="false">solar!C57</f>
        <v>0</v>
      </c>
      <c r="D60" s="6" t="n">
        <v>56</v>
      </c>
      <c r="E60" s="17" t="n">
        <f aca="false">IFERROR(INDEX($B$5:$C$173, MATCH($D60, $B$5:$B$175, 0), 2), 0)*investment!$C$3</f>
        <v>0</v>
      </c>
      <c r="F60" s="18" t="n">
        <f aca="false">demand!D58</f>
        <v>0</v>
      </c>
      <c r="G60" s="2" t="n">
        <f aca="false">solgen!D58</f>
        <v>0</v>
      </c>
      <c r="H60" s="2" t="n">
        <f aca="false">import!D58</f>
        <v>0</v>
      </c>
      <c r="I60" s="2" t="n">
        <f aca="false">-export!D58</f>
        <v>-0</v>
      </c>
      <c r="J60" s="2" t="n">
        <f aca="false">-charge!D58</f>
        <v>-0</v>
      </c>
      <c r="K60" s="2" t="n">
        <f aca="false">discharge!D58</f>
        <v>0</v>
      </c>
      <c r="L60" s="2" t="n">
        <f aca="false">soc!D58/investment!$E$3 *100</f>
        <v>77.7033104526821</v>
      </c>
    </row>
    <row r="61" customFormat="false" ht="13.8" hidden="false" customHeight="false" outlineLevel="0" collapsed="false">
      <c r="B61" s="11" t="n">
        <f aca="false">_xlfn.NUMBERVALUE(solar!B58)</f>
        <v>112</v>
      </c>
      <c r="C61" s="12" t="n">
        <f aca="false">solar!C58</f>
        <v>0</v>
      </c>
      <c r="D61" s="6" t="n">
        <v>57</v>
      </c>
      <c r="E61" s="17" t="n">
        <f aca="false">IFERROR(INDEX($B$5:$C$173, MATCH($D61, $B$5:$B$175, 0), 2), 0)*investment!$C$3</f>
        <v>0</v>
      </c>
      <c r="F61" s="18" t="n">
        <f aca="false">demand!D59</f>
        <v>0</v>
      </c>
      <c r="G61" s="2" t="n">
        <f aca="false">solgen!D59</f>
        <v>0</v>
      </c>
      <c r="H61" s="2" t="n">
        <f aca="false">import!D59</f>
        <v>0</v>
      </c>
      <c r="I61" s="2" t="n">
        <f aca="false">-export!D59</f>
        <v>-0</v>
      </c>
      <c r="J61" s="2" t="n">
        <f aca="false">-charge!D59</f>
        <v>-0</v>
      </c>
      <c r="K61" s="2" t="n">
        <f aca="false">discharge!D59</f>
        <v>0</v>
      </c>
      <c r="L61" s="2" t="n">
        <f aca="false">soc!D59/investment!$E$3 *100</f>
        <v>81.1919071440265</v>
      </c>
    </row>
    <row r="62" customFormat="false" ht="13.8" hidden="false" customHeight="false" outlineLevel="0" collapsed="false">
      <c r="B62" s="11" t="n">
        <f aca="false">_xlfn.NUMBERVALUE(solar!B59)</f>
        <v>113</v>
      </c>
      <c r="C62" s="12" t="n">
        <f aca="false">solar!C59</f>
        <v>0</v>
      </c>
      <c r="D62" s="6" t="n">
        <v>58</v>
      </c>
      <c r="E62" s="17" t="n">
        <f aca="false">IFERROR(INDEX($B$5:$C$173, MATCH($D62, $B$5:$B$175, 0), 2), 0)*investment!$C$3</f>
        <v>0</v>
      </c>
      <c r="F62" s="18" t="n">
        <f aca="false">demand!D60</f>
        <v>0</v>
      </c>
      <c r="G62" s="2" t="n">
        <f aca="false">solgen!D60</f>
        <v>0</v>
      </c>
      <c r="H62" s="2" t="n">
        <f aca="false">import!D60</f>
        <v>0</v>
      </c>
      <c r="I62" s="2" t="n">
        <f aca="false">-export!D60</f>
        <v>-0</v>
      </c>
      <c r="J62" s="2" t="n">
        <f aca="false">-charge!D60</f>
        <v>-0</v>
      </c>
      <c r="K62" s="2" t="n">
        <f aca="false">discharge!D60</f>
        <v>0</v>
      </c>
      <c r="L62" s="2" t="n">
        <f aca="false">soc!D60/investment!$E$3 *100</f>
        <v>84.3125646418106</v>
      </c>
    </row>
    <row r="63" customFormat="false" ht="13.8" hidden="false" customHeight="false" outlineLevel="0" collapsed="false">
      <c r="B63" s="11" t="n">
        <f aca="false">_xlfn.NUMBERVALUE(solar!B60)</f>
        <v>114</v>
      </c>
      <c r="C63" s="12" t="n">
        <f aca="false">solar!C60</f>
        <v>0</v>
      </c>
      <c r="D63" s="6" t="n">
        <v>59</v>
      </c>
      <c r="E63" s="17" t="n">
        <f aca="false">IFERROR(INDEX($B$5:$C$173, MATCH($D63, $B$5:$B$175, 0), 2), 0)*investment!$C$3</f>
        <v>0</v>
      </c>
      <c r="F63" s="18" t="n">
        <f aca="false">demand!D61</f>
        <v>0</v>
      </c>
      <c r="G63" s="2" t="n">
        <f aca="false">solgen!D61</f>
        <v>0</v>
      </c>
      <c r="H63" s="2" t="n">
        <f aca="false">import!D61</f>
        <v>0</v>
      </c>
      <c r="I63" s="2" t="n">
        <f aca="false">-export!D61</f>
        <v>-0</v>
      </c>
      <c r="J63" s="2" t="n">
        <f aca="false">-charge!D61</f>
        <v>-0</v>
      </c>
      <c r="K63" s="2" t="n">
        <f aca="false">discharge!D61</f>
        <v>0</v>
      </c>
      <c r="L63" s="2" t="n">
        <f aca="false">soc!D61/investment!$E$3 *100</f>
        <v>87.0652866254264</v>
      </c>
    </row>
    <row r="64" customFormat="false" ht="13.8" hidden="false" customHeight="false" outlineLevel="0" collapsed="false">
      <c r="B64" s="11" t="n">
        <f aca="false">_xlfn.NUMBERVALUE(solar!B61)</f>
        <v>115</v>
      </c>
      <c r="C64" s="12" t="n">
        <f aca="false">solar!C61</f>
        <v>0</v>
      </c>
      <c r="D64" s="6" t="n">
        <v>60</v>
      </c>
      <c r="E64" s="17" t="n">
        <f aca="false">IFERROR(INDEX($B$5:$C$173, MATCH($D64, $B$5:$B$175, 0), 2), 0)*investment!$C$3</f>
        <v>0</v>
      </c>
      <c r="F64" s="18" t="n">
        <f aca="false">demand!D62</f>
        <v>0</v>
      </c>
      <c r="G64" s="2" t="n">
        <f aca="false">solgen!D62</f>
        <v>0</v>
      </c>
      <c r="H64" s="2" t="n">
        <f aca="false">import!D62</f>
        <v>0</v>
      </c>
      <c r="I64" s="2" t="n">
        <f aca="false">-export!D62</f>
        <v>-0</v>
      </c>
      <c r="J64" s="2" t="n">
        <f aca="false">-charge!D62</f>
        <v>-0</v>
      </c>
      <c r="K64" s="2" t="n">
        <f aca="false">discharge!D62</f>
        <v>0</v>
      </c>
      <c r="L64" s="2" t="n">
        <f aca="false">soc!D62/investment!$E$3 *100</f>
        <v>89.4500767742291</v>
      </c>
    </row>
    <row r="65" customFormat="false" ht="13.8" hidden="false" customHeight="false" outlineLevel="0" collapsed="false">
      <c r="B65" s="11" t="n">
        <f aca="false">_xlfn.NUMBERVALUE(solar!B62)</f>
        <v>128</v>
      </c>
      <c r="C65" s="12" t="n">
        <f aca="false">solar!C62</f>
        <v>0</v>
      </c>
      <c r="D65" s="6" t="n">
        <v>61</v>
      </c>
      <c r="E65" s="17" t="n">
        <f aca="false">IFERROR(INDEX($B$5:$C$173, MATCH($D65, $B$5:$B$175, 0), 2), 0)*investment!$C$3</f>
        <v>0</v>
      </c>
      <c r="F65" s="18" t="n">
        <f aca="false">demand!D63</f>
        <v>0</v>
      </c>
      <c r="G65" s="2" t="n">
        <f aca="false">solgen!D63</f>
        <v>0</v>
      </c>
      <c r="H65" s="2" t="n">
        <f aca="false">import!D63</f>
        <v>0</v>
      </c>
      <c r="I65" s="2" t="n">
        <f aca="false">-export!D63</f>
        <v>-0</v>
      </c>
      <c r="J65" s="2" t="n">
        <f aca="false">-charge!D63</f>
        <v>-0</v>
      </c>
      <c r="K65" s="2" t="n">
        <f aca="false">discharge!D63</f>
        <v>0</v>
      </c>
      <c r="L65" s="2" t="n">
        <f aca="false">soc!D63/investment!$E$3 *100</f>
        <v>91.466938767537</v>
      </c>
    </row>
    <row r="66" customFormat="false" ht="13.8" hidden="false" customHeight="false" outlineLevel="0" collapsed="false">
      <c r="B66" s="11" t="n">
        <f aca="false">_xlfn.NUMBERVALUE(solar!B63)</f>
        <v>129</v>
      </c>
      <c r="C66" s="12" t="n">
        <f aca="false">solar!C63</f>
        <v>0</v>
      </c>
      <c r="D66" s="6" t="n">
        <v>62</v>
      </c>
      <c r="E66" s="17" t="n">
        <f aca="false">IFERROR(INDEX($B$5:$C$173, MATCH($D66, $B$5:$B$175, 0), 2), 0)*investment!$C$3</f>
        <v>0</v>
      </c>
      <c r="F66" s="18" t="n">
        <f aca="false">demand!D64</f>
        <v>0</v>
      </c>
      <c r="G66" s="2" t="n">
        <f aca="false">solgen!D64</f>
        <v>0</v>
      </c>
      <c r="H66" s="2" t="n">
        <f aca="false">import!D64</f>
        <v>0</v>
      </c>
      <c r="I66" s="2" t="n">
        <f aca="false">-export!D64</f>
        <v>-0</v>
      </c>
      <c r="J66" s="2" t="n">
        <f aca="false">-charge!D64</f>
        <v>-0</v>
      </c>
      <c r="K66" s="2" t="n">
        <f aca="false">discharge!D64</f>
        <v>0</v>
      </c>
      <c r="L66" s="2" t="n">
        <f aca="false">soc!D64/investment!$E$3 *100</f>
        <v>93.2959793106042</v>
      </c>
    </row>
    <row r="67" customFormat="false" ht="13.8" hidden="false" customHeight="false" outlineLevel="0" collapsed="false">
      <c r="B67" s="11" t="n">
        <f aca="false">_xlfn.NUMBERVALUE(solar!B64)</f>
        <v>130</v>
      </c>
      <c r="C67" s="12" t="n">
        <f aca="false">solar!C64</f>
        <v>0</v>
      </c>
      <c r="D67" s="6" t="n">
        <v>63</v>
      </c>
      <c r="E67" s="17" t="n">
        <f aca="false">IFERROR(INDEX($B$5:$C$173, MATCH($D67, $B$5:$B$175, 0), 2), 0)*investment!$C$3</f>
        <v>0</v>
      </c>
      <c r="F67" s="18" t="n">
        <f aca="false">demand!D65</f>
        <v>0</v>
      </c>
      <c r="G67" s="2" t="n">
        <f aca="false">solgen!D65</f>
        <v>0</v>
      </c>
      <c r="H67" s="2" t="n">
        <f aca="false">import!D65</f>
        <v>0</v>
      </c>
      <c r="I67" s="2" t="n">
        <f aca="false">-export!D65</f>
        <v>-0</v>
      </c>
      <c r="J67" s="2" t="n">
        <f aca="false">-charge!D65</f>
        <v>-0</v>
      </c>
      <c r="K67" s="2" t="n">
        <f aca="false">discharge!D65</f>
        <v>0</v>
      </c>
      <c r="L67" s="2" t="n">
        <f aca="false">soc!D65/investment!$E$3 *100</f>
        <v>94.9372002816454</v>
      </c>
    </row>
    <row r="68" customFormat="false" ht="13.8" hidden="false" customHeight="false" outlineLevel="0" collapsed="false">
      <c r="B68" s="11" t="n">
        <f aca="false">_xlfn.NUMBERVALUE(solar!B65)</f>
        <v>131</v>
      </c>
      <c r="C68" s="12" t="n">
        <f aca="false">solar!C65</f>
        <v>0</v>
      </c>
      <c r="D68" s="6" t="n">
        <v>64</v>
      </c>
      <c r="E68" s="17" t="n">
        <f aca="false">IFERROR(INDEX($B$5:$C$173, MATCH($D68, $B$5:$B$175, 0), 2), 0)*investment!$C$3</f>
        <v>0</v>
      </c>
      <c r="F68" s="18" t="n">
        <f aca="false">demand!D66</f>
        <v>0</v>
      </c>
      <c r="G68" s="2" t="n">
        <f aca="false">solgen!D66</f>
        <v>0</v>
      </c>
      <c r="H68" s="2" t="n">
        <f aca="false">import!D66</f>
        <v>0</v>
      </c>
      <c r="I68" s="2" t="n">
        <f aca="false">-export!D66</f>
        <v>-0</v>
      </c>
      <c r="J68" s="2" t="n">
        <f aca="false">-charge!D66</f>
        <v>-0</v>
      </c>
      <c r="K68" s="2" t="n">
        <f aca="false">discharge!D66</f>
        <v>0</v>
      </c>
      <c r="L68" s="2" t="n">
        <f aca="false">soc!D66/investment!$E$3 *100</f>
        <v>96.3906035588561</v>
      </c>
    </row>
    <row r="69" customFormat="false" ht="13.8" hidden="false" customHeight="false" outlineLevel="0" collapsed="false">
      <c r="B69" s="11" t="n">
        <f aca="false">_xlfn.NUMBERVALUE(solar!B66)</f>
        <v>132</v>
      </c>
      <c r="C69" s="12" t="n">
        <f aca="false">solar!C66</f>
        <v>0</v>
      </c>
      <c r="D69" s="6" t="n">
        <v>65</v>
      </c>
      <c r="E69" s="17" t="n">
        <f aca="false">IFERROR(INDEX($B$5:$C$173, MATCH($D69, $B$5:$B$175, 0), 2), 0)*investment!$C$3</f>
        <v>0</v>
      </c>
      <c r="F69" s="18" t="n">
        <f aca="false">demand!D67</f>
        <v>0</v>
      </c>
      <c r="G69" s="2" t="n">
        <f aca="false">solgen!D67</f>
        <v>0</v>
      </c>
      <c r="H69" s="2" t="n">
        <f aca="false">import!D67</f>
        <v>0</v>
      </c>
      <c r="I69" s="2" t="n">
        <f aca="false">-export!D67</f>
        <v>-0</v>
      </c>
      <c r="J69" s="2" t="n">
        <f aca="false">-charge!D67</f>
        <v>-0</v>
      </c>
      <c r="K69" s="2" t="n">
        <f aca="false">discharge!D67</f>
        <v>0</v>
      </c>
      <c r="L69" s="2" t="n">
        <f aca="false">soc!D67/investment!$E$3 *100</f>
        <v>97.6561910204134</v>
      </c>
    </row>
    <row r="70" customFormat="false" ht="13.8" hidden="false" customHeight="false" outlineLevel="0" collapsed="false">
      <c r="B70" s="11" t="n">
        <f aca="false">_xlfn.NUMBERVALUE(solar!B67)</f>
        <v>133</v>
      </c>
      <c r="C70" s="12" t="n">
        <f aca="false">solar!C67</f>
        <v>0</v>
      </c>
      <c r="D70" s="6" t="n">
        <v>66</v>
      </c>
      <c r="E70" s="17" t="n">
        <f aca="false">IFERROR(INDEX($B$5:$C$173, MATCH($D70, $B$5:$B$175, 0), 2), 0)*investment!$C$3</f>
        <v>0</v>
      </c>
      <c r="F70" s="18" t="n">
        <f aca="false">demand!D68</f>
        <v>0</v>
      </c>
      <c r="G70" s="2" t="n">
        <f aca="false">solgen!D68</f>
        <v>0</v>
      </c>
      <c r="H70" s="2" t="n">
        <f aca="false">import!D68</f>
        <v>0</v>
      </c>
      <c r="I70" s="2" t="n">
        <f aca="false">-export!D68</f>
        <v>-0</v>
      </c>
      <c r="J70" s="2" t="n">
        <f aca="false">-charge!D68</f>
        <v>-0</v>
      </c>
      <c r="K70" s="2" t="n">
        <f aca="false">discharge!D68</f>
        <v>0</v>
      </c>
      <c r="L70" s="2" t="n">
        <f aca="false">soc!D68/investment!$E$3 *100</f>
        <v>98.7304845111004</v>
      </c>
    </row>
    <row r="71" customFormat="false" ht="13.8" hidden="false" customHeight="false" outlineLevel="0" collapsed="false">
      <c r="B71" s="11" t="n">
        <f aca="false">_xlfn.NUMBERVALUE(solar!B68)</f>
        <v>134</v>
      </c>
      <c r="C71" s="12" t="n">
        <f aca="false">solar!C68</f>
        <v>0</v>
      </c>
      <c r="D71" s="6" t="n">
        <v>67</v>
      </c>
      <c r="E71" s="17" t="n">
        <f aca="false">IFERROR(INDEX($B$5:$C$173, MATCH($D71, $B$5:$B$175, 0), 2), 0)*investment!$C$3</f>
        <v>0</v>
      </c>
      <c r="F71" s="18" t="n">
        <f aca="false">demand!D69</f>
        <v>0</v>
      </c>
      <c r="G71" s="2" t="n">
        <f aca="false">solgen!D69</f>
        <v>0</v>
      </c>
      <c r="H71" s="2" t="n">
        <f aca="false">import!D69</f>
        <v>0</v>
      </c>
      <c r="I71" s="2" t="n">
        <f aca="false">-export!D69</f>
        <v>-0</v>
      </c>
      <c r="J71" s="2" t="n">
        <f aca="false">-charge!D69</f>
        <v>-0</v>
      </c>
      <c r="K71" s="2" t="n">
        <f aca="false">discharge!D69</f>
        <v>0</v>
      </c>
      <c r="L71" s="2" t="n">
        <f aca="false">soc!D69/investment!$E$3 *100</f>
        <v>99.6134859438566</v>
      </c>
    </row>
    <row r="72" customFormat="false" ht="13.8" hidden="false" customHeight="false" outlineLevel="0" collapsed="false">
      <c r="B72" s="11" t="n">
        <f aca="false">_xlfn.NUMBERVALUE(solar!B69)</f>
        <v>135</v>
      </c>
      <c r="C72" s="12" t="n">
        <f aca="false">solar!C69</f>
        <v>0</v>
      </c>
      <c r="D72" s="6" t="n">
        <v>68</v>
      </c>
      <c r="E72" s="17" t="n">
        <f aca="false">IFERROR(INDEX($B$5:$C$173, MATCH($D72, $B$5:$B$175, 0), 2), 0)*investment!$C$3</f>
        <v>0</v>
      </c>
      <c r="F72" s="18" t="n">
        <f aca="false">demand!D70</f>
        <v>0</v>
      </c>
      <c r="G72" s="2" t="n">
        <f aca="false">solgen!D70</f>
        <v>0</v>
      </c>
      <c r="H72" s="2" t="n">
        <f aca="false">import!D70</f>
        <v>0</v>
      </c>
      <c r="I72" s="2" t="n">
        <f aca="false">-export!D70</f>
        <v>-0</v>
      </c>
      <c r="J72" s="2" t="n">
        <f aca="false">-charge!D70</f>
        <v>-0</v>
      </c>
      <c r="K72" s="2" t="n">
        <f aca="false">discharge!D70</f>
        <v>0</v>
      </c>
      <c r="L72" s="2" t="n">
        <f aca="false">soc!D70/investment!$E$3 *100</f>
        <v>100</v>
      </c>
    </row>
    <row r="73" customFormat="false" ht="13.8" hidden="false" customHeight="false" outlineLevel="0" collapsed="false">
      <c r="B73" s="11" t="n">
        <f aca="false">_xlfn.NUMBERVALUE(solar!B70)</f>
        <v>136</v>
      </c>
      <c r="C73" s="12" t="n">
        <f aca="false">solar!C70</f>
        <v>0</v>
      </c>
      <c r="D73" s="6" t="n">
        <v>69</v>
      </c>
      <c r="E73" s="17" t="n">
        <f aca="false">IFERROR(INDEX($B$5:$C$173, MATCH($D73, $B$5:$B$175, 0), 2), 0)*investment!$C$3</f>
        <v>0</v>
      </c>
      <c r="F73" s="18" t="n">
        <f aca="false">demand!D71</f>
        <v>0</v>
      </c>
      <c r="G73" s="2" t="n">
        <f aca="false">solgen!D71</f>
        <v>0</v>
      </c>
      <c r="H73" s="2" t="n">
        <f aca="false">import!D71</f>
        <v>0</v>
      </c>
      <c r="I73" s="2" t="n">
        <f aca="false">-export!D71</f>
        <v>-0</v>
      </c>
      <c r="J73" s="2" t="n">
        <f aca="false">-charge!D71</f>
        <v>-0</v>
      </c>
      <c r="K73" s="2" t="n">
        <f aca="false">discharge!D71</f>
        <v>0</v>
      </c>
      <c r="L73" s="2" t="n">
        <f aca="false">soc!D71/investment!$E$3 *100</f>
        <v>99.999</v>
      </c>
    </row>
    <row r="74" customFormat="false" ht="13.8" hidden="false" customHeight="false" outlineLevel="0" collapsed="false">
      <c r="B74" s="11" t="n">
        <f aca="false">_xlfn.NUMBERVALUE(solar!B71)</f>
        <v>137</v>
      </c>
      <c r="C74" s="12" t="n">
        <f aca="false">solar!C71</f>
        <v>0</v>
      </c>
      <c r="D74" s="6" t="n">
        <v>70</v>
      </c>
      <c r="E74" s="17" t="n">
        <f aca="false">IFERROR(INDEX($B$5:$C$173, MATCH($D74, $B$5:$B$175, 0), 2), 0)*investment!$C$3</f>
        <v>0</v>
      </c>
      <c r="F74" s="18" t="n">
        <f aca="false">demand!D72</f>
        <v>0</v>
      </c>
      <c r="G74" s="2" t="n">
        <f aca="false">solgen!D72</f>
        <v>0</v>
      </c>
      <c r="H74" s="2" t="n">
        <f aca="false">import!D72</f>
        <v>0</v>
      </c>
      <c r="I74" s="2" t="n">
        <f aca="false">-export!D72</f>
        <v>-0</v>
      </c>
      <c r="J74" s="2" t="n">
        <f aca="false">-charge!D72</f>
        <v>-0</v>
      </c>
      <c r="K74" s="2" t="n">
        <f aca="false">discharge!D72</f>
        <v>0</v>
      </c>
      <c r="L74" s="2" t="n">
        <f aca="false">soc!D72/investment!$E$3 *100</f>
        <v>99.99800001</v>
      </c>
    </row>
    <row r="75" customFormat="false" ht="13.8" hidden="false" customHeight="false" outlineLevel="0" collapsed="false">
      <c r="B75" s="11" t="n">
        <f aca="false">_xlfn.NUMBERVALUE(solar!B72)</f>
        <v>138</v>
      </c>
      <c r="C75" s="12" t="n">
        <f aca="false">solar!C72</f>
        <v>0</v>
      </c>
      <c r="D75" s="6" t="n">
        <v>71</v>
      </c>
      <c r="E75" s="17" t="n">
        <f aca="false">IFERROR(INDEX($B$5:$C$173, MATCH($D75, $B$5:$B$175, 0), 2), 0)*investment!$C$3</f>
        <v>0</v>
      </c>
      <c r="F75" s="18" t="n">
        <f aca="false">demand!D73</f>
        <v>0</v>
      </c>
      <c r="G75" s="2" t="n">
        <f aca="false">solgen!D73</f>
        <v>0</v>
      </c>
      <c r="H75" s="2" t="n">
        <f aca="false">import!D73</f>
        <v>0</v>
      </c>
      <c r="I75" s="2" t="n">
        <f aca="false">-export!D73</f>
        <v>-0</v>
      </c>
      <c r="J75" s="2" t="n">
        <f aca="false">-charge!D73</f>
        <v>-0</v>
      </c>
      <c r="K75" s="2" t="n">
        <f aca="false">discharge!D73</f>
        <v>0</v>
      </c>
      <c r="L75" s="2" t="n">
        <f aca="false">soc!D73/investment!$E$3 *100</f>
        <v>99.9970000299999</v>
      </c>
    </row>
    <row r="76" customFormat="false" ht="13.8" hidden="false" customHeight="false" outlineLevel="0" collapsed="false">
      <c r="B76" s="11" t="n">
        <f aca="false">_xlfn.NUMBERVALUE(solar!B73)</f>
        <v>139</v>
      </c>
      <c r="C76" s="12" t="n">
        <f aca="false">solar!C73</f>
        <v>0</v>
      </c>
      <c r="D76" s="6" t="n">
        <v>72</v>
      </c>
      <c r="E76" s="17" t="n">
        <f aca="false">IFERROR(INDEX($B$5:$C$173, MATCH($D76, $B$5:$B$175, 0), 2), 0)*investment!$C$3</f>
        <v>0</v>
      </c>
      <c r="F76" s="18" t="n">
        <f aca="false">demand!D74</f>
        <v>0</v>
      </c>
      <c r="G76" s="2" t="n">
        <f aca="false">solgen!D74</f>
        <v>0</v>
      </c>
      <c r="H76" s="2" t="n">
        <f aca="false">import!D74</f>
        <v>0</v>
      </c>
      <c r="I76" s="2" t="n">
        <f aca="false">-export!D74</f>
        <v>-0</v>
      </c>
      <c r="J76" s="2" t="n">
        <f aca="false">-charge!D74</f>
        <v>-0</v>
      </c>
      <c r="K76" s="2" t="n">
        <f aca="false">discharge!D74</f>
        <v>0</v>
      </c>
      <c r="L76" s="2" t="n">
        <f aca="false">soc!D74/investment!$E$3 *100</f>
        <v>99.9960000599996</v>
      </c>
    </row>
    <row r="77" customFormat="false" ht="13.8" hidden="false" customHeight="false" outlineLevel="0" collapsed="false">
      <c r="B77" s="11" t="n">
        <f aca="false">_xlfn.NUMBERVALUE(solar!B74)</f>
        <v>152</v>
      </c>
      <c r="C77" s="12" t="n">
        <f aca="false">solar!C74</f>
        <v>0</v>
      </c>
      <c r="D77" s="6" t="n">
        <v>73</v>
      </c>
      <c r="E77" s="17" t="n">
        <f aca="false">IFERROR(INDEX($B$5:$C$173, MATCH($D77, $B$5:$B$175, 0), 2), 0)*investment!$C$3</f>
        <v>0</v>
      </c>
      <c r="F77" s="18" t="n">
        <f aca="false">demand!D75</f>
        <v>0</v>
      </c>
      <c r="G77" s="2" t="n">
        <f aca="false">solgen!D75</f>
        <v>0</v>
      </c>
      <c r="H77" s="2" t="n">
        <f aca="false">import!D75</f>
        <v>0</v>
      </c>
      <c r="I77" s="2" t="n">
        <f aca="false">-export!D75</f>
        <v>-0</v>
      </c>
      <c r="J77" s="2" t="n">
        <f aca="false">-charge!D75</f>
        <v>-0</v>
      </c>
      <c r="K77" s="2" t="n">
        <f aca="false">discharge!D75</f>
        <v>0</v>
      </c>
      <c r="L77" s="2" t="n">
        <f aca="false">soc!D75/investment!$E$3 *100</f>
        <v>99.995000099999</v>
      </c>
    </row>
    <row r="78" customFormat="false" ht="13.8" hidden="false" customHeight="false" outlineLevel="0" collapsed="false">
      <c r="B78" s="11" t="n">
        <f aca="false">_xlfn.NUMBERVALUE(solar!B75)</f>
        <v>153</v>
      </c>
      <c r="C78" s="12" t="n">
        <f aca="false">solar!C75</f>
        <v>0</v>
      </c>
      <c r="D78" s="6" t="n">
        <v>74</v>
      </c>
      <c r="E78" s="17" t="n">
        <f aca="false">IFERROR(INDEX($B$5:$C$173, MATCH($D78, $B$5:$B$175, 0), 2), 0)*investment!$C$3</f>
        <v>0</v>
      </c>
      <c r="F78" s="18" t="n">
        <f aca="false">demand!D76</f>
        <v>0</v>
      </c>
      <c r="G78" s="2" t="n">
        <f aca="false">solgen!D76</f>
        <v>0</v>
      </c>
      <c r="H78" s="2" t="n">
        <f aca="false">import!D76</f>
        <v>0</v>
      </c>
      <c r="I78" s="2" t="n">
        <f aca="false">-export!D76</f>
        <v>-0</v>
      </c>
      <c r="J78" s="2" t="n">
        <f aca="false">-charge!D76</f>
        <v>-0</v>
      </c>
      <c r="K78" s="2" t="n">
        <f aca="false">discharge!D76</f>
        <v>0</v>
      </c>
      <c r="L78" s="2" t="n">
        <f aca="false">soc!D76/investment!$E$3 *100</f>
        <v>99.994000149998</v>
      </c>
    </row>
    <row r="79" customFormat="false" ht="13.8" hidden="false" customHeight="false" outlineLevel="0" collapsed="false">
      <c r="B79" s="11" t="n">
        <f aca="false">_xlfn.NUMBERVALUE(solar!B76)</f>
        <v>154</v>
      </c>
      <c r="C79" s="12" t="n">
        <f aca="false">solar!C76</f>
        <v>0</v>
      </c>
      <c r="D79" s="6" t="n">
        <v>75</v>
      </c>
      <c r="E79" s="17" t="n">
        <f aca="false">IFERROR(INDEX($B$5:$C$173, MATCH($D79, $B$5:$B$175, 0), 2), 0)*investment!$C$3</f>
        <v>0</v>
      </c>
      <c r="F79" s="18" t="n">
        <f aca="false">demand!D77</f>
        <v>0</v>
      </c>
      <c r="G79" s="2" t="n">
        <f aca="false">solgen!D77</f>
        <v>0</v>
      </c>
      <c r="H79" s="2" t="n">
        <f aca="false">import!D77</f>
        <v>0</v>
      </c>
      <c r="I79" s="2" t="n">
        <f aca="false">-export!D77</f>
        <v>-0</v>
      </c>
      <c r="J79" s="2" t="n">
        <f aca="false">-charge!D77</f>
        <v>-0</v>
      </c>
      <c r="K79" s="2" t="n">
        <f aca="false">discharge!D77</f>
        <v>0</v>
      </c>
      <c r="L79" s="2" t="n">
        <f aca="false">soc!D77/investment!$E$3 *100</f>
        <v>99.9930002099966</v>
      </c>
    </row>
    <row r="80" customFormat="false" ht="13.8" hidden="false" customHeight="false" outlineLevel="0" collapsed="false">
      <c r="B80" s="11" t="n">
        <f aca="false">_xlfn.NUMBERVALUE(solar!B77)</f>
        <v>155</v>
      </c>
      <c r="C80" s="12" t="n">
        <f aca="false">solar!C77</f>
        <v>0</v>
      </c>
      <c r="D80" s="6" t="n">
        <v>76</v>
      </c>
      <c r="E80" s="17" t="n">
        <f aca="false">IFERROR(INDEX($B$5:$C$173, MATCH($D80, $B$5:$B$175, 0), 2), 0)*investment!$C$3</f>
        <v>0</v>
      </c>
      <c r="F80" s="18" t="n">
        <f aca="false">demand!D78</f>
        <v>0</v>
      </c>
      <c r="G80" s="2" t="n">
        <f aca="false">solgen!D78</f>
        <v>0</v>
      </c>
      <c r="H80" s="2" t="n">
        <f aca="false">import!D78</f>
        <v>0</v>
      </c>
      <c r="I80" s="2" t="n">
        <f aca="false">-export!D78</f>
        <v>-0</v>
      </c>
      <c r="J80" s="2" t="n">
        <f aca="false">-charge!D78</f>
        <v>-0</v>
      </c>
      <c r="K80" s="2" t="n">
        <f aca="false">discharge!D78</f>
        <v>0</v>
      </c>
      <c r="L80" s="2" t="n">
        <f aca="false">soc!D78/investment!$E$3 *100</f>
        <v>99.9920002799944</v>
      </c>
    </row>
    <row r="81" customFormat="false" ht="13.8" hidden="false" customHeight="false" outlineLevel="0" collapsed="false">
      <c r="B81" s="11" t="n">
        <f aca="false">_xlfn.NUMBERVALUE(solar!B78)</f>
        <v>156</v>
      </c>
      <c r="C81" s="12" t="n">
        <f aca="false">solar!C78</f>
        <v>0</v>
      </c>
      <c r="D81" s="6" t="n">
        <v>77</v>
      </c>
      <c r="E81" s="17" t="n">
        <f aca="false">IFERROR(INDEX($B$5:$C$173, MATCH($D81, $B$5:$B$175, 0), 2), 0)*investment!$C$3</f>
        <v>0</v>
      </c>
      <c r="F81" s="18" t="n">
        <f aca="false">demand!D79</f>
        <v>0</v>
      </c>
      <c r="G81" s="2" t="n">
        <f aca="false">solgen!D79</f>
        <v>0</v>
      </c>
      <c r="H81" s="2" t="n">
        <f aca="false">import!D79</f>
        <v>0</v>
      </c>
      <c r="I81" s="2" t="n">
        <f aca="false">-export!D79</f>
        <v>-0</v>
      </c>
      <c r="J81" s="2" t="n">
        <f aca="false">-charge!D79</f>
        <v>-0</v>
      </c>
      <c r="K81" s="2" t="n">
        <f aca="false">discharge!D79</f>
        <v>0</v>
      </c>
      <c r="L81" s="2" t="n">
        <f aca="false">soc!D79/investment!$E$3 *100</f>
        <v>99.9910003599917</v>
      </c>
    </row>
    <row r="82" customFormat="false" ht="13.8" hidden="false" customHeight="false" outlineLevel="0" collapsed="false">
      <c r="B82" s="11" t="n">
        <f aca="false">_xlfn.NUMBERVALUE(solar!B79)</f>
        <v>157</v>
      </c>
      <c r="C82" s="12" t="n">
        <f aca="false">solar!C79</f>
        <v>0</v>
      </c>
      <c r="D82" s="6" t="n">
        <v>78</v>
      </c>
      <c r="E82" s="17" t="n">
        <f aca="false">IFERROR(INDEX($B$5:$C$173, MATCH($D82, $B$5:$B$175, 0), 2), 0)*investment!$C$3</f>
        <v>0</v>
      </c>
      <c r="F82" s="18" t="n">
        <f aca="false">demand!D80</f>
        <v>0</v>
      </c>
      <c r="G82" s="2" t="n">
        <f aca="false">solgen!D80</f>
        <v>0</v>
      </c>
      <c r="H82" s="2" t="n">
        <f aca="false">import!D80</f>
        <v>0</v>
      </c>
      <c r="I82" s="2" t="n">
        <f aca="false">-export!D80</f>
        <v>-0</v>
      </c>
      <c r="J82" s="2" t="n">
        <f aca="false">-charge!D80</f>
        <v>-0</v>
      </c>
      <c r="K82" s="2" t="n">
        <f aca="false">discharge!D80</f>
        <v>0</v>
      </c>
      <c r="L82" s="2" t="n">
        <f aca="false">soc!D80/investment!$E$3 *100</f>
        <v>98.3766280930697</v>
      </c>
    </row>
    <row r="83" customFormat="false" ht="13.8" hidden="false" customHeight="false" outlineLevel="0" collapsed="false">
      <c r="B83" s="11" t="n">
        <f aca="false">_xlfn.NUMBERVALUE(solar!B80)</f>
        <v>158</v>
      </c>
      <c r="C83" s="12" t="n">
        <f aca="false">solar!C80</f>
        <v>0</v>
      </c>
      <c r="D83" s="6" t="n">
        <v>79</v>
      </c>
      <c r="E83" s="17" t="n">
        <f aca="false">IFERROR(INDEX($B$5:$C$173, MATCH($D83, $B$5:$B$175, 0), 2), 0)*investment!$C$3</f>
        <v>0</v>
      </c>
      <c r="F83" s="18" t="n">
        <f aca="false">demand!D81</f>
        <v>0</v>
      </c>
      <c r="G83" s="2" t="n">
        <f aca="false">solgen!D81</f>
        <v>0</v>
      </c>
      <c r="H83" s="2" t="n">
        <f aca="false">import!D81</f>
        <v>0</v>
      </c>
      <c r="I83" s="2" t="n">
        <f aca="false">-export!D81</f>
        <v>-0</v>
      </c>
      <c r="J83" s="2" t="n">
        <f aca="false">-charge!D81</f>
        <v>-0</v>
      </c>
      <c r="K83" s="2" t="n">
        <f aca="false">discharge!D81</f>
        <v>0</v>
      </c>
      <c r="L83" s="2" t="n">
        <f aca="false">soc!D81/investment!$E$3 *100</f>
        <v>93.5355272560335</v>
      </c>
    </row>
    <row r="84" customFormat="false" ht="13.8" hidden="false" customHeight="false" outlineLevel="0" collapsed="false">
      <c r="B84" s="11" t="n">
        <f aca="false">_xlfn.NUMBERVALUE(solar!B81)</f>
        <v>159</v>
      </c>
      <c r="C84" s="12" t="n">
        <f aca="false">solar!C81</f>
        <v>0</v>
      </c>
      <c r="D84" s="6" t="n">
        <v>80</v>
      </c>
      <c r="E84" s="17" t="n">
        <f aca="false">IFERROR(INDEX($B$5:$C$173, MATCH($D84, $B$5:$B$175, 0), 2), 0)*investment!$C$3</f>
        <v>0</v>
      </c>
      <c r="F84" s="18" t="n">
        <f aca="false">demand!D82</f>
        <v>0</v>
      </c>
      <c r="G84" s="2" t="n">
        <f aca="false">solgen!D82</f>
        <v>0</v>
      </c>
      <c r="H84" s="2" t="n">
        <f aca="false">import!D82</f>
        <v>0</v>
      </c>
      <c r="I84" s="2" t="n">
        <f aca="false">-export!D82</f>
        <v>-0</v>
      </c>
      <c r="J84" s="2" t="n">
        <f aca="false">-charge!D82</f>
        <v>-0</v>
      </c>
      <c r="K84" s="2" t="n">
        <f aca="false">discharge!D82</f>
        <v>0</v>
      </c>
      <c r="L84" s="2" t="n">
        <f aca="false">soc!D82/investment!$E$3 *100</f>
        <v>88.6944748300058</v>
      </c>
    </row>
    <row r="85" customFormat="false" ht="13.8" hidden="false" customHeight="false" outlineLevel="0" collapsed="false">
      <c r="B85" s="11" t="n">
        <f aca="false">_xlfn.NUMBERVALUE(solar!B82)</f>
        <v>160</v>
      </c>
      <c r="C85" s="12" t="n">
        <f aca="false">solar!C82</f>
        <v>0</v>
      </c>
      <c r="D85" s="6" t="n">
        <v>81</v>
      </c>
      <c r="E85" s="17" t="n">
        <f aca="false">IFERROR(INDEX($B$5:$C$173, MATCH($D85, $B$5:$B$175, 0), 2), 0)*investment!$C$3</f>
        <v>0</v>
      </c>
      <c r="F85" s="18" t="n">
        <f aca="false">demand!D83</f>
        <v>0</v>
      </c>
      <c r="G85" s="2" t="n">
        <f aca="false">solgen!D83</f>
        <v>0</v>
      </c>
      <c r="H85" s="2" t="n">
        <f aca="false">import!D83</f>
        <v>0</v>
      </c>
      <c r="I85" s="2" t="n">
        <f aca="false">-export!D83</f>
        <v>-0</v>
      </c>
      <c r="J85" s="2" t="n">
        <f aca="false">-charge!D83</f>
        <v>-0</v>
      </c>
      <c r="K85" s="2" t="n">
        <f aca="false">discharge!D83</f>
        <v>0</v>
      </c>
      <c r="L85" s="2" t="n">
        <f aca="false">soc!D83/investment!$E$3 *100</f>
        <v>83.8534708145023</v>
      </c>
    </row>
    <row r="86" customFormat="false" ht="13.8" hidden="false" customHeight="false" outlineLevel="0" collapsed="false">
      <c r="B86" s="11" t="n">
        <f aca="false">_xlfn.NUMBERVALUE(solar!B83)</f>
        <v>161</v>
      </c>
      <c r="C86" s="12" t="n">
        <f aca="false">solar!C83</f>
        <v>0</v>
      </c>
      <c r="D86" s="6" t="n">
        <v>82</v>
      </c>
      <c r="E86" s="17" t="n">
        <f aca="false">IFERROR(INDEX($B$5:$C$173, MATCH($D86, $B$5:$B$175, 0), 2), 0)*investment!$C$3</f>
        <v>0</v>
      </c>
      <c r="F86" s="18" t="n">
        <f aca="false">demand!D84</f>
        <v>0</v>
      </c>
      <c r="G86" s="2" t="n">
        <f aca="false">solgen!D84</f>
        <v>0</v>
      </c>
      <c r="H86" s="2" t="n">
        <f aca="false">import!D84</f>
        <v>0</v>
      </c>
      <c r="I86" s="2" t="n">
        <f aca="false">-export!D84</f>
        <v>-0</v>
      </c>
      <c r="J86" s="2" t="n">
        <f aca="false">-charge!D84</f>
        <v>-0</v>
      </c>
      <c r="K86" s="2" t="n">
        <f aca="false">discharge!D84</f>
        <v>0</v>
      </c>
      <c r="L86" s="2" t="n">
        <f aca="false">soc!D84/investment!$E$3 *100</f>
        <v>79.012515209039</v>
      </c>
    </row>
    <row r="87" customFormat="false" ht="13.8" hidden="false" customHeight="false" outlineLevel="0" collapsed="false">
      <c r="B87" s="11" t="n">
        <f aca="false">_xlfn.NUMBERVALUE(solar!B84)</f>
        <v>162</v>
      </c>
      <c r="C87" s="12" t="n">
        <f aca="false">solar!C84</f>
        <v>0</v>
      </c>
      <c r="D87" s="6" t="n">
        <v>83</v>
      </c>
      <c r="E87" s="17" t="n">
        <f aca="false">IFERROR(INDEX($B$5:$C$173, MATCH($D87, $B$5:$B$175, 0), 2), 0)*investment!$C$3</f>
        <v>0</v>
      </c>
      <c r="F87" s="18" t="n">
        <f aca="false">demand!D85</f>
        <v>0</v>
      </c>
      <c r="G87" s="2" t="n">
        <f aca="false">solgen!D85</f>
        <v>0</v>
      </c>
      <c r="H87" s="2" t="n">
        <f aca="false">import!D85</f>
        <v>0</v>
      </c>
      <c r="I87" s="2" t="n">
        <f aca="false">-export!D85</f>
        <v>-0</v>
      </c>
      <c r="J87" s="2" t="n">
        <f aca="false">-charge!D85</f>
        <v>-0</v>
      </c>
      <c r="K87" s="2" t="n">
        <f aca="false">discharge!D85</f>
        <v>0</v>
      </c>
      <c r="L87" s="2" t="n">
        <f aca="false">soc!D85/investment!$E$3 *100</f>
        <v>74.1716080131317</v>
      </c>
    </row>
    <row r="88" customFormat="false" ht="13.8" hidden="false" customHeight="false" outlineLevel="0" collapsed="false">
      <c r="B88" s="11" t="n">
        <f aca="false">_xlfn.NUMBERVALUE(solar!B85)</f>
        <v>163</v>
      </c>
      <c r="C88" s="12" t="n">
        <f aca="false">solar!C85</f>
        <v>0</v>
      </c>
      <c r="D88" s="6" t="n">
        <v>84</v>
      </c>
      <c r="E88" s="17" t="n">
        <f aca="false">IFERROR(INDEX($B$5:$C$173, MATCH($D88, $B$5:$B$175, 0), 2), 0)*investment!$C$3</f>
        <v>0</v>
      </c>
      <c r="F88" s="18" t="n">
        <f aca="false">demand!D86</f>
        <v>0</v>
      </c>
      <c r="G88" s="2" t="n">
        <f aca="false">solgen!D86</f>
        <v>0</v>
      </c>
      <c r="H88" s="2" t="n">
        <f aca="false">import!D86</f>
        <v>0</v>
      </c>
      <c r="I88" s="2" t="n">
        <f aca="false">-export!D86</f>
        <v>-0</v>
      </c>
      <c r="J88" s="2" t="n">
        <f aca="false">-charge!D86</f>
        <v>-0</v>
      </c>
      <c r="K88" s="2" t="n">
        <f aca="false">discharge!D86</f>
        <v>0</v>
      </c>
      <c r="L88" s="2" t="n">
        <f aca="false">soc!D86/investment!$E$3 *100</f>
        <v>69.3307492262963</v>
      </c>
    </row>
    <row r="89" customFormat="false" ht="13.8" hidden="false" customHeight="false" outlineLevel="0" collapsed="false">
      <c r="B89" s="11" t="n">
        <f aca="false">_xlfn.NUMBERVALUE(solar!B86)</f>
        <v>0</v>
      </c>
      <c r="C89" s="12" t="n">
        <f aca="false">solar!C86</f>
        <v>0</v>
      </c>
      <c r="D89" s="6" t="n">
        <v>85</v>
      </c>
      <c r="E89" s="17" t="n">
        <f aca="false">IFERROR(INDEX($B$5:$C$173, MATCH($D89, $B$5:$B$175, 0), 2), 0)*investment!$C$3</f>
        <v>0</v>
      </c>
      <c r="F89" s="18" t="n">
        <f aca="false">demand!D87</f>
        <v>0</v>
      </c>
      <c r="G89" s="2" t="n">
        <f aca="false">solgen!D87</f>
        <v>0</v>
      </c>
      <c r="H89" s="2" t="n">
        <f aca="false">import!D87</f>
        <v>0</v>
      </c>
      <c r="I89" s="2" t="n">
        <f aca="false">-export!D87</f>
        <v>-0</v>
      </c>
      <c r="J89" s="2" t="n">
        <f aca="false">-charge!D87</f>
        <v>-0</v>
      </c>
      <c r="K89" s="2" t="n">
        <f aca="false">discharge!D87</f>
        <v>0</v>
      </c>
      <c r="L89" s="2" t="n">
        <f aca="false">soc!D87/investment!$E$3 *100</f>
        <v>64.4899388480489</v>
      </c>
    </row>
    <row r="90" customFormat="false" ht="13.8" hidden="false" customHeight="false" outlineLevel="0" collapsed="false">
      <c r="B90" s="11" t="n">
        <f aca="false">_xlfn.NUMBERVALUE(solar!B87)</f>
        <v>0</v>
      </c>
      <c r="C90" s="12" t="n">
        <f aca="false">solar!C87</f>
        <v>0</v>
      </c>
      <c r="D90" s="6" t="n">
        <v>86</v>
      </c>
      <c r="E90" s="17" t="n">
        <f aca="false">IFERROR(INDEX($B$5:$C$173, MATCH($D90, $B$5:$B$175, 0), 2), 0)*investment!$C$3</f>
        <v>0</v>
      </c>
      <c r="F90" s="18" t="n">
        <f aca="false">demand!D88</f>
        <v>0</v>
      </c>
      <c r="G90" s="2" t="n">
        <f aca="false">solgen!D88</f>
        <v>0</v>
      </c>
      <c r="H90" s="2" t="n">
        <f aca="false">import!D88</f>
        <v>0</v>
      </c>
      <c r="I90" s="2" t="n">
        <f aca="false">-export!D88</f>
        <v>-0</v>
      </c>
      <c r="J90" s="2" t="n">
        <f aca="false">-charge!D88</f>
        <v>-0</v>
      </c>
      <c r="K90" s="2" t="n">
        <f aca="false">discharge!D88</f>
        <v>0</v>
      </c>
      <c r="L90" s="2" t="n">
        <f aca="false">soc!D88/investment!$E$3 *100</f>
        <v>59.6491768779052</v>
      </c>
    </row>
    <row r="91" customFormat="false" ht="13.8" hidden="false" customHeight="false" outlineLevel="0" collapsed="false">
      <c r="B91" s="11" t="n">
        <f aca="false">_xlfn.NUMBERVALUE(solar!B88)</f>
        <v>0</v>
      </c>
      <c r="C91" s="12" t="n">
        <f aca="false">solar!C88</f>
        <v>0</v>
      </c>
      <c r="D91" s="6" t="n">
        <v>87</v>
      </c>
      <c r="E91" s="17" t="n">
        <f aca="false">IFERROR(INDEX($B$5:$C$173, MATCH($D91, $B$5:$B$175, 0), 2), 0)*investment!$C$3</f>
        <v>0</v>
      </c>
      <c r="F91" s="18" t="n">
        <f aca="false">demand!D89</f>
        <v>0</v>
      </c>
      <c r="G91" s="2" t="n">
        <f aca="false">solgen!D89</f>
        <v>0</v>
      </c>
      <c r="H91" s="2" t="n">
        <f aca="false">import!D89</f>
        <v>0</v>
      </c>
      <c r="I91" s="2" t="n">
        <f aca="false">-export!D89</f>
        <v>-0</v>
      </c>
      <c r="J91" s="2" t="n">
        <f aca="false">-charge!D89</f>
        <v>-0</v>
      </c>
      <c r="K91" s="2" t="n">
        <f aca="false">discharge!D89</f>
        <v>0</v>
      </c>
      <c r="L91" s="2" t="n">
        <f aca="false">soc!D89/investment!$E$3 *100</f>
        <v>54.8084633153812</v>
      </c>
    </row>
    <row r="92" customFormat="false" ht="13.8" hidden="false" customHeight="false" outlineLevel="0" collapsed="false">
      <c r="B92" s="11" t="n">
        <f aca="false">_xlfn.NUMBERVALUE(solar!B89)</f>
        <v>0</v>
      </c>
      <c r="C92" s="12" t="n">
        <f aca="false">solar!C89</f>
        <v>0</v>
      </c>
      <c r="D92" s="6" t="n">
        <v>88</v>
      </c>
      <c r="E92" s="17" t="n">
        <f aca="false">IFERROR(INDEX($B$5:$C$173, MATCH($D92, $B$5:$B$175, 0), 2), 0)*investment!$C$3</f>
        <v>0</v>
      </c>
      <c r="F92" s="18" t="n">
        <f aca="false">demand!D90</f>
        <v>0</v>
      </c>
      <c r="G92" s="2" t="n">
        <f aca="false">solgen!D90</f>
        <v>0</v>
      </c>
      <c r="H92" s="2" t="n">
        <f aca="false">import!D90</f>
        <v>0</v>
      </c>
      <c r="I92" s="2" t="n">
        <f aca="false">-export!D90</f>
        <v>-0</v>
      </c>
      <c r="J92" s="2" t="n">
        <f aca="false">-charge!D90</f>
        <v>-0</v>
      </c>
      <c r="K92" s="2" t="n">
        <f aca="false">discharge!D90</f>
        <v>0</v>
      </c>
      <c r="L92" s="2" t="n">
        <f aca="false">soc!D90/investment!$E$3 *100</f>
        <v>49.9677981599929</v>
      </c>
    </row>
    <row r="93" customFormat="false" ht="13.8" hidden="false" customHeight="false" outlineLevel="0" collapsed="false">
      <c r="B93" s="11" t="n">
        <f aca="false">_xlfn.NUMBERVALUE(solar!B90)</f>
        <v>0</v>
      </c>
      <c r="C93" s="12" t="n">
        <f aca="false">solar!C90</f>
        <v>0</v>
      </c>
      <c r="D93" s="6" t="n">
        <v>89</v>
      </c>
      <c r="E93" s="17" t="n">
        <f aca="false">IFERROR(INDEX($B$5:$C$173, MATCH($D93, $B$5:$B$175, 0), 2), 0)*investment!$C$3</f>
        <v>0</v>
      </c>
      <c r="F93" s="18" t="n">
        <f aca="false">demand!D91</f>
        <v>0</v>
      </c>
      <c r="G93" s="2" t="n">
        <f aca="false">solgen!D91</f>
        <v>0</v>
      </c>
      <c r="H93" s="2" t="n">
        <f aca="false">import!D91</f>
        <v>0</v>
      </c>
      <c r="I93" s="2" t="n">
        <f aca="false">-export!D91</f>
        <v>-0</v>
      </c>
      <c r="J93" s="2" t="n">
        <f aca="false">-charge!D91</f>
        <v>-0</v>
      </c>
      <c r="K93" s="2" t="n">
        <f aca="false">discharge!D91</f>
        <v>0</v>
      </c>
      <c r="L93" s="2" t="n">
        <f aca="false">soc!D91/investment!$E$3 *100</f>
        <v>45.1271814112561</v>
      </c>
    </row>
    <row r="94" customFormat="false" ht="13.8" hidden="false" customHeight="false" outlineLevel="0" collapsed="false">
      <c r="B94" s="11" t="n">
        <f aca="false">_xlfn.NUMBERVALUE(solar!B91)</f>
        <v>0</v>
      </c>
      <c r="C94" s="12" t="n">
        <f aca="false">solar!C91</f>
        <v>0</v>
      </c>
      <c r="D94" s="6" t="n">
        <v>90</v>
      </c>
      <c r="E94" s="17" t="n">
        <f aca="false">IFERROR(INDEX($B$5:$C$173, MATCH($D94, $B$5:$B$175, 0), 2), 0)*investment!$C$3</f>
        <v>0</v>
      </c>
      <c r="F94" s="18" t="n">
        <f aca="false">demand!D92</f>
        <v>0</v>
      </c>
      <c r="G94" s="2" t="n">
        <f aca="false">solgen!D92</f>
        <v>0</v>
      </c>
      <c r="H94" s="2" t="n">
        <f aca="false">import!D92</f>
        <v>0</v>
      </c>
      <c r="I94" s="2" t="n">
        <f aca="false">-export!D92</f>
        <v>-0</v>
      </c>
      <c r="J94" s="2" t="n">
        <f aca="false">-charge!D92</f>
        <v>-0</v>
      </c>
      <c r="K94" s="2" t="n">
        <f aca="false">discharge!D92</f>
        <v>0</v>
      </c>
      <c r="L94" s="2" t="n">
        <f aca="false">soc!D92/investment!$E$3 *100</f>
        <v>40.2866130686868</v>
      </c>
    </row>
    <row r="95" customFormat="false" ht="13.8" hidden="false" customHeight="false" outlineLevel="0" collapsed="false">
      <c r="B95" s="11" t="n">
        <f aca="false">_xlfn.NUMBERVALUE(solar!B92)</f>
        <v>0</v>
      </c>
      <c r="C95" s="12" t="n">
        <f aca="false">solar!C92</f>
        <v>0</v>
      </c>
      <c r="D95" s="6" t="n">
        <v>91</v>
      </c>
      <c r="E95" s="17" t="n">
        <f aca="false">IFERROR(INDEX($B$5:$C$173, MATCH($D95, $B$5:$B$175, 0), 2), 0)*investment!$C$3</f>
        <v>0</v>
      </c>
      <c r="F95" s="18" t="n">
        <f aca="false">demand!D93</f>
        <v>0</v>
      </c>
      <c r="G95" s="2" t="n">
        <f aca="false">solgen!D93</f>
        <v>0</v>
      </c>
      <c r="H95" s="2" t="n">
        <f aca="false">import!D93</f>
        <v>0</v>
      </c>
      <c r="I95" s="2" t="n">
        <f aca="false">-export!D93</f>
        <v>-0</v>
      </c>
      <c r="J95" s="2" t="n">
        <f aca="false">-charge!D93</f>
        <v>-0</v>
      </c>
      <c r="K95" s="2" t="n">
        <f aca="false">discharge!D93</f>
        <v>0</v>
      </c>
      <c r="L95" s="2" t="n">
        <f aca="false">soc!D93/investment!$E$3 *100</f>
        <v>35.4460931318009</v>
      </c>
    </row>
    <row r="96" customFormat="false" ht="13.8" hidden="false" customHeight="false" outlineLevel="0" collapsed="false">
      <c r="B96" s="11" t="n">
        <f aca="false">_xlfn.NUMBERVALUE(solar!B93)</f>
        <v>0</v>
      </c>
      <c r="C96" s="12" t="n">
        <f aca="false">solar!C93</f>
        <v>0</v>
      </c>
      <c r="D96" s="6" t="n">
        <v>92</v>
      </c>
      <c r="E96" s="17" t="n">
        <f aca="false">IFERROR(INDEX($B$5:$C$173, MATCH($D96, $B$5:$B$175, 0), 2), 0)*investment!$C$3</f>
        <v>0</v>
      </c>
      <c r="F96" s="18" t="n">
        <f aca="false">demand!D94</f>
        <v>0</v>
      </c>
      <c r="G96" s="2" t="n">
        <f aca="false">solgen!D94</f>
        <v>0</v>
      </c>
      <c r="H96" s="2" t="n">
        <f aca="false">import!D94</f>
        <v>0</v>
      </c>
      <c r="I96" s="2" t="n">
        <f aca="false">-export!D94</f>
        <v>-0</v>
      </c>
      <c r="J96" s="2" t="n">
        <f aca="false">-charge!D94</f>
        <v>-0</v>
      </c>
      <c r="K96" s="2" t="n">
        <f aca="false">discharge!D94</f>
        <v>0</v>
      </c>
      <c r="L96" s="2" t="n">
        <f aca="false">soc!D94/investment!$E$3 *100</f>
        <v>30.6056216001144</v>
      </c>
    </row>
    <row r="97" customFormat="false" ht="13.8" hidden="false" customHeight="false" outlineLevel="0" collapsed="false">
      <c r="B97" s="11" t="n">
        <f aca="false">_xlfn.NUMBERVALUE(solar!B94)</f>
        <v>0</v>
      </c>
      <c r="C97" s="12" t="n">
        <f aca="false">solar!C94</f>
        <v>0</v>
      </c>
      <c r="D97" s="6" t="n">
        <v>93</v>
      </c>
      <c r="E97" s="17" t="n">
        <f aca="false">IFERROR(INDEX($B$5:$C$173, MATCH($D97, $B$5:$B$175, 0), 2), 0)*investment!$C$3</f>
        <v>0</v>
      </c>
      <c r="F97" s="18" t="n">
        <f aca="false">demand!D95</f>
        <v>0</v>
      </c>
      <c r="G97" s="2" t="n">
        <f aca="false">solgen!D95</f>
        <v>0</v>
      </c>
      <c r="H97" s="2" t="n">
        <f aca="false">import!D95</f>
        <v>0</v>
      </c>
      <c r="I97" s="2" t="n">
        <f aca="false">-export!D95</f>
        <v>-0</v>
      </c>
      <c r="J97" s="2" t="n">
        <f aca="false">-charge!D95</f>
        <v>-0</v>
      </c>
      <c r="K97" s="2" t="n">
        <f aca="false">discharge!D95</f>
        <v>0</v>
      </c>
      <c r="L97" s="2" t="n">
        <f aca="false">soc!D95/investment!$E$3 *100</f>
        <v>25.7651984731432</v>
      </c>
    </row>
    <row r="98" customFormat="false" ht="13.8" hidden="false" customHeight="false" outlineLevel="0" collapsed="false">
      <c r="B98" s="11" t="n">
        <f aca="false">_xlfn.NUMBERVALUE(solar!B95)</f>
        <v>0</v>
      </c>
      <c r="C98" s="12" t="n">
        <f aca="false">solar!C95</f>
        <v>0</v>
      </c>
      <c r="D98" s="6" t="n">
        <v>94</v>
      </c>
      <c r="E98" s="17" t="n">
        <f aca="false">IFERROR(INDEX($B$5:$C$173, MATCH($D98, $B$5:$B$175, 0), 2), 0)*investment!$C$3</f>
        <v>0</v>
      </c>
      <c r="F98" s="18" t="n">
        <f aca="false">demand!D96</f>
        <v>0</v>
      </c>
      <c r="G98" s="2" t="n">
        <f aca="false">solgen!D96</f>
        <v>0</v>
      </c>
      <c r="H98" s="2" t="n">
        <f aca="false">import!D96</f>
        <v>0</v>
      </c>
      <c r="I98" s="2" t="n">
        <f aca="false">-export!D96</f>
        <v>-0</v>
      </c>
      <c r="J98" s="2" t="n">
        <f aca="false">-charge!D96</f>
        <v>-0</v>
      </c>
      <c r="K98" s="2" t="n">
        <f aca="false">discharge!D96</f>
        <v>0</v>
      </c>
      <c r="L98" s="2" t="n">
        <f aca="false">soc!D96/investment!$E$3 *100</f>
        <v>20.9248237504033</v>
      </c>
    </row>
    <row r="99" customFormat="false" ht="13.8" hidden="false" customHeight="false" outlineLevel="0" collapsed="false">
      <c r="B99" s="11" t="n">
        <f aca="false">_xlfn.NUMBERVALUE(solar!B96)</f>
        <v>0</v>
      </c>
      <c r="C99" s="12" t="n">
        <f aca="false">solar!C96</f>
        <v>0</v>
      </c>
      <c r="D99" s="6" t="n">
        <v>95</v>
      </c>
      <c r="E99" s="17" t="n">
        <f aca="false">IFERROR(INDEX($B$5:$C$173, MATCH($D99, $B$5:$B$175, 0), 2), 0)*investment!$C$3</f>
        <v>0</v>
      </c>
      <c r="F99" s="18" t="n">
        <f aca="false">demand!D97</f>
        <v>0</v>
      </c>
      <c r="G99" s="2" t="n">
        <f aca="false">solgen!D97</f>
        <v>0</v>
      </c>
      <c r="H99" s="2" t="n">
        <f aca="false">import!D97</f>
        <v>0</v>
      </c>
      <c r="I99" s="2" t="n">
        <f aca="false">-export!D97</f>
        <v>-0</v>
      </c>
      <c r="J99" s="2" t="n">
        <f aca="false">-charge!D97</f>
        <v>-0</v>
      </c>
      <c r="K99" s="2" t="n">
        <f aca="false">discharge!D97</f>
        <v>0</v>
      </c>
      <c r="L99" s="2" t="n">
        <f aca="false">soc!D97/investment!$E$3 *100</f>
        <v>16.0844974314106</v>
      </c>
    </row>
    <row r="100" customFormat="false" ht="13.8" hidden="false" customHeight="false" outlineLevel="0" collapsed="false">
      <c r="B100" s="11" t="n">
        <f aca="false">_xlfn.NUMBERVALUE(solar!B97)</f>
        <v>0</v>
      </c>
      <c r="C100" s="12" t="n">
        <f aca="false">solar!C97</f>
        <v>0</v>
      </c>
      <c r="D100" s="6" t="n">
        <v>96</v>
      </c>
      <c r="E100" s="17" t="n">
        <f aca="false">IFERROR(INDEX($B$5:$C$173, MATCH($D100, $B$5:$B$175, 0), 2), 0)*investment!$C$3</f>
        <v>0</v>
      </c>
      <c r="F100" s="18" t="n">
        <f aca="false">demand!D98</f>
        <v>0</v>
      </c>
      <c r="G100" s="2" t="n">
        <f aca="false">solgen!D98</f>
        <v>0</v>
      </c>
      <c r="H100" s="2" t="n">
        <f aca="false">import!D98</f>
        <v>0</v>
      </c>
      <c r="I100" s="2" t="n">
        <f aca="false">-export!D98</f>
        <v>-0</v>
      </c>
      <c r="J100" s="2" t="n">
        <f aca="false">-charge!D98</f>
        <v>-0</v>
      </c>
      <c r="K100" s="2" t="n">
        <f aca="false">discharge!D98</f>
        <v>0</v>
      </c>
      <c r="L100" s="2" t="n">
        <f aca="false">soc!D98/investment!$E$3 *100</f>
        <v>11.5668939870647</v>
      </c>
    </row>
    <row r="101" customFormat="false" ht="13.8" hidden="false" customHeight="false" outlineLevel="0" collapsed="false">
      <c r="B101" s="11" t="n">
        <f aca="false">_xlfn.NUMBERVALUE(solar!B98)</f>
        <v>0</v>
      </c>
      <c r="C101" s="12" t="n">
        <f aca="false">solar!C98</f>
        <v>0</v>
      </c>
      <c r="D101" s="6" t="n">
        <v>97</v>
      </c>
      <c r="E101" s="17" t="n">
        <f aca="false">IFERROR(INDEX($B$5:$C$173, MATCH($D101, $B$5:$B$175, 0), 2), 0)*investment!$C$3</f>
        <v>0</v>
      </c>
      <c r="F101" s="18" t="n">
        <f aca="false">demand!D99</f>
        <v>0</v>
      </c>
      <c r="G101" s="2" t="n">
        <f aca="false">solgen!D99</f>
        <v>0</v>
      </c>
      <c r="H101" s="2" t="n">
        <f aca="false">import!D99</f>
        <v>0</v>
      </c>
      <c r="I101" s="2" t="n">
        <f aca="false">-export!D99</f>
        <v>-0</v>
      </c>
      <c r="J101" s="2" t="n">
        <f aca="false">-charge!D99</f>
        <v>-0</v>
      </c>
      <c r="K101" s="2" t="n">
        <f aca="false">discharge!D99</f>
        <v>0</v>
      </c>
      <c r="L101" s="2" t="n">
        <f aca="false">soc!D99/investment!$E$3 *100</f>
        <v>6.72666124736968</v>
      </c>
    </row>
    <row r="102" customFormat="false" ht="13.8" hidden="false" customHeight="false" outlineLevel="0" collapsed="false">
      <c r="B102" s="11" t="n">
        <f aca="false">_xlfn.NUMBERVALUE(solar!B99)</f>
        <v>0</v>
      </c>
      <c r="C102" s="12" t="n">
        <f aca="false">solar!C99</f>
        <v>0</v>
      </c>
      <c r="D102" s="6" t="n">
        <v>98</v>
      </c>
      <c r="E102" s="17" t="n">
        <f aca="false">IFERROR(INDEX($B$5:$C$173, MATCH($D102, $B$5:$B$175, 0), 2), 0)*investment!$C$3</f>
        <v>0</v>
      </c>
      <c r="F102" s="18" t="n">
        <f aca="false">demand!D100</f>
        <v>0</v>
      </c>
      <c r="G102" s="2" t="n">
        <f aca="false">solgen!D100</f>
        <v>0</v>
      </c>
      <c r="H102" s="2" t="n">
        <f aca="false">import!D100</f>
        <v>0</v>
      </c>
      <c r="I102" s="2" t="n">
        <f aca="false">-export!D100</f>
        <v>-0</v>
      </c>
      <c r="J102" s="2" t="n">
        <f aca="false">-charge!D100</f>
        <v>-0</v>
      </c>
      <c r="K102" s="2" t="n">
        <f aca="false">discharge!D100</f>
        <v>0</v>
      </c>
      <c r="L102" s="2" t="n">
        <f aca="false">soc!D100/investment!$E$3 *100</f>
        <v>1.88647691000202</v>
      </c>
    </row>
    <row r="103" customFormat="false" ht="13.8" hidden="false" customHeight="false" outlineLevel="0" collapsed="false">
      <c r="B103" s="11" t="n">
        <f aca="false">_xlfn.NUMBERVALUE(solar!B100)</f>
        <v>0</v>
      </c>
      <c r="C103" s="12" t="n">
        <f aca="false">solar!C100</f>
        <v>0</v>
      </c>
      <c r="D103" s="6" t="n">
        <v>99</v>
      </c>
      <c r="E103" s="17" t="n">
        <f aca="false">IFERROR(INDEX($B$5:$C$173, MATCH($D103, $B$5:$B$175, 0), 2), 0)*investment!$C$3</f>
        <v>0</v>
      </c>
      <c r="F103" s="18" t="n">
        <f aca="false">demand!D101</f>
        <v>0</v>
      </c>
      <c r="G103" s="2" t="n">
        <f aca="false">solgen!D101</f>
        <v>0</v>
      </c>
      <c r="H103" s="2" t="n">
        <f aca="false">import!D101</f>
        <v>0</v>
      </c>
      <c r="I103" s="2" t="n">
        <f aca="false">-export!D101</f>
        <v>-0</v>
      </c>
      <c r="J103" s="2" t="n">
        <f aca="false">-charge!D101</f>
        <v>-0</v>
      </c>
      <c r="K103" s="2" t="n">
        <f aca="false">discharge!D101</f>
        <v>0</v>
      </c>
      <c r="L103" s="2" t="n">
        <f aca="false">soc!D101/investment!$E$3 *100</f>
        <v>0</v>
      </c>
    </row>
    <row r="104" customFormat="false" ht="13.8" hidden="false" customHeight="false" outlineLevel="0" collapsed="false">
      <c r="B104" s="11" t="n">
        <f aca="false">_xlfn.NUMBERVALUE(solar!B101)</f>
        <v>0</v>
      </c>
      <c r="C104" s="12" t="n">
        <f aca="false">solar!C101</f>
        <v>0</v>
      </c>
      <c r="D104" s="6" t="n">
        <v>100</v>
      </c>
      <c r="E104" s="17" t="n">
        <f aca="false">IFERROR(INDEX($B$5:$C$173, MATCH($D104, $B$5:$B$175, 0), 2), 0)*investment!$C$3</f>
        <v>0</v>
      </c>
      <c r="F104" s="18" t="n">
        <f aca="false">demand!D102</f>
        <v>0</v>
      </c>
      <c r="G104" s="2" t="n">
        <f aca="false">solgen!D102</f>
        <v>0</v>
      </c>
      <c r="H104" s="2" t="n">
        <f aca="false">import!D102</f>
        <v>0</v>
      </c>
      <c r="I104" s="2" t="n">
        <f aca="false">-export!D102</f>
        <v>-0</v>
      </c>
      <c r="J104" s="2" t="n">
        <f aca="false">-charge!D102</f>
        <v>-0</v>
      </c>
      <c r="K104" s="2" t="n">
        <f aca="false">discharge!D102</f>
        <v>0</v>
      </c>
      <c r="L104" s="2" t="n">
        <f aca="false">soc!D102/investment!$E$3 *100</f>
        <v>0</v>
      </c>
    </row>
    <row r="105" customFormat="false" ht="13.8" hidden="false" customHeight="false" outlineLevel="0" collapsed="false">
      <c r="B105" s="11" t="n">
        <f aca="false">_xlfn.NUMBERVALUE(solar!B102)</f>
        <v>0</v>
      </c>
      <c r="C105" s="12" t="n">
        <f aca="false">solar!C102</f>
        <v>0</v>
      </c>
      <c r="D105" s="6" t="n">
        <v>101</v>
      </c>
      <c r="E105" s="17" t="n">
        <f aca="false">IFERROR(INDEX($B$5:$C$173, MATCH($D105, $B$5:$B$175, 0), 2), 0)*investment!$C$3</f>
        <v>0</v>
      </c>
      <c r="F105" s="18" t="n">
        <f aca="false">demand!D103</f>
        <v>0</v>
      </c>
      <c r="G105" s="2" t="n">
        <f aca="false">solgen!D103</f>
        <v>0</v>
      </c>
      <c r="H105" s="2" t="n">
        <f aca="false">import!D103</f>
        <v>0</v>
      </c>
      <c r="I105" s="2" t="n">
        <f aca="false">-export!D103</f>
        <v>-0</v>
      </c>
      <c r="J105" s="2" t="n">
        <f aca="false">-charge!D103</f>
        <v>-0</v>
      </c>
      <c r="K105" s="2" t="n">
        <f aca="false">discharge!D103</f>
        <v>0</v>
      </c>
      <c r="L105" s="2" t="n">
        <f aca="false">soc!D103/investment!$E$3 *100</f>
        <v>0</v>
      </c>
    </row>
    <row r="106" customFormat="false" ht="13.8" hidden="false" customHeight="false" outlineLevel="0" collapsed="false">
      <c r="B106" s="11" t="n">
        <f aca="false">_xlfn.NUMBERVALUE(solar!B103)</f>
        <v>0</v>
      </c>
      <c r="C106" s="12" t="n">
        <f aca="false">solar!C103</f>
        <v>0</v>
      </c>
      <c r="D106" s="6" t="n">
        <v>102</v>
      </c>
      <c r="E106" s="17" t="n">
        <f aca="false">IFERROR(INDEX($B$5:$C$173, MATCH($D106, $B$5:$B$175, 0), 2), 0)*investment!$C$3</f>
        <v>0</v>
      </c>
      <c r="F106" s="18" t="n">
        <f aca="false">demand!D104</f>
        <v>0</v>
      </c>
      <c r="G106" s="2" t="n">
        <f aca="false">solgen!D104</f>
        <v>0</v>
      </c>
      <c r="H106" s="2" t="n">
        <f aca="false">import!D104</f>
        <v>0</v>
      </c>
      <c r="I106" s="2" t="n">
        <f aca="false">-export!D104</f>
        <v>-0</v>
      </c>
      <c r="J106" s="2" t="n">
        <f aca="false">-charge!D104</f>
        <v>-0</v>
      </c>
      <c r="K106" s="2" t="n">
        <f aca="false">discharge!D104</f>
        <v>0</v>
      </c>
      <c r="L106" s="2" t="n">
        <f aca="false">soc!D104/investment!$E$3 *100</f>
        <v>0</v>
      </c>
    </row>
    <row r="107" customFormat="false" ht="13.8" hidden="false" customHeight="false" outlineLevel="0" collapsed="false">
      <c r="B107" s="11" t="n">
        <f aca="false">_xlfn.NUMBERVALUE(solar!B104)</f>
        <v>0</v>
      </c>
      <c r="C107" s="12" t="n">
        <f aca="false">solar!C104</f>
        <v>0</v>
      </c>
      <c r="D107" s="6" t="n">
        <v>103</v>
      </c>
      <c r="E107" s="17" t="n">
        <f aca="false">IFERROR(INDEX($B$5:$C$173, MATCH($D107, $B$5:$B$175, 0), 2), 0)*investment!$C$3</f>
        <v>0</v>
      </c>
      <c r="F107" s="18" t="n">
        <f aca="false">demand!D105</f>
        <v>0</v>
      </c>
      <c r="G107" s="2" t="n">
        <f aca="false">solgen!D105</f>
        <v>0</v>
      </c>
      <c r="H107" s="2" t="n">
        <f aca="false">import!D105</f>
        <v>0</v>
      </c>
      <c r="I107" s="2" t="n">
        <f aca="false">-export!D105</f>
        <v>-0</v>
      </c>
      <c r="J107" s="2" t="n">
        <f aca="false">-charge!D105</f>
        <v>-0</v>
      </c>
      <c r="K107" s="2" t="n">
        <f aca="false">discharge!D105</f>
        <v>0</v>
      </c>
      <c r="L107" s="2" t="n">
        <f aca="false">soc!D105/investment!$E$3 *100</f>
        <v>0</v>
      </c>
    </row>
    <row r="108" customFormat="false" ht="13.8" hidden="false" customHeight="false" outlineLevel="0" collapsed="false">
      <c r="B108" s="11" t="n">
        <f aca="false">_xlfn.NUMBERVALUE(solar!B105)</f>
        <v>0</v>
      </c>
      <c r="C108" s="12" t="n">
        <f aca="false">solar!C105</f>
        <v>0</v>
      </c>
      <c r="D108" s="6" t="n">
        <v>104</v>
      </c>
      <c r="E108" s="17" t="n">
        <f aca="false">IFERROR(INDEX($B$5:$C$173, MATCH($D108, $B$5:$B$175, 0), 2), 0)*investment!$C$3</f>
        <v>0</v>
      </c>
      <c r="F108" s="18" t="n">
        <f aca="false">demand!D106</f>
        <v>0</v>
      </c>
      <c r="G108" s="2" t="n">
        <f aca="false">solgen!D106</f>
        <v>0</v>
      </c>
      <c r="H108" s="2" t="n">
        <f aca="false">import!D106</f>
        <v>0</v>
      </c>
      <c r="I108" s="2" t="n">
        <f aca="false">-export!D106</f>
        <v>-0</v>
      </c>
      <c r="J108" s="2" t="n">
        <f aca="false">-charge!D106</f>
        <v>-0</v>
      </c>
      <c r="K108" s="2" t="n">
        <f aca="false">discharge!D106</f>
        <v>0</v>
      </c>
      <c r="L108" s="2" t="n">
        <f aca="false">soc!D106/investment!$E$3 *100</f>
        <v>0</v>
      </c>
    </row>
    <row r="109" customFormat="false" ht="13.8" hidden="false" customHeight="false" outlineLevel="0" collapsed="false">
      <c r="B109" s="11" t="n">
        <f aca="false">_xlfn.NUMBERVALUE(solar!B106)</f>
        <v>0</v>
      </c>
      <c r="C109" s="12" t="n">
        <f aca="false">solar!C106</f>
        <v>0</v>
      </c>
      <c r="D109" s="6" t="n">
        <v>105</v>
      </c>
      <c r="E109" s="17" t="n">
        <f aca="false">IFERROR(INDEX($B$5:$C$173, MATCH($D109, $B$5:$B$175, 0), 2), 0)*investment!$C$3</f>
        <v>0</v>
      </c>
      <c r="F109" s="18" t="n">
        <f aca="false">demand!D107</f>
        <v>0</v>
      </c>
      <c r="G109" s="2" t="n">
        <f aca="false">solgen!D107</f>
        <v>0</v>
      </c>
      <c r="H109" s="2" t="n">
        <f aca="false">import!D107</f>
        <v>0</v>
      </c>
      <c r="I109" s="2" t="n">
        <f aca="false">-export!D107</f>
        <v>-0</v>
      </c>
      <c r="J109" s="2" t="n">
        <f aca="false">-charge!D107</f>
        <v>-0</v>
      </c>
      <c r="K109" s="2" t="n">
        <f aca="false">discharge!D107</f>
        <v>0</v>
      </c>
      <c r="L109" s="2" t="n">
        <f aca="false">soc!D107/investment!$E$3 *100</f>
        <v>0</v>
      </c>
    </row>
    <row r="110" customFormat="false" ht="13.8" hidden="false" customHeight="false" outlineLevel="0" collapsed="false">
      <c r="B110" s="11" t="n">
        <f aca="false">_xlfn.NUMBERVALUE(solar!B107)</f>
        <v>0</v>
      </c>
      <c r="C110" s="12" t="n">
        <f aca="false">solar!C107</f>
        <v>0</v>
      </c>
      <c r="D110" s="6" t="n">
        <v>106</v>
      </c>
      <c r="E110" s="17" t="n">
        <f aca="false">IFERROR(INDEX($B$5:$C$173, MATCH($D110, $B$5:$B$175, 0), 2), 0)*investment!$C$3</f>
        <v>0</v>
      </c>
      <c r="F110" s="18" t="n">
        <f aca="false">demand!D108</f>
        <v>0</v>
      </c>
      <c r="G110" s="2" t="n">
        <f aca="false">solgen!D108</f>
        <v>0</v>
      </c>
      <c r="H110" s="2" t="n">
        <f aca="false">import!D108</f>
        <v>0</v>
      </c>
      <c r="I110" s="2" t="n">
        <f aca="false">-export!D108</f>
        <v>-0</v>
      </c>
      <c r="J110" s="2" t="n">
        <f aca="false">-charge!D108</f>
        <v>-0</v>
      </c>
      <c r="K110" s="2" t="n">
        <f aca="false">discharge!D108</f>
        <v>0</v>
      </c>
      <c r="L110" s="2" t="n">
        <f aca="false">soc!D108/investment!$E$3 *100</f>
        <v>0</v>
      </c>
    </row>
    <row r="111" customFormat="false" ht="13.8" hidden="false" customHeight="false" outlineLevel="0" collapsed="false">
      <c r="B111" s="11" t="n">
        <f aca="false">_xlfn.NUMBERVALUE(solar!B108)</f>
        <v>0</v>
      </c>
      <c r="C111" s="12" t="n">
        <f aca="false">solar!C108</f>
        <v>0</v>
      </c>
      <c r="D111" s="6" t="n">
        <v>107</v>
      </c>
      <c r="E111" s="17" t="n">
        <f aca="false">IFERROR(INDEX($B$5:$C$173, MATCH($D111, $B$5:$B$175, 0), 2), 0)*investment!$C$3</f>
        <v>0</v>
      </c>
      <c r="F111" s="18" t="n">
        <f aca="false">demand!D109</f>
        <v>0</v>
      </c>
      <c r="G111" s="2" t="n">
        <f aca="false">solgen!D109</f>
        <v>0</v>
      </c>
      <c r="H111" s="2" t="n">
        <f aca="false">import!D109</f>
        <v>0</v>
      </c>
      <c r="I111" s="2" t="n">
        <f aca="false">-export!D109</f>
        <v>-0</v>
      </c>
      <c r="J111" s="2" t="n">
        <f aca="false">-charge!D109</f>
        <v>-0</v>
      </c>
      <c r="K111" s="2" t="n">
        <f aca="false">discharge!D109</f>
        <v>0</v>
      </c>
      <c r="L111" s="2" t="n">
        <f aca="false">soc!D109/investment!$E$3 *100</f>
        <v>0</v>
      </c>
    </row>
    <row r="112" customFormat="false" ht="13.8" hidden="false" customHeight="false" outlineLevel="0" collapsed="false">
      <c r="B112" s="11" t="n">
        <f aca="false">_xlfn.NUMBERVALUE(solar!B109)</f>
        <v>0</v>
      </c>
      <c r="C112" s="12" t="n">
        <f aca="false">solar!C109</f>
        <v>0</v>
      </c>
      <c r="D112" s="6" t="n">
        <v>108</v>
      </c>
      <c r="E112" s="17" t="n">
        <f aca="false">IFERROR(INDEX($B$5:$C$173, MATCH($D112, $B$5:$B$175, 0), 2), 0)*investment!$C$3</f>
        <v>0</v>
      </c>
      <c r="F112" s="18" t="n">
        <f aca="false">demand!D110</f>
        <v>0</v>
      </c>
      <c r="G112" s="2" t="n">
        <f aca="false">solgen!D110</f>
        <v>0</v>
      </c>
      <c r="H112" s="2" t="n">
        <f aca="false">import!D110</f>
        <v>0</v>
      </c>
      <c r="I112" s="2" t="n">
        <f aca="false">-export!D110</f>
        <v>-0</v>
      </c>
      <c r="J112" s="2" t="n">
        <f aca="false">-charge!D110</f>
        <v>-0</v>
      </c>
      <c r="K112" s="2" t="n">
        <f aca="false">discharge!D110</f>
        <v>0</v>
      </c>
      <c r="L112" s="2" t="n">
        <f aca="false">soc!D110/investment!$E$3 *100</f>
        <v>0</v>
      </c>
    </row>
    <row r="113" customFormat="false" ht="13.8" hidden="false" customHeight="false" outlineLevel="0" collapsed="false">
      <c r="B113" s="11" t="n">
        <f aca="false">_xlfn.NUMBERVALUE(solar!B110)</f>
        <v>0</v>
      </c>
      <c r="C113" s="12" t="n">
        <f aca="false">solar!C110</f>
        <v>0</v>
      </c>
      <c r="D113" s="6" t="n">
        <v>109</v>
      </c>
      <c r="E113" s="17" t="n">
        <f aca="false">IFERROR(INDEX($B$5:$C$173, MATCH($D113, $B$5:$B$175, 0), 2), 0)*investment!$C$3</f>
        <v>0</v>
      </c>
      <c r="F113" s="18" t="n">
        <f aca="false">demand!D111</f>
        <v>0</v>
      </c>
      <c r="G113" s="2" t="n">
        <f aca="false">solgen!D111</f>
        <v>0</v>
      </c>
      <c r="H113" s="2" t="n">
        <f aca="false">import!D111</f>
        <v>0</v>
      </c>
      <c r="I113" s="2" t="n">
        <f aca="false">-export!D111</f>
        <v>-0</v>
      </c>
      <c r="J113" s="2" t="n">
        <f aca="false">-charge!D111</f>
        <v>-0</v>
      </c>
      <c r="K113" s="2" t="n">
        <f aca="false">discharge!D111</f>
        <v>0</v>
      </c>
      <c r="L113" s="2" t="n">
        <f aca="false">soc!D111/investment!$E$3 *100</f>
        <v>0</v>
      </c>
    </row>
    <row r="114" customFormat="false" ht="13.8" hidden="false" customHeight="false" outlineLevel="0" collapsed="false">
      <c r="B114" s="11" t="n">
        <f aca="false">_xlfn.NUMBERVALUE(solar!B111)</f>
        <v>0</v>
      </c>
      <c r="C114" s="12" t="n">
        <f aca="false">solar!C111</f>
        <v>0</v>
      </c>
      <c r="D114" s="6" t="n">
        <v>110</v>
      </c>
      <c r="E114" s="17" t="n">
        <f aca="false">IFERROR(INDEX($B$5:$C$173, MATCH($D114, $B$5:$B$175, 0), 2), 0)*investment!$C$3</f>
        <v>0</v>
      </c>
      <c r="F114" s="18" t="n">
        <f aca="false">demand!D112</f>
        <v>0</v>
      </c>
      <c r="G114" s="2" t="n">
        <f aca="false">solgen!D112</f>
        <v>0</v>
      </c>
      <c r="H114" s="2" t="n">
        <f aca="false">import!D112</f>
        <v>0</v>
      </c>
      <c r="I114" s="2" t="n">
        <f aca="false">-export!D112</f>
        <v>-0</v>
      </c>
      <c r="J114" s="2" t="n">
        <f aca="false">-charge!D112</f>
        <v>-0</v>
      </c>
      <c r="K114" s="2" t="n">
        <f aca="false">discharge!D112</f>
        <v>0</v>
      </c>
      <c r="L114" s="2" t="n">
        <f aca="false">soc!D112/investment!$E$3 *100</f>
        <v>0</v>
      </c>
    </row>
    <row r="115" customFormat="false" ht="13.8" hidden="false" customHeight="false" outlineLevel="0" collapsed="false">
      <c r="B115" s="11" t="n">
        <f aca="false">_xlfn.NUMBERVALUE(solar!B112)</f>
        <v>0</v>
      </c>
      <c r="C115" s="12" t="n">
        <f aca="false">solar!C112</f>
        <v>0</v>
      </c>
      <c r="D115" s="6" t="n">
        <v>111</v>
      </c>
      <c r="E115" s="17" t="n">
        <f aca="false">IFERROR(INDEX($B$5:$C$173, MATCH($D115, $B$5:$B$175, 0), 2), 0)*investment!$C$3</f>
        <v>0</v>
      </c>
      <c r="F115" s="18" t="n">
        <f aca="false">demand!D113</f>
        <v>0</v>
      </c>
      <c r="G115" s="2" t="n">
        <f aca="false">solgen!D113</f>
        <v>0</v>
      </c>
      <c r="H115" s="2" t="n">
        <f aca="false">import!D113</f>
        <v>0</v>
      </c>
      <c r="I115" s="2" t="n">
        <f aca="false">-export!D113</f>
        <v>-0</v>
      </c>
      <c r="J115" s="2" t="n">
        <f aca="false">-charge!D113</f>
        <v>-0</v>
      </c>
      <c r="K115" s="2" t="n">
        <f aca="false">discharge!D113</f>
        <v>0</v>
      </c>
      <c r="L115" s="2" t="n">
        <f aca="false">soc!D113/investment!$E$3 *100</f>
        <v>0</v>
      </c>
    </row>
    <row r="116" customFormat="false" ht="13.8" hidden="false" customHeight="false" outlineLevel="0" collapsed="false">
      <c r="B116" s="11" t="n">
        <f aca="false">_xlfn.NUMBERVALUE(solar!B113)</f>
        <v>0</v>
      </c>
      <c r="C116" s="12" t="n">
        <f aca="false">solar!C113</f>
        <v>0</v>
      </c>
      <c r="D116" s="6" t="n">
        <v>112</v>
      </c>
      <c r="E116" s="17" t="n">
        <f aca="false">IFERROR(INDEX($B$5:$C$173, MATCH($D116, $B$5:$B$175, 0), 2), 0)*investment!$C$3</f>
        <v>0</v>
      </c>
      <c r="F116" s="18" t="n">
        <f aca="false">demand!D114</f>
        <v>0</v>
      </c>
      <c r="G116" s="2" t="n">
        <f aca="false">solgen!D114</f>
        <v>0</v>
      </c>
      <c r="H116" s="2" t="n">
        <f aca="false">import!D114</f>
        <v>0</v>
      </c>
      <c r="I116" s="2" t="n">
        <f aca="false">-export!D114</f>
        <v>-0</v>
      </c>
      <c r="J116" s="2" t="n">
        <f aca="false">-charge!D114</f>
        <v>-0</v>
      </c>
      <c r="K116" s="2" t="n">
        <f aca="false">discharge!D114</f>
        <v>0</v>
      </c>
      <c r="L116" s="2" t="n">
        <f aca="false">soc!D114/investment!$E$3 *100</f>
        <v>0</v>
      </c>
    </row>
    <row r="117" customFormat="false" ht="13.8" hidden="false" customHeight="false" outlineLevel="0" collapsed="false">
      <c r="B117" s="11" t="n">
        <f aca="false">_xlfn.NUMBERVALUE(solar!B114)</f>
        <v>0</v>
      </c>
      <c r="C117" s="12" t="n">
        <f aca="false">solar!C114</f>
        <v>0</v>
      </c>
      <c r="D117" s="6" t="n">
        <v>113</v>
      </c>
      <c r="E117" s="17" t="n">
        <f aca="false">IFERROR(INDEX($B$5:$C$173, MATCH($D117, $B$5:$B$175, 0), 2), 0)*investment!$C$3</f>
        <v>0</v>
      </c>
      <c r="F117" s="18" t="n">
        <f aca="false">demand!D115</f>
        <v>0</v>
      </c>
      <c r="G117" s="2" t="n">
        <f aca="false">solgen!D115</f>
        <v>0</v>
      </c>
      <c r="H117" s="2" t="n">
        <f aca="false">import!D115</f>
        <v>0</v>
      </c>
      <c r="I117" s="2" t="n">
        <f aca="false">-export!D115</f>
        <v>-0</v>
      </c>
      <c r="J117" s="2" t="n">
        <f aca="false">-charge!D115</f>
        <v>-0</v>
      </c>
      <c r="K117" s="2" t="n">
        <f aca="false">discharge!D115</f>
        <v>0</v>
      </c>
      <c r="L117" s="2" t="n">
        <f aca="false">soc!D115/investment!$E$3 *100</f>
        <v>0</v>
      </c>
    </row>
    <row r="118" customFormat="false" ht="13.8" hidden="false" customHeight="false" outlineLevel="0" collapsed="false">
      <c r="B118" s="11" t="n">
        <f aca="false">_xlfn.NUMBERVALUE(solar!B115)</f>
        <v>0</v>
      </c>
      <c r="C118" s="12" t="n">
        <f aca="false">solar!C115</f>
        <v>0</v>
      </c>
      <c r="D118" s="6" t="n">
        <v>114</v>
      </c>
      <c r="E118" s="17" t="n">
        <f aca="false">IFERROR(INDEX($B$5:$C$173, MATCH($D118, $B$5:$B$175, 0), 2), 0)*investment!$C$3</f>
        <v>0</v>
      </c>
      <c r="F118" s="18" t="n">
        <f aca="false">demand!D116</f>
        <v>0</v>
      </c>
      <c r="G118" s="2" t="n">
        <f aca="false">solgen!D116</f>
        <v>0</v>
      </c>
      <c r="H118" s="2" t="n">
        <f aca="false">import!D116</f>
        <v>0</v>
      </c>
      <c r="I118" s="2" t="n">
        <f aca="false">-export!D116</f>
        <v>-0</v>
      </c>
      <c r="J118" s="2" t="n">
        <f aca="false">-charge!D116</f>
        <v>-0</v>
      </c>
      <c r="K118" s="2" t="n">
        <f aca="false">discharge!D116</f>
        <v>0</v>
      </c>
      <c r="L118" s="2" t="n">
        <f aca="false">soc!D116/investment!$E$3 *100</f>
        <v>0</v>
      </c>
    </row>
    <row r="119" customFormat="false" ht="13.8" hidden="false" customHeight="false" outlineLevel="0" collapsed="false">
      <c r="B119" s="11" t="n">
        <f aca="false">_xlfn.NUMBERVALUE(solar!B116)</f>
        <v>0</v>
      </c>
      <c r="C119" s="12" t="n">
        <f aca="false">solar!C116</f>
        <v>0</v>
      </c>
      <c r="D119" s="6" t="n">
        <v>115</v>
      </c>
      <c r="E119" s="17" t="n">
        <f aca="false">IFERROR(INDEX($B$5:$C$173, MATCH($D119, $B$5:$B$175, 0), 2), 0)*investment!$C$3</f>
        <v>0</v>
      </c>
      <c r="F119" s="18" t="n">
        <f aca="false">demand!D117</f>
        <v>0</v>
      </c>
      <c r="G119" s="2" t="n">
        <f aca="false">solgen!D117</f>
        <v>0</v>
      </c>
      <c r="H119" s="2" t="n">
        <f aca="false">import!D117</f>
        <v>0</v>
      </c>
      <c r="I119" s="2" t="n">
        <f aca="false">-export!D117</f>
        <v>-0</v>
      </c>
      <c r="J119" s="2" t="n">
        <f aca="false">-charge!D117</f>
        <v>-0</v>
      </c>
      <c r="K119" s="2" t="n">
        <f aca="false">discharge!D117</f>
        <v>0</v>
      </c>
      <c r="L119" s="2" t="n">
        <f aca="false">soc!D117/investment!$E$3 *100</f>
        <v>0</v>
      </c>
    </row>
    <row r="120" customFormat="false" ht="13.8" hidden="false" customHeight="false" outlineLevel="0" collapsed="false">
      <c r="B120" s="11" t="n">
        <f aca="false">_xlfn.NUMBERVALUE(solar!B117)</f>
        <v>0</v>
      </c>
      <c r="C120" s="12" t="n">
        <f aca="false">solar!C117</f>
        <v>0</v>
      </c>
      <c r="D120" s="6" t="n">
        <v>116</v>
      </c>
      <c r="E120" s="17" t="n">
        <f aca="false">IFERROR(INDEX($B$5:$C$173, MATCH($D120, $B$5:$B$175, 0), 2), 0)*investment!$C$3</f>
        <v>0</v>
      </c>
      <c r="F120" s="18" t="n">
        <f aca="false">demand!D118</f>
        <v>0</v>
      </c>
      <c r="G120" s="2" t="n">
        <f aca="false">solgen!D118</f>
        <v>0</v>
      </c>
      <c r="H120" s="2" t="n">
        <f aca="false">import!D118</f>
        <v>0</v>
      </c>
      <c r="I120" s="2" t="n">
        <f aca="false">-export!D118</f>
        <v>-0</v>
      </c>
      <c r="J120" s="2" t="n">
        <f aca="false">-charge!D118</f>
        <v>-0</v>
      </c>
      <c r="K120" s="2" t="n">
        <f aca="false">discharge!D118</f>
        <v>0</v>
      </c>
      <c r="L120" s="2" t="n">
        <f aca="false">soc!D118/investment!$E$3 *100</f>
        <v>0</v>
      </c>
    </row>
    <row r="121" customFormat="false" ht="13.8" hidden="false" customHeight="false" outlineLevel="0" collapsed="false">
      <c r="B121" s="11" t="n">
        <f aca="false">_xlfn.NUMBERVALUE(solar!B118)</f>
        <v>0</v>
      </c>
      <c r="C121" s="12" t="n">
        <f aca="false">solar!C118</f>
        <v>0</v>
      </c>
      <c r="D121" s="6" t="n">
        <v>117</v>
      </c>
      <c r="E121" s="17" t="n">
        <f aca="false">IFERROR(INDEX($B$5:$C$173, MATCH($D121, $B$5:$B$175, 0), 2), 0)*investment!$C$3</f>
        <v>0</v>
      </c>
      <c r="F121" s="18" t="n">
        <f aca="false">demand!D119</f>
        <v>0</v>
      </c>
      <c r="G121" s="2" t="n">
        <f aca="false">solgen!D119</f>
        <v>0</v>
      </c>
      <c r="H121" s="2" t="n">
        <f aca="false">import!D119</f>
        <v>0</v>
      </c>
      <c r="I121" s="2" t="n">
        <f aca="false">-export!D119</f>
        <v>-0</v>
      </c>
      <c r="J121" s="2" t="n">
        <f aca="false">-charge!D119</f>
        <v>-0</v>
      </c>
      <c r="K121" s="2" t="n">
        <f aca="false">discharge!D119</f>
        <v>0</v>
      </c>
      <c r="L121" s="2" t="n">
        <f aca="false">soc!D119/investment!$E$3 *100</f>
        <v>0</v>
      </c>
    </row>
    <row r="122" customFormat="false" ht="13.8" hidden="false" customHeight="false" outlineLevel="0" collapsed="false">
      <c r="B122" s="11" t="n">
        <f aca="false">_xlfn.NUMBERVALUE(solar!B119)</f>
        <v>0</v>
      </c>
      <c r="C122" s="12" t="n">
        <f aca="false">solar!C119</f>
        <v>0</v>
      </c>
      <c r="D122" s="6" t="n">
        <v>118</v>
      </c>
      <c r="E122" s="17" t="n">
        <f aca="false">IFERROR(INDEX($B$5:$C$173, MATCH($D122, $B$5:$B$175, 0), 2), 0)*investment!$C$3</f>
        <v>0</v>
      </c>
      <c r="F122" s="18" t="n">
        <f aca="false">demand!D120</f>
        <v>0</v>
      </c>
      <c r="G122" s="2" t="n">
        <f aca="false">solgen!D120</f>
        <v>0</v>
      </c>
      <c r="H122" s="2" t="n">
        <f aca="false">import!D120</f>
        <v>0</v>
      </c>
      <c r="I122" s="2" t="n">
        <f aca="false">-export!D120</f>
        <v>-0</v>
      </c>
      <c r="J122" s="2" t="n">
        <f aca="false">-charge!D120</f>
        <v>-0</v>
      </c>
      <c r="K122" s="2" t="n">
        <f aca="false">discharge!D120</f>
        <v>0</v>
      </c>
      <c r="L122" s="2" t="n">
        <f aca="false">soc!D120/investment!$E$3 *100</f>
        <v>0</v>
      </c>
    </row>
    <row r="123" customFormat="false" ht="13.8" hidden="false" customHeight="false" outlineLevel="0" collapsed="false">
      <c r="B123" s="11" t="n">
        <f aca="false">_xlfn.NUMBERVALUE(solar!B120)</f>
        <v>0</v>
      </c>
      <c r="C123" s="12" t="n">
        <f aca="false">solar!C120</f>
        <v>0</v>
      </c>
      <c r="D123" s="6" t="n">
        <v>119</v>
      </c>
      <c r="E123" s="17" t="n">
        <f aca="false">IFERROR(INDEX($B$5:$C$173, MATCH($D123, $B$5:$B$175, 0), 2), 0)*investment!$C$3</f>
        <v>0</v>
      </c>
      <c r="F123" s="18" t="n">
        <f aca="false">demand!D121</f>
        <v>0</v>
      </c>
      <c r="G123" s="2" t="n">
        <f aca="false">solgen!D121</f>
        <v>0</v>
      </c>
      <c r="H123" s="2" t="n">
        <f aca="false">import!D121</f>
        <v>0</v>
      </c>
      <c r="I123" s="2" t="n">
        <f aca="false">-export!D121</f>
        <v>-0</v>
      </c>
      <c r="J123" s="2" t="n">
        <f aca="false">-charge!D121</f>
        <v>-0</v>
      </c>
      <c r="K123" s="2" t="n">
        <f aca="false">discharge!D121</f>
        <v>0</v>
      </c>
      <c r="L123" s="2" t="n">
        <f aca="false">soc!D121/investment!$E$3 *100</f>
        <v>0</v>
      </c>
    </row>
    <row r="124" customFormat="false" ht="13.8" hidden="false" customHeight="false" outlineLevel="0" collapsed="false">
      <c r="B124" s="11" t="n">
        <f aca="false">_xlfn.NUMBERVALUE(solar!B121)</f>
        <v>0</v>
      </c>
      <c r="C124" s="12" t="n">
        <f aca="false">solar!C121</f>
        <v>0</v>
      </c>
      <c r="D124" s="6" t="n">
        <v>120</v>
      </c>
      <c r="E124" s="17" t="n">
        <f aca="false">IFERROR(INDEX($B$5:$C$173, MATCH($D124, $B$5:$B$175, 0), 2), 0)*investment!$C$3</f>
        <v>0</v>
      </c>
      <c r="F124" s="18" t="n">
        <f aca="false">demand!D122</f>
        <v>0</v>
      </c>
      <c r="G124" s="2" t="n">
        <f aca="false">solgen!D122</f>
        <v>0</v>
      </c>
      <c r="H124" s="2" t="n">
        <f aca="false">import!D122</f>
        <v>0</v>
      </c>
      <c r="I124" s="2" t="n">
        <f aca="false">-export!D122</f>
        <v>-0</v>
      </c>
      <c r="J124" s="2" t="n">
        <f aca="false">-charge!D122</f>
        <v>-0</v>
      </c>
      <c r="K124" s="2" t="n">
        <f aca="false">discharge!D122</f>
        <v>0</v>
      </c>
      <c r="L124" s="2" t="n">
        <f aca="false">soc!D122/investment!$E$3 *100</f>
        <v>0</v>
      </c>
    </row>
    <row r="125" customFormat="false" ht="13.8" hidden="false" customHeight="false" outlineLevel="0" collapsed="false">
      <c r="B125" s="11" t="n">
        <f aca="false">_xlfn.NUMBERVALUE(solar!B122)</f>
        <v>0</v>
      </c>
      <c r="C125" s="12" t="n">
        <f aca="false">solar!C122</f>
        <v>0</v>
      </c>
      <c r="D125" s="6" t="n">
        <v>121</v>
      </c>
      <c r="E125" s="17" t="n">
        <f aca="false">IFERROR(INDEX($B$5:$C$173, MATCH($D125, $B$5:$B$175, 0), 2), 0)*investment!$C$3</f>
        <v>0</v>
      </c>
      <c r="F125" s="18" t="n">
        <f aca="false">demand!D123</f>
        <v>0</v>
      </c>
      <c r="G125" s="2" t="n">
        <f aca="false">solgen!D123</f>
        <v>0</v>
      </c>
      <c r="H125" s="2" t="n">
        <f aca="false">import!D123</f>
        <v>0</v>
      </c>
      <c r="I125" s="2" t="n">
        <f aca="false">-export!D123</f>
        <v>-0</v>
      </c>
      <c r="J125" s="2" t="n">
        <f aca="false">-charge!D123</f>
        <v>-0</v>
      </c>
      <c r="K125" s="2" t="n">
        <f aca="false">discharge!D123</f>
        <v>0</v>
      </c>
      <c r="L125" s="2" t="n">
        <f aca="false">soc!D123/investment!$E$3 *100</f>
        <v>0</v>
      </c>
    </row>
    <row r="126" customFormat="false" ht="13.8" hidden="false" customHeight="false" outlineLevel="0" collapsed="false">
      <c r="B126" s="11" t="n">
        <f aca="false">_xlfn.NUMBERVALUE(solar!B123)</f>
        <v>0</v>
      </c>
      <c r="C126" s="12" t="n">
        <f aca="false">solar!C123</f>
        <v>0</v>
      </c>
      <c r="D126" s="6" t="n">
        <v>122</v>
      </c>
      <c r="E126" s="17" t="n">
        <f aca="false">IFERROR(INDEX($B$5:$C$173, MATCH($D126, $B$5:$B$175, 0), 2), 0)*investment!$C$3</f>
        <v>0</v>
      </c>
      <c r="F126" s="18" t="n">
        <f aca="false">demand!D124</f>
        <v>0</v>
      </c>
      <c r="G126" s="2" t="n">
        <f aca="false">solgen!D124</f>
        <v>0</v>
      </c>
      <c r="H126" s="2" t="n">
        <f aca="false">import!D124</f>
        <v>0</v>
      </c>
      <c r="I126" s="2" t="n">
        <f aca="false">-export!D124</f>
        <v>-0</v>
      </c>
      <c r="J126" s="2" t="n">
        <f aca="false">-charge!D124</f>
        <v>-0</v>
      </c>
      <c r="K126" s="2" t="n">
        <f aca="false">discharge!D124</f>
        <v>0</v>
      </c>
      <c r="L126" s="2" t="n">
        <f aca="false">soc!D124/investment!$E$3 *100</f>
        <v>0</v>
      </c>
    </row>
    <row r="127" customFormat="false" ht="13.8" hidden="false" customHeight="false" outlineLevel="0" collapsed="false">
      <c r="B127" s="11" t="n">
        <f aca="false">_xlfn.NUMBERVALUE(solar!B124)</f>
        <v>0</v>
      </c>
      <c r="C127" s="12" t="n">
        <f aca="false">solar!C124</f>
        <v>0</v>
      </c>
      <c r="D127" s="6" t="n">
        <v>123</v>
      </c>
      <c r="E127" s="17" t="n">
        <f aca="false">IFERROR(INDEX($B$5:$C$173, MATCH($D127, $B$5:$B$175, 0), 2), 0)*investment!$C$3</f>
        <v>0</v>
      </c>
      <c r="F127" s="18" t="n">
        <f aca="false">demand!D125</f>
        <v>0</v>
      </c>
      <c r="G127" s="2" t="n">
        <f aca="false">solgen!D125</f>
        <v>0</v>
      </c>
      <c r="H127" s="2" t="n">
        <f aca="false">import!D125</f>
        <v>0</v>
      </c>
      <c r="I127" s="2" t="n">
        <f aca="false">-export!D125</f>
        <v>-0</v>
      </c>
      <c r="J127" s="2" t="n">
        <f aca="false">-charge!D125</f>
        <v>-0</v>
      </c>
      <c r="K127" s="2" t="n">
        <f aca="false">discharge!D125</f>
        <v>0</v>
      </c>
      <c r="L127" s="2" t="n">
        <f aca="false">soc!D125/investment!$E$3 *100</f>
        <v>0</v>
      </c>
    </row>
    <row r="128" customFormat="false" ht="13.8" hidden="false" customHeight="false" outlineLevel="0" collapsed="false">
      <c r="B128" s="11" t="n">
        <f aca="false">_xlfn.NUMBERVALUE(solar!B125)</f>
        <v>0</v>
      </c>
      <c r="C128" s="12" t="n">
        <f aca="false">solar!C125</f>
        <v>0</v>
      </c>
      <c r="D128" s="6" t="n">
        <v>124</v>
      </c>
      <c r="E128" s="17" t="n">
        <f aca="false">IFERROR(INDEX($B$5:$C$173, MATCH($D128, $B$5:$B$175, 0), 2), 0)*investment!$C$3</f>
        <v>0</v>
      </c>
      <c r="F128" s="18" t="n">
        <f aca="false">demand!D126</f>
        <v>0</v>
      </c>
      <c r="G128" s="2" t="n">
        <f aca="false">solgen!D126</f>
        <v>0</v>
      </c>
      <c r="H128" s="2" t="n">
        <f aca="false">import!D126</f>
        <v>0</v>
      </c>
      <c r="I128" s="2" t="n">
        <f aca="false">-export!D126</f>
        <v>-0</v>
      </c>
      <c r="J128" s="2" t="n">
        <f aca="false">-charge!D126</f>
        <v>-0</v>
      </c>
      <c r="K128" s="2" t="n">
        <f aca="false">discharge!D126</f>
        <v>0</v>
      </c>
      <c r="L128" s="2" t="n">
        <f aca="false">soc!D126/investment!$E$3 *100</f>
        <v>0</v>
      </c>
    </row>
    <row r="129" customFormat="false" ht="13.8" hidden="false" customHeight="false" outlineLevel="0" collapsed="false">
      <c r="B129" s="11" t="n">
        <f aca="false">_xlfn.NUMBERVALUE(solar!B126)</f>
        <v>0</v>
      </c>
      <c r="C129" s="12" t="n">
        <f aca="false">solar!C126</f>
        <v>0</v>
      </c>
      <c r="D129" s="6" t="n">
        <v>125</v>
      </c>
      <c r="E129" s="17" t="n">
        <f aca="false">IFERROR(INDEX($B$5:$C$173, MATCH($D129, $B$5:$B$175, 0), 2), 0)*investment!$C$3</f>
        <v>0</v>
      </c>
      <c r="F129" s="18" t="n">
        <f aca="false">demand!D127</f>
        <v>0</v>
      </c>
      <c r="G129" s="2" t="n">
        <f aca="false">solgen!D127</f>
        <v>0</v>
      </c>
      <c r="H129" s="2" t="n">
        <f aca="false">import!D127</f>
        <v>0</v>
      </c>
      <c r="I129" s="2" t="n">
        <f aca="false">-export!D127</f>
        <v>-0</v>
      </c>
      <c r="J129" s="2" t="n">
        <f aca="false">-charge!D127</f>
        <v>-0</v>
      </c>
      <c r="K129" s="2" t="n">
        <f aca="false">discharge!D127</f>
        <v>0</v>
      </c>
      <c r="L129" s="2" t="n">
        <f aca="false">soc!D127/investment!$E$3 *100</f>
        <v>0</v>
      </c>
    </row>
    <row r="130" customFormat="false" ht="13.8" hidden="false" customHeight="false" outlineLevel="0" collapsed="false">
      <c r="B130" s="11" t="n">
        <f aca="false">_xlfn.NUMBERVALUE(solar!B127)</f>
        <v>0</v>
      </c>
      <c r="C130" s="12" t="n">
        <f aca="false">solar!C127</f>
        <v>0</v>
      </c>
      <c r="D130" s="6" t="n">
        <v>126</v>
      </c>
      <c r="E130" s="17" t="n">
        <f aca="false">IFERROR(INDEX($B$5:$C$173, MATCH($D130, $B$5:$B$175, 0), 2), 0)*investment!$C$3</f>
        <v>0</v>
      </c>
      <c r="F130" s="18" t="n">
        <f aca="false">demand!D128</f>
        <v>0</v>
      </c>
      <c r="G130" s="2" t="n">
        <f aca="false">solgen!D128</f>
        <v>0</v>
      </c>
      <c r="H130" s="2" t="n">
        <f aca="false">import!D128</f>
        <v>0</v>
      </c>
      <c r="I130" s="2" t="n">
        <f aca="false">-export!D128</f>
        <v>-0</v>
      </c>
      <c r="J130" s="2" t="n">
        <f aca="false">-charge!D128</f>
        <v>-0</v>
      </c>
      <c r="K130" s="2" t="n">
        <f aca="false">discharge!D128</f>
        <v>0</v>
      </c>
      <c r="L130" s="2" t="n">
        <f aca="false">soc!D128/investment!$E$3 *100</f>
        <v>0</v>
      </c>
    </row>
    <row r="131" customFormat="false" ht="13.8" hidden="false" customHeight="false" outlineLevel="0" collapsed="false">
      <c r="B131" s="11" t="n">
        <f aca="false">_xlfn.NUMBERVALUE(solar!B128)</f>
        <v>0</v>
      </c>
      <c r="C131" s="12" t="n">
        <f aca="false">solar!C128</f>
        <v>0</v>
      </c>
      <c r="D131" s="6" t="n">
        <v>127</v>
      </c>
      <c r="E131" s="17" t="n">
        <f aca="false">IFERROR(INDEX($B$5:$C$173, MATCH($D131, $B$5:$B$175, 0), 2), 0)*investment!$C$3</f>
        <v>0</v>
      </c>
      <c r="F131" s="18" t="n">
        <f aca="false">demand!D129</f>
        <v>0</v>
      </c>
      <c r="G131" s="2" t="n">
        <f aca="false">solgen!D129</f>
        <v>0</v>
      </c>
      <c r="H131" s="2" t="n">
        <f aca="false">import!D129</f>
        <v>0</v>
      </c>
      <c r="I131" s="2" t="n">
        <f aca="false">-export!D129</f>
        <v>-0</v>
      </c>
      <c r="J131" s="2" t="n">
        <f aca="false">-charge!D129</f>
        <v>-0</v>
      </c>
      <c r="K131" s="2" t="n">
        <f aca="false">discharge!D129</f>
        <v>0</v>
      </c>
      <c r="L131" s="2" t="n">
        <f aca="false">soc!D129/investment!$E$3 *100</f>
        <v>0</v>
      </c>
    </row>
    <row r="132" customFormat="false" ht="13.8" hidden="false" customHeight="false" outlineLevel="0" collapsed="false">
      <c r="B132" s="11" t="n">
        <f aca="false">_xlfn.NUMBERVALUE(solar!B129)</f>
        <v>0</v>
      </c>
      <c r="C132" s="12" t="n">
        <f aca="false">solar!C129</f>
        <v>0</v>
      </c>
      <c r="D132" s="6" t="n">
        <v>128</v>
      </c>
      <c r="E132" s="17" t="n">
        <f aca="false">IFERROR(INDEX($B$5:$C$173, MATCH($D132, $B$5:$B$175, 0), 2), 0)*investment!$C$3</f>
        <v>0</v>
      </c>
      <c r="F132" s="18" t="n">
        <f aca="false">demand!D130</f>
        <v>0</v>
      </c>
      <c r="G132" s="2" t="n">
        <f aca="false">solgen!D130</f>
        <v>0</v>
      </c>
      <c r="H132" s="2" t="n">
        <f aca="false">import!D130</f>
        <v>0</v>
      </c>
      <c r="I132" s="2" t="n">
        <f aca="false">-export!D130</f>
        <v>-0</v>
      </c>
      <c r="J132" s="2" t="n">
        <f aca="false">-charge!D130</f>
        <v>-0</v>
      </c>
      <c r="K132" s="2" t="n">
        <f aca="false">discharge!D130</f>
        <v>0</v>
      </c>
      <c r="L132" s="2" t="n">
        <f aca="false">soc!D130/investment!$E$3 *100</f>
        <v>0</v>
      </c>
    </row>
    <row r="133" customFormat="false" ht="13.8" hidden="false" customHeight="false" outlineLevel="0" collapsed="false">
      <c r="B133" s="11" t="n">
        <f aca="false">_xlfn.NUMBERVALUE(solar!B130)</f>
        <v>0</v>
      </c>
      <c r="C133" s="12" t="n">
        <f aca="false">solar!C130</f>
        <v>0</v>
      </c>
      <c r="D133" s="6" t="n">
        <v>129</v>
      </c>
      <c r="E133" s="17" t="n">
        <f aca="false">IFERROR(INDEX($B$5:$C$173, MATCH($D133, $B$5:$B$175, 0), 2), 0)*investment!$C$3</f>
        <v>0</v>
      </c>
      <c r="F133" s="18" t="n">
        <f aca="false">demand!D131</f>
        <v>0</v>
      </c>
      <c r="G133" s="2" t="n">
        <f aca="false">solgen!D131</f>
        <v>0</v>
      </c>
      <c r="H133" s="2" t="n">
        <f aca="false">import!D131</f>
        <v>0</v>
      </c>
      <c r="I133" s="2" t="n">
        <f aca="false">-export!D131</f>
        <v>-0</v>
      </c>
      <c r="J133" s="2" t="n">
        <f aca="false">-charge!D131</f>
        <v>-0</v>
      </c>
      <c r="K133" s="2" t="n">
        <f aca="false">discharge!D131</f>
        <v>0</v>
      </c>
      <c r="L133" s="2" t="n">
        <f aca="false">soc!D131/investment!$E$3 *100</f>
        <v>0</v>
      </c>
    </row>
    <row r="134" customFormat="false" ht="13.8" hidden="false" customHeight="false" outlineLevel="0" collapsed="false">
      <c r="B134" s="11" t="n">
        <f aca="false">_xlfn.NUMBERVALUE(solar!B131)</f>
        <v>0</v>
      </c>
      <c r="C134" s="12" t="n">
        <f aca="false">solar!C131</f>
        <v>0</v>
      </c>
      <c r="D134" s="6" t="n">
        <v>130</v>
      </c>
      <c r="E134" s="17" t="n">
        <f aca="false">IFERROR(INDEX($B$5:$C$173, MATCH($D134, $B$5:$B$175, 0), 2), 0)*investment!$C$3</f>
        <v>0</v>
      </c>
      <c r="F134" s="18" t="n">
        <f aca="false">demand!D132</f>
        <v>0</v>
      </c>
      <c r="G134" s="2" t="n">
        <f aca="false">solgen!D132</f>
        <v>0</v>
      </c>
      <c r="H134" s="2" t="n">
        <f aca="false">import!D132</f>
        <v>0</v>
      </c>
      <c r="I134" s="2" t="n">
        <f aca="false">-export!D132</f>
        <v>-0</v>
      </c>
      <c r="J134" s="2" t="n">
        <f aca="false">-charge!D132</f>
        <v>-0</v>
      </c>
      <c r="K134" s="2" t="n">
        <f aca="false">discharge!D132</f>
        <v>0</v>
      </c>
      <c r="L134" s="2" t="n">
        <f aca="false">soc!D132/investment!$E$3 *100</f>
        <v>1.33036807723133E-007</v>
      </c>
    </row>
    <row r="135" customFormat="false" ht="13.8" hidden="false" customHeight="false" outlineLevel="0" collapsed="false">
      <c r="B135" s="11" t="n">
        <f aca="false">_xlfn.NUMBERVALUE(solar!B132)</f>
        <v>0</v>
      </c>
      <c r="C135" s="12" t="n">
        <f aca="false">solar!C132</f>
        <v>0</v>
      </c>
      <c r="D135" s="6" t="n">
        <v>131</v>
      </c>
      <c r="E135" s="17" t="n">
        <f aca="false">IFERROR(INDEX($B$5:$C$173, MATCH($D135, $B$5:$B$175, 0), 2), 0)*investment!$C$3</f>
        <v>0</v>
      </c>
      <c r="F135" s="18" t="n">
        <f aca="false">demand!D133</f>
        <v>0</v>
      </c>
      <c r="G135" s="2" t="n">
        <f aca="false">solgen!D133</f>
        <v>0</v>
      </c>
      <c r="H135" s="2" t="n">
        <f aca="false">import!D133</f>
        <v>0</v>
      </c>
      <c r="I135" s="2" t="n">
        <f aca="false">-export!D133</f>
        <v>-0</v>
      </c>
      <c r="J135" s="2" t="n">
        <f aca="false">-charge!D133</f>
        <v>-0</v>
      </c>
      <c r="K135" s="2" t="n">
        <f aca="false">discharge!D133</f>
        <v>0</v>
      </c>
      <c r="L135" s="2" t="n">
        <f aca="false">soc!D133/investment!$E$3 *100</f>
        <v>0</v>
      </c>
    </row>
    <row r="136" customFormat="false" ht="13.8" hidden="false" customHeight="false" outlineLevel="0" collapsed="false">
      <c r="B136" s="11" t="n">
        <f aca="false">_xlfn.NUMBERVALUE(solar!B133)</f>
        <v>0</v>
      </c>
      <c r="C136" s="12" t="n">
        <f aca="false">solar!C133</f>
        <v>0</v>
      </c>
      <c r="D136" s="6" t="n">
        <v>132</v>
      </c>
      <c r="E136" s="17" t="n">
        <f aca="false">IFERROR(INDEX($B$5:$C$173, MATCH($D136, $B$5:$B$175, 0), 2), 0)*investment!$C$3</f>
        <v>0</v>
      </c>
      <c r="F136" s="18" t="n">
        <f aca="false">demand!D134</f>
        <v>0</v>
      </c>
      <c r="G136" s="2" t="n">
        <f aca="false">solgen!D134</f>
        <v>0</v>
      </c>
      <c r="H136" s="2" t="n">
        <f aca="false">import!D134</f>
        <v>0</v>
      </c>
      <c r="I136" s="2" t="n">
        <f aca="false">-export!D134</f>
        <v>-0</v>
      </c>
      <c r="J136" s="2" t="n">
        <f aca="false">-charge!D134</f>
        <v>-0</v>
      </c>
      <c r="K136" s="2" t="n">
        <f aca="false">discharge!D134</f>
        <v>0</v>
      </c>
      <c r="L136" s="2" t="n">
        <f aca="false">soc!D134/investment!$E$3 *100</f>
        <v>0</v>
      </c>
    </row>
    <row r="137" customFormat="false" ht="13.8" hidden="false" customHeight="false" outlineLevel="0" collapsed="false">
      <c r="B137" s="11" t="n">
        <f aca="false">_xlfn.NUMBERVALUE(solar!B134)</f>
        <v>0</v>
      </c>
      <c r="C137" s="12" t="n">
        <f aca="false">solar!C134</f>
        <v>0</v>
      </c>
      <c r="D137" s="6" t="n">
        <v>133</v>
      </c>
      <c r="E137" s="17" t="n">
        <f aca="false">IFERROR(INDEX($B$5:$C$173, MATCH($D137, $B$5:$B$175, 0), 2), 0)*investment!$C$3</f>
        <v>0</v>
      </c>
      <c r="F137" s="18" t="n">
        <f aca="false">demand!D135</f>
        <v>0</v>
      </c>
      <c r="G137" s="2" t="n">
        <f aca="false">solgen!D135</f>
        <v>0</v>
      </c>
      <c r="H137" s="2" t="n">
        <f aca="false">import!D135</f>
        <v>0</v>
      </c>
      <c r="I137" s="2" t="n">
        <f aca="false">-export!D135</f>
        <v>-0</v>
      </c>
      <c r="J137" s="2" t="n">
        <f aca="false">-charge!D135</f>
        <v>-0</v>
      </c>
      <c r="K137" s="2" t="n">
        <f aca="false">discharge!D135</f>
        <v>0</v>
      </c>
      <c r="L137" s="2" t="n">
        <f aca="false">soc!D135/investment!$E$3 *100</f>
        <v>0</v>
      </c>
    </row>
    <row r="138" customFormat="false" ht="13.8" hidden="false" customHeight="false" outlineLevel="0" collapsed="false">
      <c r="B138" s="11" t="n">
        <f aca="false">_xlfn.NUMBERVALUE(solar!B135)</f>
        <v>0</v>
      </c>
      <c r="C138" s="12" t="n">
        <f aca="false">solar!C135</f>
        <v>0</v>
      </c>
      <c r="D138" s="6" t="n">
        <v>134</v>
      </c>
      <c r="E138" s="17" t="n">
        <f aca="false">IFERROR(INDEX($B$5:$C$173, MATCH($D138, $B$5:$B$175, 0), 2), 0)*investment!$C$3</f>
        <v>0</v>
      </c>
      <c r="F138" s="18" t="n">
        <f aca="false">demand!D136</f>
        <v>0</v>
      </c>
      <c r="G138" s="2" t="n">
        <f aca="false">solgen!D136</f>
        <v>0</v>
      </c>
      <c r="H138" s="2" t="n">
        <f aca="false">import!D136</f>
        <v>0</v>
      </c>
      <c r="I138" s="2" t="n">
        <f aca="false">-export!D136</f>
        <v>-0</v>
      </c>
      <c r="J138" s="2" t="n">
        <f aca="false">-charge!D136</f>
        <v>-0</v>
      </c>
      <c r="K138" s="2" t="n">
        <f aca="false">discharge!D136</f>
        <v>0</v>
      </c>
      <c r="L138" s="2" t="n">
        <f aca="false">soc!D136/investment!$E$3 *100</f>
        <v>3.35797610064853</v>
      </c>
    </row>
    <row r="139" customFormat="false" ht="13.8" hidden="false" customHeight="false" outlineLevel="0" collapsed="false">
      <c r="B139" s="11" t="n">
        <f aca="false">_xlfn.NUMBERVALUE(solar!B136)</f>
        <v>0</v>
      </c>
      <c r="C139" s="12" t="n">
        <f aca="false">solar!C136</f>
        <v>0</v>
      </c>
      <c r="D139" s="6" t="n">
        <v>135</v>
      </c>
      <c r="E139" s="17" t="n">
        <f aca="false">IFERROR(INDEX($B$5:$C$173, MATCH($D139, $B$5:$B$175, 0), 2), 0)*investment!$C$3</f>
        <v>0</v>
      </c>
      <c r="F139" s="18" t="n">
        <f aca="false">demand!D137</f>
        <v>0</v>
      </c>
      <c r="G139" s="2" t="n">
        <f aca="false">solgen!D137</f>
        <v>0</v>
      </c>
      <c r="H139" s="2" t="n">
        <f aca="false">import!D137</f>
        <v>0</v>
      </c>
      <c r="I139" s="2" t="n">
        <f aca="false">-export!D137</f>
        <v>-0</v>
      </c>
      <c r="J139" s="2" t="n">
        <f aca="false">-charge!D137</f>
        <v>-0</v>
      </c>
      <c r="K139" s="2" t="n">
        <f aca="false">discharge!D137</f>
        <v>0</v>
      </c>
      <c r="L139" s="2" t="n">
        <f aca="false">soc!D137/investment!$E$3 *100</f>
        <v>6.89094471570169</v>
      </c>
    </row>
    <row r="140" customFormat="false" ht="13.8" hidden="false" customHeight="false" outlineLevel="0" collapsed="false">
      <c r="B140" s="11" t="n">
        <f aca="false">_xlfn.NUMBERVALUE(solar!B137)</f>
        <v>0</v>
      </c>
      <c r="C140" s="12" t="n">
        <f aca="false">solar!C137</f>
        <v>0</v>
      </c>
      <c r="D140" s="6" t="n">
        <v>136</v>
      </c>
      <c r="E140" s="17" t="n">
        <f aca="false">IFERROR(INDEX($B$5:$C$173, MATCH($D140, $B$5:$B$175, 0), 2), 0)*investment!$C$3</f>
        <v>0</v>
      </c>
      <c r="F140" s="18" t="n">
        <f aca="false">demand!D138</f>
        <v>0</v>
      </c>
      <c r="G140" s="2" t="n">
        <f aca="false">solgen!D138</f>
        <v>0</v>
      </c>
      <c r="H140" s="2" t="n">
        <f aca="false">import!D138</f>
        <v>0</v>
      </c>
      <c r="I140" s="2" t="n">
        <f aca="false">-export!D138</f>
        <v>-0</v>
      </c>
      <c r="J140" s="2" t="n">
        <f aca="false">-charge!D138</f>
        <v>-0</v>
      </c>
      <c r="K140" s="2" t="n">
        <f aca="false">discharge!D138</f>
        <v>0</v>
      </c>
      <c r="L140" s="2" t="n">
        <f aca="false">soc!D138/investment!$E$3 *100</f>
        <v>10.5989040952344</v>
      </c>
    </row>
    <row r="141" customFormat="false" ht="13.8" hidden="false" customHeight="false" outlineLevel="0" collapsed="false">
      <c r="B141" s="11" t="n">
        <f aca="false">_xlfn.NUMBERVALUE(solar!B138)</f>
        <v>0</v>
      </c>
      <c r="C141" s="12" t="n">
        <f aca="false">solar!C138</f>
        <v>0</v>
      </c>
      <c r="D141" s="6" t="n">
        <v>137</v>
      </c>
      <c r="E141" s="17" t="n">
        <f aca="false">IFERROR(INDEX($B$5:$C$173, MATCH($D141, $B$5:$B$175, 0), 2), 0)*investment!$C$3</f>
        <v>0</v>
      </c>
      <c r="F141" s="18" t="n">
        <f aca="false">demand!D139</f>
        <v>0</v>
      </c>
      <c r="G141" s="2" t="n">
        <f aca="false">solgen!D139</f>
        <v>0</v>
      </c>
      <c r="H141" s="2" t="n">
        <f aca="false">import!D139</f>
        <v>0</v>
      </c>
      <c r="I141" s="2" t="n">
        <f aca="false">-export!D139</f>
        <v>-0</v>
      </c>
      <c r="J141" s="2" t="n">
        <f aca="false">-charge!D139</f>
        <v>-0</v>
      </c>
      <c r="K141" s="2" t="n">
        <f aca="false">discharge!D139</f>
        <v>0</v>
      </c>
      <c r="L141" s="2" t="n">
        <f aca="false">soc!D139/investment!$E$3 *100</f>
        <v>14.4818524893389</v>
      </c>
    </row>
    <row r="142" customFormat="false" ht="13.8" hidden="false" customHeight="false" outlineLevel="0" collapsed="false">
      <c r="B142" s="11" t="n">
        <f aca="false">_xlfn.NUMBERVALUE(solar!B139)</f>
        <v>0</v>
      </c>
      <c r="C142" s="12" t="n">
        <f aca="false">solar!C139</f>
        <v>0</v>
      </c>
      <c r="D142" s="6" t="n">
        <v>138</v>
      </c>
      <c r="E142" s="17" t="n">
        <f aca="false">IFERROR(INDEX($B$5:$C$173, MATCH($D142, $B$5:$B$175, 0), 2), 0)*investment!$C$3</f>
        <v>0</v>
      </c>
      <c r="F142" s="18" t="n">
        <f aca="false">demand!D140</f>
        <v>0</v>
      </c>
      <c r="G142" s="2" t="n">
        <f aca="false">solgen!D140</f>
        <v>0</v>
      </c>
      <c r="H142" s="2" t="n">
        <f aca="false">import!D140</f>
        <v>0</v>
      </c>
      <c r="I142" s="2" t="n">
        <f aca="false">-export!D140</f>
        <v>-0</v>
      </c>
      <c r="J142" s="2" t="n">
        <f aca="false">-charge!D140</f>
        <v>-0</v>
      </c>
      <c r="K142" s="2" t="n">
        <f aca="false">discharge!D140</f>
        <v>0</v>
      </c>
      <c r="L142" s="2" t="n">
        <f aca="false">soc!D140/investment!$E$3 *100</f>
        <v>16.7416188050334</v>
      </c>
    </row>
    <row r="143" customFormat="false" ht="13.8" hidden="false" customHeight="false" outlineLevel="0" collapsed="false">
      <c r="B143" s="11" t="n">
        <f aca="false">_xlfn.NUMBERVALUE(solar!B140)</f>
        <v>0</v>
      </c>
      <c r="C143" s="12" t="n">
        <f aca="false">solar!C140</f>
        <v>0</v>
      </c>
      <c r="D143" s="6" t="n">
        <v>139</v>
      </c>
      <c r="E143" s="17" t="n">
        <f aca="false">IFERROR(INDEX($B$5:$C$173, MATCH($D143, $B$5:$B$175, 0), 2), 0)*investment!$C$3</f>
        <v>0</v>
      </c>
      <c r="F143" s="18" t="n">
        <f aca="false">demand!D141</f>
        <v>0</v>
      </c>
      <c r="G143" s="2" t="n">
        <f aca="false">solgen!D141</f>
        <v>0</v>
      </c>
      <c r="H143" s="2" t="n">
        <f aca="false">import!D141</f>
        <v>0</v>
      </c>
      <c r="I143" s="2" t="n">
        <f aca="false">-export!D141</f>
        <v>-0</v>
      </c>
      <c r="J143" s="2" t="n">
        <f aca="false">-charge!D141</f>
        <v>-0</v>
      </c>
      <c r="K143" s="2" t="n">
        <f aca="false">discharge!D141</f>
        <v>0</v>
      </c>
      <c r="L143" s="2" t="n">
        <f aca="false">soc!D141/investment!$E$3 *100</f>
        <v>20.7796158309966</v>
      </c>
    </row>
    <row r="144" customFormat="false" ht="13.8" hidden="false" customHeight="false" outlineLevel="0" collapsed="false">
      <c r="B144" s="11" t="n">
        <f aca="false">_xlfn.NUMBERVALUE(solar!B141)</f>
        <v>0</v>
      </c>
      <c r="C144" s="12" t="n">
        <f aca="false">solar!C141</f>
        <v>0</v>
      </c>
      <c r="D144" s="6" t="n">
        <v>140</v>
      </c>
      <c r="E144" s="17" t="n">
        <f aca="false">IFERROR(INDEX($B$5:$C$173, MATCH($D144, $B$5:$B$175, 0), 2), 0)*investment!$C$3</f>
        <v>0</v>
      </c>
      <c r="F144" s="18" t="n">
        <f aca="false">demand!D142</f>
        <v>0</v>
      </c>
      <c r="G144" s="2" t="n">
        <f aca="false">solgen!D142</f>
        <v>0</v>
      </c>
      <c r="H144" s="2" t="n">
        <f aca="false">import!D142</f>
        <v>0</v>
      </c>
      <c r="I144" s="2" t="n">
        <f aca="false">-export!D142</f>
        <v>-0</v>
      </c>
      <c r="J144" s="2" t="n">
        <f aca="false">-charge!D142</f>
        <v>-0</v>
      </c>
      <c r="K144" s="2" t="n">
        <f aca="false">discharge!D142</f>
        <v>0</v>
      </c>
      <c r="L144" s="2" t="n">
        <f aca="false">soc!D142/investment!$E$3 *100</f>
        <v>24.8951275064925</v>
      </c>
    </row>
    <row r="145" customFormat="false" ht="13.8" hidden="false" customHeight="false" outlineLevel="0" collapsed="false">
      <c r="B145" s="11" t="n">
        <f aca="false">_xlfn.NUMBERVALUE(solar!B142)</f>
        <v>0</v>
      </c>
      <c r="C145" s="12" t="n">
        <f aca="false">solar!C142</f>
        <v>0</v>
      </c>
      <c r="D145" s="6" t="n">
        <v>141</v>
      </c>
      <c r="E145" s="17" t="n">
        <f aca="false">IFERROR(INDEX($B$5:$C$173, MATCH($D145, $B$5:$B$175, 0), 2), 0)*investment!$C$3</f>
        <v>0</v>
      </c>
      <c r="F145" s="18" t="n">
        <f aca="false">demand!D143</f>
        <v>0</v>
      </c>
      <c r="G145" s="2" t="n">
        <f aca="false">solgen!D143</f>
        <v>0</v>
      </c>
      <c r="H145" s="2" t="n">
        <f aca="false">import!D143</f>
        <v>0</v>
      </c>
      <c r="I145" s="2" t="n">
        <f aca="false">-export!D143</f>
        <v>-0</v>
      </c>
      <c r="J145" s="2" t="n">
        <f aca="false">-charge!D143</f>
        <v>-0</v>
      </c>
      <c r="K145" s="2" t="n">
        <f aca="false">discharge!D143</f>
        <v>0</v>
      </c>
      <c r="L145" s="2" t="n">
        <f aca="false">soc!D143/investment!$E$3 *100</f>
        <v>29.0881530563745</v>
      </c>
    </row>
    <row r="146" customFormat="false" ht="13.8" hidden="false" customHeight="false" outlineLevel="0" collapsed="false">
      <c r="B146" s="11" t="n">
        <f aca="false">_xlfn.NUMBERVALUE(solar!B143)</f>
        <v>0</v>
      </c>
      <c r="C146" s="12" t="n">
        <f aca="false">solar!C143</f>
        <v>0</v>
      </c>
      <c r="D146" s="6" t="n">
        <v>142</v>
      </c>
      <c r="E146" s="17" t="n">
        <f aca="false">IFERROR(INDEX($B$5:$C$173, MATCH($D146, $B$5:$B$175, 0), 2), 0)*investment!$C$3</f>
        <v>0</v>
      </c>
      <c r="F146" s="18" t="n">
        <f aca="false">demand!D144</f>
        <v>0</v>
      </c>
      <c r="G146" s="2" t="n">
        <f aca="false">solgen!D144</f>
        <v>0</v>
      </c>
      <c r="H146" s="2" t="n">
        <f aca="false">import!D144</f>
        <v>0</v>
      </c>
      <c r="I146" s="2" t="n">
        <f aca="false">-export!D144</f>
        <v>-0</v>
      </c>
      <c r="J146" s="2" t="n">
        <f aca="false">-charge!D144</f>
        <v>-0</v>
      </c>
      <c r="K146" s="2" t="n">
        <f aca="false">discharge!D144</f>
        <v>0</v>
      </c>
      <c r="L146" s="2" t="n">
        <f aca="false">soc!D144/investment!$E$3 *100</f>
        <v>33.3355969385599</v>
      </c>
    </row>
    <row r="147" customFormat="false" ht="13.8" hidden="false" customHeight="false" outlineLevel="0" collapsed="false">
      <c r="B147" s="11" t="n">
        <f aca="false">_xlfn.NUMBERVALUE(solar!B144)</f>
        <v>0</v>
      </c>
      <c r="C147" s="12" t="n">
        <f aca="false">solar!C144</f>
        <v>0</v>
      </c>
      <c r="D147" s="6" t="n">
        <v>143</v>
      </c>
      <c r="E147" s="17" t="n">
        <f aca="false">IFERROR(INDEX($B$5:$C$173, MATCH($D147, $B$5:$B$175, 0), 2), 0)*investment!$C$3</f>
        <v>0</v>
      </c>
      <c r="F147" s="18" t="n">
        <f aca="false">demand!D145</f>
        <v>0</v>
      </c>
      <c r="G147" s="2" t="n">
        <f aca="false">solgen!D145</f>
        <v>0</v>
      </c>
      <c r="H147" s="2" t="n">
        <f aca="false">import!D145</f>
        <v>0</v>
      </c>
      <c r="I147" s="2" t="n">
        <f aca="false">-export!D145</f>
        <v>-0</v>
      </c>
      <c r="J147" s="2" t="n">
        <f aca="false">-charge!D145</f>
        <v>-0</v>
      </c>
      <c r="K147" s="2" t="n">
        <f aca="false">discharge!D145</f>
        <v>0</v>
      </c>
      <c r="L147" s="2" t="n">
        <f aca="false">soc!D145/investment!$E$3 *100</f>
        <v>37.6374586088654</v>
      </c>
    </row>
    <row r="148" customFormat="false" ht="13.8" hidden="false" customHeight="false" outlineLevel="0" collapsed="false">
      <c r="B148" s="11" t="n">
        <f aca="false">_xlfn.NUMBERVALUE(solar!B145)</f>
        <v>0</v>
      </c>
      <c r="C148" s="12" t="n">
        <f aca="false">solar!C145</f>
        <v>0</v>
      </c>
      <c r="D148" s="6" t="n">
        <v>144</v>
      </c>
      <c r="E148" s="17" t="n">
        <f aca="false">IFERROR(INDEX($B$5:$C$173, MATCH($D148, $B$5:$B$175, 0), 2), 0)*investment!$C$3</f>
        <v>0</v>
      </c>
      <c r="F148" s="18" t="n">
        <f aca="false">demand!D146</f>
        <v>0</v>
      </c>
      <c r="G148" s="2" t="n">
        <f aca="false">solgen!D146</f>
        <v>0</v>
      </c>
      <c r="H148" s="2" t="n">
        <f aca="false">import!D146</f>
        <v>0</v>
      </c>
      <c r="I148" s="2" t="n">
        <f aca="false">-export!D146</f>
        <v>-0</v>
      </c>
      <c r="J148" s="2" t="n">
        <f aca="false">-charge!D146</f>
        <v>-0</v>
      </c>
      <c r="K148" s="2" t="n">
        <f aca="false">discharge!D146</f>
        <v>0</v>
      </c>
      <c r="L148" s="2" t="n">
        <f aca="false">soc!D146/investment!$E$3 *100</f>
        <v>41.9937375231129</v>
      </c>
    </row>
    <row r="149" customFormat="false" ht="13.8" hidden="false" customHeight="false" outlineLevel="0" collapsed="false">
      <c r="B149" s="11" t="n">
        <f aca="false">_xlfn.NUMBERVALUE(solar!B146)</f>
        <v>0</v>
      </c>
      <c r="C149" s="12" t="n">
        <f aca="false">solar!C146</f>
        <v>0</v>
      </c>
      <c r="D149" s="6" t="n">
        <v>145</v>
      </c>
      <c r="E149" s="17" t="n">
        <f aca="false">IFERROR(INDEX($B$5:$C$173, MATCH($D149, $B$5:$B$175, 0), 2), 0)*investment!$C$3</f>
        <v>0</v>
      </c>
      <c r="F149" s="18" t="n">
        <f aca="false">demand!D147</f>
        <v>0</v>
      </c>
      <c r="G149" s="2" t="n">
        <f aca="false">solgen!D147</f>
        <v>0</v>
      </c>
      <c r="H149" s="2" t="n">
        <f aca="false">import!D147</f>
        <v>0</v>
      </c>
      <c r="I149" s="2" t="n">
        <f aca="false">-export!D147</f>
        <v>-0</v>
      </c>
      <c r="J149" s="2" t="n">
        <f aca="false">-charge!D147</f>
        <v>-0</v>
      </c>
      <c r="K149" s="2" t="n">
        <f aca="false">discharge!D147</f>
        <v>0</v>
      </c>
      <c r="L149" s="2" t="n">
        <f aca="false">soc!D147/investment!$E$3 *100</f>
        <v>46.4044331371302</v>
      </c>
    </row>
    <row r="150" customFormat="false" ht="13.8" hidden="false" customHeight="false" outlineLevel="0" collapsed="false">
      <c r="B150" s="11" t="n">
        <f aca="false">_xlfn.NUMBERVALUE(solar!B147)</f>
        <v>0</v>
      </c>
      <c r="C150" s="12" t="n">
        <f aca="false">solar!C147</f>
        <v>0</v>
      </c>
      <c r="D150" s="6" t="n">
        <v>146</v>
      </c>
      <c r="E150" s="17" t="n">
        <f aca="false">IFERROR(INDEX($B$5:$C$173, MATCH($D150, $B$5:$B$175, 0), 2), 0)*investment!$C$3</f>
        <v>0</v>
      </c>
      <c r="F150" s="18" t="n">
        <f aca="false">demand!D148</f>
        <v>0</v>
      </c>
      <c r="G150" s="2" t="n">
        <f aca="false">solgen!D148</f>
        <v>0</v>
      </c>
      <c r="H150" s="2" t="n">
        <f aca="false">import!D148</f>
        <v>0</v>
      </c>
      <c r="I150" s="2" t="n">
        <f aca="false">-export!D148</f>
        <v>-0</v>
      </c>
      <c r="J150" s="2" t="n">
        <f aca="false">-charge!D148</f>
        <v>-0</v>
      </c>
      <c r="K150" s="2" t="n">
        <f aca="false">discharge!D148</f>
        <v>0</v>
      </c>
      <c r="L150" s="2" t="n">
        <f aca="false">soc!D148/investment!$E$3 *100</f>
        <v>50.742621611575</v>
      </c>
    </row>
    <row r="151" customFormat="false" ht="13.8" hidden="false" customHeight="false" outlineLevel="0" collapsed="false">
      <c r="B151" s="11" t="n">
        <f aca="false">_xlfn.NUMBERVALUE(solar!B148)</f>
        <v>0</v>
      </c>
      <c r="C151" s="12" t="n">
        <f aca="false">solar!C148</f>
        <v>0</v>
      </c>
      <c r="D151" s="6" t="n">
        <v>147</v>
      </c>
      <c r="E151" s="17" t="n">
        <f aca="false">IFERROR(INDEX($B$5:$C$173, MATCH($D151, $B$5:$B$175, 0), 2), 0)*investment!$C$3</f>
        <v>0</v>
      </c>
      <c r="F151" s="18" t="n">
        <f aca="false">demand!D149</f>
        <v>0</v>
      </c>
      <c r="G151" s="2" t="n">
        <f aca="false">solgen!D149</f>
        <v>0</v>
      </c>
      <c r="H151" s="2" t="n">
        <f aca="false">import!D149</f>
        <v>0</v>
      </c>
      <c r="I151" s="2" t="n">
        <f aca="false">-export!D149</f>
        <v>-0</v>
      </c>
      <c r="J151" s="2" t="n">
        <f aca="false">-charge!D149</f>
        <v>-0</v>
      </c>
      <c r="K151" s="2" t="n">
        <f aca="false">discharge!D149</f>
        <v>0</v>
      </c>
      <c r="L151" s="2" t="n">
        <f aca="false">soc!D149/investment!$E$3 *100</f>
        <v>55.0083036715187</v>
      </c>
    </row>
    <row r="152" customFormat="false" ht="13.8" hidden="false" customHeight="false" outlineLevel="0" collapsed="false">
      <c r="B152" s="11" t="n">
        <f aca="false">_xlfn.NUMBERVALUE(solar!B149)</f>
        <v>0</v>
      </c>
      <c r="C152" s="12" t="n">
        <f aca="false">solar!C149</f>
        <v>0</v>
      </c>
      <c r="D152" s="6" t="n">
        <v>148</v>
      </c>
      <c r="E152" s="17" t="n">
        <f aca="false">IFERROR(INDEX($B$5:$C$173, MATCH($D152, $B$5:$B$175, 0), 2), 0)*investment!$C$3</f>
        <v>0</v>
      </c>
      <c r="F152" s="18" t="n">
        <f aca="false">demand!D150</f>
        <v>0</v>
      </c>
      <c r="G152" s="2" t="n">
        <f aca="false">solgen!D150</f>
        <v>0</v>
      </c>
      <c r="H152" s="2" t="n">
        <f aca="false">import!D150</f>
        <v>0</v>
      </c>
      <c r="I152" s="2" t="n">
        <f aca="false">-export!D150</f>
        <v>-0</v>
      </c>
      <c r="J152" s="2" t="n">
        <f aca="false">-charge!D150</f>
        <v>-0</v>
      </c>
      <c r="K152" s="2" t="n">
        <f aca="false">discharge!D150</f>
        <v>0</v>
      </c>
      <c r="L152" s="2" t="n">
        <f aca="false">soc!D150/investment!$E$3 *100</f>
        <v>59.2014800420255</v>
      </c>
    </row>
    <row r="153" customFormat="false" ht="13.8" hidden="false" customHeight="false" outlineLevel="0" collapsed="false">
      <c r="B153" s="11" t="n">
        <f aca="false">_xlfn.NUMBERVALUE(solar!B150)</f>
        <v>0</v>
      </c>
      <c r="C153" s="12" t="n">
        <f aca="false">solar!C150</f>
        <v>0</v>
      </c>
      <c r="D153" s="6" t="n">
        <v>149</v>
      </c>
      <c r="E153" s="17" t="n">
        <f aca="false">IFERROR(INDEX($B$5:$C$173, MATCH($D153, $B$5:$B$175, 0), 2), 0)*investment!$C$3</f>
        <v>0</v>
      </c>
      <c r="F153" s="18" t="n">
        <f aca="false">demand!D151</f>
        <v>0</v>
      </c>
      <c r="G153" s="2" t="n">
        <f aca="false">solgen!D151</f>
        <v>0</v>
      </c>
      <c r="H153" s="2" t="n">
        <f aca="false">import!D151</f>
        <v>0</v>
      </c>
      <c r="I153" s="2" t="n">
        <f aca="false">-export!D151</f>
        <v>-0</v>
      </c>
      <c r="J153" s="2" t="n">
        <f aca="false">-charge!D151</f>
        <v>-0</v>
      </c>
      <c r="K153" s="2" t="n">
        <f aca="false">discharge!D151</f>
        <v>0</v>
      </c>
      <c r="L153" s="2" t="n">
        <f aca="false">soc!D151/investment!$E$3 *100</f>
        <v>63.3221514481522</v>
      </c>
    </row>
    <row r="154" customFormat="false" ht="13.8" hidden="false" customHeight="false" outlineLevel="0" collapsed="false">
      <c r="B154" s="11" t="n">
        <f aca="false">_xlfn.NUMBERVALUE(solar!B151)</f>
        <v>0</v>
      </c>
      <c r="C154" s="12" t="n">
        <f aca="false">solar!C151</f>
        <v>0</v>
      </c>
      <c r="D154" s="6" t="n">
        <v>150</v>
      </c>
      <c r="E154" s="17" t="n">
        <f aca="false">IFERROR(INDEX($B$5:$C$173, MATCH($D154, $B$5:$B$175, 0), 2), 0)*investment!$C$3</f>
        <v>0</v>
      </c>
      <c r="F154" s="18" t="n">
        <f aca="false">demand!D152</f>
        <v>0</v>
      </c>
      <c r="G154" s="2" t="n">
        <f aca="false">solgen!D152</f>
        <v>0</v>
      </c>
      <c r="H154" s="2" t="n">
        <f aca="false">import!D152</f>
        <v>0</v>
      </c>
      <c r="I154" s="2" t="n">
        <f aca="false">-export!D152</f>
        <v>-0</v>
      </c>
      <c r="J154" s="2" t="n">
        <f aca="false">-charge!D152</f>
        <v>-0</v>
      </c>
      <c r="K154" s="2" t="n">
        <f aca="false">discharge!D152</f>
        <v>0</v>
      </c>
      <c r="L154" s="2" t="n">
        <f aca="false">soc!D152/investment!$E$3 *100</f>
        <v>67.2919500711501</v>
      </c>
    </row>
    <row r="155" customFormat="false" ht="13.8" hidden="false" customHeight="false" outlineLevel="0" collapsed="false">
      <c r="B155" s="11" t="n">
        <f aca="false">_xlfn.NUMBERVALUE(solar!B152)</f>
        <v>0</v>
      </c>
      <c r="C155" s="12" t="n">
        <f aca="false">solar!C152</f>
        <v>0</v>
      </c>
      <c r="D155" s="6" t="n">
        <v>151</v>
      </c>
      <c r="E155" s="17" t="n">
        <f aca="false">IFERROR(INDEX($B$5:$C$173, MATCH($D155, $B$5:$B$175, 0), 2), 0)*investment!$C$3</f>
        <v>0</v>
      </c>
      <c r="F155" s="18" t="n">
        <f aca="false">demand!D153</f>
        <v>0</v>
      </c>
      <c r="G155" s="2" t="n">
        <f aca="false">solgen!D153</f>
        <v>0</v>
      </c>
      <c r="H155" s="2" t="n">
        <f aca="false">import!D153</f>
        <v>0</v>
      </c>
      <c r="I155" s="2" t="n">
        <f aca="false">-export!D153</f>
        <v>-0</v>
      </c>
      <c r="J155" s="2" t="n">
        <f aca="false">-charge!D153</f>
        <v>-0</v>
      </c>
      <c r="K155" s="2" t="n">
        <f aca="false">discharge!D153</f>
        <v>0</v>
      </c>
      <c r="L155" s="2" t="n">
        <f aca="false">soc!D153/investment!$E$3 *100</f>
        <v>71.110877419747</v>
      </c>
    </row>
    <row r="156" customFormat="false" ht="13.8" hidden="false" customHeight="false" outlineLevel="0" collapsed="false">
      <c r="B156" s="11" t="n">
        <f aca="false">_xlfn.NUMBERVALUE(solar!B153)</f>
        <v>0</v>
      </c>
      <c r="C156" s="12" t="n">
        <f aca="false">solar!C153</f>
        <v>0</v>
      </c>
      <c r="D156" s="6" t="n">
        <v>152</v>
      </c>
      <c r="E156" s="17" t="n">
        <f aca="false">IFERROR(INDEX($B$5:$C$173, MATCH($D156, $B$5:$B$175, 0), 2), 0)*investment!$C$3</f>
        <v>0</v>
      </c>
      <c r="F156" s="18" t="n">
        <f aca="false">demand!D154</f>
        <v>0</v>
      </c>
      <c r="G156" s="2" t="n">
        <f aca="false">solgen!D154</f>
        <v>0</v>
      </c>
      <c r="H156" s="2" t="n">
        <f aca="false">import!D154</f>
        <v>0</v>
      </c>
      <c r="I156" s="2" t="n">
        <f aca="false">-export!D154</f>
        <v>-0</v>
      </c>
      <c r="J156" s="2" t="n">
        <f aca="false">-charge!D154</f>
        <v>-0</v>
      </c>
      <c r="K156" s="2" t="n">
        <f aca="false">discharge!D154</f>
        <v>0</v>
      </c>
      <c r="L156" s="2" t="n">
        <f aca="false">soc!D154/investment!$E$3 *100</f>
        <v>74.6280728371676</v>
      </c>
    </row>
    <row r="157" customFormat="false" ht="13.8" hidden="false" customHeight="false" outlineLevel="0" collapsed="false">
      <c r="B157" s="11" t="n">
        <f aca="false">_xlfn.NUMBERVALUE(solar!B154)</f>
        <v>0</v>
      </c>
      <c r="C157" s="12" t="n">
        <f aca="false">solar!C154</f>
        <v>0</v>
      </c>
      <c r="D157" s="6" t="n">
        <v>153</v>
      </c>
      <c r="E157" s="17" t="n">
        <f aca="false">IFERROR(INDEX($B$5:$C$173, MATCH($D157, $B$5:$B$175, 0), 2), 0)*investment!$C$3</f>
        <v>0</v>
      </c>
      <c r="F157" s="18" t="n">
        <f aca="false">demand!D155</f>
        <v>0</v>
      </c>
      <c r="G157" s="2" t="n">
        <f aca="false">solgen!D155</f>
        <v>0</v>
      </c>
      <c r="H157" s="2" t="n">
        <f aca="false">import!D155</f>
        <v>0</v>
      </c>
      <c r="I157" s="2" t="n">
        <f aca="false">-export!D155</f>
        <v>-0</v>
      </c>
      <c r="J157" s="2" t="n">
        <f aca="false">-charge!D155</f>
        <v>-0</v>
      </c>
      <c r="K157" s="2" t="n">
        <f aca="false">discharge!D155</f>
        <v>0</v>
      </c>
      <c r="L157" s="2" t="n">
        <f aca="false">soc!D155/investment!$E$3 *100</f>
        <v>78.1452636717074</v>
      </c>
    </row>
    <row r="158" customFormat="false" ht="13.8" hidden="false" customHeight="false" outlineLevel="0" collapsed="false">
      <c r="B158" s="11" t="n">
        <f aca="false">_xlfn.NUMBERVALUE(solar!B155)</f>
        <v>0</v>
      </c>
      <c r="C158" s="12" t="n">
        <f aca="false">solar!C155</f>
        <v>0</v>
      </c>
      <c r="D158" s="6" t="n">
        <v>154</v>
      </c>
      <c r="E158" s="17" t="n">
        <f aca="false">IFERROR(INDEX($B$5:$C$173, MATCH($D158, $B$5:$B$175, 0), 2), 0)*investment!$C$3</f>
        <v>0</v>
      </c>
      <c r="F158" s="18" t="n">
        <f aca="false">demand!D156</f>
        <v>0</v>
      </c>
      <c r="G158" s="2" t="n">
        <f aca="false">solgen!D156</f>
        <v>0</v>
      </c>
      <c r="H158" s="2" t="n">
        <f aca="false">import!D156</f>
        <v>0</v>
      </c>
      <c r="I158" s="2" t="n">
        <f aca="false">-export!D156</f>
        <v>-0</v>
      </c>
      <c r="J158" s="2" t="n">
        <f aca="false">-charge!D156</f>
        <v>-0</v>
      </c>
      <c r="K158" s="2" t="n">
        <f aca="false">discharge!D156</f>
        <v>0</v>
      </c>
      <c r="L158" s="2" t="n">
        <f aca="false">soc!D156/investment!$E$3 *100</f>
        <v>81.3841673151239</v>
      </c>
    </row>
    <row r="159" customFormat="false" ht="13.8" hidden="false" customHeight="false" outlineLevel="0" collapsed="false">
      <c r="B159" s="11" t="n">
        <f aca="false">_xlfn.NUMBERVALUE(solar!B156)</f>
        <v>0</v>
      </c>
      <c r="C159" s="12" t="n">
        <f aca="false">solar!C156</f>
        <v>0</v>
      </c>
      <c r="D159" s="6" t="n">
        <v>155</v>
      </c>
      <c r="E159" s="17" t="n">
        <f aca="false">IFERROR(INDEX($B$5:$C$173, MATCH($D159, $B$5:$B$175, 0), 2), 0)*investment!$C$3</f>
        <v>0</v>
      </c>
      <c r="F159" s="18" t="n">
        <f aca="false">demand!D157</f>
        <v>0</v>
      </c>
      <c r="G159" s="2" t="n">
        <f aca="false">solgen!D157</f>
        <v>0</v>
      </c>
      <c r="H159" s="2" t="n">
        <f aca="false">import!D157</f>
        <v>0</v>
      </c>
      <c r="I159" s="2" t="n">
        <f aca="false">-export!D157</f>
        <v>-0</v>
      </c>
      <c r="J159" s="2" t="n">
        <f aca="false">-charge!D157</f>
        <v>-0</v>
      </c>
      <c r="K159" s="2" t="n">
        <f aca="false">discharge!D157</f>
        <v>0</v>
      </c>
      <c r="L159" s="2" t="n">
        <f aca="false">soc!D157/investment!$E$3 *100</f>
        <v>84.3447865502889</v>
      </c>
    </row>
    <row r="160" customFormat="false" ht="13.8" hidden="false" customHeight="false" outlineLevel="0" collapsed="false">
      <c r="B160" s="11" t="n">
        <f aca="false">_xlfn.NUMBERVALUE(solar!B157)</f>
        <v>0</v>
      </c>
      <c r="C160" s="12" t="n">
        <f aca="false">solar!C157</f>
        <v>0</v>
      </c>
      <c r="D160" s="6" t="n">
        <v>156</v>
      </c>
      <c r="E160" s="17" t="n">
        <f aca="false">IFERROR(INDEX($B$5:$C$173, MATCH($D160, $B$5:$B$175, 0), 2), 0)*investment!$C$3</f>
        <v>0</v>
      </c>
      <c r="F160" s="18" t="n">
        <f aca="false">demand!D158</f>
        <v>0</v>
      </c>
      <c r="G160" s="2" t="n">
        <f aca="false">solgen!D158</f>
        <v>0</v>
      </c>
      <c r="H160" s="2" t="n">
        <f aca="false">import!D158</f>
        <v>0</v>
      </c>
      <c r="I160" s="2" t="n">
        <f aca="false">-export!D158</f>
        <v>-0</v>
      </c>
      <c r="J160" s="2" t="n">
        <f aca="false">-charge!D158</f>
        <v>-0</v>
      </c>
      <c r="K160" s="2" t="n">
        <f aca="false">discharge!D158</f>
        <v>0</v>
      </c>
      <c r="L160" s="2" t="n">
        <f aca="false">soc!D158/investment!$E$3 *100</f>
        <v>87.0271241600467</v>
      </c>
    </row>
    <row r="161" customFormat="false" ht="13.8" hidden="false" customHeight="false" outlineLevel="0" collapsed="false">
      <c r="B161" s="11" t="n">
        <f aca="false">_xlfn.NUMBERVALUE(solar!B158)</f>
        <v>0</v>
      </c>
      <c r="C161" s="12" t="n">
        <f aca="false">solar!C158</f>
        <v>0</v>
      </c>
      <c r="D161" s="6" t="n">
        <v>157</v>
      </c>
      <c r="E161" s="17" t="n">
        <f aca="false">IFERROR(INDEX($B$5:$C$173, MATCH($D161, $B$5:$B$175, 0), 2), 0)*investment!$C$3</f>
        <v>0</v>
      </c>
      <c r="F161" s="18" t="n">
        <f aca="false">demand!D159</f>
        <v>0</v>
      </c>
      <c r="G161" s="2" t="n">
        <f aca="false">solgen!D159</f>
        <v>0</v>
      </c>
      <c r="H161" s="2" t="n">
        <f aca="false">import!D159</f>
        <v>0</v>
      </c>
      <c r="I161" s="2" t="n">
        <f aca="false">-export!D159</f>
        <v>-0</v>
      </c>
      <c r="J161" s="2" t="n">
        <f aca="false">-charge!D159</f>
        <v>-0</v>
      </c>
      <c r="K161" s="2" t="n">
        <f aca="false">discharge!D159</f>
        <v>0</v>
      </c>
      <c r="L161" s="2" t="n">
        <f aca="false">soc!D159/investment!$E$3 *100</f>
        <v>89.1426468315043</v>
      </c>
    </row>
    <row r="162" customFormat="false" ht="13.8" hidden="false" customHeight="false" outlineLevel="0" collapsed="false">
      <c r="B162" s="11" t="n">
        <f aca="false">_xlfn.NUMBERVALUE(solar!B159)</f>
        <v>0</v>
      </c>
      <c r="C162" s="12" t="n">
        <f aca="false">solar!C159</f>
        <v>0</v>
      </c>
      <c r="D162" s="6" t="n">
        <v>158</v>
      </c>
      <c r="E162" s="17" t="n">
        <f aca="false">IFERROR(INDEX($B$5:$C$173, MATCH($D162, $B$5:$B$175, 0), 2), 0)*investment!$C$3</f>
        <v>0</v>
      </c>
      <c r="F162" s="18" t="n">
        <f aca="false">demand!D160</f>
        <v>0</v>
      </c>
      <c r="G162" s="2" t="n">
        <f aca="false">solgen!D160</f>
        <v>0</v>
      </c>
      <c r="H162" s="2" t="n">
        <f aca="false">import!D160</f>
        <v>0</v>
      </c>
      <c r="I162" s="2" t="n">
        <f aca="false">-export!D160</f>
        <v>-0</v>
      </c>
      <c r="J162" s="2" t="n">
        <f aca="false">-charge!D160</f>
        <v>-0</v>
      </c>
      <c r="K162" s="2" t="n">
        <f aca="false">discharge!D160</f>
        <v>0</v>
      </c>
      <c r="L162" s="2" t="n">
        <f aca="false">soc!D160/investment!$E$3 *100</f>
        <v>91.3521189411074</v>
      </c>
    </row>
    <row r="163" customFormat="false" ht="13.8" hidden="false" customHeight="false" outlineLevel="0" collapsed="false">
      <c r="B163" s="11" t="n">
        <f aca="false">_xlfn.NUMBERVALUE(solar!B160)</f>
        <v>0</v>
      </c>
      <c r="C163" s="12" t="n">
        <f aca="false">solar!C160</f>
        <v>0</v>
      </c>
      <c r="D163" s="6" t="n">
        <v>159</v>
      </c>
      <c r="E163" s="17" t="n">
        <f aca="false">IFERROR(INDEX($B$5:$C$173, MATCH($D163, $B$5:$B$175, 0), 2), 0)*investment!$C$3</f>
        <v>0</v>
      </c>
      <c r="F163" s="18" t="n">
        <f aca="false">demand!D161</f>
        <v>0</v>
      </c>
      <c r="G163" s="2" t="n">
        <f aca="false">solgen!D161</f>
        <v>0</v>
      </c>
      <c r="H163" s="2" t="n">
        <f aca="false">import!D161</f>
        <v>0</v>
      </c>
      <c r="I163" s="2" t="n">
        <f aca="false">-export!D161</f>
        <v>-0</v>
      </c>
      <c r="J163" s="2" t="n">
        <f aca="false">-charge!D161</f>
        <v>-0</v>
      </c>
      <c r="K163" s="2" t="n">
        <f aca="false">discharge!D161</f>
        <v>0</v>
      </c>
      <c r="L163" s="2" t="n">
        <f aca="false">soc!D161/investment!$E$3 *100</f>
        <v>93.3670034536526</v>
      </c>
    </row>
    <row r="164" customFormat="false" ht="13.8" hidden="false" customHeight="false" outlineLevel="0" collapsed="false">
      <c r="B164" s="11" t="n">
        <f aca="false">_xlfn.NUMBERVALUE(solar!B161)</f>
        <v>0</v>
      </c>
      <c r="C164" s="12" t="n">
        <f aca="false">solar!C161</f>
        <v>0</v>
      </c>
      <c r="D164" s="6" t="n">
        <v>160</v>
      </c>
      <c r="E164" s="17" t="n">
        <f aca="false">IFERROR(INDEX($B$5:$C$173, MATCH($D164, $B$5:$B$175, 0), 2), 0)*investment!$C$3</f>
        <v>0</v>
      </c>
      <c r="F164" s="18" t="n">
        <f aca="false">demand!D162</f>
        <v>0</v>
      </c>
      <c r="G164" s="2" t="n">
        <f aca="false">solgen!D162</f>
        <v>0</v>
      </c>
      <c r="H164" s="2" t="n">
        <f aca="false">import!D162</f>
        <v>0</v>
      </c>
      <c r="I164" s="2" t="n">
        <f aca="false">-export!D162</f>
        <v>-0</v>
      </c>
      <c r="J164" s="2" t="n">
        <f aca="false">-charge!D162</f>
        <v>-0</v>
      </c>
      <c r="K164" s="2" t="n">
        <f aca="false">discharge!D162</f>
        <v>0</v>
      </c>
      <c r="L164" s="2" t="n">
        <f aca="false">soc!D162/investment!$E$3 *100</f>
        <v>95.1873023150158</v>
      </c>
    </row>
    <row r="165" customFormat="false" ht="13.8" hidden="false" customHeight="false" outlineLevel="0" collapsed="false">
      <c r="B165" s="11" t="n">
        <f aca="false">_xlfn.NUMBERVALUE(solar!B162)</f>
        <v>0</v>
      </c>
      <c r="C165" s="12" t="n">
        <f aca="false">solar!C162</f>
        <v>0</v>
      </c>
      <c r="D165" s="6" t="n">
        <v>161</v>
      </c>
      <c r="E165" s="17" t="n">
        <f aca="false">IFERROR(INDEX($B$5:$C$173, MATCH($D165, $B$5:$B$175, 0), 2), 0)*investment!$C$3</f>
        <v>0</v>
      </c>
      <c r="F165" s="18" t="n">
        <f aca="false">demand!D163</f>
        <v>0</v>
      </c>
      <c r="G165" s="2" t="n">
        <f aca="false">solgen!D163</f>
        <v>0</v>
      </c>
      <c r="H165" s="2" t="n">
        <f aca="false">import!D163</f>
        <v>0</v>
      </c>
      <c r="I165" s="2" t="n">
        <f aca="false">-export!D163</f>
        <v>-0</v>
      </c>
      <c r="J165" s="2" t="n">
        <f aca="false">-charge!D163</f>
        <v>-0</v>
      </c>
      <c r="K165" s="2" t="n">
        <f aca="false">discharge!D163</f>
        <v>0</v>
      </c>
      <c r="L165" s="2" t="n">
        <f aca="false">soc!D163/investment!$E$3 *100</f>
        <v>96.8130174710536</v>
      </c>
    </row>
    <row r="166" customFormat="false" ht="13.8" hidden="false" customHeight="false" outlineLevel="0" collapsed="false">
      <c r="B166" s="11" t="n">
        <f aca="false">_xlfn.NUMBERVALUE(solar!B163)</f>
        <v>0</v>
      </c>
      <c r="C166" s="12" t="n">
        <f aca="false">solar!C163</f>
        <v>0</v>
      </c>
      <c r="D166" s="6" t="n">
        <v>162</v>
      </c>
      <c r="E166" s="17" t="n">
        <f aca="false">IFERROR(INDEX($B$5:$C$173, MATCH($D166, $B$5:$B$175, 0), 2), 0)*investment!$C$3</f>
        <v>0</v>
      </c>
      <c r="F166" s="18" t="n">
        <f aca="false">demand!D164</f>
        <v>0</v>
      </c>
      <c r="G166" s="2" t="n">
        <f aca="false">solgen!D164</f>
        <v>0</v>
      </c>
      <c r="H166" s="2" t="n">
        <f aca="false">import!D164</f>
        <v>0</v>
      </c>
      <c r="I166" s="2" t="n">
        <f aca="false">-export!D164</f>
        <v>-0</v>
      </c>
      <c r="J166" s="2" t="n">
        <f aca="false">-charge!D164</f>
        <v>-0</v>
      </c>
      <c r="K166" s="2" t="n">
        <f aca="false">discharge!D164</f>
        <v>0</v>
      </c>
      <c r="L166" s="2" t="n">
        <f aca="false">soc!D164/investment!$E$3 *100</f>
        <v>98.1974189908512</v>
      </c>
    </row>
    <row r="167" customFormat="false" ht="13.8" hidden="false" customHeight="false" outlineLevel="0" collapsed="false">
      <c r="B167" s="11" t="n">
        <f aca="false">_xlfn.NUMBERVALUE(solar!B164)</f>
        <v>0</v>
      </c>
      <c r="C167" s="12" t="n">
        <f aca="false">solar!C164</f>
        <v>0</v>
      </c>
      <c r="D167" s="6" t="n">
        <v>163</v>
      </c>
      <c r="E167" s="17" t="n">
        <f aca="false">IFERROR(INDEX($B$5:$C$173, MATCH($D167, $B$5:$B$175, 0), 2), 0)*investment!$C$3</f>
        <v>0</v>
      </c>
      <c r="F167" s="18" t="n">
        <f aca="false">demand!D165</f>
        <v>0</v>
      </c>
      <c r="G167" s="2" t="n">
        <f aca="false">solgen!D165</f>
        <v>0</v>
      </c>
      <c r="H167" s="2" t="n">
        <f aca="false">import!D165</f>
        <v>0</v>
      </c>
      <c r="I167" s="2" t="n">
        <f aca="false">-export!D165</f>
        <v>-0</v>
      </c>
      <c r="J167" s="2" t="n">
        <f aca="false">-charge!D165</f>
        <v>-0</v>
      </c>
      <c r="K167" s="2" t="n">
        <f aca="false">discharge!D165</f>
        <v>0</v>
      </c>
      <c r="L167" s="2" t="n">
        <f aca="false">soc!D165/investment!$E$3 *100</f>
        <v>99.3405092875451</v>
      </c>
    </row>
    <row r="168" customFormat="false" ht="13.8" hidden="false" customHeight="false" outlineLevel="0" collapsed="false">
      <c r="B168" s="11" t="n">
        <f aca="false">_xlfn.NUMBERVALUE(solar!B165)</f>
        <v>0</v>
      </c>
      <c r="C168" s="12" t="n">
        <f aca="false">solar!C165</f>
        <v>0</v>
      </c>
      <c r="D168" s="6" t="n">
        <v>164</v>
      </c>
      <c r="E168" s="17" t="n">
        <f aca="false">IFERROR(INDEX($B$5:$C$173, MATCH($D168, $B$5:$B$175, 0), 2), 0)*investment!$C$3</f>
        <v>0</v>
      </c>
      <c r="F168" s="18" t="n">
        <f aca="false">demand!D166</f>
        <v>0</v>
      </c>
      <c r="G168" s="2" t="n">
        <f aca="false">solgen!D166</f>
        <v>0</v>
      </c>
      <c r="H168" s="2" t="n">
        <f aca="false">import!D166</f>
        <v>0</v>
      </c>
      <c r="I168" s="2" t="n">
        <f aca="false">-export!D166</f>
        <v>-0</v>
      </c>
      <c r="J168" s="2" t="n">
        <f aca="false">-charge!D166</f>
        <v>-0</v>
      </c>
      <c r="K168" s="2" t="n">
        <f aca="false">discharge!D166</f>
        <v>0</v>
      </c>
      <c r="L168" s="2" t="n">
        <f aca="false">soc!D166/investment!$E$3 *100</f>
        <v>99.3395158824522</v>
      </c>
    </row>
    <row r="169" customFormat="false" ht="13.8" hidden="false" customHeight="false" outlineLevel="0" collapsed="false">
      <c r="B169" s="11" t="n">
        <f aca="false">_xlfn.NUMBERVALUE(solar!B166)</f>
        <v>0</v>
      </c>
      <c r="C169" s="12" t="n">
        <f aca="false">solar!C166</f>
        <v>0</v>
      </c>
      <c r="D169" s="6" t="n">
        <v>165</v>
      </c>
      <c r="E169" s="17" t="n">
        <f aca="false">IFERROR(INDEX($B$5:$C$173, MATCH($D169, $B$5:$B$175, 0), 2), 0)*investment!$C$3</f>
        <v>0</v>
      </c>
      <c r="F169" s="18" t="n">
        <f aca="false">demand!D167</f>
        <v>0</v>
      </c>
      <c r="G169" s="2" t="n">
        <f aca="false">solgen!D167</f>
        <v>0</v>
      </c>
      <c r="H169" s="2" t="n">
        <f aca="false">import!D167</f>
        <v>0</v>
      </c>
      <c r="I169" s="2" t="n">
        <f aca="false">-export!D167</f>
        <v>-0</v>
      </c>
      <c r="J169" s="2" t="n">
        <f aca="false">-charge!D167</f>
        <v>-0</v>
      </c>
      <c r="K169" s="2" t="n">
        <f aca="false">discharge!D167</f>
        <v>0</v>
      </c>
      <c r="L169" s="2" t="n">
        <f aca="false">soc!D167/investment!$E$3 *100</f>
        <v>100</v>
      </c>
    </row>
    <row r="170" customFormat="false" ht="13.8" hidden="false" customHeight="false" outlineLevel="0" collapsed="false">
      <c r="B170" s="11" t="n">
        <f aca="false">_xlfn.NUMBERVALUE(solar!B167)</f>
        <v>0</v>
      </c>
      <c r="C170" s="12" t="n">
        <f aca="false">solar!C167</f>
        <v>0</v>
      </c>
      <c r="D170" s="6" t="n">
        <v>166</v>
      </c>
      <c r="E170" s="17" t="n">
        <f aca="false">IFERROR(INDEX($B$5:$C$173, MATCH($D170, $B$5:$B$175, 0), 2), 0)*investment!$C$3</f>
        <v>0</v>
      </c>
      <c r="F170" s="18" t="n">
        <f aca="false">demand!D168</f>
        <v>0</v>
      </c>
      <c r="G170" s="2" t="n">
        <f aca="false">solgen!D168</f>
        <v>0</v>
      </c>
      <c r="H170" s="2" t="n">
        <f aca="false">import!D168</f>
        <v>0</v>
      </c>
      <c r="I170" s="2" t="n">
        <f aca="false">-export!D168</f>
        <v>-0</v>
      </c>
      <c r="J170" s="2" t="n">
        <f aca="false">-charge!D168</f>
        <v>-0</v>
      </c>
      <c r="K170" s="2" t="n">
        <f aca="false">discharge!D168</f>
        <v>0</v>
      </c>
      <c r="L170" s="2" t="n">
        <f aca="false">soc!D168/investment!$E$3 *100</f>
        <v>99.999</v>
      </c>
    </row>
    <row r="171" customFormat="false" ht="13.8" hidden="false" customHeight="false" outlineLevel="0" collapsed="false">
      <c r="B171" s="11" t="n">
        <f aca="false">_xlfn.NUMBERVALUE(solar!B168)</f>
        <v>0</v>
      </c>
      <c r="C171" s="12" t="n">
        <f aca="false">solar!C168</f>
        <v>0</v>
      </c>
      <c r="D171" s="6" t="n">
        <v>167</v>
      </c>
      <c r="E171" s="17" t="n">
        <f aca="false">IFERROR(INDEX($B$5:$C$173, MATCH($D171, $B$5:$B$175, 0), 2), 0)*investment!$C$3</f>
        <v>0</v>
      </c>
      <c r="F171" s="18" t="n">
        <f aca="false">demand!D169</f>
        <v>0</v>
      </c>
      <c r="G171" s="2" t="n">
        <f aca="false">solgen!D169</f>
        <v>0</v>
      </c>
      <c r="H171" s="2" t="n">
        <f aca="false">import!D169</f>
        <v>0</v>
      </c>
      <c r="I171" s="2" t="n">
        <f aca="false">-export!D169</f>
        <v>-0</v>
      </c>
      <c r="J171" s="2" t="n">
        <f aca="false">-charge!D169</f>
        <v>-0</v>
      </c>
      <c r="K171" s="2" t="n">
        <f aca="false">discharge!D169</f>
        <v>0</v>
      </c>
      <c r="L171" s="2" t="n">
        <f aca="false">soc!D169/investment!$E$3 *100</f>
        <v>99.99800001</v>
      </c>
    </row>
    <row r="172" customFormat="false" ht="13.8" hidden="false" customHeight="false" outlineLevel="0" collapsed="false">
      <c r="B172" s="11" t="n">
        <f aca="false">_xlfn.NUMBERVALUE(solar!B169)</f>
        <v>0</v>
      </c>
      <c r="C172" s="12" t="n">
        <f aca="false">solar!C169</f>
        <v>0</v>
      </c>
      <c r="D172" s="6" t="n">
        <v>168</v>
      </c>
      <c r="E172" s="17" t="n">
        <f aca="false">IFERROR(INDEX($B$5:$C$173, MATCH($D172, $B$5:$B$175, 0), 2), 0)*investment!$C$3</f>
        <v>0</v>
      </c>
      <c r="F172" s="18" t="n">
        <f aca="false">demand!D170</f>
        <v>0</v>
      </c>
      <c r="G172" s="2" t="n">
        <f aca="false">solgen!D170</f>
        <v>0</v>
      </c>
      <c r="H172" s="2" t="n">
        <f aca="false">import!D170</f>
        <v>0</v>
      </c>
      <c r="I172" s="2" t="n">
        <f aca="false">-export!D170</f>
        <v>-0</v>
      </c>
      <c r="J172" s="2" t="n">
        <f aca="false">-charge!D170</f>
        <v>-0</v>
      </c>
      <c r="K172" s="2" t="n">
        <f aca="false">discharge!D170</f>
        <v>0</v>
      </c>
      <c r="L172" s="2" t="n">
        <f aca="false">soc!D170/investment!$E$3 *100</f>
        <v>99.9970000299999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54296875" defaultRowHeight="13.8" zeroHeight="false" outlineLevelRow="0" outlineLevelCol="0"/>
  <cols>
    <col collapsed="false" customWidth="true" hidden="false" outlineLevel="0" max="2" min="2" style="6" width="8.85"/>
    <col collapsed="false" customWidth="true" hidden="false" outlineLevel="0" max="4" min="4" style="6" width="8.85"/>
    <col collapsed="false" customWidth="true" hidden="false" outlineLevel="0" max="5" min="5" style="7" width="8.85"/>
    <col collapsed="false" customWidth="true" hidden="false" outlineLevel="0" max="6" min="6" style="2" width="9.43"/>
  </cols>
  <sheetData>
    <row r="2" customFormat="false" ht="13.8" hidden="false" customHeight="false" outlineLevel="0" collapsed="false">
      <c r="B2" s="8" t="s">
        <v>3</v>
      </c>
      <c r="C2" s="9" t="n">
        <v>3</v>
      </c>
      <c r="D2" s="10" t="s">
        <v>18</v>
      </c>
    </row>
    <row r="4" customFormat="false" ht="13.8" hidden="false" customHeight="false" outlineLevel="0" collapsed="false">
      <c r="B4" s="11" t="s">
        <v>5</v>
      </c>
      <c r="C4" s="12"/>
      <c r="D4" s="13" t="s">
        <v>7</v>
      </c>
      <c r="E4" s="14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5" t="s">
        <v>13</v>
      </c>
      <c r="K4" s="15" t="s">
        <v>14</v>
      </c>
      <c r="L4" s="15" t="s">
        <v>15</v>
      </c>
    </row>
    <row r="5" customFormat="false" ht="13.8" hidden="false" customHeight="false" outlineLevel="0" collapsed="false">
      <c r="B5" s="11" t="n">
        <f aca="false">_xlfn.NUMBERVALUE(solar!B2)</f>
        <v>8</v>
      </c>
      <c r="C5" s="12" t="n">
        <f aca="false">solar!C2</f>
        <v>0</v>
      </c>
      <c r="D5" s="6" t="n">
        <v>1</v>
      </c>
      <c r="E5" s="17" t="n">
        <f aca="false">IFERROR(INDEX($B$5:$C$173, MATCH($D5, $B$5:$B$175, 0), 2), 0)*investment!$C$4</f>
        <v>0</v>
      </c>
      <c r="F5" s="18" t="n">
        <f aca="false">demand!E3</f>
        <v>0</v>
      </c>
      <c r="G5" s="2" t="n">
        <f aca="false">solgen!E3</f>
        <v>0</v>
      </c>
      <c r="H5" s="2" t="n">
        <f aca="false">import!E3</f>
        <v>0</v>
      </c>
      <c r="I5" s="2" t="n">
        <f aca="false">-export!E3</f>
        <v>-0</v>
      </c>
      <c r="J5" s="2" t="n">
        <f aca="false">-charge!E3</f>
        <v>-0</v>
      </c>
      <c r="K5" s="2" t="n">
        <f aca="false">discharge!E3</f>
        <v>0</v>
      </c>
      <c r="L5" s="2" t="n">
        <f aca="false">soc!E3/investment!$E$4 *100</f>
        <v>69.6728279629987</v>
      </c>
    </row>
    <row r="6" customFormat="false" ht="13.8" hidden="false" customHeight="false" outlineLevel="0" collapsed="false">
      <c r="B6" s="11" t="n">
        <f aca="false">_xlfn.NUMBERVALUE(solar!B3)</f>
        <v>9</v>
      </c>
      <c r="C6" s="12" t="n">
        <f aca="false">solar!C3</f>
        <v>0</v>
      </c>
      <c r="D6" s="6" t="n">
        <v>2</v>
      </c>
      <c r="E6" s="17" t="n">
        <f aca="false">IFERROR(INDEX($B$5:$C$173, MATCH($D6, $B$5:$B$175, 0), 2), 0)*investment!$C$4</f>
        <v>0</v>
      </c>
      <c r="F6" s="18" t="n">
        <f aca="false">demand!E4</f>
        <v>0</v>
      </c>
      <c r="G6" s="2" t="n">
        <f aca="false">solgen!E4</f>
        <v>0</v>
      </c>
      <c r="H6" s="2" t="n">
        <f aca="false">import!E4</f>
        <v>0</v>
      </c>
      <c r="I6" s="2" t="n">
        <f aca="false">-export!E4</f>
        <v>-0</v>
      </c>
      <c r="J6" s="2" t="n">
        <f aca="false">-charge!E4</f>
        <v>-0</v>
      </c>
      <c r="K6" s="2" t="n">
        <f aca="false">discharge!E4</f>
        <v>0</v>
      </c>
      <c r="L6" s="2" t="n">
        <f aca="false">soc!E4/investment!$E$4 *100</f>
        <v>69.5178938700606</v>
      </c>
    </row>
    <row r="7" customFormat="false" ht="13.8" hidden="false" customHeight="false" outlineLevel="0" collapsed="false">
      <c r="B7" s="11" t="n">
        <f aca="false">_xlfn.NUMBERVALUE(solar!B4)</f>
        <v>10</v>
      </c>
      <c r="C7" s="12" t="n">
        <f aca="false">solar!C4</f>
        <v>0</v>
      </c>
      <c r="D7" s="6" t="n">
        <v>3</v>
      </c>
      <c r="E7" s="17" t="n">
        <f aca="false">IFERROR(INDEX($B$5:$C$173, MATCH($D7, $B$5:$B$175, 0), 2), 0)*investment!$C$4</f>
        <v>0</v>
      </c>
      <c r="F7" s="18" t="n">
        <f aca="false">demand!E5</f>
        <v>0</v>
      </c>
      <c r="G7" s="2" t="n">
        <f aca="false">solgen!E5</f>
        <v>0</v>
      </c>
      <c r="H7" s="2" t="n">
        <f aca="false">import!E5</f>
        <v>0</v>
      </c>
      <c r="I7" s="2" t="n">
        <f aca="false">-export!E5</f>
        <v>-0</v>
      </c>
      <c r="J7" s="2" t="n">
        <f aca="false">-charge!E5</f>
        <v>-0</v>
      </c>
      <c r="K7" s="2" t="n">
        <f aca="false">discharge!E5</f>
        <v>0</v>
      </c>
      <c r="L7" s="2" t="n">
        <f aca="false">soc!E5/investment!$E$4 *100</f>
        <v>69.3208958895684</v>
      </c>
    </row>
    <row r="8" customFormat="false" ht="13.8" hidden="false" customHeight="false" outlineLevel="0" collapsed="false">
      <c r="B8" s="11" t="n">
        <f aca="false">_xlfn.NUMBERVALUE(solar!B5)</f>
        <v>11</v>
      </c>
      <c r="C8" s="12" t="n">
        <f aca="false">solar!C5</f>
        <v>0</v>
      </c>
      <c r="D8" s="6" t="n">
        <v>4</v>
      </c>
      <c r="E8" s="17" t="n">
        <f aca="false">IFERROR(INDEX($B$5:$C$173, MATCH($D8, $B$5:$B$175, 0), 2), 0)*investment!$C$4</f>
        <v>0</v>
      </c>
      <c r="F8" s="18" t="n">
        <f aca="false">demand!E6</f>
        <v>0</v>
      </c>
      <c r="G8" s="2" t="n">
        <f aca="false">solgen!E6</f>
        <v>0</v>
      </c>
      <c r="H8" s="2" t="n">
        <f aca="false">import!E6</f>
        <v>0</v>
      </c>
      <c r="I8" s="2" t="n">
        <f aca="false">-export!E6</f>
        <v>-0</v>
      </c>
      <c r="J8" s="2" t="n">
        <f aca="false">-charge!E6</f>
        <v>-0</v>
      </c>
      <c r="K8" s="2" t="n">
        <f aca="false">discharge!E6</f>
        <v>0</v>
      </c>
      <c r="L8" s="2" t="n">
        <f aca="false">soc!E6/investment!$E$4 *100</f>
        <v>68.4447005000656</v>
      </c>
    </row>
    <row r="9" customFormat="false" ht="13.8" hidden="false" customHeight="false" outlineLevel="0" collapsed="false">
      <c r="B9" s="11" t="n">
        <f aca="false">_xlfn.NUMBERVALUE(solar!B6)</f>
        <v>12</v>
      </c>
      <c r="C9" s="12" t="n">
        <f aca="false">solar!C6</f>
        <v>0</v>
      </c>
      <c r="D9" s="6" t="n">
        <v>5</v>
      </c>
      <c r="E9" s="17" t="n">
        <f aca="false">IFERROR(INDEX($B$5:$C$173, MATCH($D9, $B$5:$B$175, 0), 2), 0)*investment!$C$4</f>
        <v>0</v>
      </c>
      <c r="F9" s="18" t="n">
        <f aca="false">demand!E7</f>
        <v>0</v>
      </c>
      <c r="G9" s="2" t="n">
        <f aca="false">solgen!E7</f>
        <v>0</v>
      </c>
      <c r="H9" s="2" t="n">
        <f aca="false">import!E7</f>
        <v>0</v>
      </c>
      <c r="I9" s="2" t="n">
        <f aca="false">-export!E7</f>
        <v>-0</v>
      </c>
      <c r="J9" s="2" t="n">
        <f aca="false">-charge!E7</f>
        <v>-0</v>
      </c>
      <c r="K9" s="2" t="n">
        <f aca="false">discharge!E7</f>
        <v>0</v>
      </c>
      <c r="L9" s="2" t="n">
        <f aca="false">soc!E7/investment!$E$4 *100</f>
        <v>67.3468214511769</v>
      </c>
    </row>
    <row r="10" customFormat="false" ht="13.8" hidden="false" customHeight="false" outlineLevel="0" collapsed="false">
      <c r="B10" s="11" t="n">
        <f aca="false">_xlfn.NUMBERVALUE(solar!B7)</f>
        <v>13</v>
      </c>
      <c r="C10" s="12" t="n">
        <f aca="false">solar!C7</f>
        <v>0</v>
      </c>
      <c r="D10" s="6" t="n">
        <v>6</v>
      </c>
      <c r="E10" s="17" t="n">
        <f aca="false">IFERROR(INDEX($B$5:$C$173, MATCH($D10, $B$5:$B$175, 0), 2), 0)*investment!$C$4</f>
        <v>0</v>
      </c>
      <c r="F10" s="18" t="n">
        <f aca="false">demand!E8</f>
        <v>0</v>
      </c>
      <c r="G10" s="2" t="n">
        <f aca="false">solgen!E8</f>
        <v>0</v>
      </c>
      <c r="H10" s="2" t="n">
        <f aca="false">import!E8</f>
        <v>0</v>
      </c>
      <c r="I10" s="2" t="n">
        <f aca="false">-export!E8</f>
        <v>-0</v>
      </c>
      <c r="J10" s="2" t="n">
        <f aca="false">-charge!E8</f>
        <v>-0</v>
      </c>
      <c r="K10" s="2" t="n">
        <f aca="false">discharge!E8</f>
        <v>0</v>
      </c>
      <c r="L10" s="2" t="n">
        <f aca="false">soc!E8/investment!$E$4 *100</f>
        <v>66.6347835237105</v>
      </c>
    </row>
    <row r="11" customFormat="false" ht="13.8" hidden="false" customHeight="false" outlineLevel="0" collapsed="false">
      <c r="B11" s="11" t="n">
        <f aca="false">_xlfn.NUMBERVALUE(solar!B8)</f>
        <v>14</v>
      </c>
      <c r="C11" s="12" t="n">
        <f aca="false">solar!C8</f>
        <v>0</v>
      </c>
      <c r="D11" s="6" t="n">
        <v>7</v>
      </c>
      <c r="E11" s="17" t="n">
        <f aca="false">IFERROR(INDEX($B$5:$C$173, MATCH($D11, $B$5:$B$175, 0), 2), 0)*investment!$C$4</f>
        <v>0</v>
      </c>
      <c r="F11" s="18" t="n">
        <f aca="false">demand!E9</f>
        <v>0</v>
      </c>
      <c r="G11" s="2" t="n">
        <f aca="false">solgen!E9</f>
        <v>0</v>
      </c>
      <c r="H11" s="2" t="n">
        <f aca="false">import!E9</f>
        <v>0</v>
      </c>
      <c r="I11" s="2" t="n">
        <f aca="false">-export!E9</f>
        <v>-0</v>
      </c>
      <c r="J11" s="2" t="n">
        <f aca="false">-charge!E9</f>
        <v>-0</v>
      </c>
      <c r="K11" s="2" t="n">
        <f aca="false">discharge!E9</f>
        <v>0</v>
      </c>
      <c r="L11" s="2" t="n">
        <f aca="false">soc!E9/investment!$E$4 *100</f>
        <v>65.5399647891629</v>
      </c>
    </row>
    <row r="12" customFormat="false" ht="13.8" hidden="false" customHeight="false" outlineLevel="0" collapsed="false">
      <c r="B12" s="11" t="n">
        <f aca="false">_xlfn.NUMBERVALUE(solar!B9)</f>
        <v>15</v>
      </c>
      <c r="C12" s="12" t="n">
        <f aca="false">solar!C9</f>
        <v>0</v>
      </c>
      <c r="D12" s="6" t="n">
        <v>8</v>
      </c>
      <c r="E12" s="17" t="n">
        <f aca="false">IFERROR(INDEX($B$5:$C$173, MATCH($D12, $B$5:$B$175, 0), 2), 0)*investment!$C$4</f>
        <v>0</v>
      </c>
      <c r="F12" s="18" t="n">
        <f aca="false">demand!E10</f>
        <v>0</v>
      </c>
      <c r="G12" s="2" t="n">
        <f aca="false">solgen!E10</f>
        <v>0</v>
      </c>
      <c r="H12" s="2" t="n">
        <f aca="false">import!E10</f>
        <v>0</v>
      </c>
      <c r="I12" s="2" t="n">
        <f aca="false">-export!E10</f>
        <v>-0</v>
      </c>
      <c r="J12" s="2" t="n">
        <f aca="false">-charge!E10</f>
        <v>-0</v>
      </c>
      <c r="K12" s="2" t="n">
        <f aca="false">discharge!E10</f>
        <v>0</v>
      </c>
      <c r="L12" s="2" t="n">
        <f aca="false">soc!E10/investment!$E$4 *100</f>
        <v>64.8085491142713</v>
      </c>
    </row>
    <row r="13" customFormat="false" ht="13.8" hidden="false" customHeight="false" outlineLevel="0" collapsed="false">
      <c r="B13" s="11" t="n">
        <f aca="false">_xlfn.NUMBERVALUE(solar!B10)</f>
        <v>16</v>
      </c>
      <c r="C13" s="12" t="n">
        <f aca="false">solar!C10</f>
        <v>0</v>
      </c>
      <c r="D13" s="6" t="n">
        <v>9</v>
      </c>
      <c r="E13" s="17" t="n">
        <f aca="false">IFERROR(INDEX($B$5:$C$173, MATCH($D13, $B$5:$B$175, 0), 2), 0)*investment!$C$4</f>
        <v>0</v>
      </c>
      <c r="F13" s="18" t="n">
        <f aca="false">demand!E11</f>
        <v>0</v>
      </c>
      <c r="G13" s="2" t="n">
        <f aca="false">solgen!E11</f>
        <v>0</v>
      </c>
      <c r="H13" s="2" t="n">
        <f aca="false">import!E11</f>
        <v>0</v>
      </c>
      <c r="I13" s="2" t="n">
        <f aca="false">-export!E11</f>
        <v>-0</v>
      </c>
      <c r="J13" s="2" t="n">
        <f aca="false">-charge!E11</f>
        <v>-0</v>
      </c>
      <c r="K13" s="2" t="n">
        <f aca="false">discharge!E11</f>
        <v>0</v>
      </c>
      <c r="L13" s="2" t="n">
        <f aca="false">soc!E11/investment!$E$4 *100</f>
        <v>63.6966892884577</v>
      </c>
    </row>
    <row r="14" customFormat="false" ht="13.8" hidden="false" customHeight="false" outlineLevel="0" collapsed="false">
      <c r="B14" s="11" t="n">
        <f aca="false">_xlfn.NUMBERVALUE(solar!B11)</f>
        <v>17</v>
      </c>
      <c r="C14" s="12" t="n">
        <f aca="false">solar!C11</f>
        <v>0</v>
      </c>
      <c r="D14" s="6" t="n">
        <v>10</v>
      </c>
      <c r="E14" s="17" t="n">
        <f aca="false">IFERROR(INDEX($B$5:$C$173, MATCH($D14, $B$5:$B$175, 0), 2), 0)*investment!$C$4</f>
        <v>0</v>
      </c>
      <c r="F14" s="18" t="n">
        <f aca="false">demand!E12</f>
        <v>0</v>
      </c>
      <c r="G14" s="2" t="n">
        <f aca="false">solgen!E12</f>
        <v>0</v>
      </c>
      <c r="H14" s="2" t="n">
        <f aca="false">import!E12</f>
        <v>0</v>
      </c>
      <c r="I14" s="2" t="n">
        <f aca="false">-export!E12</f>
        <v>-0</v>
      </c>
      <c r="J14" s="2" t="n">
        <f aca="false">-charge!E12</f>
        <v>-0</v>
      </c>
      <c r="K14" s="2" t="n">
        <f aca="false">discharge!E12</f>
        <v>0</v>
      </c>
      <c r="L14" s="2" t="n">
        <f aca="false">soc!E12/investment!$E$4 *100</f>
        <v>62.9802469946755</v>
      </c>
    </row>
    <row r="15" customFormat="false" ht="13.8" hidden="false" customHeight="false" outlineLevel="0" collapsed="false">
      <c r="B15" s="11" t="n">
        <f aca="false">_xlfn.NUMBERVALUE(solar!B12)</f>
        <v>18</v>
      </c>
      <c r="C15" s="12" t="n">
        <f aca="false">solar!C12</f>
        <v>0</v>
      </c>
      <c r="D15" s="6" t="n">
        <v>11</v>
      </c>
      <c r="E15" s="17" t="n">
        <f aca="false">IFERROR(INDEX($B$5:$C$173, MATCH($D15, $B$5:$B$175, 0), 2), 0)*investment!$C$4</f>
        <v>0</v>
      </c>
      <c r="F15" s="18" t="n">
        <f aca="false">demand!E13</f>
        <v>0</v>
      </c>
      <c r="G15" s="2" t="n">
        <f aca="false">solgen!E13</f>
        <v>0</v>
      </c>
      <c r="H15" s="2" t="n">
        <f aca="false">import!E13</f>
        <v>0</v>
      </c>
      <c r="I15" s="2" t="n">
        <f aca="false">-export!E13</f>
        <v>-0</v>
      </c>
      <c r="J15" s="2" t="n">
        <f aca="false">-charge!E13</f>
        <v>-0</v>
      </c>
      <c r="K15" s="2" t="n">
        <f aca="false">discharge!E13</f>
        <v>0</v>
      </c>
      <c r="L15" s="2" t="n">
        <f aca="false">soc!E13/investment!$E$4 *100</f>
        <v>62.4958685238485</v>
      </c>
    </row>
    <row r="16" customFormat="false" ht="13.8" hidden="false" customHeight="false" outlineLevel="0" collapsed="false">
      <c r="B16" s="11" t="n">
        <f aca="false">_xlfn.NUMBERVALUE(solar!B13)</f>
        <v>19</v>
      </c>
      <c r="C16" s="12" t="n">
        <f aca="false">solar!C13</f>
        <v>0</v>
      </c>
      <c r="D16" s="6" t="n">
        <v>12</v>
      </c>
      <c r="E16" s="17" t="n">
        <f aca="false">IFERROR(INDEX($B$5:$C$173, MATCH($D16, $B$5:$B$175, 0), 2), 0)*investment!$C$4</f>
        <v>0</v>
      </c>
      <c r="F16" s="18" t="n">
        <f aca="false">demand!E14</f>
        <v>0</v>
      </c>
      <c r="G16" s="2" t="n">
        <f aca="false">solgen!E14</f>
        <v>0</v>
      </c>
      <c r="H16" s="2" t="n">
        <f aca="false">import!E14</f>
        <v>0</v>
      </c>
      <c r="I16" s="2" t="n">
        <f aca="false">-export!E14</f>
        <v>-0</v>
      </c>
      <c r="J16" s="2" t="n">
        <f aca="false">-charge!E14</f>
        <v>-0</v>
      </c>
      <c r="K16" s="2" t="n">
        <f aca="false">discharge!E14</f>
        <v>0</v>
      </c>
      <c r="L16" s="2" t="n">
        <f aca="false">soc!E14/investment!$E$4 *100</f>
        <v>61.5380347954436</v>
      </c>
    </row>
    <row r="17" customFormat="false" ht="13.8" hidden="false" customHeight="false" outlineLevel="0" collapsed="false">
      <c r="B17" s="11" t="n">
        <f aca="false">_xlfn.NUMBERVALUE(solar!B14)</f>
        <v>32</v>
      </c>
      <c r="C17" s="12" t="n">
        <f aca="false">solar!C14</f>
        <v>0</v>
      </c>
      <c r="D17" s="6" t="n">
        <v>13</v>
      </c>
      <c r="E17" s="17" t="n">
        <f aca="false">IFERROR(INDEX($B$5:$C$173, MATCH($D17, $B$5:$B$175, 0), 2), 0)*investment!$C$4</f>
        <v>0</v>
      </c>
      <c r="F17" s="18" t="n">
        <f aca="false">demand!E15</f>
        <v>0</v>
      </c>
      <c r="G17" s="2" t="n">
        <f aca="false">solgen!E15</f>
        <v>0</v>
      </c>
      <c r="H17" s="2" t="n">
        <f aca="false">import!E15</f>
        <v>0</v>
      </c>
      <c r="I17" s="2" t="n">
        <f aca="false">-export!E15</f>
        <v>-0</v>
      </c>
      <c r="J17" s="2" t="n">
        <f aca="false">-charge!E15</f>
        <v>-0</v>
      </c>
      <c r="K17" s="2" t="n">
        <f aca="false">discharge!E15</f>
        <v>0</v>
      </c>
      <c r="L17" s="2" t="n">
        <f aca="false">soc!E15/investment!$E$4 *100</f>
        <v>60.267763836533</v>
      </c>
    </row>
    <row r="18" customFormat="false" ht="13.8" hidden="false" customHeight="false" outlineLevel="0" collapsed="false">
      <c r="B18" s="11" t="n">
        <f aca="false">_xlfn.NUMBERVALUE(solar!B15)</f>
        <v>33</v>
      </c>
      <c r="C18" s="12" t="n">
        <f aca="false">solar!C15</f>
        <v>0</v>
      </c>
      <c r="D18" s="6" t="n">
        <v>14</v>
      </c>
      <c r="E18" s="17" t="n">
        <f aca="false">IFERROR(INDEX($B$5:$C$173, MATCH($D18, $B$5:$B$175, 0), 2), 0)*investment!$C$4</f>
        <v>0</v>
      </c>
      <c r="F18" s="18" t="n">
        <f aca="false">demand!E16</f>
        <v>0</v>
      </c>
      <c r="G18" s="2" t="n">
        <f aca="false">solgen!E16</f>
        <v>0</v>
      </c>
      <c r="H18" s="2" t="n">
        <f aca="false">import!E16</f>
        <v>0</v>
      </c>
      <c r="I18" s="2" t="n">
        <f aca="false">-export!E16</f>
        <v>-0</v>
      </c>
      <c r="J18" s="2" t="n">
        <f aca="false">-charge!E16</f>
        <v>-0</v>
      </c>
      <c r="K18" s="2" t="n">
        <f aca="false">discharge!E16</f>
        <v>0</v>
      </c>
      <c r="L18" s="2" t="n">
        <f aca="false">soc!E16/investment!$E$4 *100</f>
        <v>58.8911764443733</v>
      </c>
    </row>
    <row r="19" customFormat="false" ht="13.8" hidden="false" customHeight="false" outlineLevel="0" collapsed="false">
      <c r="B19" s="11" t="n">
        <f aca="false">_xlfn.NUMBERVALUE(solar!B16)</f>
        <v>34</v>
      </c>
      <c r="C19" s="12" t="n">
        <f aca="false">solar!C16</f>
        <v>0</v>
      </c>
      <c r="D19" s="6" t="n">
        <v>15</v>
      </c>
      <c r="E19" s="17" t="n">
        <f aca="false">IFERROR(INDEX($B$5:$C$173, MATCH($D19, $B$5:$B$175, 0), 2), 0)*investment!$C$4</f>
        <v>0</v>
      </c>
      <c r="F19" s="18" t="n">
        <f aca="false">demand!E17</f>
        <v>0</v>
      </c>
      <c r="G19" s="2" t="n">
        <f aca="false">solgen!E17</f>
        <v>0</v>
      </c>
      <c r="H19" s="2" t="n">
        <f aca="false">import!E17</f>
        <v>0</v>
      </c>
      <c r="I19" s="2" t="n">
        <f aca="false">-export!E17</f>
        <v>-0</v>
      </c>
      <c r="J19" s="2" t="n">
        <f aca="false">-charge!E17</f>
        <v>-0</v>
      </c>
      <c r="K19" s="2" t="n">
        <f aca="false">discharge!E17</f>
        <v>0</v>
      </c>
      <c r="L19" s="2" t="n">
        <f aca="false">soc!E17/investment!$E$4 *100</f>
        <v>57.936185181847</v>
      </c>
    </row>
    <row r="20" customFormat="false" ht="13.8" hidden="false" customHeight="false" outlineLevel="0" collapsed="false">
      <c r="B20" s="11" t="n">
        <f aca="false">_xlfn.NUMBERVALUE(solar!B17)</f>
        <v>35</v>
      </c>
      <c r="C20" s="12" t="n">
        <f aca="false">solar!C17</f>
        <v>0</v>
      </c>
      <c r="D20" s="6" t="n">
        <v>16</v>
      </c>
      <c r="E20" s="17" t="n">
        <f aca="false">IFERROR(INDEX($B$5:$C$173, MATCH($D20, $B$5:$B$175, 0), 2), 0)*investment!$C$4</f>
        <v>0</v>
      </c>
      <c r="F20" s="18" t="n">
        <f aca="false">demand!E18</f>
        <v>0</v>
      </c>
      <c r="G20" s="2" t="n">
        <f aca="false">solgen!E18</f>
        <v>0</v>
      </c>
      <c r="H20" s="2" t="n">
        <f aca="false">import!E18</f>
        <v>0</v>
      </c>
      <c r="I20" s="2" t="n">
        <f aca="false">-export!E18</f>
        <v>-0</v>
      </c>
      <c r="J20" s="2" t="n">
        <f aca="false">-charge!E18</f>
        <v>-0</v>
      </c>
      <c r="K20" s="2" t="n">
        <f aca="false">discharge!E18</f>
        <v>0</v>
      </c>
      <c r="L20" s="2" t="n">
        <f aca="false">soc!E18/investment!$E$4 *100</f>
        <v>56.7510137838926</v>
      </c>
    </row>
    <row r="21" customFormat="false" ht="13.8" hidden="false" customHeight="false" outlineLevel="0" collapsed="false">
      <c r="B21" s="11" t="n">
        <f aca="false">_xlfn.NUMBERVALUE(solar!B18)</f>
        <v>36</v>
      </c>
      <c r="C21" s="12" t="n">
        <f aca="false">solar!C18</f>
        <v>0</v>
      </c>
      <c r="D21" s="6" t="n">
        <v>17</v>
      </c>
      <c r="E21" s="17" t="n">
        <f aca="false">IFERROR(INDEX($B$5:$C$173, MATCH($D21, $B$5:$B$175, 0), 2), 0)*investment!$C$4</f>
        <v>0</v>
      </c>
      <c r="F21" s="18" t="n">
        <f aca="false">demand!E19</f>
        <v>0</v>
      </c>
      <c r="G21" s="2" t="n">
        <f aca="false">solgen!E19</f>
        <v>0</v>
      </c>
      <c r="H21" s="2" t="n">
        <f aca="false">import!E19</f>
        <v>0</v>
      </c>
      <c r="I21" s="2" t="n">
        <f aca="false">-export!E19</f>
        <v>-0</v>
      </c>
      <c r="J21" s="2" t="n">
        <f aca="false">-charge!E19</f>
        <v>-0</v>
      </c>
      <c r="K21" s="2" t="n">
        <f aca="false">discharge!E19</f>
        <v>0</v>
      </c>
      <c r="L21" s="2" t="n">
        <f aca="false">soc!E19/investment!$E$4 *100</f>
        <v>56.1447075346016</v>
      </c>
    </row>
    <row r="22" customFormat="false" ht="13.8" hidden="false" customHeight="false" outlineLevel="0" collapsed="false">
      <c r="B22" s="11" t="n">
        <f aca="false">_xlfn.NUMBERVALUE(solar!B19)</f>
        <v>37</v>
      </c>
      <c r="C22" s="12" t="n">
        <f aca="false">solar!C19</f>
        <v>0</v>
      </c>
      <c r="D22" s="6" t="n">
        <v>18</v>
      </c>
      <c r="E22" s="17" t="n">
        <f aca="false">IFERROR(INDEX($B$5:$C$173, MATCH($D22, $B$5:$B$175, 0), 2), 0)*investment!$C$4</f>
        <v>0</v>
      </c>
      <c r="F22" s="18" t="n">
        <f aca="false">demand!E20</f>
        <v>0</v>
      </c>
      <c r="G22" s="2" t="n">
        <f aca="false">solgen!E20</f>
        <v>0</v>
      </c>
      <c r="H22" s="2" t="n">
        <f aca="false">import!E20</f>
        <v>0</v>
      </c>
      <c r="I22" s="2" t="n">
        <f aca="false">-export!E20</f>
        <v>-0</v>
      </c>
      <c r="J22" s="2" t="n">
        <f aca="false">-charge!E20</f>
        <v>-0</v>
      </c>
      <c r="K22" s="2" t="n">
        <f aca="false">discharge!E20</f>
        <v>0</v>
      </c>
      <c r="L22" s="2" t="n">
        <f aca="false">soc!E20/investment!$E$4 *100</f>
        <v>54.6492088435207</v>
      </c>
    </row>
    <row r="23" customFormat="false" ht="13.8" hidden="false" customHeight="false" outlineLevel="0" collapsed="false">
      <c r="B23" s="11" t="n">
        <f aca="false">_xlfn.NUMBERVALUE(solar!B20)</f>
        <v>38</v>
      </c>
      <c r="C23" s="12" t="n">
        <f aca="false">solar!C20</f>
        <v>0</v>
      </c>
      <c r="D23" s="6" t="n">
        <v>19</v>
      </c>
      <c r="E23" s="17" t="n">
        <f aca="false">IFERROR(INDEX($B$5:$C$173, MATCH($D23, $B$5:$B$175, 0), 2), 0)*investment!$C$4</f>
        <v>0</v>
      </c>
      <c r="F23" s="18" t="n">
        <f aca="false">demand!E21</f>
        <v>0</v>
      </c>
      <c r="G23" s="2" t="n">
        <f aca="false">solgen!E21</f>
        <v>0</v>
      </c>
      <c r="H23" s="2" t="n">
        <f aca="false">import!E21</f>
        <v>0</v>
      </c>
      <c r="I23" s="2" t="n">
        <f aca="false">-export!E21</f>
        <v>-0</v>
      </c>
      <c r="J23" s="2" t="n">
        <f aca="false">-charge!E21</f>
        <v>-0</v>
      </c>
      <c r="K23" s="2" t="n">
        <f aca="false">discharge!E21</f>
        <v>0</v>
      </c>
      <c r="L23" s="2" t="n">
        <f aca="false">soc!E21/investment!$E$4 *100</f>
        <v>52.8332724814947</v>
      </c>
    </row>
    <row r="24" customFormat="false" ht="13.8" hidden="false" customHeight="false" outlineLevel="0" collapsed="false">
      <c r="B24" s="11" t="n">
        <f aca="false">_xlfn.NUMBERVALUE(solar!B21)</f>
        <v>39</v>
      </c>
      <c r="C24" s="12" t="n">
        <f aca="false">solar!C21</f>
        <v>0</v>
      </c>
      <c r="D24" s="6" t="n">
        <v>20</v>
      </c>
      <c r="E24" s="17" t="n">
        <f aca="false">IFERROR(INDEX($B$5:$C$173, MATCH($D24, $B$5:$B$175, 0), 2), 0)*investment!$C$4</f>
        <v>0</v>
      </c>
      <c r="F24" s="18" t="n">
        <f aca="false">demand!E22</f>
        <v>0</v>
      </c>
      <c r="G24" s="2" t="n">
        <f aca="false">solgen!E22</f>
        <v>0</v>
      </c>
      <c r="H24" s="2" t="n">
        <f aca="false">import!E22</f>
        <v>0</v>
      </c>
      <c r="I24" s="2" t="n">
        <f aca="false">-export!E22</f>
        <v>-0</v>
      </c>
      <c r="J24" s="2" t="n">
        <f aca="false">-charge!E22</f>
        <v>-0</v>
      </c>
      <c r="K24" s="2" t="n">
        <f aca="false">discharge!E22</f>
        <v>0</v>
      </c>
      <c r="L24" s="2" t="n">
        <f aca="false">soc!E22/investment!$E$4 *100</f>
        <v>50.303946371283</v>
      </c>
    </row>
    <row r="25" customFormat="false" ht="13.8" hidden="false" customHeight="false" outlineLevel="0" collapsed="false">
      <c r="B25" s="11" t="n">
        <f aca="false">_xlfn.NUMBERVALUE(solar!B22)</f>
        <v>40</v>
      </c>
      <c r="C25" s="12" t="n">
        <f aca="false">solar!C22</f>
        <v>0</v>
      </c>
      <c r="D25" s="6" t="n">
        <v>21</v>
      </c>
      <c r="E25" s="17" t="n">
        <f aca="false">IFERROR(INDEX($B$5:$C$173, MATCH($D25, $B$5:$B$175, 0), 2), 0)*investment!$C$4</f>
        <v>0</v>
      </c>
      <c r="F25" s="18" t="n">
        <f aca="false">demand!E23</f>
        <v>0</v>
      </c>
      <c r="G25" s="2" t="n">
        <f aca="false">solgen!E23</f>
        <v>0</v>
      </c>
      <c r="H25" s="2" t="n">
        <f aca="false">import!E23</f>
        <v>0</v>
      </c>
      <c r="I25" s="2" t="n">
        <f aca="false">-export!E23</f>
        <v>-0</v>
      </c>
      <c r="J25" s="2" t="n">
        <f aca="false">-charge!E23</f>
        <v>-0</v>
      </c>
      <c r="K25" s="2" t="n">
        <f aca="false">discharge!E23</f>
        <v>0</v>
      </c>
      <c r="L25" s="2" t="n">
        <f aca="false">soc!E23/investment!$E$4 *100</f>
        <v>47.8454545262892</v>
      </c>
    </row>
    <row r="26" customFormat="false" ht="13.8" hidden="false" customHeight="false" outlineLevel="0" collapsed="false">
      <c r="B26" s="11" t="n">
        <f aca="false">_xlfn.NUMBERVALUE(solar!B23)</f>
        <v>41</v>
      </c>
      <c r="C26" s="12" t="n">
        <f aca="false">solar!C23</f>
        <v>0</v>
      </c>
      <c r="D26" s="6" t="n">
        <v>22</v>
      </c>
      <c r="E26" s="17" t="n">
        <f aca="false">IFERROR(INDEX($B$5:$C$173, MATCH($D26, $B$5:$B$175, 0), 2), 0)*investment!$C$4</f>
        <v>0</v>
      </c>
      <c r="F26" s="18" t="n">
        <f aca="false">demand!E24</f>
        <v>0</v>
      </c>
      <c r="G26" s="2" t="n">
        <f aca="false">solgen!E24</f>
        <v>0</v>
      </c>
      <c r="H26" s="2" t="n">
        <f aca="false">import!E24</f>
        <v>0</v>
      </c>
      <c r="I26" s="2" t="n">
        <f aca="false">-export!E24</f>
        <v>-0</v>
      </c>
      <c r="J26" s="2" t="n">
        <f aca="false">-charge!E24</f>
        <v>-0</v>
      </c>
      <c r="K26" s="2" t="n">
        <f aca="false">discharge!E24</f>
        <v>0</v>
      </c>
      <c r="L26" s="2" t="n">
        <f aca="false">soc!E24/investment!$E$4 *100</f>
        <v>46.5287976045535</v>
      </c>
    </row>
    <row r="27" customFormat="false" ht="13.8" hidden="false" customHeight="false" outlineLevel="0" collapsed="false">
      <c r="B27" s="11" t="n">
        <f aca="false">_xlfn.NUMBERVALUE(solar!B24)</f>
        <v>42</v>
      </c>
      <c r="C27" s="12" t="n">
        <f aca="false">solar!C24</f>
        <v>0</v>
      </c>
      <c r="D27" s="6" t="n">
        <v>23</v>
      </c>
      <c r="E27" s="17" t="n">
        <f aca="false">IFERROR(INDEX($B$5:$C$173, MATCH($D27, $B$5:$B$175, 0), 2), 0)*investment!$C$4</f>
        <v>0</v>
      </c>
      <c r="F27" s="18" t="n">
        <f aca="false">demand!E25</f>
        <v>0</v>
      </c>
      <c r="G27" s="2" t="n">
        <f aca="false">solgen!E25</f>
        <v>0</v>
      </c>
      <c r="H27" s="2" t="n">
        <f aca="false">import!E25</f>
        <v>0</v>
      </c>
      <c r="I27" s="2" t="n">
        <f aca="false">-export!E25</f>
        <v>-0</v>
      </c>
      <c r="J27" s="2" t="n">
        <f aca="false">-charge!E25</f>
        <v>-0</v>
      </c>
      <c r="K27" s="2" t="n">
        <f aca="false">discharge!E25</f>
        <v>0</v>
      </c>
      <c r="L27" s="2" t="n">
        <f aca="false">soc!E25/investment!$E$4 *100</f>
        <v>45.851983728095</v>
      </c>
    </row>
    <row r="28" customFormat="false" ht="13.8" hidden="false" customHeight="false" outlineLevel="0" collapsed="false">
      <c r="B28" s="11" t="n">
        <f aca="false">_xlfn.NUMBERVALUE(solar!B25)</f>
        <v>43</v>
      </c>
      <c r="C28" s="12" t="n">
        <f aca="false">solar!C25</f>
        <v>0</v>
      </c>
      <c r="D28" s="6" t="n">
        <v>24</v>
      </c>
      <c r="E28" s="17" t="n">
        <f aca="false">IFERROR(INDEX($B$5:$C$173, MATCH($D28, $B$5:$B$175, 0), 2), 0)*investment!$C$4</f>
        <v>0</v>
      </c>
      <c r="F28" s="18" t="n">
        <f aca="false">demand!E26</f>
        <v>0</v>
      </c>
      <c r="G28" s="2" t="n">
        <f aca="false">solgen!E26</f>
        <v>0</v>
      </c>
      <c r="H28" s="2" t="n">
        <f aca="false">import!E26</f>
        <v>0</v>
      </c>
      <c r="I28" s="2" t="n">
        <f aca="false">-export!E26</f>
        <v>-0</v>
      </c>
      <c r="J28" s="2" t="n">
        <f aca="false">-charge!E26</f>
        <v>-0</v>
      </c>
      <c r="K28" s="2" t="n">
        <f aca="false">discharge!E26</f>
        <v>0</v>
      </c>
      <c r="L28" s="2" t="n">
        <f aca="false">soc!E26/investment!$E$4 *100</f>
        <v>44.3310577319377</v>
      </c>
    </row>
    <row r="29" customFormat="false" ht="13.8" hidden="false" customHeight="false" outlineLevel="0" collapsed="false">
      <c r="B29" s="11" t="n">
        <f aca="false">_xlfn.NUMBERVALUE(solar!B26)</f>
        <v>56</v>
      </c>
      <c r="C29" s="12" t="n">
        <f aca="false">solar!C26</f>
        <v>0</v>
      </c>
      <c r="D29" s="6" t="n">
        <v>25</v>
      </c>
      <c r="E29" s="17" t="n">
        <f aca="false">IFERROR(INDEX($B$5:$C$173, MATCH($D29, $B$5:$B$175, 0), 2), 0)*investment!$C$4</f>
        <v>0</v>
      </c>
      <c r="F29" s="18" t="n">
        <f aca="false">demand!E27</f>
        <v>0</v>
      </c>
      <c r="G29" s="2" t="n">
        <f aca="false">solgen!E27</f>
        <v>0</v>
      </c>
      <c r="H29" s="2" t="n">
        <f aca="false">import!E27</f>
        <v>0</v>
      </c>
      <c r="I29" s="2" t="n">
        <f aca="false">-export!E27</f>
        <v>-0</v>
      </c>
      <c r="J29" s="2" t="n">
        <f aca="false">-charge!E27</f>
        <v>-0</v>
      </c>
      <c r="K29" s="2" t="n">
        <f aca="false">discharge!E27</f>
        <v>0</v>
      </c>
      <c r="L29" s="2" t="n">
        <f aca="false">soc!E27/investment!$E$4 *100</f>
        <v>43.4443714640078</v>
      </c>
    </row>
    <row r="30" customFormat="false" ht="13.8" hidden="false" customHeight="false" outlineLevel="0" collapsed="false">
      <c r="B30" s="11" t="n">
        <f aca="false">_xlfn.NUMBERVALUE(solar!B27)</f>
        <v>57</v>
      </c>
      <c r="C30" s="12" t="n">
        <f aca="false">solar!C27</f>
        <v>0</v>
      </c>
      <c r="D30" s="6" t="n">
        <v>26</v>
      </c>
      <c r="E30" s="17" t="n">
        <f aca="false">IFERROR(INDEX($B$5:$C$173, MATCH($D30, $B$5:$B$175, 0), 2), 0)*investment!$C$4</f>
        <v>0</v>
      </c>
      <c r="F30" s="18" t="n">
        <f aca="false">demand!E28</f>
        <v>0</v>
      </c>
      <c r="G30" s="2" t="n">
        <f aca="false">solgen!E28</f>
        <v>0</v>
      </c>
      <c r="H30" s="2" t="n">
        <f aca="false">import!E28</f>
        <v>0</v>
      </c>
      <c r="I30" s="2" t="n">
        <f aca="false">-export!E28</f>
        <v>-0</v>
      </c>
      <c r="J30" s="2" t="n">
        <f aca="false">-charge!E28</f>
        <v>-0</v>
      </c>
      <c r="K30" s="2" t="n">
        <f aca="false">discharge!E28</f>
        <v>0</v>
      </c>
      <c r="L30" s="2" t="n">
        <f aca="false">soc!E28/investment!$E$4 *100</f>
        <v>42.1173862237354</v>
      </c>
    </row>
    <row r="31" customFormat="false" ht="13.8" hidden="false" customHeight="false" outlineLevel="0" collapsed="false">
      <c r="B31" s="11" t="n">
        <f aca="false">_xlfn.NUMBERVALUE(solar!B28)</f>
        <v>58</v>
      </c>
      <c r="C31" s="12" t="n">
        <f aca="false">solar!C28</f>
        <v>0</v>
      </c>
      <c r="D31" s="6" t="n">
        <v>27</v>
      </c>
      <c r="E31" s="17" t="n">
        <f aca="false">IFERROR(INDEX($B$5:$C$173, MATCH($D31, $B$5:$B$175, 0), 2), 0)*investment!$C$4</f>
        <v>0</v>
      </c>
      <c r="F31" s="18" t="n">
        <f aca="false">demand!E29</f>
        <v>0</v>
      </c>
      <c r="G31" s="2" t="n">
        <f aca="false">solgen!E29</f>
        <v>0</v>
      </c>
      <c r="H31" s="2" t="n">
        <f aca="false">import!E29</f>
        <v>0</v>
      </c>
      <c r="I31" s="2" t="n">
        <f aca="false">-export!E29</f>
        <v>-0</v>
      </c>
      <c r="J31" s="2" t="n">
        <f aca="false">-charge!E29</f>
        <v>-0</v>
      </c>
      <c r="K31" s="2" t="n">
        <f aca="false">discharge!E29</f>
        <v>0</v>
      </c>
      <c r="L31" s="2" t="n">
        <f aca="false">soc!E29/investment!$E$4 *100</f>
        <v>41.5699825843081</v>
      </c>
    </row>
    <row r="32" customFormat="false" ht="13.8" hidden="false" customHeight="false" outlineLevel="0" collapsed="false">
      <c r="B32" s="11" t="n">
        <f aca="false">_xlfn.NUMBERVALUE(solar!B29)</f>
        <v>59</v>
      </c>
      <c r="C32" s="12" t="n">
        <f aca="false">solar!C29</f>
        <v>0</v>
      </c>
      <c r="D32" s="6" t="n">
        <v>28</v>
      </c>
      <c r="E32" s="17" t="n">
        <f aca="false">IFERROR(INDEX($B$5:$C$173, MATCH($D32, $B$5:$B$175, 0), 2), 0)*investment!$C$4</f>
        <v>0</v>
      </c>
      <c r="F32" s="18" t="n">
        <f aca="false">demand!E30</f>
        <v>0</v>
      </c>
      <c r="G32" s="2" t="n">
        <f aca="false">solgen!E30</f>
        <v>0</v>
      </c>
      <c r="H32" s="2" t="n">
        <f aca="false">import!E30</f>
        <v>0</v>
      </c>
      <c r="I32" s="2" t="n">
        <f aca="false">-export!E30</f>
        <v>-0</v>
      </c>
      <c r="J32" s="2" t="n">
        <f aca="false">-charge!E30</f>
        <v>-0</v>
      </c>
      <c r="K32" s="2" t="n">
        <f aca="false">discharge!E30</f>
        <v>0</v>
      </c>
      <c r="L32" s="2" t="n">
        <f aca="false">soc!E30/investment!$E$4 *100</f>
        <v>40.6998185383883</v>
      </c>
    </row>
    <row r="33" customFormat="false" ht="13.8" hidden="false" customHeight="false" outlineLevel="0" collapsed="false">
      <c r="B33" s="11" t="n">
        <f aca="false">_xlfn.NUMBERVALUE(solar!B30)</f>
        <v>60</v>
      </c>
      <c r="C33" s="12" t="n">
        <f aca="false">solar!C30</f>
        <v>0</v>
      </c>
      <c r="D33" s="6" t="n">
        <v>29</v>
      </c>
      <c r="E33" s="17" t="n">
        <f aca="false">IFERROR(INDEX($B$5:$C$173, MATCH($D33, $B$5:$B$175, 0), 2), 0)*investment!$C$4</f>
        <v>0</v>
      </c>
      <c r="F33" s="18" t="n">
        <f aca="false">demand!E31</f>
        <v>0</v>
      </c>
      <c r="G33" s="2" t="n">
        <f aca="false">solgen!E31</f>
        <v>0</v>
      </c>
      <c r="H33" s="2" t="n">
        <f aca="false">import!E31</f>
        <v>0</v>
      </c>
      <c r="I33" s="2" t="n">
        <f aca="false">-export!E31</f>
        <v>-0</v>
      </c>
      <c r="J33" s="2" t="n">
        <f aca="false">-charge!E31</f>
        <v>-0</v>
      </c>
      <c r="K33" s="2" t="n">
        <f aca="false">discharge!E31</f>
        <v>0</v>
      </c>
      <c r="L33" s="2" t="n">
        <f aca="false">soc!E31/investment!$E$4 *100</f>
        <v>40.6248915251672</v>
      </c>
    </row>
    <row r="34" customFormat="false" ht="13.8" hidden="false" customHeight="false" outlineLevel="0" collapsed="false">
      <c r="B34" s="11" t="n">
        <f aca="false">_xlfn.NUMBERVALUE(solar!B31)</f>
        <v>61</v>
      </c>
      <c r="C34" s="12" t="n">
        <f aca="false">solar!C31</f>
        <v>0</v>
      </c>
      <c r="D34" s="6" t="n">
        <v>30</v>
      </c>
      <c r="E34" s="17" t="n">
        <f aca="false">IFERROR(INDEX($B$5:$C$173, MATCH($D34, $B$5:$B$175, 0), 2), 0)*investment!$C$4</f>
        <v>0</v>
      </c>
      <c r="F34" s="18" t="n">
        <f aca="false">demand!E32</f>
        <v>0</v>
      </c>
      <c r="G34" s="2" t="n">
        <f aca="false">solgen!E32</f>
        <v>0</v>
      </c>
      <c r="H34" s="2" t="n">
        <f aca="false">import!E32</f>
        <v>0</v>
      </c>
      <c r="I34" s="2" t="n">
        <f aca="false">-export!E32</f>
        <v>-0</v>
      </c>
      <c r="J34" s="2" t="n">
        <f aca="false">-charge!E32</f>
        <v>-0</v>
      </c>
      <c r="K34" s="2" t="n">
        <f aca="false">discharge!E32</f>
        <v>0</v>
      </c>
      <c r="L34" s="2" t="n">
        <f aca="false">soc!E32/investment!$E$4 *100</f>
        <v>40.6244852762519</v>
      </c>
    </row>
    <row r="35" customFormat="false" ht="13.8" hidden="false" customHeight="false" outlineLevel="0" collapsed="false">
      <c r="B35" s="11" t="n">
        <f aca="false">_xlfn.NUMBERVALUE(solar!B32)</f>
        <v>62</v>
      </c>
      <c r="C35" s="12" t="n">
        <f aca="false">solar!C32</f>
        <v>0</v>
      </c>
      <c r="D35" s="6" t="n">
        <v>31</v>
      </c>
      <c r="E35" s="17" t="n">
        <f aca="false">IFERROR(INDEX($B$5:$C$173, MATCH($D35, $B$5:$B$175, 0), 2), 0)*investment!$C$4</f>
        <v>0</v>
      </c>
      <c r="F35" s="18" t="n">
        <f aca="false">demand!E33</f>
        <v>0</v>
      </c>
      <c r="G35" s="2" t="n">
        <f aca="false">solgen!E33</f>
        <v>0</v>
      </c>
      <c r="H35" s="2" t="n">
        <f aca="false">import!E33</f>
        <v>0</v>
      </c>
      <c r="I35" s="2" t="n">
        <f aca="false">-export!E33</f>
        <v>-0</v>
      </c>
      <c r="J35" s="2" t="n">
        <f aca="false">-charge!E33</f>
        <v>-0</v>
      </c>
      <c r="K35" s="2" t="n">
        <f aca="false">discharge!E33</f>
        <v>0</v>
      </c>
      <c r="L35" s="2" t="n">
        <f aca="false">soc!E33/investment!$E$4 *100</f>
        <v>40.6240790313992</v>
      </c>
    </row>
    <row r="36" customFormat="false" ht="13.8" hidden="false" customHeight="false" outlineLevel="0" collapsed="false">
      <c r="B36" s="11" t="n">
        <f aca="false">_xlfn.NUMBERVALUE(solar!B33)</f>
        <v>63</v>
      </c>
      <c r="C36" s="12" t="n">
        <f aca="false">solar!C33</f>
        <v>0</v>
      </c>
      <c r="D36" s="6" t="n">
        <v>32</v>
      </c>
      <c r="E36" s="17" t="n">
        <f aca="false">IFERROR(INDEX($B$5:$C$173, MATCH($D36, $B$5:$B$175, 0), 2), 0)*investment!$C$4</f>
        <v>0</v>
      </c>
      <c r="F36" s="18" t="n">
        <f aca="false">demand!E34</f>
        <v>0</v>
      </c>
      <c r="G36" s="2" t="n">
        <f aca="false">solgen!E34</f>
        <v>0</v>
      </c>
      <c r="H36" s="2" t="n">
        <f aca="false">import!E34</f>
        <v>0</v>
      </c>
      <c r="I36" s="2" t="n">
        <f aca="false">-export!E34</f>
        <v>-0</v>
      </c>
      <c r="J36" s="2" t="n">
        <f aca="false">-charge!E34</f>
        <v>-0</v>
      </c>
      <c r="K36" s="2" t="n">
        <f aca="false">discharge!E34</f>
        <v>0</v>
      </c>
      <c r="L36" s="2" t="n">
        <f aca="false">soc!E34/investment!$E$4 *100</f>
        <v>40.6236727906088</v>
      </c>
    </row>
    <row r="37" customFormat="false" ht="13.8" hidden="false" customHeight="false" outlineLevel="0" collapsed="false">
      <c r="B37" s="11" t="n">
        <f aca="false">_xlfn.NUMBERVALUE(solar!B34)</f>
        <v>64</v>
      </c>
      <c r="C37" s="12" t="n">
        <f aca="false">solar!C34</f>
        <v>0</v>
      </c>
      <c r="D37" s="6" t="n">
        <v>33</v>
      </c>
      <c r="E37" s="17" t="n">
        <f aca="false">IFERROR(INDEX($B$5:$C$173, MATCH($D37, $B$5:$B$175, 0), 2), 0)*investment!$C$4</f>
        <v>0</v>
      </c>
      <c r="F37" s="18" t="n">
        <f aca="false">demand!E35</f>
        <v>0</v>
      </c>
      <c r="G37" s="2" t="n">
        <f aca="false">solgen!E35</f>
        <v>0</v>
      </c>
      <c r="H37" s="2" t="n">
        <f aca="false">import!E35</f>
        <v>0</v>
      </c>
      <c r="I37" s="2" t="n">
        <f aca="false">-export!E35</f>
        <v>-0</v>
      </c>
      <c r="J37" s="2" t="n">
        <f aca="false">-charge!E35</f>
        <v>-0</v>
      </c>
      <c r="K37" s="2" t="n">
        <f aca="false">discharge!E35</f>
        <v>0</v>
      </c>
      <c r="L37" s="2" t="n">
        <f aca="false">soc!E35/investment!$E$4 *100</f>
        <v>40.6232665538809</v>
      </c>
    </row>
    <row r="38" customFormat="false" ht="13.8" hidden="false" customHeight="false" outlineLevel="0" collapsed="false">
      <c r="B38" s="11" t="n">
        <f aca="false">_xlfn.NUMBERVALUE(solar!B35)</f>
        <v>65</v>
      </c>
      <c r="C38" s="12" t="n">
        <f aca="false">solar!C35</f>
        <v>0</v>
      </c>
      <c r="D38" s="6" t="n">
        <v>34</v>
      </c>
      <c r="E38" s="17" t="n">
        <f aca="false">IFERROR(INDEX($B$5:$C$173, MATCH($D38, $B$5:$B$175, 0), 2), 0)*investment!$C$4</f>
        <v>0</v>
      </c>
      <c r="F38" s="18" t="n">
        <f aca="false">demand!E36</f>
        <v>0</v>
      </c>
      <c r="G38" s="2" t="n">
        <f aca="false">solgen!E36</f>
        <v>0</v>
      </c>
      <c r="H38" s="2" t="n">
        <f aca="false">import!E36</f>
        <v>0</v>
      </c>
      <c r="I38" s="2" t="n">
        <f aca="false">-export!E36</f>
        <v>-0</v>
      </c>
      <c r="J38" s="2" t="n">
        <f aca="false">-charge!E36</f>
        <v>-0</v>
      </c>
      <c r="K38" s="2" t="n">
        <f aca="false">discharge!E36</f>
        <v>0</v>
      </c>
      <c r="L38" s="2" t="n">
        <f aca="false">soc!E36/investment!$E$4 *100</f>
        <v>40.6228603212154</v>
      </c>
    </row>
    <row r="39" customFormat="false" ht="13.8" hidden="false" customHeight="false" outlineLevel="0" collapsed="false">
      <c r="B39" s="11" t="n">
        <f aca="false">_xlfn.NUMBERVALUE(solar!B36)</f>
        <v>66</v>
      </c>
      <c r="C39" s="12" t="n">
        <f aca="false">solar!C36</f>
        <v>0</v>
      </c>
      <c r="D39" s="6" t="n">
        <v>35</v>
      </c>
      <c r="E39" s="17" t="n">
        <f aca="false">IFERROR(INDEX($B$5:$C$173, MATCH($D39, $B$5:$B$175, 0), 2), 0)*investment!$C$4</f>
        <v>0</v>
      </c>
      <c r="F39" s="18" t="n">
        <f aca="false">demand!E37</f>
        <v>0</v>
      </c>
      <c r="G39" s="2" t="n">
        <f aca="false">solgen!E37</f>
        <v>0</v>
      </c>
      <c r="H39" s="2" t="n">
        <f aca="false">import!E37</f>
        <v>0</v>
      </c>
      <c r="I39" s="2" t="n">
        <f aca="false">-export!E37</f>
        <v>-0</v>
      </c>
      <c r="J39" s="2" t="n">
        <f aca="false">-charge!E37</f>
        <v>-0</v>
      </c>
      <c r="K39" s="2" t="n">
        <f aca="false">discharge!E37</f>
        <v>0</v>
      </c>
      <c r="L39" s="2" t="n">
        <f aca="false">soc!E37/investment!$E$4 *100</f>
        <v>40.6224540926122</v>
      </c>
    </row>
    <row r="40" customFormat="false" ht="13.8" hidden="false" customHeight="false" outlineLevel="0" collapsed="false">
      <c r="B40" s="11" t="n">
        <f aca="false">_xlfn.NUMBERVALUE(solar!B37)</f>
        <v>67</v>
      </c>
      <c r="C40" s="12" t="n">
        <f aca="false">solar!C37</f>
        <v>0</v>
      </c>
      <c r="D40" s="6" t="n">
        <v>36</v>
      </c>
      <c r="E40" s="17" t="n">
        <f aca="false">IFERROR(INDEX($B$5:$C$173, MATCH($D40, $B$5:$B$175, 0), 2), 0)*investment!$C$4</f>
        <v>0</v>
      </c>
      <c r="F40" s="18" t="n">
        <f aca="false">demand!E38</f>
        <v>0</v>
      </c>
      <c r="G40" s="2" t="n">
        <f aca="false">solgen!E38</f>
        <v>0</v>
      </c>
      <c r="H40" s="2" t="n">
        <f aca="false">import!E38</f>
        <v>0</v>
      </c>
      <c r="I40" s="2" t="n">
        <f aca="false">-export!E38</f>
        <v>-0</v>
      </c>
      <c r="J40" s="2" t="n">
        <f aca="false">-charge!E38</f>
        <v>-0</v>
      </c>
      <c r="K40" s="2" t="n">
        <f aca="false">discharge!E38</f>
        <v>0</v>
      </c>
      <c r="L40" s="2" t="n">
        <f aca="false">soc!E38/investment!$E$4 *100</f>
        <v>40.6220478680713</v>
      </c>
    </row>
    <row r="41" customFormat="false" ht="13.8" hidden="false" customHeight="false" outlineLevel="0" collapsed="false">
      <c r="B41" s="11" t="n">
        <f aca="false">_xlfn.NUMBERVALUE(solar!B38)</f>
        <v>80</v>
      </c>
      <c r="C41" s="12" t="n">
        <f aca="false">solar!C38</f>
        <v>0</v>
      </c>
      <c r="D41" s="6" t="n">
        <v>37</v>
      </c>
      <c r="E41" s="17" t="n">
        <f aca="false">IFERROR(INDEX($B$5:$C$173, MATCH($D41, $B$5:$B$175, 0), 2), 0)*investment!$C$4</f>
        <v>0</v>
      </c>
      <c r="F41" s="18" t="n">
        <f aca="false">demand!E39</f>
        <v>0</v>
      </c>
      <c r="G41" s="2" t="n">
        <f aca="false">solgen!E39</f>
        <v>0</v>
      </c>
      <c r="H41" s="2" t="n">
        <f aca="false">import!E39</f>
        <v>0</v>
      </c>
      <c r="I41" s="2" t="n">
        <f aca="false">-export!E39</f>
        <v>-0</v>
      </c>
      <c r="J41" s="2" t="n">
        <f aca="false">-charge!E39</f>
        <v>-0</v>
      </c>
      <c r="K41" s="2" t="n">
        <f aca="false">discharge!E39</f>
        <v>0</v>
      </c>
      <c r="L41" s="2" t="n">
        <f aca="false">soc!E39/investment!$E$4 *100</f>
        <v>40.6216416475926</v>
      </c>
    </row>
    <row r="42" customFormat="false" ht="13.8" hidden="false" customHeight="false" outlineLevel="0" collapsed="false">
      <c r="B42" s="11" t="n">
        <f aca="false">_xlfn.NUMBERVALUE(solar!B39)</f>
        <v>81</v>
      </c>
      <c r="C42" s="12" t="n">
        <f aca="false">solar!C39</f>
        <v>0</v>
      </c>
      <c r="D42" s="6" t="n">
        <v>38</v>
      </c>
      <c r="E42" s="17" t="n">
        <f aca="false">IFERROR(INDEX($B$5:$C$173, MATCH($D42, $B$5:$B$175, 0), 2), 0)*investment!$C$4</f>
        <v>0</v>
      </c>
      <c r="F42" s="18" t="n">
        <f aca="false">demand!E40</f>
        <v>0</v>
      </c>
      <c r="G42" s="2" t="n">
        <f aca="false">solgen!E40</f>
        <v>0</v>
      </c>
      <c r="H42" s="2" t="n">
        <f aca="false">import!E40</f>
        <v>0</v>
      </c>
      <c r="I42" s="2" t="n">
        <f aca="false">-export!E40</f>
        <v>-0</v>
      </c>
      <c r="J42" s="2" t="n">
        <f aca="false">-charge!E40</f>
        <v>-0</v>
      </c>
      <c r="K42" s="2" t="n">
        <f aca="false">discharge!E40</f>
        <v>0</v>
      </c>
      <c r="L42" s="2" t="n">
        <f aca="false">soc!E40/investment!$E$4 *100</f>
        <v>40.6212354311761</v>
      </c>
    </row>
    <row r="43" customFormat="false" ht="13.8" hidden="false" customHeight="false" outlineLevel="0" collapsed="false">
      <c r="B43" s="11" t="n">
        <f aca="false">_xlfn.NUMBERVALUE(solar!B40)</f>
        <v>82</v>
      </c>
      <c r="C43" s="12" t="n">
        <f aca="false">solar!C40</f>
        <v>0</v>
      </c>
      <c r="D43" s="6" t="n">
        <v>39</v>
      </c>
      <c r="E43" s="17" t="n">
        <f aca="false">IFERROR(INDEX($B$5:$C$173, MATCH($D43, $B$5:$B$175, 0), 2), 0)*investment!$C$4</f>
        <v>0</v>
      </c>
      <c r="F43" s="18" t="n">
        <f aca="false">demand!E41</f>
        <v>0</v>
      </c>
      <c r="G43" s="2" t="n">
        <f aca="false">solgen!E41</f>
        <v>0</v>
      </c>
      <c r="H43" s="2" t="n">
        <f aca="false">import!E41</f>
        <v>0</v>
      </c>
      <c r="I43" s="2" t="n">
        <f aca="false">-export!E41</f>
        <v>-0</v>
      </c>
      <c r="J43" s="2" t="n">
        <f aca="false">-charge!E41</f>
        <v>-0</v>
      </c>
      <c r="K43" s="2" t="n">
        <f aca="false">discharge!E41</f>
        <v>0</v>
      </c>
      <c r="L43" s="2" t="n">
        <f aca="false">soc!E41/investment!$E$4 *100</f>
        <v>40.6208292188218</v>
      </c>
    </row>
    <row r="44" customFormat="false" ht="13.8" hidden="false" customHeight="false" outlineLevel="0" collapsed="false">
      <c r="B44" s="11" t="n">
        <f aca="false">_xlfn.NUMBERVALUE(solar!B41)</f>
        <v>83</v>
      </c>
      <c r="C44" s="12" t="n">
        <f aca="false">solar!C41</f>
        <v>0</v>
      </c>
      <c r="D44" s="6" t="n">
        <v>40</v>
      </c>
      <c r="E44" s="17" t="n">
        <f aca="false">IFERROR(INDEX($B$5:$C$173, MATCH($D44, $B$5:$B$175, 0), 2), 0)*investment!$C$4</f>
        <v>0</v>
      </c>
      <c r="F44" s="18" t="n">
        <f aca="false">demand!E42</f>
        <v>0</v>
      </c>
      <c r="G44" s="2" t="n">
        <f aca="false">solgen!E42</f>
        <v>0</v>
      </c>
      <c r="H44" s="2" t="n">
        <f aca="false">import!E42</f>
        <v>0</v>
      </c>
      <c r="I44" s="2" t="n">
        <f aca="false">-export!E42</f>
        <v>-0</v>
      </c>
      <c r="J44" s="2" t="n">
        <f aca="false">-charge!E42</f>
        <v>-0</v>
      </c>
      <c r="K44" s="2" t="n">
        <f aca="false">discharge!E42</f>
        <v>0</v>
      </c>
      <c r="L44" s="2" t="n">
        <f aca="false">soc!E42/investment!$E$4 *100</f>
        <v>40.6204230105296</v>
      </c>
    </row>
    <row r="45" customFormat="false" ht="13.8" hidden="false" customHeight="false" outlineLevel="0" collapsed="false">
      <c r="B45" s="11" t="n">
        <f aca="false">_xlfn.NUMBERVALUE(solar!B42)</f>
        <v>84</v>
      </c>
      <c r="C45" s="12" t="n">
        <f aca="false">solar!C42</f>
        <v>0</v>
      </c>
      <c r="D45" s="6" t="n">
        <v>41</v>
      </c>
      <c r="E45" s="17" t="n">
        <f aca="false">IFERROR(INDEX($B$5:$C$173, MATCH($D45, $B$5:$B$175, 0), 2), 0)*investment!$C$4</f>
        <v>0</v>
      </c>
      <c r="F45" s="18" t="n">
        <f aca="false">demand!E43</f>
        <v>0</v>
      </c>
      <c r="G45" s="2" t="n">
        <f aca="false">solgen!E43</f>
        <v>0</v>
      </c>
      <c r="H45" s="2" t="n">
        <f aca="false">import!E43</f>
        <v>0</v>
      </c>
      <c r="I45" s="2" t="n">
        <f aca="false">-export!E43</f>
        <v>-0</v>
      </c>
      <c r="J45" s="2" t="n">
        <f aca="false">-charge!E43</f>
        <v>-0</v>
      </c>
      <c r="K45" s="2" t="n">
        <f aca="false">discharge!E43</f>
        <v>0</v>
      </c>
      <c r="L45" s="2" t="n">
        <f aca="false">soc!E43/investment!$E$4 *100</f>
        <v>40.6200168062995</v>
      </c>
    </row>
    <row r="46" customFormat="false" ht="13.8" hidden="false" customHeight="false" outlineLevel="0" collapsed="false">
      <c r="B46" s="11" t="n">
        <f aca="false">_xlfn.NUMBERVALUE(solar!B43)</f>
        <v>85</v>
      </c>
      <c r="C46" s="12" t="n">
        <f aca="false">solar!C43</f>
        <v>0</v>
      </c>
      <c r="D46" s="6" t="n">
        <v>42</v>
      </c>
      <c r="E46" s="17" t="n">
        <f aca="false">IFERROR(INDEX($B$5:$C$173, MATCH($D46, $B$5:$B$175, 0), 2), 0)*investment!$C$4</f>
        <v>0</v>
      </c>
      <c r="F46" s="18" t="n">
        <f aca="false">demand!E44</f>
        <v>0</v>
      </c>
      <c r="G46" s="2" t="n">
        <f aca="false">solgen!E44</f>
        <v>0</v>
      </c>
      <c r="H46" s="2" t="n">
        <f aca="false">import!E44</f>
        <v>0</v>
      </c>
      <c r="I46" s="2" t="n">
        <f aca="false">-export!E44</f>
        <v>-0</v>
      </c>
      <c r="J46" s="2" t="n">
        <f aca="false">-charge!E44</f>
        <v>-0</v>
      </c>
      <c r="K46" s="2" t="n">
        <f aca="false">discharge!E44</f>
        <v>0</v>
      </c>
      <c r="L46" s="2" t="n">
        <f aca="false">soc!E44/investment!$E$4 *100</f>
        <v>40.6196106061314</v>
      </c>
    </row>
    <row r="47" customFormat="false" ht="13.8" hidden="false" customHeight="false" outlineLevel="0" collapsed="false">
      <c r="B47" s="11" t="n">
        <f aca="false">_xlfn.NUMBERVALUE(solar!B44)</f>
        <v>86</v>
      </c>
      <c r="C47" s="12" t="n">
        <f aca="false">solar!C44</f>
        <v>0</v>
      </c>
      <c r="D47" s="6" t="n">
        <v>43</v>
      </c>
      <c r="E47" s="17" t="n">
        <f aca="false">IFERROR(INDEX($B$5:$C$173, MATCH($D47, $B$5:$B$175, 0), 2), 0)*investment!$C$4</f>
        <v>0</v>
      </c>
      <c r="F47" s="18" t="n">
        <f aca="false">demand!E45</f>
        <v>0</v>
      </c>
      <c r="G47" s="2" t="n">
        <f aca="false">solgen!E45</f>
        <v>0</v>
      </c>
      <c r="H47" s="2" t="n">
        <f aca="false">import!E45</f>
        <v>0</v>
      </c>
      <c r="I47" s="2" t="n">
        <f aca="false">-export!E45</f>
        <v>-0</v>
      </c>
      <c r="J47" s="2" t="n">
        <f aca="false">-charge!E45</f>
        <v>-0</v>
      </c>
      <c r="K47" s="2" t="n">
        <f aca="false">discharge!E45</f>
        <v>0</v>
      </c>
      <c r="L47" s="2" t="n">
        <f aca="false">soc!E45/investment!$E$4 *100</f>
        <v>40.6192044100254</v>
      </c>
    </row>
    <row r="48" customFormat="false" ht="13.8" hidden="false" customHeight="false" outlineLevel="0" collapsed="false">
      <c r="B48" s="11" t="n">
        <f aca="false">_xlfn.NUMBERVALUE(solar!B45)</f>
        <v>87</v>
      </c>
      <c r="C48" s="12" t="n">
        <f aca="false">solar!C45</f>
        <v>0</v>
      </c>
      <c r="D48" s="6" t="n">
        <v>44</v>
      </c>
      <c r="E48" s="17" t="n">
        <f aca="false">IFERROR(INDEX($B$5:$C$173, MATCH($D48, $B$5:$B$175, 0), 2), 0)*investment!$C$4</f>
        <v>0</v>
      </c>
      <c r="F48" s="18" t="n">
        <f aca="false">demand!E46</f>
        <v>0</v>
      </c>
      <c r="G48" s="2" t="n">
        <f aca="false">solgen!E46</f>
        <v>0</v>
      </c>
      <c r="H48" s="2" t="n">
        <f aca="false">import!E46</f>
        <v>0</v>
      </c>
      <c r="I48" s="2" t="n">
        <f aca="false">-export!E46</f>
        <v>-0</v>
      </c>
      <c r="J48" s="2" t="n">
        <f aca="false">-charge!E46</f>
        <v>-0</v>
      </c>
      <c r="K48" s="2" t="n">
        <f aca="false">discharge!E46</f>
        <v>0</v>
      </c>
      <c r="L48" s="2" t="n">
        <f aca="false">soc!E46/investment!$E$4 *100</f>
        <v>40.6187982179813</v>
      </c>
    </row>
    <row r="49" customFormat="false" ht="13.8" hidden="false" customHeight="false" outlineLevel="0" collapsed="false">
      <c r="B49" s="11" t="n">
        <f aca="false">_xlfn.NUMBERVALUE(solar!B46)</f>
        <v>88</v>
      </c>
      <c r="C49" s="12" t="n">
        <f aca="false">solar!C46</f>
        <v>0</v>
      </c>
      <c r="D49" s="6" t="n">
        <v>45</v>
      </c>
      <c r="E49" s="17" t="n">
        <f aca="false">IFERROR(INDEX($B$5:$C$173, MATCH($D49, $B$5:$B$175, 0), 2), 0)*investment!$C$4</f>
        <v>0</v>
      </c>
      <c r="F49" s="18" t="n">
        <f aca="false">demand!E47</f>
        <v>0</v>
      </c>
      <c r="G49" s="2" t="n">
        <f aca="false">solgen!E47</f>
        <v>0</v>
      </c>
      <c r="H49" s="2" t="n">
        <f aca="false">import!E47</f>
        <v>0</v>
      </c>
      <c r="I49" s="2" t="n">
        <f aca="false">-export!E47</f>
        <v>-0</v>
      </c>
      <c r="J49" s="2" t="n">
        <f aca="false">-charge!E47</f>
        <v>-0</v>
      </c>
      <c r="K49" s="2" t="n">
        <f aca="false">discharge!E47</f>
        <v>0</v>
      </c>
      <c r="L49" s="2" t="n">
        <f aca="false">soc!E47/investment!$E$4 *100</f>
        <v>40.6183920299991</v>
      </c>
    </row>
    <row r="50" customFormat="false" ht="13.8" hidden="false" customHeight="false" outlineLevel="0" collapsed="false">
      <c r="B50" s="11" t="n">
        <f aca="false">_xlfn.NUMBERVALUE(solar!B47)</f>
        <v>89</v>
      </c>
      <c r="C50" s="12" t="n">
        <f aca="false">solar!C47</f>
        <v>0</v>
      </c>
      <c r="D50" s="6" t="n">
        <v>46</v>
      </c>
      <c r="E50" s="17" t="n">
        <f aca="false">IFERROR(INDEX($B$5:$C$173, MATCH($D50, $B$5:$B$175, 0), 2), 0)*investment!$C$4</f>
        <v>0</v>
      </c>
      <c r="F50" s="18" t="n">
        <f aca="false">demand!E48</f>
        <v>0</v>
      </c>
      <c r="G50" s="2" t="n">
        <f aca="false">solgen!E48</f>
        <v>0</v>
      </c>
      <c r="H50" s="2" t="n">
        <f aca="false">import!E48</f>
        <v>0</v>
      </c>
      <c r="I50" s="2" t="n">
        <f aca="false">-export!E48</f>
        <v>-0</v>
      </c>
      <c r="J50" s="2" t="n">
        <f aca="false">-charge!E48</f>
        <v>-0</v>
      </c>
      <c r="K50" s="2" t="n">
        <f aca="false">discharge!E48</f>
        <v>0</v>
      </c>
      <c r="L50" s="2" t="n">
        <f aca="false">soc!E48/investment!$E$4 *100</f>
        <v>48.2680010438641</v>
      </c>
    </row>
    <row r="51" customFormat="false" ht="13.8" hidden="false" customHeight="false" outlineLevel="0" collapsed="false">
      <c r="B51" s="11" t="n">
        <f aca="false">_xlfn.NUMBERVALUE(solar!B48)</f>
        <v>90</v>
      </c>
      <c r="C51" s="12" t="n">
        <f aca="false">solar!C48</f>
        <v>0</v>
      </c>
      <c r="D51" s="6" t="n">
        <v>47</v>
      </c>
      <c r="E51" s="17" t="n">
        <f aca="false">IFERROR(INDEX($B$5:$C$173, MATCH($D51, $B$5:$B$175, 0), 2), 0)*investment!$C$4</f>
        <v>0</v>
      </c>
      <c r="F51" s="18" t="n">
        <f aca="false">demand!E49</f>
        <v>0</v>
      </c>
      <c r="G51" s="2" t="n">
        <f aca="false">solgen!E49</f>
        <v>0</v>
      </c>
      <c r="H51" s="2" t="n">
        <f aca="false">import!E49</f>
        <v>0</v>
      </c>
      <c r="I51" s="2" t="n">
        <f aca="false">-export!E49</f>
        <v>-0</v>
      </c>
      <c r="J51" s="2" t="n">
        <f aca="false">-charge!E49</f>
        <v>-0</v>
      </c>
      <c r="K51" s="2" t="n">
        <f aca="false">discharge!E49</f>
        <v>0</v>
      </c>
      <c r="L51" s="2" t="n">
        <f aca="false">soc!E49/investment!$E$4 *100</f>
        <v>56.3168964094632</v>
      </c>
    </row>
    <row r="52" customFormat="false" ht="13.8" hidden="false" customHeight="false" outlineLevel="0" collapsed="false">
      <c r="B52" s="11" t="n">
        <f aca="false">_xlfn.NUMBERVALUE(solar!B49)</f>
        <v>91</v>
      </c>
      <c r="C52" s="12" t="n">
        <f aca="false">solar!C49</f>
        <v>0</v>
      </c>
      <c r="D52" s="6" t="n">
        <v>48</v>
      </c>
      <c r="E52" s="17" t="n">
        <f aca="false">IFERROR(INDEX($B$5:$C$173, MATCH($D52, $B$5:$B$175, 0), 2), 0)*investment!$C$4</f>
        <v>0</v>
      </c>
      <c r="F52" s="18" t="n">
        <f aca="false">demand!E50</f>
        <v>0</v>
      </c>
      <c r="G52" s="2" t="n">
        <f aca="false">solgen!E50</f>
        <v>0</v>
      </c>
      <c r="H52" s="2" t="n">
        <f aca="false">import!E50</f>
        <v>0</v>
      </c>
      <c r="I52" s="2" t="n">
        <f aca="false">-export!E50</f>
        <v>-0</v>
      </c>
      <c r="J52" s="2" t="n">
        <f aca="false">-charge!E50</f>
        <v>-0</v>
      </c>
      <c r="K52" s="2" t="n">
        <f aca="false">discharge!E50</f>
        <v>0</v>
      </c>
      <c r="L52" s="2" t="n">
        <f aca="false">soc!E50/investment!$E$4 *100</f>
        <v>56.3163332404991</v>
      </c>
    </row>
    <row r="53" customFormat="false" ht="13.8" hidden="false" customHeight="false" outlineLevel="0" collapsed="false">
      <c r="B53" s="11" t="n">
        <f aca="false">_xlfn.NUMBERVALUE(solar!B50)</f>
        <v>104</v>
      </c>
      <c r="C53" s="12" t="n">
        <f aca="false">solar!C50</f>
        <v>0</v>
      </c>
      <c r="D53" s="6" t="n">
        <v>49</v>
      </c>
      <c r="E53" s="17" t="n">
        <f aca="false">IFERROR(INDEX($B$5:$C$173, MATCH($D53, $B$5:$B$175, 0), 2), 0)*investment!$C$4</f>
        <v>0</v>
      </c>
      <c r="F53" s="18" t="n">
        <f aca="false">demand!E51</f>
        <v>0</v>
      </c>
      <c r="G53" s="2" t="n">
        <f aca="false">solgen!E51</f>
        <v>0</v>
      </c>
      <c r="H53" s="2" t="n">
        <f aca="false">import!E51</f>
        <v>0</v>
      </c>
      <c r="I53" s="2" t="n">
        <f aca="false">-export!E51</f>
        <v>-0</v>
      </c>
      <c r="J53" s="2" t="n">
        <f aca="false">-charge!E51</f>
        <v>-0</v>
      </c>
      <c r="K53" s="2" t="n">
        <f aca="false">discharge!E51</f>
        <v>0</v>
      </c>
      <c r="L53" s="2" t="n">
        <f aca="false">soc!E51/investment!$E$4 *100</f>
        <v>56.3157700771667</v>
      </c>
    </row>
    <row r="54" customFormat="false" ht="13.8" hidden="false" customHeight="false" outlineLevel="0" collapsed="false">
      <c r="B54" s="11" t="n">
        <f aca="false">_xlfn.NUMBERVALUE(solar!B51)</f>
        <v>105</v>
      </c>
      <c r="C54" s="12" t="n">
        <f aca="false">solar!C51</f>
        <v>0</v>
      </c>
      <c r="D54" s="6" t="n">
        <v>50</v>
      </c>
      <c r="E54" s="17" t="n">
        <f aca="false">IFERROR(INDEX($B$5:$C$173, MATCH($D54, $B$5:$B$175, 0), 2), 0)*investment!$C$4</f>
        <v>0</v>
      </c>
      <c r="F54" s="18" t="n">
        <f aca="false">demand!E52</f>
        <v>0</v>
      </c>
      <c r="G54" s="2" t="n">
        <f aca="false">solgen!E52</f>
        <v>0</v>
      </c>
      <c r="H54" s="2" t="n">
        <f aca="false">import!E52</f>
        <v>0</v>
      </c>
      <c r="I54" s="2" t="n">
        <f aca="false">-export!E52</f>
        <v>-0</v>
      </c>
      <c r="J54" s="2" t="n">
        <f aca="false">-charge!E52</f>
        <v>-0</v>
      </c>
      <c r="K54" s="2" t="n">
        <f aca="false">discharge!E52</f>
        <v>0</v>
      </c>
      <c r="L54" s="2" t="n">
        <f aca="false">soc!E52/investment!$E$4 *100</f>
        <v>56.3152069194659</v>
      </c>
    </row>
    <row r="55" customFormat="false" ht="13.8" hidden="false" customHeight="false" outlineLevel="0" collapsed="false">
      <c r="B55" s="11" t="n">
        <f aca="false">_xlfn.NUMBERVALUE(solar!B52)</f>
        <v>106</v>
      </c>
      <c r="C55" s="12" t="n">
        <f aca="false">solar!C52</f>
        <v>0</v>
      </c>
      <c r="D55" s="6" t="n">
        <v>51</v>
      </c>
      <c r="E55" s="17" t="n">
        <f aca="false">IFERROR(INDEX($B$5:$C$173, MATCH($D55, $B$5:$B$175, 0), 2), 0)*investment!$C$4</f>
        <v>0</v>
      </c>
      <c r="F55" s="18" t="n">
        <f aca="false">demand!E53</f>
        <v>0</v>
      </c>
      <c r="G55" s="2" t="n">
        <f aca="false">solgen!E53</f>
        <v>0</v>
      </c>
      <c r="H55" s="2" t="n">
        <f aca="false">import!E53</f>
        <v>0</v>
      </c>
      <c r="I55" s="2" t="n">
        <f aca="false">-export!E53</f>
        <v>-0</v>
      </c>
      <c r="J55" s="2" t="n">
        <f aca="false">-charge!E53</f>
        <v>-0</v>
      </c>
      <c r="K55" s="2" t="n">
        <f aca="false">discharge!E53</f>
        <v>0</v>
      </c>
      <c r="L55" s="2" t="n">
        <f aca="false">soc!E53/investment!$E$4 *100</f>
        <v>56.3146437673967</v>
      </c>
    </row>
    <row r="56" customFormat="false" ht="13.8" hidden="false" customHeight="false" outlineLevel="0" collapsed="false">
      <c r="B56" s="11" t="n">
        <f aca="false">_xlfn.NUMBERVALUE(solar!B53)</f>
        <v>107</v>
      </c>
      <c r="C56" s="12" t="n">
        <f aca="false">solar!C53</f>
        <v>0</v>
      </c>
      <c r="D56" s="6" t="n">
        <v>52</v>
      </c>
      <c r="E56" s="17" t="n">
        <f aca="false">IFERROR(INDEX($B$5:$C$173, MATCH($D56, $B$5:$B$175, 0), 2), 0)*investment!$C$4</f>
        <v>0</v>
      </c>
      <c r="F56" s="18" t="n">
        <f aca="false">demand!E54</f>
        <v>0</v>
      </c>
      <c r="G56" s="2" t="n">
        <f aca="false">solgen!E54</f>
        <v>0</v>
      </c>
      <c r="H56" s="2" t="n">
        <f aca="false">import!E54</f>
        <v>0</v>
      </c>
      <c r="I56" s="2" t="n">
        <f aca="false">-export!E54</f>
        <v>-0</v>
      </c>
      <c r="J56" s="2" t="n">
        <f aca="false">-charge!E54</f>
        <v>-0</v>
      </c>
      <c r="K56" s="2" t="n">
        <f aca="false">discharge!E54</f>
        <v>0</v>
      </c>
      <c r="L56" s="2" t="n">
        <f aca="false">soc!E54/investment!$E$4 *100</f>
        <v>56.3140806209591</v>
      </c>
    </row>
    <row r="57" customFormat="false" ht="13.8" hidden="false" customHeight="false" outlineLevel="0" collapsed="false">
      <c r="B57" s="11" t="n">
        <f aca="false">_xlfn.NUMBERVALUE(solar!B54)</f>
        <v>108</v>
      </c>
      <c r="C57" s="12" t="n">
        <f aca="false">solar!C54</f>
        <v>0</v>
      </c>
      <c r="D57" s="6" t="n">
        <v>53</v>
      </c>
      <c r="E57" s="17" t="n">
        <f aca="false">IFERROR(INDEX($B$5:$C$173, MATCH($D57, $B$5:$B$175, 0), 2), 0)*investment!$C$4</f>
        <v>0</v>
      </c>
      <c r="F57" s="18" t="n">
        <f aca="false">demand!E55</f>
        <v>0</v>
      </c>
      <c r="G57" s="2" t="n">
        <f aca="false">solgen!E55</f>
        <v>0</v>
      </c>
      <c r="H57" s="2" t="n">
        <f aca="false">import!E55</f>
        <v>0</v>
      </c>
      <c r="I57" s="2" t="n">
        <f aca="false">-export!E55</f>
        <v>-0</v>
      </c>
      <c r="J57" s="2" t="n">
        <f aca="false">-charge!E55</f>
        <v>-0</v>
      </c>
      <c r="K57" s="2" t="n">
        <f aca="false">discharge!E55</f>
        <v>0</v>
      </c>
      <c r="L57" s="2" t="n">
        <f aca="false">soc!E55/investment!$E$4 *100</f>
        <v>56.3135174801529</v>
      </c>
    </row>
    <row r="58" customFormat="false" ht="13.8" hidden="false" customHeight="false" outlineLevel="0" collapsed="false">
      <c r="B58" s="11" t="n">
        <f aca="false">_xlfn.NUMBERVALUE(solar!B55)</f>
        <v>109</v>
      </c>
      <c r="C58" s="12" t="n">
        <f aca="false">solar!C55</f>
        <v>0</v>
      </c>
      <c r="D58" s="6" t="n">
        <v>54</v>
      </c>
      <c r="E58" s="17" t="n">
        <f aca="false">IFERROR(INDEX($B$5:$C$173, MATCH($D58, $B$5:$B$175, 0), 2), 0)*investment!$C$4</f>
        <v>0</v>
      </c>
      <c r="F58" s="18" t="n">
        <f aca="false">demand!E56</f>
        <v>0</v>
      </c>
      <c r="G58" s="2" t="n">
        <f aca="false">solgen!E56</f>
        <v>0</v>
      </c>
      <c r="H58" s="2" t="n">
        <f aca="false">import!E56</f>
        <v>0</v>
      </c>
      <c r="I58" s="2" t="n">
        <f aca="false">-export!E56</f>
        <v>-0</v>
      </c>
      <c r="J58" s="2" t="n">
        <f aca="false">-charge!E56</f>
        <v>-0</v>
      </c>
      <c r="K58" s="2" t="n">
        <f aca="false">discharge!E56</f>
        <v>0</v>
      </c>
      <c r="L58" s="2" t="n">
        <f aca="false">soc!E56/investment!$E$4 *100</f>
        <v>63.2483138115203</v>
      </c>
    </row>
    <row r="59" customFormat="false" ht="13.8" hidden="false" customHeight="false" outlineLevel="0" collapsed="false">
      <c r="B59" s="11" t="n">
        <f aca="false">_xlfn.NUMBERVALUE(solar!B56)</f>
        <v>110</v>
      </c>
      <c r="C59" s="12" t="n">
        <f aca="false">solar!C56</f>
        <v>0</v>
      </c>
      <c r="D59" s="6" t="n">
        <v>55</v>
      </c>
      <c r="E59" s="17" t="n">
        <f aca="false">IFERROR(INDEX($B$5:$C$173, MATCH($D59, $B$5:$B$175, 0), 2), 0)*investment!$C$4</f>
        <v>0</v>
      </c>
      <c r="F59" s="18" t="n">
        <f aca="false">demand!E57</f>
        <v>0</v>
      </c>
      <c r="G59" s="2" t="n">
        <f aca="false">solgen!E57</f>
        <v>0</v>
      </c>
      <c r="H59" s="2" t="n">
        <f aca="false">import!E57</f>
        <v>0</v>
      </c>
      <c r="I59" s="2" t="n">
        <f aca="false">-export!E57</f>
        <v>-0</v>
      </c>
      <c r="J59" s="2" t="n">
        <f aca="false">-charge!E57</f>
        <v>-0</v>
      </c>
      <c r="K59" s="2" t="n">
        <f aca="false">discharge!E57</f>
        <v>0</v>
      </c>
      <c r="L59" s="2" t="n">
        <f aca="false">soc!E57/investment!$E$4 *100</f>
        <v>63.2476813283822</v>
      </c>
    </row>
    <row r="60" customFormat="false" ht="13.8" hidden="false" customHeight="false" outlineLevel="0" collapsed="false">
      <c r="B60" s="11" t="n">
        <f aca="false">_xlfn.NUMBERVALUE(solar!B57)</f>
        <v>111</v>
      </c>
      <c r="C60" s="12" t="n">
        <f aca="false">solar!C57</f>
        <v>0</v>
      </c>
      <c r="D60" s="6" t="n">
        <v>56</v>
      </c>
      <c r="E60" s="17" t="n">
        <f aca="false">IFERROR(INDEX($B$5:$C$173, MATCH($D60, $B$5:$B$175, 0), 2), 0)*investment!$C$4</f>
        <v>0</v>
      </c>
      <c r="F60" s="18" t="n">
        <f aca="false">demand!E58</f>
        <v>0</v>
      </c>
      <c r="G60" s="2" t="n">
        <f aca="false">solgen!E58</f>
        <v>0</v>
      </c>
      <c r="H60" s="2" t="n">
        <f aca="false">import!E58</f>
        <v>0</v>
      </c>
      <c r="I60" s="2" t="n">
        <f aca="false">-export!E58</f>
        <v>-0</v>
      </c>
      <c r="J60" s="2" t="n">
        <f aca="false">-charge!E58</f>
        <v>-0</v>
      </c>
      <c r="K60" s="2" t="n">
        <f aca="false">discharge!E58</f>
        <v>0</v>
      </c>
      <c r="L60" s="2" t="n">
        <f aca="false">soc!E58/investment!$E$4 *100</f>
        <v>70.6647653278831</v>
      </c>
    </row>
    <row r="61" customFormat="false" ht="13.8" hidden="false" customHeight="false" outlineLevel="0" collapsed="false">
      <c r="B61" s="11" t="n">
        <f aca="false">_xlfn.NUMBERVALUE(solar!B58)</f>
        <v>112</v>
      </c>
      <c r="C61" s="12" t="n">
        <f aca="false">solar!C58</f>
        <v>0</v>
      </c>
      <c r="D61" s="6" t="n">
        <v>57</v>
      </c>
      <c r="E61" s="17" t="n">
        <f aca="false">IFERROR(INDEX($B$5:$C$173, MATCH($D61, $B$5:$B$175, 0), 2), 0)*investment!$C$4</f>
        <v>0</v>
      </c>
      <c r="F61" s="18" t="n">
        <f aca="false">demand!E59</f>
        <v>0</v>
      </c>
      <c r="G61" s="2" t="n">
        <f aca="false">solgen!E59</f>
        <v>0</v>
      </c>
      <c r="H61" s="2" t="n">
        <f aca="false">import!E59</f>
        <v>0</v>
      </c>
      <c r="I61" s="2" t="n">
        <f aca="false">-export!E59</f>
        <v>-0</v>
      </c>
      <c r="J61" s="2" t="n">
        <f aca="false">-charge!E59</f>
        <v>-0</v>
      </c>
      <c r="K61" s="2" t="n">
        <f aca="false">discharge!E59</f>
        <v>0</v>
      </c>
      <c r="L61" s="2" t="n">
        <f aca="false">soc!E59/investment!$E$4 *100</f>
        <v>70.6640586802298</v>
      </c>
    </row>
    <row r="62" customFormat="false" ht="13.8" hidden="false" customHeight="false" outlineLevel="0" collapsed="false">
      <c r="B62" s="11" t="n">
        <f aca="false">_xlfn.NUMBERVALUE(solar!B59)</f>
        <v>113</v>
      </c>
      <c r="C62" s="12" t="n">
        <f aca="false">solar!C59</f>
        <v>0</v>
      </c>
      <c r="D62" s="6" t="n">
        <v>58</v>
      </c>
      <c r="E62" s="17" t="n">
        <f aca="false">IFERROR(INDEX($B$5:$C$173, MATCH($D62, $B$5:$B$175, 0), 2), 0)*investment!$C$4</f>
        <v>0</v>
      </c>
      <c r="F62" s="18" t="n">
        <f aca="false">demand!E60</f>
        <v>0</v>
      </c>
      <c r="G62" s="2" t="n">
        <f aca="false">solgen!E60</f>
        <v>0</v>
      </c>
      <c r="H62" s="2" t="n">
        <f aca="false">import!E60</f>
        <v>0</v>
      </c>
      <c r="I62" s="2" t="n">
        <f aca="false">-export!E60</f>
        <v>-0</v>
      </c>
      <c r="J62" s="2" t="n">
        <f aca="false">-charge!E60</f>
        <v>-0</v>
      </c>
      <c r="K62" s="2" t="n">
        <f aca="false">discharge!E60</f>
        <v>0</v>
      </c>
      <c r="L62" s="2" t="n">
        <f aca="false">soc!E60/investment!$E$4 *100</f>
        <v>77.3093271358428</v>
      </c>
    </row>
    <row r="63" customFormat="false" ht="13.8" hidden="false" customHeight="false" outlineLevel="0" collapsed="false">
      <c r="B63" s="11" t="n">
        <f aca="false">_xlfn.NUMBERVALUE(solar!B60)</f>
        <v>114</v>
      </c>
      <c r="C63" s="12" t="n">
        <f aca="false">solar!C60</f>
        <v>0</v>
      </c>
      <c r="D63" s="6" t="n">
        <v>59</v>
      </c>
      <c r="E63" s="17" t="n">
        <f aca="false">IFERROR(INDEX($B$5:$C$173, MATCH($D63, $B$5:$B$175, 0), 2), 0)*investment!$C$4</f>
        <v>0</v>
      </c>
      <c r="F63" s="18" t="n">
        <f aca="false">demand!E61</f>
        <v>0</v>
      </c>
      <c r="G63" s="2" t="n">
        <f aca="false">solgen!E61</f>
        <v>0</v>
      </c>
      <c r="H63" s="2" t="n">
        <f aca="false">import!E61</f>
        <v>0</v>
      </c>
      <c r="I63" s="2" t="n">
        <f aca="false">-export!E61</f>
        <v>-0</v>
      </c>
      <c r="J63" s="2" t="n">
        <f aca="false">-charge!E61</f>
        <v>-0</v>
      </c>
      <c r="K63" s="2" t="n">
        <f aca="false">discharge!E61</f>
        <v>0</v>
      </c>
      <c r="L63" s="2" t="n">
        <f aca="false">soc!E61/investment!$E$4 *100</f>
        <v>82.7630135641997</v>
      </c>
    </row>
    <row r="64" customFormat="false" ht="13.8" hidden="false" customHeight="false" outlineLevel="0" collapsed="false">
      <c r="B64" s="11" t="n">
        <f aca="false">_xlfn.NUMBERVALUE(solar!B61)</f>
        <v>115</v>
      </c>
      <c r="C64" s="12" t="n">
        <f aca="false">solar!C61</f>
        <v>0</v>
      </c>
      <c r="D64" s="6" t="n">
        <v>60</v>
      </c>
      <c r="E64" s="17" t="n">
        <f aca="false">IFERROR(INDEX($B$5:$C$173, MATCH($D64, $B$5:$B$175, 0), 2), 0)*investment!$C$4</f>
        <v>0</v>
      </c>
      <c r="F64" s="18" t="n">
        <f aca="false">demand!E62</f>
        <v>0</v>
      </c>
      <c r="G64" s="2" t="n">
        <f aca="false">solgen!E62</f>
        <v>0</v>
      </c>
      <c r="H64" s="2" t="n">
        <f aca="false">import!E62</f>
        <v>0</v>
      </c>
      <c r="I64" s="2" t="n">
        <f aca="false">-export!E62</f>
        <v>-0</v>
      </c>
      <c r="J64" s="2" t="n">
        <f aca="false">-charge!E62</f>
        <v>-0</v>
      </c>
      <c r="K64" s="2" t="n">
        <f aca="false">discharge!E62</f>
        <v>0</v>
      </c>
      <c r="L64" s="2" t="n">
        <f aca="false">soc!E62/investment!$E$4 *100</f>
        <v>87.3611121067598</v>
      </c>
    </row>
    <row r="65" customFormat="false" ht="13.8" hidden="false" customHeight="false" outlineLevel="0" collapsed="false">
      <c r="B65" s="11" t="n">
        <f aca="false">_xlfn.NUMBERVALUE(solar!B62)</f>
        <v>128</v>
      </c>
      <c r="C65" s="12" t="n">
        <f aca="false">solar!C62</f>
        <v>0</v>
      </c>
      <c r="D65" s="6" t="n">
        <v>61</v>
      </c>
      <c r="E65" s="17" t="n">
        <f aca="false">IFERROR(INDEX($B$5:$C$173, MATCH($D65, $B$5:$B$175, 0), 2), 0)*investment!$C$4</f>
        <v>0</v>
      </c>
      <c r="F65" s="18" t="n">
        <f aca="false">demand!E63</f>
        <v>0</v>
      </c>
      <c r="G65" s="2" t="n">
        <f aca="false">solgen!E63</f>
        <v>0</v>
      </c>
      <c r="H65" s="2" t="n">
        <f aca="false">import!E63</f>
        <v>0</v>
      </c>
      <c r="I65" s="2" t="n">
        <f aca="false">-export!E63</f>
        <v>-0</v>
      </c>
      <c r="J65" s="2" t="n">
        <f aca="false">-charge!E63</f>
        <v>-0</v>
      </c>
      <c r="K65" s="2" t="n">
        <f aca="false">discharge!E63</f>
        <v>0</v>
      </c>
      <c r="L65" s="2" t="n">
        <f aca="false">soc!E63/investment!$E$4 *100</f>
        <v>91.133386356503</v>
      </c>
    </row>
    <row r="66" customFormat="false" ht="13.8" hidden="false" customHeight="false" outlineLevel="0" collapsed="false">
      <c r="B66" s="11" t="n">
        <f aca="false">_xlfn.NUMBERVALUE(solar!B63)</f>
        <v>129</v>
      </c>
      <c r="C66" s="12" t="n">
        <f aca="false">solar!C63</f>
        <v>0</v>
      </c>
      <c r="D66" s="6" t="n">
        <v>62</v>
      </c>
      <c r="E66" s="17" t="n">
        <f aca="false">IFERROR(INDEX($B$5:$C$173, MATCH($D66, $B$5:$B$175, 0), 2), 0)*investment!$C$4</f>
        <v>0</v>
      </c>
      <c r="F66" s="18" t="n">
        <f aca="false">demand!E64</f>
        <v>0</v>
      </c>
      <c r="G66" s="2" t="n">
        <f aca="false">solgen!E64</f>
        <v>0</v>
      </c>
      <c r="H66" s="2" t="n">
        <f aca="false">import!E64</f>
        <v>0</v>
      </c>
      <c r="I66" s="2" t="n">
        <f aca="false">-export!E64</f>
        <v>-0</v>
      </c>
      <c r="J66" s="2" t="n">
        <f aca="false">-charge!E64</f>
        <v>-0</v>
      </c>
      <c r="K66" s="2" t="n">
        <f aca="false">discharge!E64</f>
        <v>0</v>
      </c>
      <c r="L66" s="2" t="n">
        <f aca="false">soc!E64/investment!$E$4 *100</f>
        <v>93.969392191452</v>
      </c>
    </row>
    <row r="67" customFormat="false" ht="13.8" hidden="false" customHeight="false" outlineLevel="0" collapsed="false">
      <c r="B67" s="11" t="n">
        <f aca="false">_xlfn.NUMBERVALUE(solar!B64)</f>
        <v>130</v>
      </c>
      <c r="C67" s="12" t="n">
        <f aca="false">solar!C64</f>
        <v>0</v>
      </c>
      <c r="D67" s="6" t="n">
        <v>63</v>
      </c>
      <c r="E67" s="17" t="n">
        <f aca="false">IFERROR(INDEX($B$5:$C$173, MATCH($D67, $B$5:$B$175, 0), 2), 0)*investment!$C$4</f>
        <v>0</v>
      </c>
      <c r="F67" s="18" t="n">
        <f aca="false">demand!E65</f>
        <v>0</v>
      </c>
      <c r="G67" s="2" t="n">
        <f aca="false">solgen!E65</f>
        <v>0</v>
      </c>
      <c r="H67" s="2" t="n">
        <f aca="false">import!E65</f>
        <v>0</v>
      </c>
      <c r="I67" s="2" t="n">
        <f aca="false">-export!E65</f>
        <v>-0</v>
      </c>
      <c r="J67" s="2" t="n">
        <f aca="false">-charge!E65</f>
        <v>-0</v>
      </c>
      <c r="K67" s="2" t="n">
        <f aca="false">discharge!E65</f>
        <v>0</v>
      </c>
      <c r="L67" s="2" t="n">
        <f aca="false">soc!E65/investment!$E$4 *100</f>
        <v>93.9684524975301</v>
      </c>
    </row>
    <row r="68" customFormat="false" ht="13.8" hidden="false" customHeight="false" outlineLevel="0" collapsed="false">
      <c r="B68" s="11" t="n">
        <f aca="false">_xlfn.NUMBERVALUE(solar!B65)</f>
        <v>131</v>
      </c>
      <c r="C68" s="12" t="n">
        <f aca="false">solar!C65</f>
        <v>0</v>
      </c>
      <c r="D68" s="6" t="n">
        <v>64</v>
      </c>
      <c r="E68" s="17" t="n">
        <f aca="false">IFERROR(INDEX($B$5:$C$173, MATCH($D68, $B$5:$B$175, 0), 2), 0)*investment!$C$4</f>
        <v>0</v>
      </c>
      <c r="F68" s="18" t="n">
        <f aca="false">demand!E66</f>
        <v>0</v>
      </c>
      <c r="G68" s="2" t="n">
        <f aca="false">solgen!E66</f>
        <v>0</v>
      </c>
      <c r="H68" s="2" t="n">
        <f aca="false">import!E66</f>
        <v>0</v>
      </c>
      <c r="I68" s="2" t="n">
        <f aca="false">-export!E66</f>
        <v>-0</v>
      </c>
      <c r="J68" s="2" t="n">
        <f aca="false">-charge!E66</f>
        <v>-0</v>
      </c>
      <c r="K68" s="2" t="n">
        <f aca="false">discharge!E66</f>
        <v>0</v>
      </c>
      <c r="L68" s="2" t="n">
        <f aca="false">soc!E66/investment!$E$4 *100</f>
        <v>93.9675128130052</v>
      </c>
    </row>
    <row r="69" customFormat="false" ht="13.8" hidden="false" customHeight="false" outlineLevel="0" collapsed="false">
      <c r="B69" s="11" t="n">
        <f aca="false">_xlfn.NUMBERVALUE(solar!B66)</f>
        <v>132</v>
      </c>
      <c r="C69" s="12" t="n">
        <f aca="false">solar!C66</f>
        <v>0</v>
      </c>
      <c r="D69" s="6" t="n">
        <v>65</v>
      </c>
      <c r="E69" s="17" t="n">
        <f aca="false">IFERROR(INDEX($B$5:$C$173, MATCH($D69, $B$5:$B$175, 0), 2), 0)*investment!$C$4</f>
        <v>0</v>
      </c>
      <c r="F69" s="18" t="n">
        <f aca="false">demand!E67</f>
        <v>0</v>
      </c>
      <c r="G69" s="2" t="n">
        <f aca="false">solgen!E67</f>
        <v>0</v>
      </c>
      <c r="H69" s="2" t="n">
        <f aca="false">import!E67</f>
        <v>0</v>
      </c>
      <c r="I69" s="2" t="n">
        <f aca="false">-export!E67</f>
        <v>-0</v>
      </c>
      <c r="J69" s="2" t="n">
        <f aca="false">-charge!E67</f>
        <v>-0</v>
      </c>
      <c r="K69" s="2" t="n">
        <f aca="false">discharge!E67</f>
        <v>0</v>
      </c>
      <c r="L69" s="2" t="n">
        <f aca="false">soc!E67/investment!$E$4 *100</f>
        <v>93.966573137877</v>
      </c>
    </row>
    <row r="70" customFormat="false" ht="13.8" hidden="false" customHeight="false" outlineLevel="0" collapsed="false">
      <c r="B70" s="11" t="n">
        <f aca="false">_xlfn.NUMBERVALUE(solar!B67)</f>
        <v>133</v>
      </c>
      <c r="C70" s="12" t="n">
        <f aca="false">solar!C67</f>
        <v>0</v>
      </c>
      <c r="D70" s="6" t="n">
        <v>66</v>
      </c>
      <c r="E70" s="17" t="n">
        <f aca="false">IFERROR(INDEX($B$5:$C$173, MATCH($D70, $B$5:$B$175, 0), 2), 0)*investment!$C$4</f>
        <v>0</v>
      </c>
      <c r="F70" s="18" t="n">
        <f aca="false">demand!E68</f>
        <v>0</v>
      </c>
      <c r="G70" s="2" t="n">
        <f aca="false">solgen!E68</f>
        <v>0</v>
      </c>
      <c r="H70" s="2" t="n">
        <f aca="false">import!E68</f>
        <v>0</v>
      </c>
      <c r="I70" s="2" t="n">
        <f aca="false">-export!E68</f>
        <v>-0</v>
      </c>
      <c r="J70" s="2" t="n">
        <f aca="false">-charge!E68</f>
        <v>-0</v>
      </c>
      <c r="K70" s="2" t="n">
        <f aca="false">discharge!E68</f>
        <v>0</v>
      </c>
      <c r="L70" s="2" t="n">
        <f aca="false">soc!E68/investment!$E$4 *100</f>
        <v>93.9656334721457</v>
      </c>
    </row>
    <row r="71" customFormat="false" ht="13.8" hidden="false" customHeight="false" outlineLevel="0" collapsed="false">
      <c r="B71" s="11" t="n">
        <f aca="false">_xlfn.NUMBERVALUE(solar!B68)</f>
        <v>134</v>
      </c>
      <c r="C71" s="12" t="n">
        <f aca="false">solar!C68</f>
        <v>0</v>
      </c>
      <c r="D71" s="6" t="n">
        <v>67</v>
      </c>
      <c r="E71" s="17" t="n">
        <f aca="false">IFERROR(INDEX($B$5:$C$173, MATCH($D71, $B$5:$B$175, 0), 2), 0)*investment!$C$4</f>
        <v>0</v>
      </c>
      <c r="F71" s="18" t="n">
        <f aca="false">demand!E69</f>
        <v>0</v>
      </c>
      <c r="G71" s="2" t="n">
        <f aca="false">solgen!E69</f>
        <v>0</v>
      </c>
      <c r="H71" s="2" t="n">
        <f aca="false">import!E69</f>
        <v>0</v>
      </c>
      <c r="I71" s="2" t="n">
        <f aca="false">-export!E69</f>
        <v>-0</v>
      </c>
      <c r="J71" s="2" t="n">
        <f aca="false">-charge!E69</f>
        <v>-0</v>
      </c>
      <c r="K71" s="2" t="n">
        <f aca="false">discharge!E69</f>
        <v>0</v>
      </c>
      <c r="L71" s="2" t="n">
        <f aca="false">soc!E69/investment!$E$4 *100</f>
        <v>93.964693815811</v>
      </c>
    </row>
    <row r="72" customFormat="false" ht="13.8" hidden="false" customHeight="false" outlineLevel="0" collapsed="false">
      <c r="B72" s="11" t="n">
        <f aca="false">_xlfn.NUMBERVALUE(solar!B69)</f>
        <v>135</v>
      </c>
      <c r="C72" s="12" t="n">
        <f aca="false">solar!C69</f>
        <v>0</v>
      </c>
      <c r="D72" s="6" t="n">
        <v>68</v>
      </c>
      <c r="E72" s="17" t="n">
        <f aca="false">IFERROR(INDEX($B$5:$C$173, MATCH($D72, $B$5:$B$175, 0), 2), 0)*investment!$C$4</f>
        <v>0</v>
      </c>
      <c r="F72" s="18" t="n">
        <f aca="false">demand!E70</f>
        <v>0</v>
      </c>
      <c r="G72" s="2" t="n">
        <f aca="false">solgen!E70</f>
        <v>0</v>
      </c>
      <c r="H72" s="2" t="n">
        <f aca="false">import!E70</f>
        <v>0</v>
      </c>
      <c r="I72" s="2" t="n">
        <f aca="false">-export!E70</f>
        <v>-0</v>
      </c>
      <c r="J72" s="2" t="n">
        <f aca="false">-charge!E70</f>
        <v>-0</v>
      </c>
      <c r="K72" s="2" t="n">
        <f aca="false">discharge!E70</f>
        <v>0</v>
      </c>
      <c r="L72" s="2" t="n">
        <f aca="false">soc!E70/investment!$E$4 *100</f>
        <v>93.9637541688728</v>
      </c>
    </row>
    <row r="73" customFormat="false" ht="13.8" hidden="false" customHeight="false" outlineLevel="0" collapsed="false">
      <c r="B73" s="11" t="n">
        <f aca="false">_xlfn.NUMBERVALUE(solar!B70)</f>
        <v>136</v>
      </c>
      <c r="C73" s="12" t="n">
        <f aca="false">solar!C70</f>
        <v>0</v>
      </c>
      <c r="D73" s="6" t="n">
        <v>69</v>
      </c>
      <c r="E73" s="17" t="n">
        <f aca="false">IFERROR(INDEX($B$5:$C$173, MATCH($D73, $B$5:$B$175, 0), 2), 0)*investment!$C$4</f>
        <v>0</v>
      </c>
      <c r="F73" s="18" t="n">
        <f aca="false">demand!E71</f>
        <v>0</v>
      </c>
      <c r="G73" s="2" t="n">
        <f aca="false">solgen!E71</f>
        <v>0</v>
      </c>
      <c r="H73" s="2" t="n">
        <f aca="false">import!E71</f>
        <v>0</v>
      </c>
      <c r="I73" s="2" t="n">
        <f aca="false">-export!E71</f>
        <v>-0</v>
      </c>
      <c r="J73" s="2" t="n">
        <f aca="false">-charge!E71</f>
        <v>-0</v>
      </c>
      <c r="K73" s="2" t="n">
        <f aca="false">discharge!E71</f>
        <v>0</v>
      </c>
      <c r="L73" s="2" t="n">
        <f aca="false">soc!E71/investment!$E$4 *100</f>
        <v>93.5776630970448</v>
      </c>
    </row>
    <row r="74" customFormat="false" ht="13.8" hidden="false" customHeight="false" outlineLevel="0" collapsed="false">
      <c r="B74" s="11" t="n">
        <f aca="false">_xlfn.NUMBERVALUE(solar!B71)</f>
        <v>137</v>
      </c>
      <c r="C74" s="12" t="n">
        <f aca="false">solar!C71</f>
        <v>0</v>
      </c>
      <c r="D74" s="6" t="n">
        <v>70</v>
      </c>
      <c r="E74" s="17" t="n">
        <f aca="false">IFERROR(INDEX($B$5:$C$173, MATCH($D74, $B$5:$B$175, 0), 2), 0)*investment!$C$4</f>
        <v>0</v>
      </c>
      <c r="F74" s="18" t="n">
        <f aca="false">demand!E72</f>
        <v>0</v>
      </c>
      <c r="G74" s="2" t="n">
        <f aca="false">solgen!E72</f>
        <v>0</v>
      </c>
      <c r="H74" s="2" t="n">
        <f aca="false">import!E72</f>
        <v>0</v>
      </c>
      <c r="I74" s="2" t="n">
        <f aca="false">-export!E72</f>
        <v>-0</v>
      </c>
      <c r="J74" s="2" t="n">
        <f aca="false">-charge!E72</f>
        <v>-0</v>
      </c>
      <c r="K74" s="2" t="n">
        <f aca="false">discharge!E72</f>
        <v>0</v>
      </c>
      <c r="L74" s="2" t="n">
        <f aca="false">soc!E72/investment!$E$4 *100</f>
        <v>92.1642647576043</v>
      </c>
    </row>
    <row r="75" customFormat="false" ht="13.8" hidden="false" customHeight="false" outlineLevel="0" collapsed="false">
      <c r="B75" s="11" t="n">
        <f aca="false">_xlfn.NUMBERVALUE(solar!B72)</f>
        <v>138</v>
      </c>
      <c r="C75" s="12" t="n">
        <f aca="false">solar!C72</f>
        <v>0</v>
      </c>
      <c r="D75" s="6" t="n">
        <v>71</v>
      </c>
      <c r="E75" s="17" t="n">
        <f aca="false">IFERROR(INDEX($B$5:$C$173, MATCH($D75, $B$5:$B$175, 0), 2), 0)*investment!$C$4</f>
        <v>0</v>
      </c>
      <c r="F75" s="18" t="n">
        <f aca="false">demand!E73</f>
        <v>0</v>
      </c>
      <c r="G75" s="2" t="n">
        <f aca="false">solgen!E73</f>
        <v>0</v>
      </c>
      <c r="H75" s="2" t="n">
        <f aca="false">import!E73</f>
        <v>0</v>
      </c>
      <c r="I75" s="2" t="n">
        <f aca="false">-export!E73</f>
        <v>-0</v>
      </c>
      <c r="J75" s="2" t="n">
        <f aca="false">-charge!E73</f>
        <v>-0</v>
      </c>
      <c r="K75" s="2" t="n">
        <f aca="false">discharge!E73</f>
        <v>0</v>
      </c>
      <c r="L75" s="2" t="n">
        <f aca="false">soc!E73/investment!$E$4 *100</f>
        <v>90.2753187754361</v>
      </c>
    </row>
    <row r="76" customFormat="false" ht="13.8" hidden="false" customHeight="false" outlineLevel="0" collapsed="false">
      <c r="B76" s="11" t="n">
        <f aca="false">_xlfn.NUMBERVALUE(solar!B73)</f>
        <v>139</v>
      </c>
      <c r="C76" s="12" t="n">
        <f aca="false">solar!C73</f>
        <v>0</v>
      </c>
      <c r="D76" s="6" t="n">
        <v>72</v>
      </c>
      <c r="E76" s="17" t="n">
        <f aca="false">IFERROR(INDEX($B$5:$C$173, MATCH($D76, $B$5:$B$175, 0), 2), 0)*investment!$C$4</f>
        <v>0</v>
      </c>
      <c r="F76" s="18" t="n">
        <f aca="false">demand!E74</f>
        <v>0</v>
      </c>
      <c r="G76" s="2" t="n">
        <f aca="false">solgen!E74</f>
        <v>0</v>
      </c>
      <c r="H76" s="2" t="n">
        <f aca="false">import!E74</f>
        <v>0</v>
      </c>
      <c r="I76" s="2" t="n">
        <f aca="false">-export!E74</f>
        <v>-0</v>
      </c>
      <c r="J76" s="2" t="n">
        <f aca="false">-charge!E74</f>
        <v>-0</v>
      </c>
      <c r="K76" s="2" t="n">
        <f aca="false">discharge!E74</f>
        <v>0</v>
      </c>
      <c r="L76" s="2" t="n">
        <f aca="false">soc!E74/investment!$E$4 *100</f>
        <v>88.4976724469632</v>
      </c>
    </row>
    <row r="77" customFormat="false" ht="13.8" hidden="false" customHeight="false" outlineLevel="0" collapsed="false">
      <c r="B77" s="11" t="n">
        <f aca="false">_xlfn.NUMBERVALUE(solar!B74)</f>
        <v>152</v>
      </c>
      <c r="C77" s="12" t="n">
        <f aca="false">solar!C74</f>
        <v>0</v>
      </c>
      <c r="D77" s="6" t="n">
        <v>73</v>
      </c>
      <c r="E77" s="17" t="n">
        <f aca="false">IFERROR(INDEX($B$5:$C$173, MATCH($D77, $B$5:$B$175, 0), 2), 0)*investment!$C$4</f>
        <v>0</v>
      </c>
      <c r="F77" s="18" t="n">
        <f aca="false">demand!E75</f>
        <v>0</v>
      </c>
      <c r="G77" s="2" t="n">
        <f aca="false">solgen!E75</f>
        <v>0</v>
      </c>
      <c r="H77" s="2" t="n">
        <f aca="false">import!E75</f>
        <v>0</v>
      </c>
      <c r="I77" s="2" t="n">
        <f aca="false">-export!E75</f>
        <v>-0</v>
      </c>
      <c r="J77" s="2" t="n">
        <f aca="false">-charge!E75</f>
        <v>-0</v>
      </c>
      <c r="K77" s="2" t="n">
        <f aca="false">discharge!E75</f>
        <v>0</v>
      </c>
      <c r="L77" s="2" t="n">
        <f aca="false">soc!E75/investment!$E$4 *100</f>
        <v>86.8959840360613</v>
      </c>
    </row>
    <row r="78" customFormat="false" ht="13.8" hidden="false" customHeight="false" outlineLevel="0" collapsed="false">
      <c r="B78" s="11" t="n">
        <f aca="false">_xlfn.NUMBERVALUE(solar!B75)</f>
        <v>153</v>
      </c>
      <c r="C78" s="12" t="n">
        <f aca="false">solar!C75</f>
        <v>0</v>
      </c>
      <c r="D78" s="6" t="n">
        <v>74</v>
      </c>
      <c r="E78" s="17" t="n">
        <f aca="false">IFERROR(INDEX($B$5:$C$173, MATCH($D78, $B$5:$B$175, 0), 2), 0)*investment!$C$4</f>
        <v>0</v>
      </c>
      <c r="F78" s="18" t="n">
        <f aca="false">demand!E76</f>
        <v>0</v>
      </c>
      <c r="G78" s="2" t="n">
        <f aca="false">solgen!E76</f>
        <v>0</v>
      </c>
      <c r="H78" s="2" t="n">
        <f aca="false">import!E76</f>
        <v>0</v>
      </c>
      <c r="I78" s="2" t="n">
        <f aca="false">-export!E76</f>
        <v>-0</v>
      </c>
      <c r="J78" s="2" t="n">
        <f aca="false">-charge!E76</f>
        <v>-0</v>
      </c>
      <c r="K78" s="2" t="n">
        <f aca="false">discharge!E76</f>
        <v>0</v>
      </c>
      <c r="L78" s="2" t="n">
        <f aca="false">soc!E76/investment!$E$4 *100</f>
        <v>84.1059711705937</v>
      </c>
    </row>
    <row r="79" customFormat="false" ht="13.8" hidden="false" customHeight="false" outlineLevel="0" collapsed="false">
      <c r="B79" s="11" t="n">
        <f aca="false">_xlfn.NUMBERVALUE(solar!B76)</f>
        <v>154</v>
      </c>
      <c r="C79" s="12" t="n">
        <f aca="false">solar!C76</f>
        <v>0</v>
      </c>
      <c r="D79" s="6" t="n">
        <v>75</v>
      </c>
      <c r="E79" s="17" t="n">
        <f aca="false">IFERROR(INDEX($B$5:$C$173, MATCH($D79, $B$5:$B$175, 0), 2), 0)*investment!$C$4</f>
        <v>0</v>
      </c>
      <c r="F79" s="18" t="n">
        <f aca="false">demand!E77</f>
        <v>0</v>
      </c>
      <c r="G79" s="2" t="n">
        <f aca="false">solgen!E77</f>
        <v>0</v>
      </c>
      <c r="H79" s="2" t="n">
        <f aca="false">import!E77</f>
        <v>0</v>
      </c>
      <c r="I79" s="2" t="n">
        <f aca="false">-export!E77</f>
        <v>-0</v>
      </c>
      <c r="J79" s="2" t="n">
        <f aca="false">-charge!E77</f>
        <v>-0</v>
      </c>
      <c r="K79" s="2" t="n">
        <f aca="false">discharge!E77</f>
        <v>0</v>
      </c>
      <c r="L79" s="2" t="n">
        <f aca="false">soc!E77/investment!$E$4 *100</f>
        <v>81.5344814266528</v>
      </c>
    </row>
    <row r="80" customFormat="false" ht="13.8" hidden="false" customHeight="false" outlineLevel="0" collapsed="false">
      <c r="B80" s="11" t="n">
        <f aca="false">_xlfn.NUMBERVALUE(solar!B77)</f>
        <v>155</v>
      </c>
      <c r="C80" s="12" t="n">
        <f aca="false">solar!C77</f>
        <v>0</v>
      </c>
      <c r="D80" s="6" t="n">
        <v>76</v>
      </c>
      <c r="E80" s="17" t="n">
        <f aca="false">IFERROR(INDEX($B$5:$C$173, MATCH($D80, $B$5:$B$175, 0), 2), 0)*investment!$C$4</f>
        <v>0</v>
      </c>
      <c r="F80" s="18" t="n">
        <f aca="false">demand!E78</f>
        <v>0</v>
      </c>
      <c r="G80" s="2" t="n">
        <f aca="false">solgen!E78</f>
        <v>0</v>
      </c>
      <c r="H80" s="2" t="n">
        <f aca="false">import!E78</f>
        <v>0</v>
      </c>
      <c r="I80" s="2" t="n">
        <f aca="false">-export!E78</f>
        <v>-0</v>
      </c>
      <c r="J80" s="2" t="n">
        <f aca="false">-charge!E78</f>
        <v>-0</v>
      </c>
      <c r="K80" s="2" t="n">
        <f aca="false">discharge!E78</f>
        <v>0</v>
      </c>
      <c r="L80" s="2" t="n">
        <f aca="false">soc!E78/investment!$E$4 *100</f>
        <v>80.2436799153772</v>
      </c>
    </row>
    <row r="81" customFormat="false" ht="13.8" hidden="false" customHeight="false" outlineLevel="0" collapsed="false">
      <c r="B81" s="11" t="n">
        <f aca="false">_xlfn.NUMBERVALUE(solar!B78)</f>
        <v>156</v>
      </c>
      <c r="C81" s="12" t="n">
        <f aca="false">solar!C78</f>
        <v>0</v>
      </c>
      <c r="D81" s="6" t="n">
        <v>77</v>
      </c>
      <c r="E81" s="17" t="n">
        <f aca="false">IFERROR(INDEX($B$5:$C$173, MATCH($D81, $B$5:$B$175, 0), 2), 0)*investment!$C$4</f>
        <v>0</v>
      </c>
      <c r="F81" s="18" t="n">
        <f aca="false">demand!E79</f>
        <v>0</v>
      </c>
      <c r="G81" s="2" t="n">
        <f aca="false">solgen!E79</f>
        <v>0</v>
      </c>
      <c r="H81" s="2" t="n">
        <f aca="false">import!E79</f>
        <v>0</v>
      </c>
      <c r="I81" s="2" t="n">
        <f aca="false">-export!E79</f>
        <v>-0</v>
      </c>
      <c r="J81" s="2" t="n">
        <f aca="false">-charge!E79</f>
        <v>-0</v>
      </c>
      <c r="K81" s="2" t="n">
        <f aca="false">discharge!E79</f>
        <v>0</v>
      </c>
      <c r="L81" s="2" t="n">
        <f aca="false">soc!E79/investment!$E$4 *100</f>
        <v>78.0264888853648</v>
      </c>
    </row>
    <row r="82" customFormat="false" ht="13.8" hidden="false" customHeight="false" outlineLevel="0" collapsed="false">
      <c r="B82" s="11" t="n">
        <f aca="false">_xlfn.NUMBERVALUE(solar!B79)</f>
        <v>157</v>
      </c>
      <c r="C82" s="12" t="n">
        <f aca="false">solar!C79</f>
        <v>0</v>
      </c>
      <c r="D82" s="6" t="n">
        <v>78</v>
      </c>
      <c r="E82" s="17" t="n">
        <f aca="false">IFERROR(INDEX($B$5:$C$173, MATCH($D82, $B$5:$B$175, 0), 2), 0)*investment!$C$4</f>
        <v>0</v>
      </c>
      <c r="F82" s="18" t="n">
        <f aca="false">demand!E80</f>
        <v>0</v>
      </c>
      <c r="G82" s="2" t="n">
        <f aca="false">solgen!E80</f>
        <v>0</v>
      </c>
      <c r="H82" s="2" t="n">
        <f aca="false">import!E80</f>
        <v>0</v>
      </c>
      <c r="I82" s="2" t="n">
        <f aca="false">-export!E80</f>
        <v>-0</v>
      </c>
      <c r="J82" s="2" t="n">
        <f aca="false">-charge!E80</f>
        <v>-0</v>
      </c>
      <c r="K82" s="2" t="n">
        <f aca="false">discharge!E80</f>
        <v>0</v>
      </c>
      <c r="L82" s="2" t="n">
        <f aca="false">soc!E80/investment!$E$4 *100</f>
        <v>76.5996715441931</v>
      </c>
    </row>
    <row r="83" customFormat="false" ht="13.8" hidden="false" customHeight="false" outlineLevel="0" collapsed="false">
      <c r="B83" s="11" t="n">
        <f aca="false">_xlfn.NUMBERVALUE(solar!B80)</f>
        <v>158</v>
      </c>
      <c r="C83" s="12" t="n">
        <f aca="false">solar!C80</f>
        <v>0</v>
      </c>
      <c r="D83" s="6" t="n">
        <v>79</v>
      </c>
      <c r="E83" s="17" t="n">
        <f aca="false">IFERROR(INDEX($B$5:$C$173, MATCH($D83, $B$5:$B$175, 0), 2), 0)*investment!$C$4</f>
        <v>0</v>
      </c>
      <c r="F83" s="18" t="n">
        <f aca="false">demand!E81</f>
        <v>0</v>
      </c>
      <c r="G83" s="2" t="n">
        <f aca="false">solgen!E81</f>
        <v>0</v>
      </c>
      <c r="H83" s="2" t="n">
        <f aca="false">import!E81</f>
        <v>0</v>
      </c>
      <c r="I83" s="2" t="n">
        <f aca="false">-export!E81</f>
        <v>-0</v>
      </c>
      <c r="J83" s="2" t="n">
        <f aca="false">-charge!E81</f>
        <v>-0</v>
      </c>
      <c r="K83" s="2" t="n">
        <f aca="false">discharge!E81</f>
        <v>0</v>
      </c>
      <c r="L83" s="2" t="n">
        <f aca="false">soc!E81/investment!$E$4 *100</f>
        <v>74.3273630748204</v>
      </c>
    </row>
    <row r="84" customFormat="false" ht="13.8" hidden="false" customHeight="false" outlineLevel="0" collapsed="false">
      <c r="B84" s="11" t="n">
        <f aca="false">_xlfn.NUMBERVALUE(solar!B81)</f>
        <v>159</v>
      </c>
      <c r="C84" s="12" t="n">
        <f aca="false">solar!C81</f>
        <v>0</v>
      </c>
      <c r="D84" s="6" t="n">
        <v>80</v>
      </c>
      <c r="E84" s="17" t="n">
        <f aca="false">IFERROR(INDEX($B$5:$C$173, MATCH($D84, $B$5:$B$175, 0), 2), 0)*investment!$C$4</f>
        <v>0</v>
      </c>
      <c r="F84" s="18" t="n">
        <f aca="false">demand!E82</f>
        <v>0</v>
      </c>
      <c r="G84" s="2" t="n">
        <f aca="false">solgen!E82</f>
        <v>0</v>
      </c>
      <c r="H84" s="2" t="n">
        <f aca="false">import!E82</f>
        <v>0</v>
      </c>
      <c r="I84" s="2" t="n">
        <f aca="false">-export!E82</f>
        <v>-0</v>
      </c>
      <c r="J84" s="2" t="n">
        <f aca="false">-charge!E82</f>
        <v>-0</v>
      </c>
      <c r="K84" s="2" t="n">
        <f aca="false">discharge!E82</f>
        <v>0</v>
      </c>
      <c r="L84" s="2" t="n">
        <f aca="false">soc!E82/investment!$E$4 *100</f>
        <v>73.095228643255</v>
      </c>
    </row>
    <row r="85" customFormat="false" ht="13.8" hidden="false" customHeight="false" outlineLevel="0" collapsed="false">
      <c r="B85" s="11" t="n">
        <f aca="false">_xlfn.NUMBERVALUE(solar!B82)</f>
        <v>160</v>
      </c>
      <c r="C85" s="12" t="n">
        <f aca="false">solar!C82</f>
        <v>0</v>
      </c>
      <c r="D85" s="6" t="n">
        <v>81</v>
      </c>
      <c r="E85" s="17" t="n">
        <f aca="false">IFERROR(INDEX($B$5:$C$173, MATCH($D85, $B$5:$B$175, 0), 2), 0)*investment!$C$4</f>
        <v>0</v>
      </c>
      <c r="F85" s="18" t="n">
        <f aca="false">demand!E83</f>
        <v>0</v>
      </c>
      <c r="G85" s="2" t="n">
        <f aca="false">solgen!E83</f>
        <v>0</v>
      </c>
      <c r="H85" s="2" t="n">
        <f aca="false">import!E83</f>
        <v>0</v>
      </c>
      <c r="I85" s="2" t="n">
        <f aca="false">-export!E83</f>
        <v>-0</v>
      </c>
      <c r="J85" s="2" t="n">
        <f aca="false">-charge!E83</f>
        <v>-0</v>
      </c>
      <c r="K85" s="2" t="n">
        <f aca="false">discharge!E83</f>
        <v>0</v>
      </c>
      <c r="L85" s="2" t="n">
        <f aca="false">soc!E83/investment!$E$4 *100</f>
        <v>71.1660038887674</v>
      </c>
    </row>
    <row r="86" customFormat="false" ht="13.8" hidden="false" customHeight="false" outlineLevel="0" collapsed="false">
      <c r="B86" s="11" t="n">
        <f aca="false">_xlfn.NUMBERVALUE(solar!B83)</f>
        <v>161</v>
      </c>
      <c r="C86" s="12" t="n">
        <f aca="false">solar!C83</f>
        <v>0</v>
      </c>
      <c r="D86" s="6" t="n">
        <v>82</v>
      </c>
      <c r="E86" s="17" t="n">
        <f aca="false">IFERROR(INDEX($B$5:$C$173, MATCH($D86, $B$5:$B$175, 0), 2), 0)*investment!$C$4</f>
        <v>0</v>
      </c>
      <c r="F86" s="18" t="n">
        <f aca="false">demand!E84</f>
        <v>0</v>
      </c>
      <c r="G86" s="2" t="n">
        <f aca="false">solgen!E84</f>
        <v>0</v>
      </c>
      <c r="H86" s="2" t="n">
        <f aca="false">import!E84</f>
        <v>0</v>
      </c>
      <c r="I86" s="2" t="n">
        <f aca="false">-export!E84</f>
        <v>-0</v>
      </c>
      <c r="J86" s="2" t="n">
        <f aca="false">-charge!E84</f>
        <v>-0</v>
      </c>
      <c r="K86" s="2" t="n">
        <f aca="false">discharge!E84</f>
        <v>0</v>
      </c>
      <c r="L86" s="2" t="n">
        <f aca="false">soc!E84/investment!$E$4 *100</f>
        <v>69.7530292501886</v>
      </c>
    </row>
    <row r="87" customFormat="false" ht="13.8" hidden="false" customHeight="false" outlineLevel="0" collapsed="false">
      <c r="B87" s="11" t="n">
        <f aca="false">_xlfn.NUMBERVALUE(solar!B84)</f>
        <v>162</v>
      </c>
      <c r="C87" s="12" t="n">
        <f aca="false">solar!C84</f>
        <v>0</v>
      </c>
      <c r="D87" s="6" t="n">
        <v>83</v>
      </c>
      <c r="E87" s="17" t="n">
        <f aca="false">IFERROR(INDEX($B$5:$C$173, MATCH($D87, $B$5:$B$175, 0), 2), 0)*investment!$C$4</f>
        <v>0</v>
      </c>
      <c r="F87" s="18" t="n">
        <f aca="false">demand!E85</f>
        <v>0</v>
      </c>
      <c r="G87" s="2" t="n">
        <f aca="false">solgen!E85</f>
        <v>0</v>
      </c>
      <c r="H87" s="2" t="n">
        <f aca="false">import!E85</f>
        <v>0</v>
      </c>
      <c r="I87" s="2" t="n">
        <f aca="false">-export!E85</f>
        <v>-0</v>
      </c>
      <c r="J87" s="2" t="n">
        <f aca="false">-charge!E85</f>
        <v>-0</v>
      </c>
      <c r="K87" s="2" t="n">
        <f aca="false">discharge!E85</f>
        <v>0</v>
      </c>
      <c r="L87" s="2" t="n">
        <f aca="false">soc!E85/investment!$E$4 *100</f>
        <v>67.9287747108982</v>
      </c>
    </row>
    <row r="88" customFormat="false" ht="13.8" hidden="false" customHeight="false" outlineLevel="0" collapsed="false">
      <c r="B88" s="11" t="n">
        <f aca="false">_xlfn.NUMBERVALUE(solar!B85)</f>
        <v>163</v>
      </c>
      <c r="C88" s="12" t="n">
        <f aca="false">solar!C85</f>
        <v>0</v>
      </c>
      <c r="D88" s="6" t="n">
        <v>84</v>
      </c>
      <c r="E88" s="17" t="n">
        <f aca="false">IFERROR(INDEX($B$5:$C$173, MATCH($D88, $B$5:$B$175, 0), 2), 0)*investment!$C$4</f>
        <v>0</v>
      </c>
      <c r="F88" s="18" t="n">
        <f aca="false">demand!E86</f>
        <v>0</v>
      </c>
      <c r="G88" s="2" t="n">
        <f aca="false">solgen!E86</f>
        <v>0</v>
      </c>
      <c r="H88" s="2" t="n">
        <f aca="false">import!E86</f>
        <v>0</v>
      </c>
      <c r="I88" s="2" t="n">
        <f aca="false">-export!E86</f>
        <v>-0</v>
      </c>
      <c r="J88" s="2" t="n">
        <f aca="false">-charge!E86</f>
        <v>-0</v>
      </c>
      <c r="K88" s="2" t="n">
        <f aca="false">discharge!E86</f>
        <v>0</v>
      </c>
      <c r="L88" s="2" t="n">
        <f aca="false">soc!E86/investment!$E$4 *100</f>
        <v>65.9252963683678</v>
      </c>
    </row>
    <row r="89" customFormat="false" ht="13.8" hidden="false" customHeight="false" outlineLevel="0" collapsed="false">
      <c r="B89" s="11" t="n">
        <f aca="false">_xlfn.NUMBERVALUE(solar!B86)</f>
        <v>0</v>
      </c>
      <c r="C89" s="12" t="n">
        <f aca="false">solar!C86</f>
        <v>0</v>
      </c>
      <c r="D89" s="6" t="n">
        <v>85</v>
      </c>
      <c r="E89" s="17" t="n">
        <f aca="false">IFERROR(INDEX($B$5:$C$173, MATCH($D89, $B$5:$B$175, 0), 2), 0)*investment!$C$4</f>
        <v>0</v>
      </c>
      <c r="F89" s="18" t="n">
        <f aca="false">demand!E87</f>
        <v>0</v>
      </c>
      <c r="G89" s="2" t="n">
        <f aca="false">solgen!E87</f>
        <v>0</v>
      </c>
      <c r="H89" s="2" t="n">
        <f aca="false">import!E87</f>
        <v>0</v>
      </c>
      <c r="I89" s="2" t="n">
        <f aca="false">-export!E87</f>
        <v>-0</v>
      </c>
      <c r="J89" s="2" t="n">
        <f aca="false">-charge!E87</f>
        <v>-0</v>
      </c>
      <c r="K89" s="2" t="n">
        <f aca="false">discharge!E87</f>
        <v>0</v>
      </c>
      <c r="L89" s="2" t="n">
        <f aca="false">soc!E87/investment!$E$4 *100</f>
        <v>64.2319418636789</v>
      </c>
    </row>
    <row r="90" customFormat="false" ht="13.8" hidden="false" customHeight="false" outlineLevel="0" collapsed="false">
      <c r="B90" s="11" t="n">
        <f aca="false">_xlfn.NUMBERVALUE(solar!B87)</f>
        <v>0</v>
      </c>
      <c r="C90" s="12" t="n">
        <f aca="false">solar!C87</f>
        <v>0</v>
      </c>
      <c r="D90" s="6" t="n">
        <v>86</v>
      </c>
      <c r="E90" s="17" t="n">
        <f aca="false">IFERROR(INDEX($B$5:$C$173, MATCH($D90, $B$5:$B$175, 0), 2), 0)*investment!$C$4</f>
        <v>0</v>
      </c>
      <c r="F90" s="18" t="n">
        <f aca="false">demand!E88</f>
        <v>0</v>
      </c>
      <c r="G90" s="2" t="n">
        <f aca="false">solgen!E88</f>
        <v>0</v>
      </c>
      <c r="H90" s="2" t="n">
        <f aca="false">import!E88</f>
        <v>0</v>
      </c>
      <c r="I90" s="2" t="n">
        <f aca="false">-export!E88</f>
        <v>-0</v>
      </c>
      <c r="J90" s="2" t="n">
        <f aca="false">-charge!E88</f>
        <v>-0</v>
      </c>
      <c r="K90" s="2" t="n">
        <f aca="false">discharge!E88</f>
        <v>0</v>
      </c>
      <c r="L90" s="2" t="n">
        <f aca="false">soc!E88/investment!$E$4 *100</f>
        <v>62.6182949997664</v>
      </c>
    </row>
    <row r="91" customFormat="false" ht="13.8" hidden="false" customHeight="false" outlineLevel="0" collapsed="false">
      <c r="B91" s="11" t="n">
        <f aca="false">_xlfn.NUMBERVALUE(solar!B88)</f>
        <v>0</v>
      </c>
      <c r="C91" s="12" t="n">
        <f aca="false">solar!C88</f>
        <v>0</v>
      </c>
      <c r="D91" s="6" t="n">
        <v>87</v>
      </c>
      <c r="E91" s="17" t="n">
        <f aca="false">IFERROR(INDEX($B$5:$C$173, MATCH($D91, $B$5:$B$175, 0), 2), 0)*investment!$C$4</f>
        <v>0</v>
      </c>
      <c r="F91" s="18" t="n">
        <f aca="false">demand!E89</f>
        <v>0</v>
      </c>
      <c r="G91" s="2" t="n">
        <f aca="false">solgen!E89</f>
        <v>0</v>
      </c>
      <c r="H91" s="2" t="n">
        <f aca="false">import!E89</f>
        <v>0</v>
      </c>
      <c r="I91" s="2" t="n">
        <f aca="false">-export!E89</f>
        <v>-0</v>
      </c>
      <c r="J91" s="2" t="n">
        <f aca="false">-charge!E89</f>
        <v>-0</v>
      </c>
      <c r="K91" s="2" t="n">
        <f aca="false">discharge!E89</f>
        <v>0</v>
      </c>
      <c r="L91" s="2" t="n">
        <f aca="false">soc!E89/investment!$E$4 *100</f>
        <v>61.1780714718643</v>
      </c>
    </row>
    <row r="92" customFormat="false" ht="13.8" hidden="false" customHeight="false" outlineLevel="0" collapsed="false">
      <c r="B92" s="11" t="n">
        <f aca="false">_xlfn.NUMBERVALUE(solar!B89)</f>
        <v>0</v>
      </c>
      <c r="C92" s="12" t="n">
        <f aca="false">solar!C89</f>
        <v>0</v>
      </c>
      <c r="D92" s="6" t="n">
        <v>88</v>
      </c>
      <c r="E92" s="17" t="n">
        <f aca="false">IFERROR(INDEX($B$5:$C$173, MATCH($D92, $B$5:$B$175, 0), 2), 0)*investment!$C$4</f>
        <v>0</v>
      </c>
      <c r="F92" s="18" t="n">
        <f aca="false">demand!E90</f>
        <v>0</v>
      </c>
      <c r="G92" s="2" t="n">
        <f aca="false">solgen!E90</f>
        <v>0</v>
      </c>
      <c r="H92" s="2" t="n">
        <f aca="false">import!E90</f>
        <v>0</v>
      </c>
      <c r="I92" s="2" t="n">
        <f aca="false">-export!E90</f>
        <v>-0</v>
      </c>
      <c r="J92" s="2" t="n">
        <f aca="false">-charge!E90</f>
        <v>-0</v>
      </c>
      <c r="K92" s="2" t="n">
        <f aca="false">discharge!E90</f>
        <v>0</v>
      </c>
      <c r="L92" s="2" t="n">
        <f aca="false">soc!E90/investment!$E$4 *100</f>
        <v>59.331008482298</v>
      </c>
    </row>
    <row r="93" customFormat="false" ht="13.8" hidden="false" customHeight="false" outlineLevel="0" collapsed="false">
      <c r="B93" s="11" t="n">
        <f aca="false">_xlfn.NUMBERVALUE(solar!B90)</f>
        <v>0</v>
      </c>
      <c r="C93" s="12" t="n">
        <f aca="false">solar!C90</f>
        <v>0</v>
      </c>
      <c r="D93" s="6" t="n">
        <v>89</v>
      </c>
      <c r="E93" s="17" t="n">
        <f aca="false">IFERROR(INDEX($B$5:$C$173, MATCH($D93, $B$5:$B$175, 0), 2), 0)*investment!$C$4</f>
        <v>0</v>
      </c>
      <c r="F93" s="18" t="n">
        <f aca="false">demand!E91</f>
        <v>0</v>
      </c>
      <c r="G93" s="2" t="n">
        <f aca="false">solgen!E91</f>
        <v>0</v>
      </c>
      <c r="H93" s="2" t="n">
        <f aca="false">import!E91</f>
        <v>0</v>
      </c>
      <c r="I93" s="2" t="n">
        <f aca="false">-export!E91</f>
        <v>-0</v>
      </c>
      <c r="J93" s="2" t="n">
        <f aca="false">-charge!E91</f>
        <v>-0</v>
      </c>
      <c r="K93" s="2" t="n">
        <f aca="false">discharge!E91</f>
        <v>0</v>
      </c>
      <c r="L93" s="2" t="n">
        <f aca="false">soc!E91/investment!$E$4 *100</f>
        <v>57.9864003579908</v>
      </c>
    </row>
    <row r="94" customFormat="false" ht="13.8" hidden="false" customHeight="false" outlineLevel="0" collapsed="false">
      <c r="B94" s="11" t="n">
        <f aca="false">_xlfn.NUMBERVALUE(solar!B91)</f>
        <v>0</v>
      </c>
      <c r="C94" s="12" t="n">
        <f aca="false">solar!C91</f>
        <v>0</v>
      </c>
      <c r="D94" s="6" t="n">
        <v>90</v>
      </c>
      <c r="E94" s="17" t="n">
        <f aca="false">IFERROR(INDEX($B$5:$C$173, MATCH($D94, $B$5:$B$175, 0), 2), 0)*investment!$C$4</f>
        <v>0</v>
      </c>
      <c r="F94" s="18" t="n">
        <f aca="false">demand!E92</f>
        <v>0</v>
      </c>
      <c r="G94" s="2" t="n">
        <f aca="false">solgen!E92</f>
        <v>0</v>
      </c>
      <c r="H94" s="2" t="n">
        <f aca="false">import!E92</f>
        <v>0</v>
      </c>
      <c r="I94" s="2" t="n">
        <f aca="false">-export!E92</f>
        <v>-0</v>
      </c>
      <c r="J94" s="2" t="n">
        <f aca="false">-charge!E92</f>
        <v>-0</v>
      </c>
      <c r="K94" s="2" t="n">
        <f aca="false">discharge!E92</f>
        <v>0</v>
      </c>
      <c r="L94" s="2" t="n">
        <f aca="false">soc!E92/investment!$E$4 *100</f>
        <v>57.1512474887584</v>
      </c>
    </row>
    <row r="95" customFormat="false" ht="13.8" hidden="false" customHeight="false" outlineLevel="0" collapsed="false">
      <c r="B95" s="11" t="n">
        <f aca="false">_xlfn.NUMBERVALUE(solar!B92)</f>
        <v>0</v>
      </c>
      <c r="C95" s="12" t="n">
        <f aca="false">solar!C92</f>
        <v>0</v>
      </c>
      <c r="D95" s="6" t="n">
        <v>91</v>
      </c>
      <c r="E95" s="17" t="n">
        <f aca="false">IFERROR(INDEX($B$5:$C$173, MATCH($D95, $B$5:$B$175, 0), 2), 0)*investment!$C$4</f>
        <v>0</v>
      </c>
      <c r="F95" s="18" t="n">
        <f aca="false">demand!E93</f>
        <v>0</v>
      </c>
      <c r="G95" s="2" t="n">
        <f aca="false">solgen!E93</f>
        <v>0</v>
      </c>
      <c r="H95" s="2" t="n">
        <f aca="false">import!E93</f>
        <v>0</v>
      </c>
      <c r="I95" s="2" t="n">
        <f aca="false">-export!E93</f>
        <v>-0</v>
      </c>
      <c r="J95" s="2" t="n">
        <f aca="false">-charge!E93</f>
        <v>-0</v>
      </c>
      <c r="K95" s="2" t="n">
        <f aca="false">discharge!E93</f>
        <v>0</v>
      </c>
      <c r="L95" s="2" t="n">
        <f aca="false">soc!E93/investment!$E$4 *100</f>
        <v>56.3724281196982</v>
      </c>
    </row>
    <row r="96" customFormat="false" ht="13.8" hidden="false" customHeight="false" outlineLevel="0" collapsed="false">
      <c r="B96" s="11" t="n">
        <f aca="false">_xlfn.NUMBERVALUE(solar!B93)</f>
        <v>0</v>
      </c>
      <c r="C96" s="12" t="n">
        <f aca="false">solar!C93</f>
        <v>0</v>
      </c>
      <c r="D96" s="6" t="n">
        <v>92</v>
      </c>
      <c r="E96" s="17" t="n">
        <f aca="false">IFERROR(INDEX($B$5:$C$173, MATCH($D96, $B$5:$B$175, 0), 2), 0)*investment!$C$4</f>
        <v>0</v>
      </c>
      <c r="F96" s="18" t="n">
        <f aca="false">demand!E94</f>
        <v>0</v>
      </c>
      <c r="G96" s="2" t="n">
        <f aca="false">solgen!E94</f>
        <v>0</v>
      </c>
      <c r="H96" s="2" t="n">
        <f aca="false">import!E94</f>
        <v>0</v>
      </c>
      <c r="I96" s="2" t="n">
        <f aca="false">-export!E94</f>
        <v>-0</v>
      </c>
      <c r="J96" s="2" t="n">
        <f aca="false">-charge!E94</f>
        <v>-0</v>
      </c>
      <c r="K96" s="2" t="n">
        <f aca="false">discharge!E94</f>
        <v>0</v>
      </c>
      <c r="L96" s="2" t="n">
        <f aca="false">soc!E94/investment!$E$4 *100</f>
        <v>54.7359689227711</v>
      </c>
    </row>
    <row r="97" customFormat="false" ht="13.8" hidden="false" customHeight="false" outlineLevel="0" collapsed="false">
      <c r="B97" s="11" t="n">
        <f aca="false">_xlfn.NUMBERVALUE(solar!B94)</f>
        <v>0</v>
      </c>
      <c r="C97" s="12" t="n">
        <f aca="false">solar!C94</f>
        <v>0</v>
      </c>
      <c r="D97" s="6" t="n">
        <v>93</v>
      </c>
      <c r="E97" s="17" t="n">
        <f aca="false">IFERROR(INDEX($B$5:$C$173, MATCH($D97, $B$5:$B$175, 0), 2), 0)*investment!$C$4</f>
        <v>0</v>
      </c>
      <c r="F97" s="18" t="n">
        <f aca="false">demand!E95</f>
        <v>0</v>
      </c>
      <c r="G97" s="2" t="n">
        <f aca="false">solgen!E95</f>
        <v>0</v>
      </c>
      <c r="H97" s="2" t="n">
        <f aca="false">import!E95</f>
        <v>0</v>
      </c>
      <c r="I97" s="2" t="n">
        <f aca="false">-export!E95</f>
        <v>-0</v>
      </c>
      <c r="J97" s="2" t="n">
        <f aca="false">-charge!E95</f>
        <v>-0</v>
      </c>
      <c r="K97" s="2" t="n">
        <f aca="false">discharge!E95</f>
        <v>0</v>
      </c>
      <c r="L97" s="2" t="n">
        <f aca="false">soc!E95/investment!$E$4 *100</f>
        <v>53.9740201658049</v>
      </c>
    </row>
    <row r="98" customFormat="false" ht="13.8" hidden="false" customHeight="false" outlineLevel="0" collapsed="false">
      <c r="B98" s="11" t="n">
        <f aca="false">_xlfn.NUMBERVALUE(solar!B95)</f>
        <v>0</v>
      </c>
      <c r="C98" s="12" t="n">
        <f aca="false">solar!C95</f>
        <v>0</v>
      </c>
      <c r="D98" s="6" t="n">
        <v>94</v>
      </c>
      <c r="E98" s="17" t="n">
        <f aca="false">IFERROR(INDEX($B$5:$C$173, MATCH($D98, $B$5:$B$175, 0), 2), 0)*investment!$C$4</f>
        <v>0</v>
      </c>
      <c r="F98" s="18" t="n">
        <f aca="false">demand!E96</f>
        <v>0</v>
      </c>
      <c r="G98" s="2" t="n">
        <f aca="false">solgen!E96</f>
        <v>0</v>
      </c>
      <c r="H98" s="2" t="n">
        <f aca="false">import!E96</f>
        <v>0</v>
      </c>
      <c r="I98" s="2" t="n">
        <f aca="false">-export!E96</f>
        <v>-0</v>
      </c>
      <c r="J98" s="2" t="n">
        <f aca="false">-charge!E96</f>
        <v>-0</v>
      </c>
      <c r="K98" s="2" t="n">
        <f aca="false">discharge!E96</f>
        <v>0</v>
      </c>
      <c r="L98" s="2" t="n">
        <f aca="false">soc!E96/investment!$E$4 *100</f>
        <v>51.9529438401913</v>
      </c>
    </row>
    <row r="99" customFormat="false" ht="13.8" hidden="false" customHeight="false" outlineLevel="0" collapsed="false">
      <c r="B99" s="11" t="n">
        <f aca="false">_xlfn.NUMBERVALUE(solar!B96)</f>
        <v>0</v>
      </c>
      <c r="C99" s="12" t="n">
        <f aca="false">solar!C96</f>
        <v>0</v>
      </c>
      <c r="D99" s="6" t="n">
        <v>95</v>
      </c>
      <c r="E99" s="17" t="n">
        <f aca="false">IFERROR(INDEX($B$5:$C$173, MATCH($D99, $B$5:$B$175, 0), 2), 0)*investment!$C$4</f>
        <v>0</v>
      </c>
      <c r="F99" s="18" t="n">
        <f aca="false">demand!E97</f>
        <v>0</v>
      </c>
      <c r="G99" s="2" t="n">
        <f aca="false">solgen!E97</f>
        <v>0</v>
      </c>
      <c r="H99" s="2" t="n">
        <f aca="false">import!E97</f>
        <v>0</v>
      </c>
      <c r="I99" s="2" t="n">
        <f aca="false">-export!E97</f>
        <v>-0</v>
      </c>
      <c r="J99" s="2" t="n">
        <f aca="false">-charge!E97</f>
        <v>-0</v>
      </c>
      <c r="K99" s="2" t="n">
        <f aca="false">discharge!E97</f>
        <v>0</v>
      </c>
      <c r="L99" s="2" t="n">
        <f aca="false">soc!E97/investment!$E$4 *100</f>
        <v>51.3732989951785</v>
      </c>
    </row>
    <row r="100" customFormat="false" ht="13.8" hidden="false" customHeight="false" outlineLevel="0" collapsed="false">
      <c r="B100" s="11" t="n">
        <f aca="false">_xlfn.NUMBERVALUE(solar!B97)</f>
        <v>0</v>
      </c>
      <c r="C100" s="12" t="n">
        <f aca="false">solar!C97</f>
        <v>0</v>
      </c>
      <c r="D100" s="6" t="n">
        <v>96</v>
      </c>
      <c r="E100" s="17" t="n">
        <f aca="false">IFERROR(INDEX($B$5:$C$173, MATCH($D100, $B$5:$B$175, 0), 2), 0)*investment!$C$4</f>
        <v>0</v>
      </c>
      <c r="F100" s="18" t="n">
        <f aca="false">demand!E98</f>
        <v>0</v>
      </c>
      <c r="G100" s="2" t="n">
        <f aca="false">solgen!E98</f>
        <v>0</v>
      </c>
      <c r="H100" s="2" t="n">
        <f aca="false">import!E98</f>
        <v>0</v>
      </c>
      <c r="I100" s="2" t="n">
        <f aca="false">-export!E98</f>
        <v>-0</v>
      </c>
      <c r="J100" s="2" t="n">
        <f aca="false">-charge!E98</f>
        <v>-0</v>
      </c>
      <c r="K100" s="2" t="n">
        <f aca="false">discharge!E98</f>
        <v>0</v>
      </c>
      <c r="L100" s="2" t="n">
        <f aca="false">soc!E98/investment!$E$4 *100</f>
        <v>50.8714738655494</v>
      </c>
    </row>
    <row r="101" customFormat="false" ht="13.8" hidden="false" customHeight="false" outlineLevel="0" collapsed="false">
      <c r="B101" s="11" t="n">
        <f aca="false">_xlfn.NUMBERVALUE(solar!B98)</f>
        <v>0</v>
      </c>
      <c r="C101" s="12" t="n">
        <f aca="false">solar!C98</f>
        <v>0</v>
      </c>
      <c r="D101" s="6" t="n">
        <v>97</v>
      </c>
      <c r="E101" s="17" t="n">
        <f aca="false">IFERROR(INDEX($B$5:$C$173, MATCH($D101, $B$5:$B$175, 0), 2), 0)*investment!$C$4</f>
        <v>0</v>
      </c>
      <c r="F101" s="18" t="n">
        <f aca="false">demand!E99</f>
        <v>0</v>
      </c>
      <c r="G101" s="2" t="n">
        <f aca="false">solgen!E99</f>
        <v>0</v>
      </c>
      <c r="H101" s="2" t="n">
        <f aca="false">import!E99</f>
        <v>0</v>
      </c>
      <c r="I101" s="2" t="n">
        <f aca="false">-export!E99</f>
        <v>-0</v>
      </c>
      <c r="J101" s="2" t="n">
        <f aca="false">-charge!E99</f>
        <v>-0</v>
      </c>
      <c r="K101" s="2" t="n">
        <f aca="false">discharge!E99</f>
        <v>0</v>
      </c>
      <c r="L101" s="2" t="n">
        <f aca="false">soc!E99/investment!$E$4 *100</f>
        <v>50.2490625695343</v>
      </c>
    </row>
    <row r="102" customFormat="false" ht="13.8" hidden="false" customHeight="false" outlineLevel="0" collapsed="false">
      <c r="B102" s="11" t="n">
        <f aca="false">_xlfn.NUMBERVALUE(solar!B99)</f>
        <v>0</v>
      </c>
      <c r="C102" s="12" t="n">
        <f aca="false">solar!C99</f>
        <v>0</v>
      </c>
      <c r="D102" s="6" t="n">
        <v>98</v>
      </c>
      <c r="E102" s="17" t="n">
        <f aca="false">IFERROR(INDEX($B$5:$C$173, MATCH($D102, $B$5:$B$175, 0), 2), 0)*investment!$C$4</f>
        <v>0</v>
      </c>
      <c r="F102" s="18" t="n">
        <f aca="false">demand!E100</f>
        <v>0</v>
      </c>
      <c r="G102" s="2" t="n">
        <f aca="false">solgen!E100</f>
        <v>0</v>
      </c>
      <c r="H102" s="2" t="n">
        <f aca="false">import!E100</f>
        <v>0</v>
      </c>
      <c r="I102" s="2" t="n">
        <f aca="false">-export!E100</f>
        <v>-0</v>
      </c>
      <c r="J102" s="2" t="n">
        <f aca="false">-charge!E100</f>
        <v>-0</v>
      </c>
      <c r="K102" s="2" t="n">
        <f aca="false">discharge!E100</f>
        <v>0</v>
      </c>
      <c r="L102" s="2" t="n">
        <f aca="false">soc!E100/investment!$E$4 *100</f>
        <v>48.4070360527788</v>
      </c>
    </row>
    <row r="103" customFormat="false" ht="13.8" hidden="false" customHeight="false" outlineLevel="0" collapsed="false">
      <c r="B103" s="11" t="n">
        <f aca="false">_xlfn.NUMBERVALUE(solar!B100)</f>
        <v>0</v>
      </c>
      <c r="C103" s="12" t="n">
        <f aca="false">solar!C100</f>
        <v>0</v>
      </c>
      <c r="D103" s="6" t="n">
        <v>99</v>
      </c>
      <c r="E103" s="17" t="n">
        <f aca="false">IFERROR(INDEX($B$5:$C$173, MATCH($D103, $B$5:$B$175, 0), 2), 0)*investment!$C$4</f>
        <v>0</v>
      </c>
      <c r="F103" s="18" t="n">
        <f aca="false">demand!E101</f>
        <v>0</v>
      </c>
      <c r="G103" s="2" t="n">
        <f aca="false">solgen!E101</f>
        <v>0</v>
      </c>
      <c r="H103" s="2" t="n">
        <f aca="false">import!E101</f>
        <v>0</v>
      </c>
      <c r="I103" s="2" t="n">
        <f aca="false">-export!E101</f>
        <v>-0</v>
      </c>
      <c r="J103" s="2" t="n">
        <f aca="false">-charge!E101</f>
        <v>-0</v>
      </c>
      <c r="K103" s="2" t="n">
        <f aca="false">discharge!E101</f>
        <v>0</v>
      </c>
      <c r="L103" s="2" t="n">
        <f aca="false">soc!E101/investment!$E$4 *100</f>
        <v>46.7937072345835</v>
      </c>
    </row>
    <row r="104" customFormat="false" ht="13.8" hidden="false" customHeight="false" outlineLevel="0" collapsed="false">
      <c r="B104" s="11" t="n">
        <f aca="false">_xlfn.NUMBERVALUE(solar!B101)</f>
        <v>0</v>
      </c>
      <c r="C104" s="12" t="n">
        <f aca="false">solar!C101</f>
        <v>0</v>
      </c>
      <c r="D104" s="6" t="n">
        <v>100</v>
      </c>
      <c r="E104" s="17" t="n">
        <f aca="false">IFERROR(INDEX($B$5:$C$173, MATCH($D104, $B$5:$B$175, 0), 2), 0)*investment!$C$4</f>
        <v>0</v>
      </c>
      <c r="F104" s="18" t="n">
        <f aca="false">demand!E102</f>
        <v>0</v>
      </c>
      <c r="G104" s="2" t="n">
        <f aca="false">solgen!E102</f>
        <v>0</v>
      </c>
      <c r="H104" s="2" t="n">
        <f aca="false">import!E102</f>
        <v>0</v>
      </c>
      <c r="I104" s="2" t="n">
        <f aca="false">-export!E102</f>
        <v>-0</v>
      </c>
      <c r="J104" s="2" t="n">
        <f aca="false">-charge!E102</f>
        <v>-0</v>
      </c>
      <c r="K104" s="2" t="n">
        <f aca="false">discharge!E102</f>
        <v>0</v>
      </c>
      <c r="L104" s="2" t="n">
        <f aca="false">soc!E102/investment!$E$4 *100</f>
        <v>44.2455014053371</v>
      </c>
    </row>
    <row r="105" customFormat="false" ht="13.8" hidden="false" customHeight="false" outlineLevel="0" collapsed="false">
      <c r="B105" s="11" t="n">
        <f aca="false">_xlfn.NUMBERVALUE(solar!B102)</f>
        <v>0</v>
      </c>
      <c r="C105" s="12" t="n">
        <f aca="false">solar!C102</f>
        <v>0</v>
      </c>
      <c r="D105" s="6" t="n">
        <v>101</v>
      </c>
      <c r="E105" s="17" t="n">
        <f aca="false">IFERROR(INDEX($B$5:$C$173, MATCH($D105, $B$5:$B$175, 0), 2), 0)*investment!$C$4</f>
        <v>0</v>
      </c>
      <c r="F105" s="18" t="n">
        <f aca="false">demand!E103</f>
        <v>0</v>
      </c>
      <c r="G105" s="2" t="n">
        <f aca="false">solgen!E103</f>
        <v>0</v>
      </c>
      <c r="H105" s="2" t="n">
        <f aca="false">import!E103</f>
        <v>0</v>
      </c>
      <c r="I105" s="2" t="n">
        <f aca="false">-export!E103</f>
        <v>-0</v>
      </c>
      <c r="J105" s="2" t="n">
        <f aca="false">-charge!E103</f>
        <v>-0</v>
      </c>
      <c r="K105" s="2" t="n">
        <f aca="false">discharge!E103</f>
        <v>0</v>
      </c>
      <c r="L105" s="2" t="n">
        <f aca="false">soc!E103/investment!$E$4 *100</f>
        <v>42.0824620401923</v>
      </c>
    </row>
    <row r="106" customFormat="false" ht="13.8" hidden="false" customHeight="false" outlineLevel="0" collapsed="false">
      <c r="B106" s="11" t="n">
        <f aca="false">_xlfn.NUMBERVALUE(solar!B103)</f>
        <v>0</v>
      </c>
      <c r="C106" s="12" t="n">
        <f aca="false">solar!C103</f>
        <v>0</v>
      </c>
      <c r="D106" s="6" t="n">
        <v>102</v>
      </c>
      <c r="E106" s="17" t="n">
        <f aca="false">IFERROR(INDEX($B$5:$C$173, MATCH($D106, $B$5:$B$175, 0), 2), 0)*investment!$C$4</f>
        <v>0</v>
      </c>
      <c r="F106" s="18" t="n">
        <f aca="false">demand!E104</f>
        <v>0</v>
      </c>
      <c r="G106" s="2" t="n">
        <f aca="false">solgen!E104</f>
        <v>0</v>
      </c>
      <c r="H106" s="2" t="n">
        <f aca="false">import!E104</f>
        <v>0</v>
      </c>
      <c r="I106" s="2" t="n">
        <f aca="false">-export!E104</f>
        <v>-0</v>
      </c>
      <c r="J106" s="2" t="n">
        <f aca="false">-charge!E104</f>
        <v>-0</v>
      </c>
      <c r="K106" s="2" t="n">
        <f aca="false">discharge!E104</f>
        <v>0</v>
      </c>
      <c r="L106" s="2" t="n">
        <f aca="false">soc!E104/investment!$E$4 *100</f>
        <v>40.0066092151482</v>
      </c>
    </row>
    <row r="107" customFormat="false" ht="13.8" hidden="false" customHeight="false" outlineLevel="0" collapsed="false">
      <c r="B107" s="11" t="n">
        <f aca="false">_xlfn.NUMBERVALUE(solar!B104)</f>
        <v>0</v>
      </c>
      <c r="C107" s="12" t="n">
        <f aca="false">solar!C104</f>
        <v>0</v>
      </c>
      <c r="D107" s="6" t="n">
        <v>103</v>
      </c>
      <c r="E107" s="17" t="n">
        <f aca="false">IFERROR(INDEX($B$5:$C$173, MATCH($D107, $B$5:$B$175, 0), 2), 0)*investment!$C$4</f>
        <v>0</v>
      </c>
      <c r="F107" s="18" t="n">
        <f aca="false">demand!E105</f>
        <v>0</v>
      </c>
      <c r="G107" s="2" t="n">
        <f aca="false">solgen!E105</f>
        <v>0</v>
      </c>
      <c r="H107" s="2" t="n">
        <f aca="false">import!E105</f>
        <v>0</v>
      </c>
      <c r="I107" s="2" t="n">
        <f aca="false">-export!E105</f>
        <v>-0</v>
      </c>
      <c r="J107" s="2" t="n">
        <f aca="false">-charge!E105</f>
        <v>-0</v>
      </c>
      <c r="K107" s="2" t="n">
        <f aca="false">discharge!E105</f>
        <v>0</v>
      </c>
      <c r="L107" s="2" t="n">
        <f aca="false">soc!E105/investment!$E$4 *100</f>
        <v>37.4594221536044</v>
      </c>
    </row>
    <row r="108" customFormat="false" ht="13.8" hidden="false" customHeight="false" outlineLevel="0" collapsed="false">
      <c r="B108" s="11" t="n">
        <f aca="false">_xlfn.NUMBERVALUE(solar!B105)</f>
        <v>0</v>
      </c>
      <c r="C108" s="12" t="n">
        <f aca="false">solar!C105</f>
        <v>0</v>
      </c>
      <c r="D108" s="6" t="n">
        <v>104</v>
      </c>
      <c r="E108" s="17" t="n">
        <f aca="false">IFERROR(INDEX($B$5:$C$173, MATCH($D108, $B$5:$B$175, 0), 2), 0)*investment!$C$4</f>
        <v>0</v>
      </c>
      <c r="F108" s="18" t="n">
        <f aca="false">demand!E106</f>
        <v>0</v>
      </c>
      <c r="G108" s="2" t="n">
        <f aca="false">solgen!E106</f>
        <v>0</v>
      </c>
      <c r="H108" s="2" t="n">
        <f aca="false">import!E106</f>
        <v>0</v>
      </c>
      <c r="I108" s="2" t="n">
        <f aca="false">-export!E106</f>
        <v>-0</v>
      </c>
      <c r="J108" s="2" t="n">
        <f aca="false">-charge!E106</f>
        <v>-0</v>
      </c>
      <c r="K108" s="2" t="n">
        <f aca="false">discharge!E106</f>
        <v>0</v>
      </c>
      <c r="L108" s="2" t="n">
        <f aca="false">soc!E106/investment!$E$4 *100</f>
        <v>35.4602689585717</v>
      </c>
    </row>
    <row r="109" customFormat="false" ht="13.8" hidden="false" customHeight="false" outlineLevel="0" collapsed="false">
      <c r="B109" s="11" t="n">
        <f aca="false">_xlfn.NUMBERVALUE(solar!B106)</f>
        <v>0</v>
      </c>
      <c r="C109" s="12" t="n">
        <f aca="false">solar!C106</f>
        <v>0</v>
      </c>
      <c r="D109" s="6" t="n">
        <v>105</v>
      </c>
      <c r="E109" s="17" t="n">
        <f aca="false">IFERROR(INDEX($B$5:$C$173, MATCH($D109, $B$5:$B$175, 0), 2), 0)*investment!$C$4</f>
        <v>0</v>
      </c>
      <c r="F109" s="18" t="n">
        <f aca="false">demand!E107</f>
        <v>0</v>
      </c>
      <c r="G109" s="2" t="n">
        <f aca="false">solgen!E107</f>
        <v>0</v>
      </c>
      <c r="H109" s="2" t="n">
        <f aca="false">import!E107</f>
        <v>0</v>
      </c>
      <c r="I109" s="2" t="n">
        <f aca="false">-export!E107</f>
        <v>-0</v>
      </c>
      <c r="J109" s="2" t="n">
        <f aca="false">-charge!E107</f>
        <v>-0</v>
      </c>
      <c r="K109" s="2" t="n">
        <f aca="false">discharge!E107</f>
        <v>0</v>
      </c>
      <c r="L109" s="2" t="n">
        <f aca="false">soc!E107/investment!$E$4 *100</f>
        <v>33.29708024738</v>
      </c>
    </row>
    <row r="110" customFormat="false" ht="13.8" hidden="false" customHeight="false" outlineLevel="0" collapsed="false">
      <c r="B110" s="11" t="n">
        <f aca="false">_xlfn.NUMBERVALUE(solar!B107)</f>
        <v>0</v>
      </c>
      <c r="C110" s="12" t="n">
        <f aca="false">solar!C107</f>
        <v>0</v>
      </c>
      <c r="D110" s="6" t="n">
        <v>106</v>
      </c>
      <c r="E110" s="17" t="n">
        <f aca="false">IFERROR(INDEX($B$5:$C$173, MATCH($D110, $B$5:$B$175, 0), 2), 0)*investment!$C$4</f>
        <v>0</v>
      </c>
      <c r="F110" s="18" t="n">
        <f aca="false">demand!E108</f>
        <v>0</v>
      </c>
      <c r="G110" s="2" t="n">
        <f aca="false">solgen!E108</f>
        <v>0</v>
      </c>
      <c r="H110" s="2" t="n">
        <f aca="false">import!E108</f>
        <v>0</v>
      </c>
      <c r="I110" s="2" t="n">
        <f aca="false">-export!E108</f>
        <v>-0</v>
      </c>
      <c r="J110" s="2" t="n">
        <f aca="false">-charge!E108</f>
        <v>-0</v>
      </c>
      <c r="K110" s="2" t="n">
        <f aca="false">discharge!E108</f>
        <v>0</v>
      </c>
      <c r="L110" s="2" t="n">
        <f aca="false">soc!E108/investment!$E$4 *100</f>
        <v>31.2717973992995</v>
      </c>
    </row>
    <row r="111" customFormat="false" ht="13.8" hidden="false" customHeight="false" outlineLevel="0" collapsed="false">
      <c r="B111" s="11" t="n">
        <f aca="false">_xlfn.NUMBERVALUE(solar!B108)</f>
        <v>0</v>
      </c>
      <c r="C111" s="12" t="n">
        <f aca="false">solar!C108</f>
        <v>0</v>
      </c>
      <c r="D111" s="6" t="n">
        <v>107</v>
      </c>
      <c r="E111" s="17" t="n">
        <f aca="false">IFERROR(INDEX($B$5:$C$173, MATCH($D111, $B$5:$B$175, 0), 2), 0)*investment!$C$4</f>
        <v>0</v>
      </c>
      <c r="F111" s="18" t="n">
        <f aca="false">demand!E109</f>
        <v>0</v>
      </c>
      <c r="G111" s="2" t="n">
        <f aca="false">solgen!E109</f>
        <v>0</v>
      </c>
      <c r="H111" s="2" t="n">
        <f aca="false">import!E109</f>
        <v>0</v>
      </c>
      <c r="I111" s="2" t="n">
        <f aca="false">-export!E109</f>
        <v>-0</v>
      </c>
      <c r="J111" s="2" t="n">
        <f aca="false">-charge!E109</f>
        <v>-0</v>
      </c>
      <c r="K111" s="2" t="n">
        <f aca="false">discharge!E109</f>
        <v>0</v>
      </c>
      <c r="L111" s="2" t="n">
        <f aca="false">soc!E109/investment!$E$4 *100</f>
        <v>28.7609191624991</v>
      </c>
    </row>
    <row r="112" customFormat="false" ht="13.8" hidden="false" customHeight="false" outlineLevel="0" collapsed="false">
      <c r="B112" s="11" t="n">
        <f aca="false">_xlfn.NUMBERVALUE(solar!B109)</f>
        <v>0</v>
      </c>
      <c r="C112" s="12" t="n">
        <f aca="false">solar!C109</f>
        <v>0</v>
      </c>
      <c r="D112" s="6" t="n">
        <v>108</v>
      </c>
      <c r="E112" s="17" t="n">
        <f aca="false">IFERROR(INDEX($B$5:$C$173, MATCH($D112, $B$5:$B$175, 0), 2), 0)*investment!$C$4</f>
        <v>0</v>
      </c>
      <c r="F112" s="18" t="n">
        <f aca="false">demand!E110</f>
        <v>0</v>
      </c>
      <c r="G112" s="2" t="n">
        <f aca="false">solgen!E110</f>
        <v>0</v>
      </c>
      <c r="H112" s="2" t="n">
        <f aca="false">import!E110</f>
        <v>0</v>
      </c>
      <c r="I112" s="2" t="n">
        <f aca="false">-export!E110</f>
        <v>-0</v>
      </c>
      <c r="J112" s="2" t="n">
        <f aca="false">-charge!E110</f>
        <v>-0</v>
      </c>
      <c r="K112" s="2" t="n">
        <f aca="false">discharge!E110</f>
        <v>0</v>
      </c>
      <c r="L112" s="2" t="n">
        <f aca="false">soc!E110/investment!$E$4 *100</f>
        <v>26.7041291513869</v>
      </c>
    </row>
    <row r="113" customFormat="false" ht="13.8" hidden="false" customHeight="false" outlineLevel="0" collapsed="false">
      <c r="B113" s="11" t="n">
        <f aca="false">_xlfn.NUMBERVALUE(solar!B110)</f>
        <v>0</v>
      </c>
      <c r="C113" s="12" t="n">
        <f aca="false">solar!C110</f>
        <v>0</v>
      </c>
      <c r="D113" s="6" t="n">
        <v>109</v>
      </c>
      <c r="E113" s="17" t="n">
        <f aca="false">IFERROR(INDEX($B$5:$C$173, MATCH($D113, $B$5:$B$175, 0), 2), 0)*investment!$C$4</f>
        <v>0</v>
      </c>
      <c r="F113" s="18" t="n">
        <f aca="false">demand!E111</f>
        <v>0</v>
      </c>
      <c r="G113" s="2" t="n">
        <f aca="false">solgen!E111</f>
        <v>0</v>
      </c>
      <c r="H113" s="2" t="n">
        <f aca="false">import!E111</f>
        <v>0</v>
      </c>
      <c r="I113" s="2" t="n">
        <f aca="false">-export!E111</f>
        <v>-0</v>
      </c>
      <c r="J113" s="2" t="n">
        <f aca="false">-charge!E111</f>
        <v>-0</v>
      </c>
      <c r="K113" s="2" t="n">
        <f aca="false">discharge!E111</f>
        <v>0</v>
      </c>
      <c r="L113" s="2" t="n">
        <f aca="false">soc!E111/investment!$E$4 *100</f>
        <v>24.3412226097042</v>
      </c>
    </row>
    <row r="114" customFormat="false" ht="13.8" hidden="false" customHeight="false" outlineLevel="0" collapsed="false">
      <c r="B114" s="11" t="n">
        <f aca="false">_xlfn.NUMBERVALUE(solar!B111)</f>
        <v>0</v>
      </c>
      <c r="C114" s="12" t="n">
        <f aca="false">solar!C111</f>
        <v>0</v>
      </c>
      <c r="D114" s="6" t="n">
        <v>110</v>
      </c>
      <c r="E114" s="17" t="n">
        <f aca="false">IFERROR(INDEX($B$5:$C$173, MATCH($D114, $B$5:$B$175, 0), 2), 0)*investment!$C$4</f>
        <v>0</v>
      </c>
      <c r="F114" s="18" t="n">
        <f aca="false">demand!E112</f>
        <v>0</v>
      </c>
      <c r="G114" s="2" t="n">
        <f aca="false">solgen!E112</f>
        <v>0</v>
      </c>
      <c r="H114" s="2" t="n">
        <f aca="false">import!E112</f>
        <v>0</v>
      </c>
      <c r="I114" s="2" t="n">
        <f aca="false">-export!E112</f>
        <v>-0</v>
      </c>
      <c r="J114" s="2" t="n">
        <f aca="false">-charge!E112</f>
        <v>-0</v>
      </c>
      <c r="K114" s="2" t="n">
        <f aca="false">discharge!E112</f>
        <v>0</v>
      </c>
      <c r="L114" s="2" t="n">
        <f aca="false">soc!E112/investment!$E$4 *100</f>
        <v>22.0711160425518</v>
      </c>
    </row>
    <row r="115" customFormat="false" ht="13.8" hidden="false" customHeight="false" outlineLevel="0" collapsed="false">
      <c r="B115" s="11" t="n">
        <f aca="false">_xlfn.NUMBERVALUE(solar!B112)</f>
        <v>0</v>
      </c>
      <c r="C115" s="12" t="n">
        <f aca="false">solar!C112</f>
        <v>0</v>
      </c>
      <c r="D115" s="6" t="n">
        <v>111</v>
      </c>
      <c r="E115" s="17" t="n">
        <f aca="false">IFERROR(INDEX($B$5:$C$173, MATCH($D115, $B$5:$B$175, 0), 2), 0)*investment!$C$4</f>
        <v>0</v>
      </c>
      <c r="F115" s="18" t="n">
        <f aca="false">demand!E113</f>
        <v>0</v>
      </c>
      <c r="G115" s="2" t="n">
        <f aca="false">solgen!E113</f>
        <v>0</v>
      </c>
      <c r="H115" s="2" t="n">
        <f aca="false">import!E113</f>
        <v>0</v>
      </c>
      <c r="I115" s="2" t="n">
        <f aca="false">-export!E113</f>
        <v>-0</v>
      </c>
      <c r="J115" s="2" t="n">
        <f aca="false">-charge!E113</f>
        <v>-0</v>
      </c>
      <c r="K115" s="2" t="n">
        <f aca="false">discharge!E113</f>
        <v>0</v>
      </c>
      <c r="L115" s="2" t="n">
        <f aca="false">soc!E113/investment!$E$4 *100</f>
        <v>19.9763026101105</v>
      </c>
    </row>
    <row r="116" customFormat="false" ht="13.8" hidden="false" customHeight="false" outlineLevel="0" collapsed="false">
      <c r="B116" s="11" t="n">
        <f aca="false">_xlfn.NUMBERVALUE(solar!B113)</f>
        <v>0</v>
      </c>
      <c r="C116" s="12" t="n">
        <f aca="false">solar!C113</f>
        <v>0</v>
      </c>
      <c r="D116" s="6" t="n">
        <v>112</v>
      </c>
      <c r="E116" s="17" t="n">
        <f aca="false">IFERROR(INDEX($B$5:$C$173, MATCH($D116, $B$5:$B$175, 0), 2), 0)*investment!$C$4</f>
        <v>0</v>
      </c>
      <c r="F116" s="18" t="n">
        <f aca="false">demand!E114</f>
        <v>0</v>
      </c>
      <c r="G116" s="2" t="n">
        <f aca="false">solgen!E114</f>
        <v>0</v>
      </c>
      <c r="H116" s="2" t="n">
        <f aca="false">import!E114</f>
        <v>0</v>
      </c>
      <c r="I116" s="2" t="n">
        <f aca="false">-export!E114</f>
        <v>-0</v>
      </c>
      <c r="J116" s="2" t="n">
        <f aca="false">-charge!E114</f>
        <v>-0</v>
      </c>
      <c r="K116" s="2" t="n">
        <f aca="false">discharge!E114</f>
        <v>0</v>
      </c>
      <c r="L116" s="2" t="n">
        <f aca="false">soc!E114/investment!$E$4 *100</f>
        <v>17.5751376985054</v>
      </c>
    </row>
    <row r="117" customFormat="false" ht="13.8" hidden="false" customHeight="false" outlineLevel="0" collapsed="false">
      <c r="B117" s="11" t="n">
        <f aca="false">_xlfn.NUMBERVALUE(solar!B114)</f>
        <v>0</v>
      </c>
      <c r="C117" s="12" t="n">
        <f aca="false">solar!C114</f>
        <v>0</v>
      </c>
      <c r="D117" s="6" t="n">
        <v>113</v>
      </c>
      <c r="E117" s="17" t="n">
        <f aca="false">IFERROR(INDEX($B$5:$C$173, MATCH($D117, $B$5:$B$175, 0), 2), 0)*investment!$C$4</f>
        <v>0</v>
      </c>
      <c r="F117" s="18" t="n">
        <f aca="false">demand!E115</f>
        <v>0</v>
      </c>
      <c r="G117" s="2" t="n">
        <f aca="false">solgen!E115</f>
        <v>0</v>
      </c>
      <c r="H117" s="2" t="n">
        <f aca="false">import!E115</f>
        <v>0</v>
      </c>
      <c r="I117" s="2" t="n">
        <f aca="false">-export!E115</f>
        <v>-0</v>
      </c>
      <c r="J117" s="2" t="n">
        <f aca="false">-charge!E115</f>
        <v>-0</v>
      </c>
      <c r="K117" s="2" t="n">
        <f aca="false">discharge!E115</f>
        <v>0</v>
      </c>
      <c r="L117" s="2" t="n">
        <f aca="false">soc!E115/investment!$E$4 *100</f>
        <v>15.5628654172649</v>
      </c>
    </row>
    <row r="118" customFormat="false" ht="13.8" hidden="false" customHeight="false" outlineLevel="0" collapsed="false">
      <c r="B118" s="11" t="n">
        <f aca="false">_xlfn.NUMBERVALUE(solar!B115)</f>
        <v>0</v>
      </c>
      <c r="C118" s="12" t="n">
        <f aca="false">solar!C115</f>
        <v>0</v>
      </c>
      <c r="D118" s="6" t="n">
        <v>114</v>
      </c>
      <c r="E118" s="17" t="n">
        <f aca="false">IFERROR(INDEX($B$5:$C$173, MATCH($D118, $B$5:$B$175, 0), 2), 0)*investment!$C$4</f>
        <v>0</v>
      </c>
      <c r="F118" s="18" t="n">
        <f aca="false">demand!E116</f>
        <v>0</v>
      </c>
      <c r="G118" s="2" t="n">
        <f aca="false">solgen!E116</f>
        <v>0</v>
      </c>
      <c r="H118" s="2" t="n">
        <f aca="false">import!E116</f>
        <v>0</v>
      </c>
      <c r="I118" s="2" t="n">
        <f aca="false">-export!E116</f>
        <v>-0</v>
      </c>
      <c r="J118" s="2" t="n">
        <f aca="false">-charge!E116</f>
        <v>-0</v>
      </c>
      <c r="K118" s="2" t="n">
        <f aca="false">discharge!E116</f>
        <v>0</v>
      </c>
      <c r="L118" s="2" t="n">
        <f aca="false">soc!E116/investment!$E$4 *100</f>
        <v>13.1993706114472</v>
      </c>
    </row>
    <row r="119" customFormat="false" ht="13.8" hidden="false" customHeight="false" outlineLevel="0" collapsed="false">
      <c r="B119" s="11" t="n">
        <f aca="false">_xlfn.NUMBERVALUE(solar!B116)</f>
        <v>0</v>
      </c>
      <c r="C119" s="12" t="n">
        <f aca="false">solar!C116</f>
        <v>0</v>
      </c>
      <c r="D119" s="6" t="n">
        <v>115</v>
      </c>
      <c r="E119" s="17" t="n">
        <f aca="false">IFERROR(INDEX($B$5:$C$173, MATCH($D119, $B$5:$B$175, 0), 2), 0)*investment!$C$4</f>
        <v>0</v>
      </c>
      <c r="F119" s="18" t="n">
        <f aca="false">demand!E117</f>
        <v>0</v>
      </c>
      <c r="G119" s="2" t="n">
        <f aca="false">solgen!E117</f>
        <v>0</v>
      </c>
      <c r="H119" s="2" t="n">
        <f aca="false">import!E117</f>
        <v>0</v>
      </c>
      <c r="I119" s="2" t="n">
        <f aca="false">-export!E117</f>
        <v>-0</v>
      </c>
      <c r="J119" s="2" t="n">
        <f aca="false">-charge!E117</f>
        <v>-0</v>
      </c>
      <c r="K119" s="2" t="n">
        <f aca="false">discharge!E117</f>
        <v>0</v>
      </c>
      <c r="L119" s="2" t="n">
        <f aca="false">soc!E117/investment!$E$4 *100</f>
        <v>10.9651325914951</v>
      </c>
    </row>
    <row r="120" customFormat="false" ht="13.8" hidden="false" customHeight="false" outlineLevel="0" collapsed="false">
      <c r="B120" s="11" t="n">
        <f aca="false">_xlfn.NUMBERVALUE(solar!B117)</f>
        <v>0</v>
      </c>
      <c r="C120" s="12" t="n">
        <f aca="false">solar!C117</f>
        <v>0</v>
      </c>
      <c r="D120" s="6" t="n">
        <v>116</v>
      </c>
      <c r="E120" s="17" t="n">
        <f aca="false">IFERROR(INDEX($B$5:$C$173, MATCH($D120, $B$5:$B$175, 0), 2), 0)*investment!$C$4</f>
        <v>0</v>
      </c>
      <c r="F120" s="18" t="n">
        <f aca="false">demand!E118</f>
        <v>0</v>
      </c>
      <c r="G120" s="2" t="n">
        <f aca="false">solgen!E118</f>
        <v>0</v>
      </c>
      <c r="H120" s="2" t="n">
        <f aca="false">import!E118</f>
        <v>0</v>
      </c>
      <c r="I120" s="2" t="n">
        <f aca="false">-export!E118</f>
        <v>-0</v>
      </c>
      <c r="J120" s="2" t="n">
        <f aca="false">-charge!E118</f>
        <v>-0</v>
      </c>
      <c r="K120" s="2" t="n">
        <f aca="false">discharge!E118</f>
        <v>0</v>
      </c>
      <c r="L120" s="2" t="n">
        <f aca="false">soc!E118/investment!$E$4 *100</f>
        <v>9.199468528002</v>
      </c>
    </row>
    <row r="121" customFormat="false" ht="13.8" hidden="false" customHeight="false" outlineLevel="0" collapsed="false">
      <c r="B121" s="11" t="n">
        <f aca="false">_xlfn.NUMBERVALUE(solar!B118)</f>
        <v>0</v>
      </c>
      <c r="C121" s="12" t="n">
        <f aca="false">solar!C118</f>
        <v>0</v>
      </c>
      <c r="D121" s="6" t="n">
        <v>117</v>
      </c>
      <c r="E121" s="17" t="n">
        <f aca="false">IFERROR(INDEX($B$5:$C$173, MATCH($D121, $B$5:$B$175, 0), 2), 0)*investment!$C$4</f>
        <v>0</v>
      </c>
      <c r="F121" s="18" t="n">
        <f aca="false">demand!E119</f>
        <v>0</v>
      </c>
      <c r="G121" s="2" t="n">
        <f aca="false">solgen!E119</f>
        <v>0</v>
      </c>
      <c r="H121" s="2" t="n">
        <f aca="false">import!E119</f>
        <v>0</v>
      </c>
      <c r="I121" s="2" t="n">
        <f aca="false">-export!E119</f>
        <v>-0</v>
      </c>
      <c r="J121" s="2" t="n">
        <f aca="false">-charge!E119</f>
        <v>-0</v>
      </c>
      <c r="K121" s="2" t="n">
        <f aca="false">discharge!E119</f>
        <v>0</v>
      </c>
      <c r="L121" s="2" t="n">
        <f aca="false">soc!E119/investment!$E$4 *100</f>
        <v>6.5920637579644</v>
      </c>
    </row>
    <row r="122" customFormat="false" ht="13.8" hidden="false" customHeight="false" outlineLevel="0" collapsed="false">
      <c r="B122" s="11" t="n">
        <f aca="false">_xlfn.NUMBERVALUE(solar!B119)</f>
        <v>0</v>
      </c>
      <c r="C122" s="12" t="n">
        <f aca="false">solar!C119</f>
        <v>0</v>
      </c>
      <c r="D122" s="6" t="n">
        <v>118</v>
      </c>
      <c r="E122" s="17" t="n">
        <f aca="false">IFERROR(INDEX($B$5:$C$173, MATCH($D122, $B$5:$B$175, 0), 2), 0)*investment!$C$4</f>
        <v>0</v>
      </c>
      <c r="F122" s="18" t="n">
        <f aca="false">demand!E120</f>
        <v>0</v>
      </c>
      <c r="G122" s="2" t="n">
        <f aca="false">solgen!E120</f>
        <v>0</v>
      </c>
      <c r="H122" s="2" t="n">
        <f aca="false">import!E120</f>
        <v>0</v>
      </c>
      <c r="I122" s="2" t="n">
        <f aca="false">-export!E120</f>
        <v>-0</v>
      </c>
      <c r="J122" s="2" t="n">
        <f aca="false">-charge!E120</f>
        <v>-0</v>
      </c>
      <c r="K122" s="2" t="n">
        <f aca="false">discharge!E120</f>
        <v>0</v>
      </c>
      <c r="L122" s="2" t="n">
        <f aca="false">soc!E120/investment!$E$4 *100</f>
        <v>4.97574556364844</v>
      </c>
    </row>
    <row r="123" customFormat="false" ht="13.8" hidden="false" customHeight="false" outlineLevel="0" collapsed="false">
      <c r="B123" s="11" t="n">
        <f aca="false">_xlfn.NUMBERVALUE(solar!B120)</f>
        <v>0</v>
      </c>
      <c r="C123" s="12" t="n">
        <f aca="false">solar!C120</f>
        <v>0</v>
      </c>
      <c r="D123" s="6" t="n">
        <v>119</v>
      </c>
      <c r="E123" s="17" t="n">
        <f aca="false">IFERROR(INDEX($B$5:$C$173, MATCH($D123, $B$5:$B$175, 0), 2), 0)*investment!$C$4</f>
        <v>0</v>
      </c>
      <c r="F123" s="18" t="n">
        <f aca="false">demand!E121</f>
        <v>0</v>
      </c>
      <c r="G123" s="2" t="n">
        <f aca="false">solgen!E121</f>
        <v>0</v>
      </c>
      <c r="H123" s="2" t="n">
        <f aca="false">import!E121</f>
        <v>0</v>
      </c>
      <c r="I123" s="2" t="n">
        <f aca="false">-export!E121</f>
        <v>-0</v>
      </c>
      <c r="J123" s="2" t="n">
        <f aca="false">-charge!E121</f>
        <v>-0</v>
      </c>
      <c r="K123" s="2" t="n">
        <f aca="false">discharge!E121</f>
        <v>0</v>
      </c>
      <c r="L123" s="2" t="n">
        <f aca="false">soc!E121/investment!$E$4 *100</f>
        <v>3.01916122163057</v>
      </c>
    </row>
    <row r="124" customFormat="false" ht="13.8" hidden="false" customHeight="false" outlineLevel="0" collapsed="false">
      <c r="B124" s="11" t="n">
        <f aca="false">_xlfn.NUMBERVALUE(solar!B121)</f>
        <v>0</v>
      </c>
      <c r="C124" s="12" t="n">
        <f aca="false">solar!C121</f>
        <v>0</v>
      </c>
      <c r="D124" s="6" t="n">
        <v>120</v>
      </c>
      <c r="E124" s="17" t="n">
        <f aca="false">IFERROR(INDEX($B$5:$C$173, MATCH($D124, $B$5:$B$175, 0), 2), 0)*investment!$C$4</f>
        <v>0</v>
      </c>
      <c r="F124" s="18" t="n">
        <f aca="false">demand!E122</f>
        <v>0</v>
      </c>
      <c r="G124" s="2" t="n">
        <f aca="false">solgen!E122</f>
        <v>0</v>
      </c>
      <c r="H124" s="2" t="n">
        <f aca="false">import!E122</f>
        <v>0</v>
      </c>
      <c r="I124" s="2" t="n">
        <f aca="false">-export!E122</f>
        <v>-0</v>
      </c>
      <c r="J124" s="2" t="n">
        <f aca="false">-charge!E122</f>
        <v>-0</v>
      </c>
      <c r="K124" s="2" t="n">
        <f aca="false">discharge!E122</f>
        <v>0</v>
      </c>
      <c r="L124" s="2" t="n">
        <f aca="false">soc!E122/investment!$E$4 *100</f>
        <v>0.582096478975254</v>
      </c>
    </row>
    <row r="125" customFormat="false" ht="13.8" hidden="false" customHeight="false" outlineLevel="0" collapsed="false">
      <c r="B125" s="11" t="n">
        <f aca="false">_xlfn.NUMBERVALUE(solar!B122)</f>
        <v>0</v>
      </c>
      <c r="C125" s="12" t="n">
        <f aca="false">solar!C122</f>
        <v>0</v>
      </c>
      <c r="D125" s="6" t="n">
        <v>121</v>
      </c>
      <c r="E125" s="17" t="n">
        <f aca="false">IFERROR(INDEX($B$5:$C$173, MATCH($D125, $B$5:$B$175, 0), 2), 0)*investment!$C$4</f>
        <v>0</v>
      </c>
      <c r="F125" s="18" t="n">
        <f aca="false">demand!E123</f>
        <v>0</v>
      </c>
      <c r="G125" s="2" t="n">
        <f aca="false">solgen!E123</f>
        <v>0</v>
      </c>
      <c r="H125" s="2" t="n">
        <f aca="false">import!E123</f>
        <v>0</v>
      </c>
      <c r="I125" s="2" t="n">
        <f aca="false">-export!E123</f>
        <v>-0</v>
      </c>
      <c r="J125" s="2" t="n">
        <f aca="false">-charge!E123</f>
        <v>-0</v>
      </c>
      <c r="K125" s="2" t="n">
        <f aca="false">discharge!E123</f>
        <v>0</v>
      </c>
      <c r="L125" s="2" t="n">
        <f aca="false">soc!E123/investment!$E$4 *100</f>
        <v>0.6283796380919</v>
      </c>
    </row>
    <row r="126" customFormat="false" ht="13.8" hidden="false" customHeight="false" outlineLevel="0" collapsed="false">
      <c r="B126" s="11" t="n">
        <f aca="false">_xlfn.NUMBERVALUE(solar!B123)</f>
        <v>0</v>
      </c>
      <c r="C126" s="12" t="n">
        <f aca="false">solar!C123</f>
        <v>0</v>
      </c>
      <c r="D126" s="6" t="n">
        <v>122</v>
      </c>
      <c r="E126" s="17" t="n">
        <f aca="false">IFERROR(INDEX($B$5:$C$173, MATCH($D126, $B$5:$B$175, 0), 2), 0)*investment!$C$4</f>
        <v>0</v>
      </c>
      <c r="F126" s="18" t="n">
        <f aca="false">demand!E124</f>
        <v>0</v>
      </c>
      <c r="G126" s="2" t="n">
        <f aca="false">solgen!E124</f>
        <v>0</v>
      </c>
      <c r="H126" s="2" t="n">
        <f aca="false">import!E124</f>
        <v>0</v>
      </c>
      <c r="I126" s="2" t="n">
        <f aca="false">-export!E124</f>
        <v>-0</v>
      </c>
      <c r="J126" s="2" t="n">
        <f aca="false">-charge!E124</f>
        <v>-0</v>
      </c>
      <c r="K126" s="2" t="n">
        <f aca="false">discharge!E124</f>
        <v>0</v>
      </c>
      <c r="L126" s="2" t="n">
        <f aca="false">soc!E124/investment!$E$4 *100</f>
        <v>0</v>
      </c>
    </row>
    <row r="127" customFormat="false" ht="13.8" hidden="false" customHeight="false" outlineLevel="0" collapsed="false">
      <c r="B127" s="11" t="n">
        <f aca="false">_xlfn.NUMBERVALUE(solar!B124)</f>
        <v>0</v>
      </c>
      <c r="C127" s="12" t="n">
        <f aca="false">solar!C124</f>
        <v>0</v>
      </c>
      <c r="D127" s="6" t="n">
        <v>123</v>
      </c>
      <c r="E127" s="17" t="n">
        <f aca="false">IFERROR(INDEX($B$5:$C$173, MATCH($D127, $B$5:$B$175, 0), 2), 0)*investment!$C$4</f>
        <v>0</v>
      </c>
      <c r="F127" s="18" t="n">
        <f aca="false">demand!E125</f>
        <v>0</v>
      </c>
      <c r="G127" s="2" t="n">
        <f aca="false">solgen!E125</f>
        <v>0</v>
      </c>
      <c r="H127" s="2" t="n">
        <f aca="false">import!E125</f>
        <v>0</v>
      </c>
      <c r="I127" s="2" t="n">
        <f aca="false">-export!E125</f>
        <v>-0</v>
      </c>
      <c r="J127" s="2" t="n">
        <f aca="false">-charge!E125</f>
        <v>-0</v>
      </c>
      <c r="K127" s="2" t="n">
        <f aca="false">discharge!E125</f>
        <v>0</v>
      </c>
      <c r="L127" s="2" t="n">
        <f aca="false">soc!E125/investment!$E$4 *100</f>
        <v>0</v>
      </c>
    </row>
    <row r="128" customFormat="false" ht="13.8" hidden="false" customHeight="false" outlineLevel="0" collapsed="false">
      <c r="B128" s="11" t="n">
        <f aca="false">_xlfn.NUMBERVALUE(solar!B125)</f>
        <v>0</v>
      </c>
      <c r="C128" s="12" t="n">
        <f aca="false">solar!C125</f>
        <v>0</v>
      </c>
      <c r="D128" s="6" t="n">
        <v>124</v>
      </c>
      <c r="E128" s="17" t="n">
        <f aca="false">IFERROR(INDEX($B$5:$C$173, MATCH($D128, $B$5:$B$175, 0), 2), 0)*investment!$C$4</f>
        <v>0</v>
      </c>
      <c r="F128" s="18" t="n">
        <f aca="false">demand!E126</f>
        <v>0</v>
      </c>
      <c r="G128" s="2" t="n">
        <f aca="false">solgen!E126</f>
        <v>0</v>
      </c>
      <c r="H128" s="2" t="n">
        <f aca="false">import!E126</f>
        <v>0</v>
      </c>
      <c r="I128" s="2" t="n">
        <f aca="false">-export!E126</f>
        <v>-0</v>
      </c>
      <c r="J128" s="2" t="n">
        <f aca="false">-charge!E126</f>
        <v>-0</v>
      </c>
      <c r="K128" s="2" t="n">
        <f aca="false">discharge!E126</f>
        <v>0</v>
      </c>
      <c r="L128" s="2" t="n">
        <f aca="false">soc!E126/investment!$E$4 *100</f>
        <v>0</v>
      </c>
    </row>
    <row r="129" customFormat="false" ht="13.8" hidden="false" customHeight="false" outlineLevel="0" collapsed="false">
      <c r="B129" s="11" t="n">
        <f aca="false">_xlfn.NUMBERVALUE(solar!B126)</f>
        <v>0</v>
      </c>
      <c r="C129" s="12" t="n">
        <f aca="false">solar!C126</f>
        <v>0</v>
      </c>
      <c r="D129" s="6" t="n">
        <v>125</v>
      </c>
      <c r="E129" s="17" t="n">
        <f aca="false">IFERROR(INDEX($B$5:$C$173, MATCH($D129, $B$5:$B$175, 0), 2), 0)*investment!$C$4</f>
        <v>0</v>
      </c>
      <c r="F129" s="18" t="n">
        <f aca="false">demand!E127</f>
        <v>0</v>
      </c>
      <c r="G129" s="2" t="n">
        <f aca="false">solgen!E127</f>
        <v>0</v>
      </c>
      <c r="H129" s="2" t="n">
        <f aca="false">import!E127</f>
        <v>0</v>
      </c>
      <c r="I129" s="2" t="n">
        <f aca="false">-export!E127</f>
        <v>-0</v>
      </c>
      <c r="J129" s="2" t="n">
        <f aca="false">-charge!E127</f>
        <v>-0</v>
      </c>
      <c r="K129" s="2" t="n">
        <f aca="false">discharge!E127</f>
        <v>0</v>
      </c>
      <c r="L129" s="2" t="n">
        <f aca="false">soc!E127/investment!$E$4 *100</f>
        <v>0</v>
      </c>
    </row>
    <row r="130" customFormat="false" ht="13.8" hidden="false" customHeight="false" outlineLevel="0" collapsed="false">
      <c r="B130" s="11" t="n">
        <f aca="false">_xlfn.NUMBERVALUE(solar!B127)</f>
        <v>0</v>
      </c>
      <c r="C130" s="12" t="n">
        <f aca="false">solar!C127</f>
        <v>0</v>
      </c>
      <c r="D130" s="6" t="n">
        <v>126</v>
      </c>
      <c r="E130" s="17" t="n">
        <f aca="false">IFERROR(INDEX($B$5:$C$173, MATCH($D130, $B$5:$B$175, 0), 2), 0)*investment!$C$4</f>
        <v>0</v>
      </c>
      <c r="F130" s="18" t="n">
        <f aca="false">demand!E128</f>
        <v>0</v>
      </c>
      <c r="G130" s="2" t="n">
        <f aca="false">solgen!E128</f>
        <v>0</v>
      </c>
      <c r="H130" s="2" t="n">
        <f aca="false">import!E128</f>
        <v>0</v>
      </c>
      <c r="I130" s="2" t="n">
        <f aca="false">-export!E128</f>
        <v>-0</v>
      </c>
      <c r="J130" s="2" t="n">
        <f aca="false">-charge!E128</f>
        <v>-0</v>
      </c>
      <c r="K130" s="2" t="n">
        <f aca="false">discharge!E128</f>
        <v>0</v>
      </c>
      <c r="L130" s="2" t="n">
        <f aca="false">soc!E128/investment!$E$4 *100</f>
        <v>0</v>
      </c>
    </row>
    <row r="131" customFormat="false" ht="13.8" hidden="false" customHeight="false" outlineLevel="0" collapsed="false">
      <c r="B131" s="11" t="n">
        <f aca="false">_xlfn.NUMBERVALUE(solar!B128)</f>
        <v>0</v>
      </c>
      <c r="C131" s="12" t="n">
        <f aca="false">solar!C128</f>
        <v>0</v>
      </c>
      <c r="D131" s="6" t="n">
        <v>127</v>
      </c>
      <c r="E131" s="17" t="n">
        <f aca="false">IFERROR(INDEX($B$5:$C$173, MATCH($D131, $B$5:$B$175, 0), 2), 0)*investment!$C$4</f>
        <v>0</v>
      </c>
      <c r="F131" s="18" t="n">
        <f aca="false">demand!E129</f>
        <v>0</v>
      </c>
      <c r="G131" s="2" t="n">
        <f aca="false">solgen!E129</f>
        <v>0</v>
      </c>
      <c r="H131" s="2" t="n">
        <f aca="false">import!E129</f>
        <v>0</v>
      </c>
      <c r="I131" s="2" t="n">
        <f aca="false">-export!E129</f>
        <v>-0</v>
      </c>
      <c r="J131" s="2" t="n">
        <f aca="false">-charge!E129</f>
        <v>-0</v>
      </c>
      <c r="K131" s="2" t="n">
        <f aca="false">discharge!E129</f>
        <v>0</v>
      </c>
      <c r="L131" s="2" t="n">
        <f aca="false">soc!E129/investment!$E$4 *100</f>
        <v>0</v>
      </c>
    </row>
    <row r="132" customFormat="false" ht="13.8" hidden="false" customHeight="false" outlineLevel="0" collapsed="false">
      <c r="B132" s="11" t="n">
        <f aca="false">_xlfn.NUMBERVALUE(solar!B129)</f>
        <v>0</v>
      </c>
      <c r="C132" s="12" t="n">
        <f aca="false">solar!C129</f>
        <v>0</v>
      </c>
      <c r="D132" s="6" t="n">
        <v>128</v>
      </c>
      <c r="E132" s="17" t="n">
        <f aca="false">IFERROR(INDEX($B$5:$C$173, MATCH($D132, $B$5:$B$175, 0), 2), 0)*investment!$C$4</f>
        <v>0</v>
      </c>
      <c r="F132" s="18" t="n">
        <f aca="false">demand!E130</f>
        <v>0</v>
      </c>
      <c r="G132" s="2" t="n">
        <f aca="false">solgen!E130</f>
        <v>0</v>
      </c>
      <c r="H132" s="2" t="n">
        <f aca="false">import!E130</f>
        <v>0</v>
      </c>
      <c r="I132" s="2" t="n">
        <f aca="false">-export!E130</f>
        <v>-0</v>
      </c>
      <c r="J132" s="2" t="n">
        <f aca="false">-charge!E130</f>
        <v>-0</v>
      </c>
      <c r="K132" s="2" t="n">
        <f aca="false">discharge!E130</f>
        <v>0</v>
      </c>
      <c r="L132" s="2" t="n">
        <f aca="false">soc!E130/investment!$E$4 *100</f>
        <v>0</v>
      </c>
    </row>
    <row r="133" customFormat="false" ht="13.8" hidden="false" customHeight="false" outlineLevel="0" collapsed="false">
      <c r="B133" s="11" t="n">
        <f aca="false">_xlfn.NUMBERVALUE(solar!B130)</f>
        <v>0</v>
      </c>
      <c r="C133" s="12" t="n">
        <f aca="false">solar!C130</f>
        <v>0</v>
      </c>
      <c r="D133" s="6" t="n">
        <v>129</v>
      </c>
      <c r="E133" s="17" t="n">
        <f aca="false">IFERROR(INDEX($B$5:$C$173, MATCH($D133, $B$5:$B$175, 0), 2), 0)*investment!$C$4</f>
        <v>0</v>
      </c>
      <c r="F133" s="18" t="n">
        <f aca="false">demand!E131</f>
        <v>0</v>
      </c>
      <c r="G133" s="2" t="n">
        <f aca="false">solgen!E131</f>
        <v>0</v>
      </c>
      <c r="H133" s="2" t="n">
        <f aca="false">import!E131</f>
        <v>0</v>
      </c>
      <c r="I133" s="2" t="n">
        <f aca="false">-export!E131</f>
        <v>-0</v>
      </c>
      <c r="J133" s="2" t="n">
        <f aca="false">-charge!E131</f>
        <v>-0</v>
      </c>
      <c r="K133" s="2" t="n">
        <f aca="false">discharge!E131</f>
        <v>0</v>
      </c>
      <c r="L133" s="2" t="n">
        <f aca="false">soc!E131/investment!$E$4 *100</f>
        <v>0</v>
      </c>
    </row>
    <row r="134" customFormat="false" ht="13.8" hidden="false" customHeight="false" outlineLevel="0" collapsed="false">
      <c r="B134" s="11" t="n">
        <f aca="false">_xlfn.NUMBERVALUE(solar!B131)</f>
        <v>0</v>
      </c>
      <c r="C134" s="12" t="n">
        <f aca="false">solar!C131</f>
        <v>0</v>
      </c>
      <c r="D134" s="6" t="n">
        <v>130</v>
      </c>
      <c r="E134" s="17" t="n">
        <f aca="false">IFERROR(INDEX($B$5:$C$173, MATCH($D134, $B$5:$B$175, 0), 2), 0)*investment!$C$4</f>
        <v>0</v>
      </c>
      <c r="F134" s="18" t="n">
        <f aca="false">demand!E132</f>
        <v>0</v>
      </c>
      <c r="G134" s="2" t="n">
        <f aca="false">solgen!E132</f>
        <v>0</v>
      </c>
      <c r="H134" s="2" t="n">
        <f aca="false">import!E132</f>
        <v>0</v>
      </c>
      <c r="I134" s="2" t="n">
        <f aca="false">-export!E132</f>
        <v>-0</v>
      </c>
      <c r="J134" s="2" t="n">
        <f aca="false">-charge!E132</f>
        <v>-0</v>
      </c>
      <c r="K134" s="2" t="n">
        <f aca="false">discharge!E132</f>
        <v>0</v>
      </c>
      <c r="L134" s="2" t="n">
        <f aca="false">soc!E132/investment!$E$4 *100</f>
        <v>0</v>
      </c>
    </row>
    <row r="135" customFormat="false" ht="13.8" hidden="false" customHeight="false" outlineLevel="0" collapsed="false">
      <c r="B135" s="11" t="n">
        <f aca="false">_xlfn.NUMBERVALUE(solar!B132)</f>
        <v>0</v>
      </c>
      <c r="C135" s="12" t="n">
        <f aca="false">solar!C132</f>
        <v>0</v>
      </c>
      <c r="D135" s="6" t="n">
        <v>131</v>
      </c>
      <c r="E135" s="17" t="n">
        <f aca="false">IFERROR(INDEX($B$5:$C$173, MATCH($D135, $B$5:$B$175, 0), 2), 0)*investment!$C$4</f>
        <v>0</v>
      </c>
      <c r="F135" s="18" t="n">
        <f aca="false">demand!E133</f>
        <v>0</v>
      </c>
      <c r="G135" s="2" t="n">
        <f aca="false">solgen!E133</f>
        <v>0</v>
      </c>
      <c r="H135" s="2" t="n">
        <f aca="false">import!E133</f>
        <v>0</v>
      </c>
      <c r="I135" s="2" t="n">
        <f aca="false">-export!E133</f>
        <v>-0</v>
      </c>
      <c r="J135" s="2" t="n">
        <f aca="false">-charge!E133</f>
        <v>-0</v>
      </c>
      <c r="K135" s="2" t="n">
        <f aca="false">discharge!E133</f>
        <v>0</v>
      </c>
      <c r="L135" s="2" t="n">
        <f aca="false">soc!E133/investment!$E$4 *100</f>
        <v>0</v>
      </c>
    </row>
    <row r="136" customFormat="false" ht="13.8" hidden="false" customHeight="false" outlineLevel="0" collapsed="false">
      <c r="B136" s="11" t="n">
        <f aca="false">_xlfn.NUMBERVALUE(solar!B133)</f>
        <v>0</v>
      </c>
      <c r="C136" s="12" t="n">
        <f aca="false">solar!C133</f>
        <v>0</v>
      </c>
      <c r="D136" s="6" t="n">
        <v>132</v>
      </c>
      <c r="E136" s="17" t="n">
        <f aca="false">IFERROR(INDEX($B$5:$C$173, MATCH($D136, $B$5:$B$175, 0), 2), 0)*investment!$C$4</f>
        <v>0</v>
      </c>
      <c r="F136" s="18" t="n">
        <f aca="false">demand!E134</f>
        <v>0</v>
      </c>
      <c r="G136" s="2" t="n">
        <f aca="false">solgen!E134</f>
        <v>0</v>
      </c>
      <c r="H136" s="2" t="n">
        <f aca="false">import!E134</f>
        <v>0</v>
      </c>
      <c r="I136" s="2" t="n">
        <f aca="false">-export!E134</f>
        <v>-0</v>
      </c>
      <c r="J136" s="2" t="n">
        <f aca="false">-charge!E134</f>
        <v>-0</v>
      </c>
      <c r="K136" s="2" t="n">
        <f aca="false">discharge!E134</f>
        <v>0</v>
      </c>
      <c r="L136" s="2" t="n">
        <f aca="false">soc!E134/investment!$E$4 *100</f>
        <v>0</v>
      </c>
    </row>
    <row r="137" customFormat="false" ht="13.8" hidden="false" customHeight="false" outlineLevel="0" collapsed="false">
      <c r="B137" s="11" t="n">
        <f aca="false">_xlfn.NUMBERVALUE(solar!B134)</f>
        <v>0</v>
      </c>
      <c r="C137" s="12" t="n">
        <f aca="false">solar!C134</f>
        <v>0</v>
      </c>
      <c r="D137" s="6" t="n">
        <v>133</v>
      </c>
      <c r="E137" s="17" t="n">
        <f aca="false">IFERROR(INDEX($B$5:$C$173, MATCH($D137, $B$5:$B$175, 0), 2), 0)*investment!$C$4</f>
        <v>0</v>
      </c>
      <c r="F137" s="18" t="n">
        <f aca="false">demand!E135</f>
        <v>0</v>
      </c>
      <c r="G137" s="2" t="n">
        <f aca="false">solgen!E135</f>
        <v>0</v>
      </c>
      <c r="H137" s="2" t="n">
        <f aca="false">import!E135</f>
        <v>0</v>
      </c>
      <c r="I137" s="2" t="n">
        <f aca="false">-export!E135</f>
        <v>-0</v>
      </c>
      <c r="J137" s="2" t="n">
        <f aca="false">-charge!E135</f>
        <v>-0</v>
      </c>
      <c r="K137" s="2" t="n">
        <f aca="false">discharge!E135</f>
        <v>0</v>
      </c>
      <c r="L137" s="2" t="n">
        <f aca="false">soc!E135/investment!$E$4 *100</f>
        <v>0</v>
      </c>
    </row>
    <row r="138" customFormat="false" ht="13.8" hidden="false" customHeight="false" outlineLevel="0" collapsed="false">
      <c r="B138" s="11" t="n">
        <f aca="false">_xlfn.NUMBERVALUE(solar!B135)</f>
        <v>0</v>
      </c>
      <c r="C138" s="12" t="n">
        <f aca="false">solar!C135</f>
        <v>0</v>
      </c>
      <c r="D138" s="6" t="n">
        <v>134</v>
      </c>
      <c r="E138" s="17" t="n">
        <f aca="false">IFERROR(INDEX($B$5:$C$173, MATCH($D138, $B$5:$B$175, 0), 2), 0)*investment!$C$4</f>
        <v>0</v>
      </c>
      <c r="F138" s="18" t="n">
        <f aca="false">demand!E136</f>
        <v>0</v>
      </c>
      <c r="G138" s="2" t="n">
        <f aca="false">solgen!E136</f>
        <v>0</v>
      </c>
      <c r="H138" s="2" t="n">
        <f aca="false">import!E136</f>
        <v>0</v>
      </c>
      <c r="I138" s="2" t="n">
        <f aca="false">-export!E136</f>
        <v>-0</v>
      </c>
      <c r="J138" s="2" t="n">
        <f aca="false">-charge!E136</f>
        <v>-0</v>
      </c>
      <c r="K138" s="2" t="n">
        <f aca="false">discharge!E136</f>
        <v>0</v>
      </c>
      <c r="L138" s="2" t="n">
        <f aca="false">soc!E136/investment!$E$4 *100</f>
        <v>0</v>
      </c>
    </row>
    <row r="139" customFormat="false" ht="13.8" hidden="false" customHeight="false" outlineLevel="0" collapsed="false">
      <c r="B139" s="11" t="n">
        <f aca="false">_xlfn.NUMBERVALUE(solar!B136)</f>
        <v>0</v>
      </c>
      <c r="C139" s="12" t="n">
        <f aca="false">solar!C136</f>
        <v>0</v>
      </c>
      <c r="D139" s="6" t="n">
        <v>135</v>
      </c>
      <c r="E139" s="17" t="n">
        <f aca="false">IFERROR(INDEX($B$5:$C$173, MATCH($D139, $B$5:$B$175, 0), 2), 0)*investment!$C$4</f>
        <v>0</v>
      </c>
      <c r="F139" s="18" t="n">
        <f aca="false">demand!E137</f>
        <v>0</v>
      </c>
      <c r="G139" s="2" t="n">
        <f aca="false">solgen!E137</f>
        <v>0</v>
      </c>
      <c r="H139" s="2" t="n">
        <f aca="false">import!E137</f>
        <v>0</v>
      </c>
      <c r="I139" s="2" t="n">
        <f aca="false">-export!E137</f>
        <v>-0</v>
      </c>
      <c r="J139" s="2" t="n">
        <f aca="false">-charge!E137</f>
        <v>-0</v>
      </c>
      <c r="K139" s="2" t="n">
        <f aca="false">discharge!E137</f>
        <v>0</v>
      </c>
      <c r="L139" s="2" t="n">
        <f aca="false">soc!E137/investment!$E$4 *100</f>
        <v>1.60925763339666E-007</v>
      </c>
    </row>
    <row r="140" customFormat="false" ht="13.8" hidden="false" customHeight="false" outlineLevel="0" collapsed="false">
      <c r="B140" s="11" t="n">
        <f aca="false">_xlfn.NUMBERVALUE(solar!B137)</f>
        <v>0</v>
      </c>
      <c r="C140" s="12" t="n">
        <f aca="false">solar!C137</f>
        <v>0</v>
      </c>
      <c r="D140" s="6" t="n">
        <v>136</v>
      </c>
      <c r="E140" s="17" t="n">
        <f aca="false">IFERROR(INDEX($B$5:$C$173, MATCH($D140, $B$5:$B$175, 0), 2), 0)*investment!$C$4</f>
        <v>0</v>
      </c>
      <c r="F140" s="18" t="n">
        <f aca="false">demand!E138</f>
        <v>0</v>
      </c>
      <c r="G140" s="2" t="n">
        <f aca="false">solgen!E138</f>
        <v>0</v>
      </c>
      <c r="H140" s="2" t="n">
        <f aca="false">import!E138</f>
        <v>0</v>
      </c>
      <c r="I140" s="2" t="n">
        <f aca="false">-export!E138</f>
        <v>-0</v>
      </c>
      <c r="J140" s="2" t="n">
        <f aca="false">-charge!E138</f>
        <v>-0</v>
      </c>
      <c r="K140" s="2" t="n">
        <f aca="false">discharge!E138</f>
        <v>0</v>
      </c>
      <c r="L140" s="2" t="n">
        <f aca="false">soc!E138/investment!$E$4 *100</f>
        <v>1.24857444270195E-008</v>
      </c>
    </row>
    <row r="141" customFormat="false" ht="13.8" hidden="false" customHeight="false" outlineLevel="0" collapsed="false">
      <c r="B141" s="11" t="n">
        <f aca="false">_xlfn.NUMBERVALUE(solar!B138)</f>
        <v>0</v>
      </c>
      <c r="C141" s="12" t="n">
        <f aca="false">solar!C138</f>
        <v>0</v>
      </c>
      <c r="D141" s="6" t="n">
        <v>137</v>
      </c>
      <c r="E141" s="17" t="n">
        <f aca="false">IFERROR(INDEX($B$5:$C$173, MATCH($D141, $B$5:$B$175, 0), 2), 0)*investment!$C$4</f>
        <v>0</v>
      </c>
      <c r="F141" s="18" t="n">
        <f aca="false">demand!E139</f>
        <v>0</v>
      </c>
      <c r="G141" s="2" t="n">
        <f aca="false">solgen!E139</f>
        <v>0</v>
      </c>
      <c r="H141" s="2" t="n">
        <f aca="false">import!E139</f>
        <v>0</v>
      </c>
      <c r="I141" s="2" t="n">
        <f aca="false">-export!E139</f>
        <v>-0</v>
      </c>
      <c r="J141" s="2" t="n">
        <f aca="false">-charge!E139</f>
        <v>-0</v>
      </c>
      <c r="K141" s="2" t="n">
        <f aca="false">discharge!E139</f>
        <v>0</v>
      </c>
      <c r="L141" s="2" t="n">
        <f aca="false">soc!E139/investment!$E$4 *100</f>
        <v>0</v>
      </c>
    </row>
    <row r="142" customFormat="false" ht="13.8" hidden="false" customHeight="false" outlineLevel="0" collapsed="false">
      <c r="B142" s="11" t="n">
        <f aca="false">_xlfn.NUMBERVALUE(solar!B139)</f>
        <v>0</v>
      </c>
      <c r="C142" s="12" t="n">
        <f aca="false">solar!C139</f>
        <v>0</v>
      </c>
      <c r="D142" s="6" t="n">
        <v>138</v>
      </c>
      <c r="E142" s="17" t="n">
        <f aca="false">IFERROR(INDEX($B$5:$C$173, MATCH($D142, $B$5:$B$175, 0), 2), 0)*investment!$C$4</f>
        <v>0</v>
      </c>
      <c r="F142" s="18" t="n">
        <f aca="false">demand!E140</f>
        <v>0</v>
      </c>
      <c r="G142" s="2" t="n">
        <f aca="false">solgen!E140</f>
        <v>0</v>
      </c>
      <c r="H142" s="2" t="n">
        <f aca="false">import!E140</f>
        <v>0</v>
      </c>
      <c r="I142" s="2" t="n">
        <f aca="false">-export!E140</f>
        <v>-0</v>
      </c>
      <c r="J142" s="2" t="n">
        <f aca="false">-charge!E140</f>
        <v>-0</v>
      </c>
      <c r="K142" s="2" t="n">
        <f aca="false">discharge!E140</f>
        <v>0</v>
      </c>
      <c r="L142" s="2" t="n">
        <f aca="false">soc!E140/investment!$E$4 *100</f>
        <v>0</v>
      </c>
    </row>
    <row r="143" customFormat="false" ht="13.8" hidden="false" customHeight="false" outlineLevel="0" collapsed="false">
      <c r="B143" s="11" t="n">
        <f aca="false">_xlfn.NUMBERVALUE(solar!B140)</f>
        <v>0</v>
      </c>
      <c r="C143" s="12" t="n">
        <f aca="false">solar!C140</f>
        <v>0</v>
      </c>
      <c r="D143" s="6" t="n">
        <v>139</v>
      </c>
      <c r="E143" s="17" t="n">
        <f aca="false">IFERROR(INDEX($B$5:$C$173, MATCH($D143, $B$5:$B$175, 0), 2), 0)*investment!$C$4</f>
        <v>0</v>
      </c>
      <c r="F143" s="18" t="n">
        <f aca="false">demand!E141</f>
        <v>0</v>
      </c>
      <c r="G143" s="2" t="n">
        <f aca="false">solgen!E141</f>
        <v>0</v>
      </c>
      <c r="H143" s="2" t="n">
        <f aca="false">import!E141</f>
        <v>0</v>
      </c>
      <c r="I143" s="2" t="n">
        <f aca="false">-export!E141</f>
        <v>-0</v>
      </c>
      <c r="J143" s="2" t="n">
        <f aca="false">-charge!E141</f>
        <v>-0</v>
      </c>
      <c r="K143" s="2" t="n">
        <f aca="false">discharge!E141</f>
        <v>0</v>
      </c>
      <c r="L143" s="2" t="n">
        <f aca="false">soc!E141/investment!$E$4 *100</f>
        <v>0</v>
      </c>
    </row>
    <row r="144" customFormat="false" ht="13.8" hidden="false" customHeight="false" outlineLevel="0" collapsed="false">
      <c r="B144" s="11" t="n">
        <f aca="false">_xlfn.NUMBERVALUE(solar!B141)</f>
        <v>0</v>
      </c>
      <c r="C144" s="12" t="n">
        <f aca="false">solar!C141</f>
        <v>0</v>
      </c>
      <c r="D144" s="6" t="n">
        <v>140</v>
      </c>
      <c r="E144" s="17" t="n">
        <f aca="false">IFERROR(INDEX($B$5:$C$173, MATCH($D144, $B$5:$B$175, 0), 2), 0)*investment!$C$4</f>
        <v>0</v>
      </c>
      <c r="F144" s="18" t="n">
        <f aca="false">demand!E142</f>
        <v>0</v>
      </c>
      <c r="G144" s="2" t="n">
        <f aca="false">solgen!E142</f>
        <v>0</v>
      </c>
      <c r="H144" s="2" t="n">
        <f aca="false">import!E142</f>
        <v>0</v>
      </c>
      <c r="I144" s="2" t="n">
        <f aca="false">-export!E142</f>
        <v>-0</v>
      </c>
      <c r="J144" s="2" t="n">
        <f aca="false">-charge!E142</f>
        <v>-0</v>
      </c>
      <c r="K144" s="2" t="n">
        <f aca="false">discharge!E142</f>
        <v>0</v>
      </c>
      <c r="L144" s="2" t="n">
        <f aca="false">soc!E142/investment!$E$4 *100</f>
        <v>0</v>
      </c>
    </row>
    <row r="145" customFormat="false" ht="13.8" hidden="false" customHeight="false" outlineLevel="0" collapsed="false">
      <c r="B145" s="11" t="n">
        <f aca="false">_xlfn.NUMBERVALUE(solar!B142)</f>
        <v>0</v>
      </c>
      <c r="C145" s="12" t="n">
        <f aca="false">solar!C142</f>
        <v>0</v>
      </c>
      <c r="D145" s="6" t="n">
        <v>141</v>
      </c>
      <c r="E145" s="17" t="n">
        <f aca="false">IFERROR(INDEX($B$5:$C$173, MATCH($D145, $B$5:$B$175, 0), 2), 0)*investment!$C$4</f>
        <v>0</v>
      </c>
      <c r="F145" s="18" t="n">
        <f aca="false">demand!E143</f>
        <v>0</v>
      </c>
      <c r="G145" s="2" t="n">
        <f aca="false">solgen!E143</f>
        <v>0</v>
      </c>
      <c r="H145" s="2" t="n">
        <f aca="false">import!E143</f>
        <v>0</v>
      </c>
      <c r="I145" s="2" t="n">
        <f aca="false">-export!E143</f>
        <v>-0</v>
      </c>
      <c r="J145" s="2" t="n">
        <f aca="false">-charge!E143</f>
        <v>-0</v>
      </c>
      <c r="K145" s="2" t="n">
        <f aca="false">discharge!E143</f>
        <v>0</v>
      </c>
      <c r="L145" s="2" t="n">
        <f aca="false">soc!E143/investment!$E$4 *100</f>
        <v>0</v>
      </c>
    </row>
    <row r="146" customFormat="false" ht="13.8" hidden="false" customHeight="false" outlineLevel="0" collapsed="false">
      <c r="B146" s="11" t="n">
        <f aca="false">_xlfn.NUMBERVALUE(solar!B143)</f>
        <v>0</v>
      </c>
      <c r="C146" s="12" t="n">
        <f aca="false">solar!C143</f>
        <v>0</v>
      </c>
      <c r="D146" s="6" t="n">
        <v>142</v>
      </c>
      <c r="E146" s="17" t="n">
        <f aca="false">IFERROR(INDEX($B$5:$C$173, MATCH($D146, $B$5:$B$175, 0), 2), 0)*investment!$C$4</f>
        <v>0</v>
      </c>
      <c r="F146" s="18" t="n">
        <f aca="false">demand!E144</f>
        <v>0</v>
      </c>
      <c r="G146" s="2" t="n">
        <f aca="false">solgen!E144</f>
        <v>0</v>
      </c>
      <c r="H146" s="2" t="n">
        <f aca="false">import!E144</f>
        <v>0</v>
      </c>
      <c r="I146" s="2" t="n">
        <f aca="false">-export!E144</f>
        <v>-0</v>
      </c>
      <c r="J146" s="2" t="n">
        <f aca="false">-charge!E144</f>
        <v>-0</v>
      </c>
      <c r="K146" s="2" t="n">
        <f aca="false">discharge!E144</f>
        <v>0</v>
      </c>
      <c r="L146" s="2" t="n">
        <f aca="false">soc!E144/investment!$E$4 *100</f>
        <v>0</v>
      </c>
    </row>
    <row r="147" customFormat="false" ht="13.8" hidden="false" customHeight="false" outlineLevel="0" collapsed="false">
      <c r="B147" s="11" t="n">
        <f aca="false">_xlfn.NUMBERVALUE(solar!B144)</f>
        <v>0</v>
      </c>
      <c r="C147" s="12" t="n">
        <f aca="false">solar!C144</f>
        <v>0</v>
      </c>
      <c r="D147" s="6" t="n">
        <v>143</v>
      </c>
      <c r="E147" s="17" t="n">
        <f aca="false">IFERROR(INDEX($B$5:$C$173, MATCH($D147, $B$5:$B$175, 0), 2), 0)*investment!$C$4</f>
        <v>0</v>
      </c>
      <c r="F147" s="18" t="n">
        <f aca="false">demand!E145</f>
        <v>0</v>
      </c>
      <c r="G147" s="2" t="n">
        <f aca="false">solgen!E145</f>
        <v>0</v>
      </c>
      <c r="H147" s="2" t="n">
        <f aca="false">import!E145</f>
        <v>0</v>
      </c>
      <c r="I147" s="2" t="n">
        <f aca="false">-export!E145</f>
        <v>-0</v>
      </c>
      <c r="J147" s="2" t="n">
        <f aca="false">-charge!E145</f>
        <v>-0</v>
      </c>
      <c r="K147" s="2" t="n">
        <f aca="false">discharge!E145</f>
        <v>0</v>
      </c>
      <c r="L147" s="2" t="n">
        <f aca="false">soc!E145/investment!$E$4 *100</f>
        <v>8.90607932242101</v>
      </c>
    </row>
    <row r="148" customFormat="false" ht="13.8" hidden="false" customHeight="false" outlineLevel="0" collapsed="false">
      <c r="B148" s="11" t="n">
        <f aca="false">_xlfn.NUMBERVALUE(solar!B145)</f>
        <v>0</v>
      </c>
      <c r="C148" s="12" t="n">
        <f aca="false">solar!C145</f>
        <v>0</v>
      </c>
      <c r="D148" s="6" t="n">
        <v>144</v>
      </c>
      <c r="E148" s="17" t="n">
        <f aca="false">IFERROR(INDEX($B$5:$C$173, MATCH($D148, $B$5:$B$175, 0), 2), 0)*investment!$C$4</f>
        <v>0</v>
      </c>
      <c r="F148" s="18" t="n">
        <f aca="false">demand!E146</f>
        <v>0</v>
      </c>
      <c r="G148" s="2" t="n">
        <f aca="false">solgen!E146</f>
        <v>0</v>
      </c>
      <c r="H148" s="2" t="n">
        <f aca="false">import!E146</f>
        <v>0</v>
      </c>
      <c r="I148" s="2" t="n">
        <f aca="false">-export!E146</f>
        <v>-0</v>
      </c>
      <c r="J148" s="2" t="n">
        <f aca="false">-charge!E146</f>
        <v>-0</v>
      </c>
      <c r="K148" s="2" t="n">
        <f aca="false">discharge!E146</f>
        <v>0</v>
      </c>
      <c r="L148" s="2" t="n">
        <f aca="false">soc!E146/investment!$E$4 *100</f>
        <v>8.90599026162779</v>
      </c>
    </row>
    <row r="149" customFormat="false" ht="13.8" hidden="false" customHeight="false" outlineLevel="0" collapsed="false">
      <c r="B149" s="11" t="n">
        <f aca="false">_xlfn.NUMBERVALUE(solar!B146)</f>
        <v>0</v>
      </c>
      <c r="C149" s="12" t="n">
        <f aca="false">solar!C146</f>
        <v>0</v>
      </c>
      <c r="D149" s="6" t="n">
        <v>145</v>
      </c>
      <c r="E149" s="17" t="n">
        <f aca="false">IFERROR(INDEX($B$5:$C$173, MATCH($D149, $B$5:$B$175, 0), 2), 0)*investment!$C$4</f>
        <v>0</v>
      </c>
      <c r="F149" s="18" t="n">
        <f aca="false">demand!E147</f>
        <v>0</v>
      </c>
      <c r="G149" s="2" t="n">
        <f aca="false">solgen!E147</f>
        <v>0</v>
      </c>
      <c r="H149" s="2" t="n">
        <f aca="false">import!E147</f>
        <v>0</v>
      </c>
      <c r="I149" s="2" t="n">
        <f aca="false">-export!E147</f>
        <v>-0</v>
      </c>
      <c r="J149" s="2" t="n">
        <f aca="false">-charge!E147</f>
        <v>-0</v>
      </c>
      <c r="K149" s="2" t="n">
        <f aca="false">discharge!E147</f>
        <v>0</v>
      </c>
      <c r="L149" s="2" t="n">
        <f aca="false">soc!E147/investment!$E$4 *100</f>
        <v>8.90590120172517</v>
      </c>
    </row>
    <row r="150" customFormat="false" ht="13.8" hidden="false" customHeight="false" outlineLevel="0" collapsed="false">
      <c r="B150" s="11" t="n">
        <f aca="false">_xlfn.NUMBERVALUE(solar!B147)</f>
        <v>0</v>
      </c>
      <c r="C150" s="12" t="n">
        <f aca="false">solar!C147</f>
        <v>0</v>
      </c>
      <c r="D150" s="6" t="n">
        <v>146</v>
      </c>
      <c r="E150" s="17" t="n">
        <f aca="false">IFERROR(INDEX($B$5:$C$173, MATCH($D150, $B$5:$B$175, 0), 2), 0)*investment!$C$4</f>
        <v>0</v>
      </c>
      <c r="F150" s="18" t="n">
        <f aca="false">demand!E148</f>
        <v>0</v>
      </c>
      <c r="G150" s="2" t="n">
        <f aca="false">solgen!E148</f>
        <v>0</v>
      </c>
      <c r="H150" s="2" t="n">
        <f aca="false">import!E148</f>
        <v>0</v>
      </c>
      <c r="I150" s="2" t="n">
        <f aca="false">-export!E148</f>
        <v>-0</v>
      </c>
      <c r="J150" s="2" t="n">
        <f aca="false">-charge!E148</f>
        <v>-0</v>
      </c>
      <c r="K150" s="2" t="n">
        <f aca="false">discharge!E148</f>
        <v>0</v>
      </c>
      <c r="L150" s="2" t="n">
        <f aca="false">soc!E148/investment!$E$4 *100</f>
        <v>8.90581214271315</v>
      </c>
    </row>
    <row r="151" customFormat="false" ht="13.8" hidden="false" customHeight="false" outlineLevel="0" collapsed="false">
      <c r="B151" s="11" t="n">
        <f aca="false">_xlfn.NUMBERVALUE(solar!B148)</f>
        <v>0</v>
      </c>
      <c r="C151" s="12" t="n">
        <f aca="false">solar!C148</f>
        <v>0</v>
      </c>
      <c r="D151" s="6" t="n">
        <v>147</v>
      </c>
      <c r="E151" s="17" t="n">
        <f aca="false">IFERROR(INDEX($B$5:$C$173, MATCH($D151, $B$5:$B$175, 0), 2), 0)*investment!$C$4</f>
        <v>0</v>
      </c>
      <c r="F151" s="18" t="n">
        <f aca="false">demand!E149</f>
        <v>0</v>
      </c>
      <c r="G151" s="2" t="n">
        <f aca="false">solgen!E149</f>
        <v>0</v>
      </c>
      <c r="H151" s="2" t="n">
        <f aca="false">import!E149</f>
        <v>0</v>
      </c>
      <c r="I151" s="2" t="n">
        <f aca="false">-export!E149</f>
        <v>-0</v>
      </c>
      <c r="J151" s="2" t="n">
        <f aca="false">-charge!E149</f>
        <v>-0</v>
      </c>
      <c r="K151" s="2" t="n">
        <f aca="false">discharge!E149</f>
        <v>0</v>
      </c>
      <c r="L151" s="2" t="n">
        <f aca="false">soc!E149/investment!$E$4 *100</f>
        <v>8.90572308459173</v>
      </c>
    </row>
    <row r="152" customFormat="false" ht="13.8" hidden="false" customHeight="false" outlineLevel="0" collapsed="false">
      <c r="B152" s="11" t="n">
        <f aca="false">_xlfn.NUMBERVALUE(solar!B149)</f>
        <v>0</v>
      </c>
      <c r="C152" s="12" t="n">
        <f aca="false">solar!C149</f>
        <v>0</v>
      </c>
      <c r="D152" s="6" t="n">
        <v>148</v>
      </c>
      <c r="E152" s="17" t="n">
        <f aca="false">IFERROR(INDEX($B$5:$C$173, MATCH($D152, $B$5:$B$175, 0), 2), 0)*investment!$C$4</f>
        <v>0</v>
      </c>
      <c r="F152" s="18" t="n">
        <f aca="false">demand!E150</f>
        <v>0</v>
      </c>
      <c r="G152" s="2" t="n">
        <f aca="false">solgen!E150</f>
        <v>0</v>
      </c>
      <c r="H152" s="2" t="n">
        <f aca="false">import!E150</f>
        <v>0</v>
      </c>
      <c r="I152" s="2" t="n">
        <f aca="false">-export!E150</f>
        <v>-0</v>
      </c>
      <c r="J152" s="2" t="n">
        <f aca="false">-charge!E150</f>
        <v>-0</v>
      </c>
      <c r="K152" s="2" t="n">
        <f aca="false">discharge!E150</f>
        <v>0</v>
      </c>
      <c r="L152" s="2" t="n">
        <f aca="false">soc!E150/investment!$E$4 *100</f>
        <v>8.90563402736088</v>
      </c>
    </row>
    <row r="153" customFormat="false" ht="13.8" hidden="false" customHeight="false" outlineLevel="0" collapsed="false">
      <c r="B153" s="11" t="n">
        <f aca="false">_xlfn.NUMBERVALUE(solar!B150)</f>
        <v>0</v>
      </c>
      <c r="C153" s="12" t="n">
        <f aca="false">solar!C150</f>
        <v>0</v>
      </c>
      <c r="D153" s="6" t="n">
        <v>149</v>
      </c>
      <c r="E153" s="17" t="n">
        <f aca="false">IFERROR(INDEX($B$5:$C$173, MATCH($D153, $B$5:$B$175, 0), 2), 0)*investment!$C$4</f>
        <v>0</v>
      </c>
      <c r="F153" s="18" t="n">
        <f aca="false">demand!E151</f>
        <v>0</v>
      </c>
      <c r="G153" s="2" t="n">
        <f aca="false">solgen!E151</f>
        <v>0</v>
      </c>
      <c r="H153" s="2" t="n">
        <f aca="false">import!E151</f>
        <v>0</v>
      </c>
      <c r="I153" s="2" t="n">
        <f aca="false">-export!E151</f>
        <v>-0</v>
      </c>
      <c r="J153" s="2" t="n">
        <f aca="false">-charge!E151</f>
        <v>-0</v>
      </c>
      <c r="K153" s="2" t="n">
        <f aca="false">discharge!E151</f>
        <v>0</v>
      </c>
      <c r="L153" s="2" t="n">
        <f aca="false">soc!E151/investment!$E$4 *100</f>
        <v>17.3886976733308</v>
      </c>
    </row>
    <row r="154" customFormat="false" ht="13.8" hidden="false" customHeight="false" outlineLevel="0" collapsed="false">
      <c r="B154" s="11" t="n">
        <f aca="false">_xlfn.NUMBERVALUE(solar!B151)</f>
        <v>0</v>
      </c>
      <c r="C154" s="12" t="n">
        <f aca="false">solar!C151</f>
        <v>0</v>
      </c>
      <c r="D154" s="6" t="n">
        <v>150</v>
      </c>
      <c r="E154" s="17" t="n">
        <f aca="false">IFERROR(INDEX($B$5:$C$173, MATCH($D154, $B$5:$B$175, 0), 2), 0)*investment!$C$4</f>
        <v>0</v>
      </c>
      <c r="F154" s="18" t="n">
        <f aca="false">demand!E152</f>
        <v>0</v>
      </c>
      <c r="G154" s="2" t="n">
        <f aca="false">solgen!E152</f>
        <v>0</v>
      </c>
      <c r="H154" s="2" t="n">
        <f aca="false">import!E152</f>
        <v>0</v>
      </c>
      <c r="I154" s="2" t="n">
        <f aca="false">-export!E152</f>
        <v>-0</v>
      </c>
      <c r="J154" s="2" t="n">
        <f aca="false">-charge!E152</f>
        <v>-0</v>
      </c>
      <c r="K154" s="2" t="n">
        <f aca="false">discharge!E152</f>
        <v>0</v>
      </c>
      <c r="L154" s="2" t="n">
        <f aca="false">soc!E152/investment!$E$4 *100</f>
        <v>25.4022320245786</v>
      </c>
    </row>
    <row r="155" customFormat="false" ht="13.8" hidden="false" customHeight="false" outlineLevel="0" collapsed="false">
      <c r="B155" s="11" t="n">
        <f aca="false">_xlfn.NUMBERVALUE(solar!B152)</f>
        <v>0</v>
      </c>
      <c r="C155" s="12" t="n">
        <f aca="false">solar!C152</f>
        <v>0</v>
      </c>
      <c r="D155" s="6" t="n">
        <v>151</v>
      </c>
      <c r="E155" s="17" t="n">
        <f aca="false">IFERROR(INDEX($B$5:$C$173, MATCH($D155, $B$5:$B$175, 0), 2), 0)*investment!$C$4</f>
        <v>0</v>
      </c>
      <c r="F155" s="18" t="n">
        <f aca="false">demand!E153</f>
        <v>0</v>
      </c>
      <c r="G155" s="2" t="n">
        <f aca="false">solgen!E153</f>
        <v>0</v>
      </c>
      <c r="H155" s="2" t="n">
        <f aca="false">import!E153</f>
        <v>0</v>
      </c>
      <c r="I155" s="2" t="n">
        <f aca="false">-export!E153</f>
        <v>-0</v>
      </c>
      <c r="J155" s="2" t="n">
        <f aca="false">-charge!E153</f>
        <v>-0</v>
      </c>
      <c r="K155" s="2" t="n">
        <f aca="false">discharge!E153</f>
        <v>0</v>
      </c>
      <c r="L155" s="2" t="n">
        <f aca="false">soc!E153/investment!$E$4 *100</f>
        <v>33.2415354646599</v>
      </c>
    </row>
    <row r="156" customFormat="false" ht="13.8" hidden="false" customHeight="false" outlineLevel="0" collapsed="false">
      <c r="B156" s="11" t="n">
        <f aca="false">_xlfn.NUMBERVALUE(solar!B153)</f>
        <v>0</v>
      </c>
      <c r="C156" s="12" t="n">
        <f aca="false">solar!C153</f>
        <v>0</v>
      </c>
      <c r="D156" s="6" t="n">
        <v>152</v>
      </c>
      <c r="E156" s="17" t="n">
        <f aca="false">IFERROR(INDEX($B$5:$C$173, MATCH($D156, $B$5:$B$175, 0), 2), 0)*investment!$C$4</f>
        <v>0</v>
      </c>
      <c r="F156" s="18" t="n">
        <f aca="false">demand!E154</f>
        <v>0</v>
      </c>
      <c r="G156" s="2" t="n">
        <f aca="false">solgen!E154</f>
        <v>0</v>
      </c>
      <c r="H156" s="2" t="n">
        <f aca="false">import!E154</f>
        <v>0</v>
      </c>
      <c r="I156" s="2" t="n">
        <f aca="false">-export!E154</f>
        <v>-0</v>
      </c>
      <c r="J156" s="2" t="n">
        <f aca="false">-charge!E154</f>
        <v>-0</v>
      </c>
      <c r="K156" s="2" t="n">
        <f aca="false">discharge!E154</f>
        <v>0</v>
      </c>
      <c r="L156" s="2" t="n">
        <f aca="false">soc!E154/investment!$E$4 *100</f>
        <v>40.6113183191169</v>
      </c>
    </row>
    <row r="157" customFormat="false" ht="13.8" hidden="false" customHeight="false" outlineLevel="0" collapsed="false">
      <c r="B157" s="11" t="n">
        <f aca="false">_xlfn.NUMBERVALUE(solar!B154)</f>
        <v>0</v>
      </c>
      <c r="C157" s="12" t="n">
        <f aca="false">solar!C154</f>
        <v>0</v>
      </c>
      <c r="D157" s="6" t="n">
        <v>153</v>
      </c>
      <c r="E157" s="17" t="n">
        <f aca="false">IFERROR(INDEX($B$5:$C$173, MATCH($D157, $B$5:$B$175, 0), 2), 0)*investment!$C$4</f>
        <v>0</v>
      </c>
      <c r="F157" s="18" t="n">
        <f aca="false">demand!E155</f>
        <v>0</v>
      </c>
      <c r="G157" s="2" t="n">
        <f aca="false">solgen!E155</f>
        <v>0</v>
      </c>
      <c r="H157" s="2" t="n">
        <f aca="false">import!E155</f>
        <v>0</v>
      </c>
      <c r="I157" s="2" t="n">
        <f aca="false">-export!E155</f>
        <v>-0</v>
      </c>
      <c r="J157" s="2" t="n">
        <f aca="false">-charge!E155</f>
        <v>-0</v>
      </c>
      <c r="K157" s="2" t="n">
        <f aca="false">discharge!E155</f>
        <v>0</v>
      </c>
      <c r="L157" s="2" t="n">
        <f aca="false">soc!E155/investment!$E$4 *100</f>
        <v>47.8038495532743</v>
      </c>
    </row>
    <row r="158" customFormat="false" ht="13.8" hidden="false" customHeight="false" outlineLevel="0" collapsed="false">
      <c r="B158" s="11" t="n">
        <f aca="false">_xlfn.NUMBERVALUE(solar!B155)</f>
        <v>0</v>
      </c>
      <c r="C158" s="12" t="n">
        <f aca="false">solar!C155</f>
        <v>0</v>
      </c>
      <c r="D158" s="6" t="n">
        <v>154</v>
      </c>
      <c r="E158" s="17" t="n">
        <f aca="false">IFERROR(INDEX($B$5:$C$173, MATCH($D158, $B$5:$B$175, 0), 2), 0)*investment!$C$4</f>
        <v>0</v>
      </c>
      <c r="F158" s="18" t="n">
        <f aca="false">demand!E156</f>
        <v>0</v>
      </c>
      <c r="G158" s="2" t="n">
        <f aca="false">solgen!E156</f>
        <v>0</v>
      </c>
      <c r="H158" s="2" t="n">
        <f aca="false">import!E156</f>
        <v>0</v>
      </c>
      <c r="I158" s="2" t="n">
        <f aca="false">-export!E156</f>
        <v>-0</v>
      </c>
      <c r="J158" s="2" t="n">
        <f aca="false">-charge!E156</f>
        <v>-0</v>
      </c>
      <c r="K158" s="2" t="n">
        <f aca="false">discharge!E156</f>
        <v>0</v>
      </c>
      <c r="L158" s="2" t="n">
        <f aca="false">soc!E156/investment!$E$4 *100</f>
        <v>54.6167527981121</v>
      </c>
    </row>
    <row r="159" customFormat="false" ht="13.8" hidden="false" customHeight="false" outlineLevel="0" collapsed="false">
      <c r="B159" s="11" t="n">
        <f aca="false">_xlfn.NUMBERVALUE(solar!B156)</f>
        <v>0</v>
      </c>
      <c r="C159" s="12" t="n">
        <f aca="false">solar!C156</f>
        <v>0</v>
      </c>
      <c r="D159" s="6" t="n">
        <v>155</v>
      </c>
      <c r="E159" s="17" t="n">
        <f aca="false">IFERROR(INDEX($B$5:$C$173, MATCH($D159, $B$5:$B$175, 0), 2), 0)*investment!$C$4</f>
        <v>0</v>
      </c>
      <c r="F159" s="18" t="n">
        <f aca="false">demand!E157</f>
        <v>0</v>
      </c>
      <c r="G159" s="2" t="n">
        <f aca="false">solgen!E157</f>
        <v>0</v>
      </c>
      <c r="H159" s="2" t="n">
        <f aca="false">import!E157</f>
        <v>0</v>
      </c>
      <c r="I159" s="2" t="n">
        <f aca="false">-export!E157</f>
        <v>-0</v>
      </c>
      <c r="J159" s="2" t="n">
        <f aca="false">-charge!E157</f>
        <v>-0</v>
      </c>
      <c r="K159" s="2" t="n">
        <f aca="false">discharge!E157</f>
        <v>0</v>
      </c>
      <c r="L159" s="2" t="n">
        <f aca="false">soc!E157/investment!$E$4 *100</f>
        <v>60.3551417429769</v>
      </c>
    </row>
    <row r="160" customFormat="false" ht="13.8" hidden="false" customHeight="false" outlineLevel="0" collapsed="false">
      <c r="B160" s="11" t="n">
        <f aca="false">_xlfn.NUMBERVALUE(solar!B157)</f>
        <v>0</v>
      </c>
      <c r="C160" s="12" t="n">
        <f aca="false">solar!C157</f>
        <v>0</v>
      </c>
      <c r="D160" s="6" t="n">
        <v>156</v>
      </c>
      <c r="E160" s="17" t="n">
        <f aca="false">IFERROR(INDEX($B$5:$C$173, MATCH($D160, $B$5:$B$175, 0), 2), 0)*investment!$C$4</f>
        <v>0</v>
      </c>
      <c r="F160" s="18" t="n">
        <f aca="false">demand!E158</f>
        <v>0</v>
      </c>
      <c r="G160" s="2" t="n">
        <f aca="false">solgen!E158</f>
        <v>0</v>
      </c>
      <c r="H160" s="2" t="n">
        <f aca="false">import!E158</f>
        <v>0</v>
      </c>
      <c r="I160" s="2" t="n">
        <f aca="false">-export!E158</f>
        <v>-0</v>
      </c>
      <c r="J160" s="2" t="n">
        <f aca="false">-charge!E158</f>
        <v>-0</v>
      </c>
      <c r="K160" s="2" t="n">
        <f aca="false">discharge!E158</f>
        <v>0</v>
      </c>
      <c r="L160" s="2" t="n">
        <f aca="false">soc!E158/investment!$E$4 *100</f>
        <v>65.8697003925047</v>
      </c>
    </row>
    <row r="161" customFormat="false" ht="13.8" hidden="false" customHeight="false" outlineLevel="0" collapsed="false">
      <c r="B161" s="11" t="n">
        <f aca="false">_xlfn.NUMBERVALUE(solar!B158)</f>
        <v>0</v>
      </c>
      <c r="C161" s="12" t="n">
        <f aca="false">solar!C158</f>
        <v>0</v>
      </c>
      <c r="D161" s="6" t="n">
        <v>157</v>
      </c>
      <c r="E161" s="17" t="n">
        <f aca="false">IFERROR(INDEX($B$5:$C$173, MATCH($D161, $B$5:$B$175, 0), 2), 0)*investment!$C$4</f>
        <v>0</v>
      </c>
      <c r="F161" s="18" t="n">
        <f aca="false">demand!E159</f>
        <v>0</v>
      </c>
      <c r="G161" s="2" t="n">
        <f aca="false">solgen!E159</f>
        <v>0</v>
      </c>
      <c r="H161" s="2" t="n">
        <f aca="false">import!E159</f>
        <v>0</v>
      </c>
      <c r="I161" s="2" t="n">
        <f aca="false">-export!E159</f>
        <v>-0</v>
      </c>
      <c r="J161" s="2" t="n">
        <f aca="false">-charge!E159</f>
        <v>-0</v>
      </c>
      <c r="K161" s="2" t="n">
        <f aca="false">discharge!E159</f>
        <v>0</v>
      </c>
      <c r="L161" s="2" t="n">
        <f aca="false">soc!E159/investment!$E$4 *100</f>
        <v>70.4320357481134</v>
      </c>
    </row>
    <row r="162" customFormat="false" ht="13.8" hidden="false" customHeight="false" outlineLevel="0" collapsed="false">
      <c r="B162" s="11" t="n">
        <f aca="false">_xlfn.NUMBERVALUE(solar!B159)</f>
        <v>0</v>
      </c>
      <c r="C162" s="12" t="n">
        <f aca="false">solar!C159</f>
        <v>0</v>
      </c>
      <c r="D162" s="6" t="n">
        <v>158</v>
      </c>
      <c r="E162" s="17" t="n">
        <f aca="false">IFERROR(INDEX($B$5:$C$173, MATCH($D162, $B$5:$B$175, 0), 2), 0)*investment!$C$4</f>
        <v>0</v>
      </c>
      <c r="F162" s="18" t="n">
        <f aca="false">demand!E160</f>
        <v>0</v>
      </c>
      <c r="G162" s="2" t="n">
        <f aca="false">solgen!E160</f>
        <v>0</v>
      </c>
      <c r="H162" s="2" t="n">
        <f aca="false">import!E160</f>
        <v>0</v>
      </c>
      <c r="I162" s="2" t="n">
        <f aca="false">-export!E160</f>
        <v>-0</v>
      </c>
      <c r="J162" s="2" t="n">
        <f aca="false">-charge!E160</f>
        <v>-0</v>
      </c>
      <c r="K162" s="2" t="n">
        <f aca="false">discharge!E160</f>
        <v>0</v>
      </c>
      <c r="L162" s="2" t="n">
        <f aca="false">soc!E160/investment!$E$4 *100</f>
        <v>74.5935528014364</v>
      </c>
    </row>
    <row r="163" customFormat="false" ht="13.8" hidden="false" customHeight="false" outlineLevel="0" collapsed="false">
      <c r="B163" s="11" t="n">
        <f aca="false">_xlfn.NUMBERVALUE(solar!B160)</f>
        <v>0</v>
      </c>
      <c r="C163" s="12" t="n">
        <f aca="false">solar!C160</f>
        <v>0</v>
      </c>
      <c r="D163" s="6" t="n">
        <v>159</v>
      </c>
      <c r="E163" s="17" t="n">
        <f aca="false">IFERROR(INDEX($B$5:$C$173, MATCH($D163, $B$5:$B$175, 0), 2), 0)*investment!$C$4</f>
        <v>0</v>
      </c>
      <c r="F163" s="18" t="n">
        <f aca="false">demand!E161</f>
        <v>0</v>
      </c>
      <c r="G163" s="2" t="n">
        <f aca="false">solgen!E161</f>
        <v>0</v>
      </c>
      <c r="H163" s="2" t="n">
        <f aca="false">import!E161</f>
        <v>0</v>
      </c>
      <c r="I163" s="2" t="n">
        <f aca="false">-export!E161</f>
        <v>-0</v>
      </c>
      <c r="J163" s="2" t="n">
        <f aca="false">-charge!E161</f>
        <v>-0</v>
      </c>
      <c r="K163" s="2" t="n">
        <f aca="false">discharge!E161</f>
        <v>0</v>
      </c>
      <c r="L163" s="2" t="n">
        <f aca="false">soc!E161/investment!$E$4 *100</f>
        <v>78.8722695532444</v>
      </c>
    </row>
    <row r="164" customFormat="false" ht="13.8" hidden="false" customHeight="false" outlineLevel="0" collapsed="false">
      <c r="B164" s="11" t="n">
        <f aca="false">_xlfn.NUMBERVALUE(solar!B161)</f>
        <v>0</v>
      </c>
      <c r="C164" s="12" t="n">
        <f aca="false">solar!C161</f>
        <v>0</v>
      </c>
      <c r="D164" s="6" t="n">
        <v>160</v>
      </c>
      <c r="E164" s="17" t="n">
        <f aca="false">IFERROR(INDEX($B$5:$C$173, MATCH($D164, $B$5:$B$175, 0), 2), 0)*investment!$C$4</f>
        <v>0</v>
      </c>
      <c r="F164" s="18" t="n">
        <f aca="false">demand!E162</f>
        <v>0</v>
      </c>
      <c r="G164" s="2" t="n">
        <f aca="false">solgen!E162</f>
        <v>0</v>
      </c>
      <c r="H164" s="2" t="n">
        <f aca="false">import!E162</f>
        <v>0</v>
      </c>
      <c r="I164" s="2" t="n">
        <f aca="false">-export!E162</f>
        <v>-0</v>
      </c>
      <c r="J164" s="2" t="n">
        <f aca="false">-charge!E162</f>
        <v>-0</v>
      </c>
      <c r="K164" s="2" t="n">
        <f aca="false">discharge!E162</f>
        <v>0</v>
      </c>
      <c r="L164" s="2" t="n">
        <f aca="false">soc!E162/investment!$E$4 *100</f>
        <v>81.746854864353</v>
      </c>
    </row>
    <row r="165" customFormat="false" ht="13.8" hidden="false" customHeight="false" outlineLevel="0" collapsed="false">
      <c r="B165" s="11" t="n">
        <f aca="false">_xlfn.NUMBERVALUE(solar!B162)</f>
        <v>0</v>
      </c>
      <c r="C165" s="12" t="n">
        <f aca="false">solar!C162</f>
        <v>0</v>
      </c>
      <c r="D165" s="6" t="n">
        <v>161</v>
      </c>
      <c r="E165" s="17" t="n">
        <f aca="false">IFERROR(INDEX($B$5:$C$173, MATCH($D165, $B$5:$B$175, 0), 2), 0)*investment!$C$4</f>
        <v>0</v>
      </c>
      <c r="F165" s="18" t="n">
        <f aca="false">demand!E163</f>
        <v>0</v>
      </c>
      <c r="G165" s="2" t="n">
        <f aca="false">solgen!E163</f>
        <v>0</v>
      </c>
      <c r="H165" s="2" t="n">
        <f aca="false">import!E163</f>
        <v>0</v>
      </c>
      <c r="I165" s="2" t="n">
        <f aca="false">-export!E163</f>
        <v>-0</v>
      </c>
      <c r="J165" s="2" t="n">
        <f aca="false">-charge!E163</f>
        <v>-0</v>
      </c>
      <c r="K165" s="2" t="n">
        <f aca="false">discharge!E163</f>
        <v>0</v>
      </c>
      <c r="L165" s="2" t="n">
        <f aca="false">soc!E163/investment!$E$4 *100</f>
        <v>81.8677669166102</v>
      </c>
    </row>
    <row r="166" customFormat="false" ht="13.8" hidden="false" customHeight="false" outlineLevel="0" collapsed="false">
      <c r="B166" s="11" t="n">
        <f aca="false">_xlfn.NUMBERVALUE(solar!B163)</f>
        <v>0</v>
      </c>
      <c r="C166" s="12" t="n">
        <f aca="false">solar!C163</f>
        <v>0</v>
      </c>
      <c r="D166" s="6" t="n">
        <v>162</v>
      </c>
      <c r="E166" s="17" t="n">
        <f aca="false">IFERROR(INDEX($B$5:$C$173, MATCH($D166, $B$5:$B$175, 0), 2), 0)*investment!$C$4</f>
        <v>0</v>
      </c>
      <c r="F166" s="18" t="n">
        <f aca="false">demand!E164</f>
        <v>0</v>
      </c>
      <c r="G166" s="2" t="n">
        <f aca="false">solgen!E164</f>
        <v>0</v>
      </c>
      <c r="H166" s="2" t="n">
        <f aca="false">import!E164</f>
        <v>0</v>
      </c>
      <c r="I166" s="2" t="n">
        <f aca="false">-export!E164</f>
        <v>-0</v>
      </c>
      <c r="J166" s="2" t="n">
        <f aca="false">-charge!E164</f>
        <v>-0</v>
      </c>
      <c r="K166" s="2" t="n">
        <f aca="false">discharge!E164</f>
        <v>0</v>
      </c>
      <c r="L166" s="2" t="n">
        <f aca="false">soc!E164/investment!$E$4 *100</f>
        <v>81.8669482389411</v>
      </c>
    </row>
    <row r="167" customFormat="false" ht="13.8" hidden="false" customHeight="false" outlineLevel="0" collapsed="false">
      <c r="B167" s="11" t="n">
        <f aca="false">_xlfn.NUMBERVALUE(solar!B164)</f>
        <v>0</v>
      </c>
      <c r="C167" s="12" t="n">
        <f aca="false">solar!C164</f>
        <v>0</v>
      </c>
      <c r="D167" s="6" t="n">
        <v>163</v>
      </c>
      <c r="E167" s="17" t="n">
        <f aca="false">IFERROR(INDEX($B$5:$C$173, MATCH($D167, $B$5:$B$175, 0), 2), 0)*investment!$C$4</f>
        <v>0</v>
      </c>
      <c r="F167" s="18" t="n">
        <f aca="false">demand!E165</f>
        <v>0</v>
      </c>
      <c r="G167" s="2" t="n">
        <f aca="false">solgen!E165</f>
        <v>0</v>
      </c>
      <c r="H167" s="2" t="n">
        <f aca="false">import!E165</f>
        <v>0</v>
      </c>
      <c r="I167" s="2" t="n">
        <f aca="false">-export!E165</f>
        <v>-0</v>
      </c>
      <c r="J167" s="2" t="n">
        <f aca="false">-charge!E165</f>
        <v>-0</v>
      </c>
      <c r="K167" s="2" t="n">
        <f aca="false">discharge!E165</f>
        <v>0</v>
      </c>
      <c r="L167" s="2" t="n">
        <f aca="false">soc!E165/investment!$E$4 *100</f>
        <v>81.8661295694587</v>
      </c>
    </row>
    <row r="168" customFormat="false" ht="13.8" hidden="false" customHeight="false" outlineLevel="0" collapsed="false">
      <c r="B168" s="11" t="n">
        <f aca="false">_xlfn.NUMBERVALUE(solar!B165)</f>
        <v>0</v>
      </c>
      <c r="C168" s="12" t="n">
        <f aca="false">solar!C165</f>
        <v>0</v>
      </c>
      <c r="D168" s="6" t="n">
        <v>164</v>
      </c>
      <c r="E168" s="17" t="n">
        <f aca="false">IFERROR(INDEX($B$5:$C$173, MATCH($D168, $B$5:$B$175, 0), 2), 0)*investment!$C$4</f>
        <v>0</v>
      </c>
      <c r="F168" s="18" t="n">
        <f aca="false">demand!E166</f>
        <v>0</v>
      </c>
      <c r="G168" s="2" t="n">
        <f aca="false">solgen!E166</f>
        <v>0</v>
      </c>
      <c r="H168" s="2" t="n">
        <f aca="false">import!E166</f>
        <v>0</v>
      </c>
      <c r="I168" s="2" t="n">
        <f aca="false">-export!E166</f>
        <v>-0</v>
      </c>
      <c r="J168" s="2" t="n">
        <f aca="false">-charge!E166</f>
        <v>-0</v>
      </c>
      <c r="K168" s="2" t="n">
        <f aca="false">discharge!E166</f>
        <v>0</v>
      </c>
      <c r="L168" s="2" t="n">
        <f aca="false">soc!E166/investment!$E$4 *100</f>
        <v>81.4903322654098</v>
      </c>
    </row>
    <row r="169" customFormat="false" ht="13.8" hidden="false" customHeight="false" outlineLevel="0" collapsed="false">
      <c r="B169" s="11" t="n">
        <f aca="false">_xlfn.NUMBERVALUE(solar!B166)</f>
        <v>0</v>
      </c>
      <c r="C169" s="12" t="n">
        <f aca="false">solar!C166</f>
        <v>0</v>
      </c>
      <c r="D169" s="6" t="n">
        <v>165</v>
      </c>
      <c r="E169" s="17" t="n">
        <f aca="false">IFERROR(INDEX($B$5:$C$173, MATCH($D169, $B$5:$B$175, 0), 2), 0)*investment!$C$4</f>
        <v>0</v>
      </c>
      <c r="F169" s="18" t="n">
        <f aca="false">demand!E167</f>
        <v>0</v>
      </c>
      <c r="G169" s="2" t="n">
        <f aca="false">solgen!E167</f>
        <v>0</v>
      </c>
      <c r="H169" s="2" t="n">
        <f aca="false">import!E167</f>
        <v>0</v>
      </c>
      <c r="I169" s="2" t="n">
        <f aca="false">-export!E167</f>
        <v>-0</v>
      </c>
      <c r="J169" s="2" t="n">
        <f aca="false">-charge!E167</f>
        <v>-0</v>
      </c>
      <c r="K169" s="2" t="n">
        <f aca="false">discharge!E167</f>
        <v>0</v>
      </c>
      <c r="L169" s="2" t="n">
        <f aca="false">soc!E167/investment!$E$4 *100</f>
        <v>81.4895173620871</v>
      </c>
    </row>
    <row r="170" customFormat="false" ht="13.8" hidden="false" customHeight="false" outlineLevel="0" collapsed="false">
      <c r="B170" s="11" t="n">
        <f aca="false">_xlfn.NUMBERVALUE(solar!B167)</f>
        <v>0</v>
      </c>
      <c r="C170" s="12" t="n">
        <f aca="false">solar!C167</f>
        <v>0</v>
      </c>
      <c r="D170" s="6" t="n">
        <v>166</v>
      </c>
      <c r="E170" s="17" t="n">
        <f aca="false">IFERROR(INDEX($B$5:$C$173, MATCH($D170, $B$5:$B$175, 0), 2), 0)*investment!$C$4</f>
        <v>0</v>
      </c>
      <c r="F170" s="18" t="n">
        <f aca="false">demand!E168</f>
        <v>0</v>
      </c>
      <c r="G170" s="2" t="n">
        <f aca="false">solgen!E168</f>
        <v>0</v>
      </c>
      <c r="H170" s="2" t="n">
        <f aca="false">import!E168</f>
        <v>0</v>
      </c>
      <c r="I170" s="2" t="n">
        <f aca="false">-export!E168</f>
        <v>-0</v>
      </c>
      <c r="J170" s="2" t="n">
        <f aca="false">-charge!E168</f>
        <v>-0</v>
      </c>
      <c r="K170" s="2" t="n">
        <f aca="false">discharge!E168</f>
        <v>0</v>
      </c>
      <c r="L170" s="2" t="n">
        <f aca="false">soc!E168/investment!$E$4 *100</f>
        <v>81.4368291173035</v>
      </c>
    </row>
    <row r="171" customFormat="false" ht="13.8" hidden="false" customHeight="false" outlineLevel="0" collapsed="false">
      <c r="B171" s="11" t="n">
        <f aca="false">_xlfn.NUMBERVALUE(solar!B168)</f>
        <v>0</v>
      </c>
      <c r="C171" s="12" t="n">
        <f aca="false">solar!C168</f>
        <v>0</v>
      </c>
      <c r="D171" s="6" t="n">
        <v>167</v>
      </c>
      <c r="E171" s="17" t="n">
        <f aca="false">IFERROR(INDEX($B$5:$C$173, MATCH($D171, $B$5:$B$175, 0), 2), 0)*investment!$C$4</f>
        <v>0</v>
      </c>
      <c r="F171" s="18" t="n">
        <f aca="false">demand!E169</f>
        <v>0</v>
      </c>
      <c r="G171" s="2" t="n">
        <f aca="false">solgen!E169</f>
        <v>0</v>
      </c>
      <c r="H171" s="2" t="n">
        <f aca="false">import!E169</f>
        <v>0</v>
      </c>
      <c r="I171" s="2" t="n">
        <f aca="false">-export!E169</f>
        <v>-0</v>
      </c>
      <c r="J171" s="2" t="n">
        <f aca="false">-charge!E169</f>
        <v>-0</v>
      </c>
      <c r="K171" s="2" t="n">
        <f aca="false">discharge!E169</f>
        <v>0</v>
      </c>
      <c r="L171" s="2" t="n">
        <f aca="false">soc!E169/investment!$E$4 *100</f>
        <v>81.1516483087985</v>
      </c>
    </row>
    <row r="172" customFormat="false" ht="13.8" hidden="false" customHeight="false" outlineLevel="0" collapsed="false">
      <c r="B172" s="11" t="n">
        <f aca="false">_xlfn.NUMBERVALUE(solar!B169)</f>
        <v>0</v>
      </c>
      <c r="C172" s="12" t="n">
        <f aca="false">solar!C169</f>
        <v>0</v>
      </c>
      <c r="D172" s="6" t="n">
        <v>168</v>
      </c>
      <c r="E172" s="17" t="n">
        <f aca="false">IFERROR(INDEX($B$5:$C$173, MATCH($D172, $B$5:$B$175, 0), 2), 0)*investment!$C$4</f>
        <v>0</v>
      </c>
      <c r="F172" s="18" t="n">
        <f aca="false">demand!E170</f>
        <v>0</v>
      </c>
      <c r="G172" s="2" t="n">
        <f aca="false">solgen!E170</f>
        <v>0</v>
      </c>
      <c r="H172" s="2" t="n">
        <f aca="false">import!E170</f>
        <v>0</v>
      </c>
      <c r="I172" s="2" t="n">
        <f aca="false">-export!E170</f>
        <v>-0</v>
      </c>
      <c r="J172" s="2" t="n">
        <f aca="false">-charge!E170</f>
        <v>-0</v>
      </c>
      <c r="K172" s="2" t="n">
        <f aca="false">discharge!E170</f>
        <v>0</v>
      </c>
      <c r="L172" s="2" t="n">
        <f aca="false">soc!E170/investment!$E$4 *100</f>
        <v>79.7884879899385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H2" activeCellId="0" sqref="AH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19" t="s">
        <v>19</v>
      </c>
    </row>
    <row r="3" customFormat="false" ht="13.8" hidden="false" customHeight="false" outlineLevel="0" collapsed="false">
      <c r="B3" s="19" t="s">
        <v>20</v>
      </c>
    </row>
    <row r="4" customFormat="false" ht="13.8" hidden="false" customHeight="false" outlineLevel="0" collapsed="false">
      <c r="B4" s="20" t="s">
        <v>21</v>
      </c>
    </row>
    <row r="5" customFormat="false" ht="13.8" hidden="false" customHeight="false" outlineLevel="0" collapsed="false">
      <c r="B5" s="21" t="s">
        <v>22</v>
      </c>
    </row>
    <row r="6" customFormat="false" ht="13.8" hidden="false" customHeight="false" outlineLevel="0" collapsed="false">
      <c r="B6" s="21" t="s">
        <v>23</v>
      </c>
    </row>
    <row r="7" customFormat="false" ht="13.8" hidden="false" customHeight="false" outlineLevel="0" collapsed="false">
      <c r="B7" s="21" t="s">
        <v>24</v>
      </c>
    </row>
    <row r="8" customFormat="false" ht="13.8" hidden="false" customHeight="false" outlineLevel="0" collapsed="false">
      <c r="B8" s="19" t="s">
        <v>25</v>
      </c>
    </row>
    <row r="9" customFormat="false" ht="13.8" hidden="false" customHeight="false" outlineLevel="0" collapsed="false">
      <c r="B9" s="19" t="s">
        <v>26</v>
      </c>
    </row>
    <row r="10" customFormat="false" ht="13.8" hidden="false" customHeight="false" outlineLevel="0" collapsed="false">
      <c r="B10" s="20" t="s">
        <v>27</v>
      </c>
    </row>
    <row r="11" customFormat="false" ht="13.8" hidden="false" customHeight="false" outlineLevel="0" collapsed="false">
      <c r="B11" s="21" t="s">
        <v>28</v>
      </c>
    </row>
    <row r="12" customFormat="false" ht="13.8" hidden="false" customHeight="false" outlineLevel="0" collapsed="false">
      <c r="B12" s="21" t="s">
        <v>29</v>
      </c>
    </row>
    <row r="13" customFormat="false" ht="13.8" hidden="false" customHeight="false" outlineLevel="0" collapsed="false">
      <c r="B13" s="21" t="s">
        <v>24</v>
      </c>
    </row>
    <row r="14" customFormat="false" ht="13.8" hidden="false" customHeight="false" outlineLevel="0" collapsed="false">
      <c r="B14" s="20" t="s">
        <v>30</v>
      </c>
    </row>
    <row r="15" customFormat="false" ht="13.8" hidden="false" customHeight="false" outlineLevel="0" collapsed="false">
      <c r="B15" s="20" t="s">
        <v>31</v>
      </c>
    </row>
    <row r="16" customFormat="false" ht="13.8" hidden="false" customHeight="false" outlineLevel="0" collapsed="false">
      <c r="B16" s="20" t="s">
        <v>32</v>
      </c>
    </row>
    <row r="17" customFormat="false" ht="13.8" hidden="false" customHeight="false" outlineLevel="0" collapsed="false">
      <c r="B17" s="20" t="s">
        <v>33</v>
      </c>
    </row>
    <row r="18" customFormat="false" ht="13.8" hidden="false" customHeight="false" outlineLevel="0" collapsed="false">
      <c r="B18" s="20" t="s">
        <v>34</v>
      </c>
    </row>
    <row r="19" customFormat="false" ht="13.8" hidden="false" customHeight="false" outlineLevel="0" collapsed="false">
      <c r="B19" s="20" t="s">
        <v>35</v>
      </c>
    </row>
    <row r="20" customFormat="false" ht="13.8" hidden="false" customHeight="false" outlineLevel="0" collapsed="false">
      <c r="B20" s="20" t="s">
        <v>36</v>
      </c>
    </row>
    <row r="21" customFormat="false" ht="13.8" hidden="false" customHeight="false" outlineLevel="0" collapsed="false">
      <c r="B21" s="19" t="s">
        <v>37</v>
      </c>
    </row>
    <row r="22" customFormat="false" ht="13.8" hidden="false" customHeight="false" outlineLevel="0" collapsed="false">
      <c r="B22" s="20" t="s">
        <v>38</v>
      </c>
    </row>
    <row r="23" customFormat="false" ht="13.8" hidden="false" customHeight="false" outlineLevel="0" collapsed="false">
      <c r="B23" s="20" t="s">
        <v>39</v>
      </c>
    </row>
    <row r="24" customFormat="false" ht="13.8" hidden="false" customHeight="false" outlineLevel="0" collapsed="false">
      <c r="B24" s="20" t="s">
        <v>40</v>
      </c>
    </row>
    <row r="25" customFormat="false" ht="13.8" hidden="false" customHeight="false" outlineLevel="0" collapsed="false">
      <c r="B25" s="20" t="s">
        <v>41</v>
      </c>
    </row>
    <row r="26" customFormat="false" ht="13.8" hidden="false" customHeight="false" outlineLevel="0" collapsed="false">
      <c r="B26" s="20" t="s">
        <v>42</v>
      </c>
    </row>
    <row r="27" customFormat="false" ht="13.8" hidden="false" customHeight="false" outlineLevel="0" collapsed="false">
      <c r="B27" s="22"/>
    </row>
    <row r="28" customFormat="false" ht="13.8" hidden="false" customHeight="false" outlineLevel="0" collapsed="false">
      <c r="B28" s="20" t="s">
        <v>43</v>
      </c>
    </row>
    <row r="29" customFormat="false" ht="13.8" hidden="false" customHeight="false" outlineLevel="0" collapsed="false">
      <c r="B29" s="21" t="s">
        <v>24</v>
      </c>
    </row>
    <row r="30" customFormat="false" ht="13.8" hidden="false" customHeight="false" outlineLevel="0" collapsed="false">
      <c r="B30" s="23" t="s">
        <v>44</v>
      </c>
    </row>
    <row r="31" customFormat="false" ht="13.8" hidden="false" customHeight="false" outlineLevel="0" collapsed="false">
      <c r="B31" s="23" t="s">
        <v>45</v>
      </c>
    </row>
    <row r="32" customFormat="false" ht="13.8" hidden="false" customHeight="false" outlineLevel="0" collapsed="false">
      <c r="B32" s="19" t="s">
        <v>46</v>
      </c>
    </row>
    <row r="33" customFormat="false" ht="13.8" hidden="false" customHeight="false" outlineLevel="0" collapsed="false">
      <c r="B33" s="19" t="s">
        <v>47</v>
      </c>
    </row>
    <row r="34" customFormat="false" ht="13.8" hidden="false" customHeight="false" outlineLevel="0" collapsed="false">
      <c r="B34" s="23" t="s">
        <v>48</v>
      </c>
    </row>
    <row r="35" customFormat="false" ht="13.8" hidden="false" customHeight="false" outlineLevel="0" collapsed="false">
      <c r="B35" s="21" t="s">
        <v>24</v>
      </c>
    </row>
    <row r="36" customFormat="false" ht="13.8" hidden="false" customHeight="false" outlineLevel="0" collapsed="false">
      <c r="B36" s="22"/>
    </row>
    <row r="37" customFormat="false" ht="13.8" hidden="false" customHeight="false" outlineLevel="0" collapsed="false">
      <c r="B37" s="22"/>
    </row>
    <row r="38" customFormat="false" ht="13.8" hidden="false" customHeight="false" outlineLevel="0" collapsed="false">
      <c r="B38" s="19" t="s">
        <v>49</v>
      </c>
    </row>
    <row r="39" customFormat="false" ht="13.8" hidden="false" customHeight="false" outlineLevel="0" collapsed="false">
      <c r="B39" s="20" t="s">
        <v>50</v>
      </c>
    </row>
    <row r="40" customFormat="false" ht="13.8" hidden="false" customHeight="false" outlineLevel="0" collapsed="false">
      <c r="B40" s="20" t="s">
        <v>51</v>
      </c>
    </row>
    <row r="41" customFormat="false" ht="13.8" hidden="false" customHeight="false" outlineLevel="0" collapsed="false">
      <c r="B41" s="20" t="s">
        <v>52</v>
      </c>
    </row>
    <row r="42" customFormat="false" ht="13.8" hidden="false" customHeight="false" outlineLevel="0" collapsed="false">
      <c r="B42" s="22"/>
    </row>
    <row r="43" customFormat="false" ht="13.8" hidden="false" customHeight="false" outlineLevel="0" collapsed="false">
      <c r="B43" s="24" t="s">
        <v>53</v>
      </c>
    </row>
    <row r="44" customFormat="false" ht="13.8" hidden="false" customHeight="false" outlineLevel="0" collapsed="false">
      <c r="B44" s="23" t="s">
        <v>44</v>
      </c>
    </row>
    <row r="45" customFormat="false" ht="13.8" hidden="false" customHeight="false" outlineLevel="0" collapsed="false">
      <c r="B45" s="23" t="s">
        <v>54</v>
      </c>
    </row>
    <row r="46" customFormat="false" ht="13.8" hidden="false" customHeight="false" outlineLevel="0" collapsed="false">
      <c r="B46" s="19" t="s">
        <v>55</v>
      </c>
    </row>
    <row r="47" customFormat="false" ht="13.8" hidden="false" customHeight="false" outlineLevel="0" collapsed="false">
      <c r="B47" s="19" t="s">
        <v>56</v>
      </c>
    </row>
    <row r="48" customFormat="false" ht="13.8" hidden="false" customHeight="false" outlineLevel="0" collapsed="false">
      <c r="B48" s="23" t="s">
        <v>48</v>
      </c>
    </row>
    <row r="49" customFormat="false" ht="13.8" hidden="false" customHeight="false" outlineLevel="0" collapsed="false">
      <c r="B49" s="20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2" t="n">
        <v>1</v>
      </c>
      <c r="C2" s="2" t="n">
        <v>0.00131699899998939</v>
      </c>
      <c r="D2" s="2" t="n">
        <v>0.00111700499992939</v>
      </c>
      <c r="E2" s="2" t="n">
        <v>0.00111700499992939</v>
      </c>
      <c r="G2" s="5" t="n">
        <f aca="false">MAX(C2:F673)</f>
        <v>0.427965992233158</v>
      </c>
    </row>
    <row r="3" customFormat="false" ht="13.8" hidden="false" customHeight="false" outlineLevel="0" collapsed="false">
      <c r="B3" s="2" t="n">
        <v>2</v>
      </c>
      <c r="C3" s="2" t="n">
        <v>0.00131700717006109</v>
      </c>
      <c r="D3" s="2" t="n">
        <v>0.00111701117004109</v>
      </c>
      <c r="E3" s="2" t="n">
        <v>0.00111701117004109</v>
      </c>
    </row>
    <row r="4" customFormat="false" ht="13.8" hidden="false" customHeight="false" outlineLevel="0" collapsed="false">
      <c r="B4" s="2" t="n">
        <v>3</v>
      </c>
      <c r="C4" s="2" t="n">
        <v>0.00131701534021449</v>
      </c>
      <c r="D4" s="2" t="n">
        <v>0.00131698534261438</v>
      </c>
      <c r="E4" s="2" t="n">
        <v>0.00111701734021449</v>
      </c>
    </row>
    <row r="5" customFormat="false" ht="13.8" hidden="false" customHeight="false" outlineLevel="0" collapsed="false">
      <c r="B5" s="2" t="n">
        <v>4</v>
      </c>
      <c r="C5" s="2" t="n">
        <v>0.0013170235104496</v>
      </c>
      <c r="D5" s="2" t="n">
        <v>0.00131699351254951</v>
      </c>
      <c r="E5" s="2" t="n">
        <v>0.0011170235104496</v>
      </c>
    </row>
    <row r="6" customFormat="false" ht="13.8" hidden="false" customHeight="false" outlineLevel="0" collapsed="false">
      <c r="B6" s="2" t="n">
        <v>5</v>
      </c>
      <c r="C6" s="2" t="n">
        <v>0.00131702968074641</v>
      </c>
      <c r="D6" s="2" t="n">
        <v>0.00131700168256633</v>
      </c>
      <c r="E6" s="2" t="n">
        <v>0.00111702968074641</v>
      </c>
    </row>
    <row r="7" customFormat="false" ht="13.8" hidden="false" customHeight="false" outlineLevel="0" collapsed="false">
      <c r="B7" s="2" t="n">
        <v>6</v>
      </c>
      <c r="C7" s="2" t="n">
        <v>0.00131703564056883</v>
      </c>
      <c r="D7" s="2" t="n">
        <v>0.00131700985266486</v>
      </c>
      <c r="E7" s="2" t="n">
        <v>0.00111703585110492</v>
      </c>
    </row>
    <row r="8" customFormat="false" ht="13.8" hidden="false" customHeight="false" outlineLevel="0" collapsed="false">
      <c r="B8" s="2" t="n">
        <v>7</v>
      </c>
      <c r="C8" s="2" t="n">
        <v>0.00131704202152513</v>
      </c>
      <c r="D8" s="2" t="n">
        <v>0.00131701802284509</v>
      </c>
      <c r="E8" s="2" t="n">
        <v>0.00111704202152513</v>
      </c>
    </row>
    <row r="9" customFormat="false" ht="13.8" hidden="false" customHeight="false" outlineLevel="0" collapsed="false">
      <c r="B9" s="2" t="n">
        <v>8</v>
      </c>
      <c r="C9" s="2" t="n">
        <v>0.00131704798147775</v>
      </c>
      <c r="D9" s="2" t="n">
        <v>0.00131702619310702</v>
      </c>
      <c r="E9" s="2" t="n">
        <v>0.00111704819200705</v>
      </c>
    </row>
    <row r="10" customFormat="false" ht="13.8" hidden="false" customHeight="false" outlineLevel="0" collapsed="false">
      <c r="B10" s="2" t="n">
        <v>9</v>
      </c>
      <c r="C10" s="2" t="n">
        <v>0.00131705436255068</v>
      </c>
      <c r="D10" s="2" t="n">
        <v>0.00131703436345065</v>
      </c>
      <c r="E10" s="2" t="n">
        <v>0.00111705436255068</v>
      </c>
    </row>
    <row r="11" customFormat="false" ht="13.8" hidden="false" customHeight="false" outlineLevel="0" collapsed="false">
      <c r="B11" s="2" t="n">
        <v>10</v>
      </c>
      <c r="C11" s="2" t="n">
        <v>0.00131706053315601</v>
      </c>
      <c r="D11" s="2" t="n">
        <v>0.00131704253387599</v>
      </c>
      <c r="E11" s="2" t="n">
        <v>0.00111706053315601</v>
      </c>
    </row>
    <row r="12" customFormat="false" ht="13.8" hidden="false" customHeight="false" outlineLevel="0" collapsed="false">
      <c r="B12" s="2" t="n">
        <v>11</v>
      </c>
      <c r="C12" s="2" t="n">
        <v>0.00131706670382305</v>
      </c>
      <c r="D12" s="2" t="n">
        <v>0.00131705070438304</v>
      </c>
      <c r="E12" s="2" t="n">
        <v>0.00111706670382305</v>
      </c>
    </row>
    <row r="13" customFormat="false" ht="13.8" hidden="false" customHeight="false" outlineLevel="0" collapsed="false">
      <c r="B13" s="2" t="n">
        <v>12</v>
      </c>
      <c r="C13" s="2" t="n">
        <v>0.00131704607662091</v>
      </c>
      <c r="D13" s="2" t="n">
        <v>0.00131705887497179</v>
      </c>
      <c r="E13" s="2" t="n">
        <v>0.00111707287455179</v>
      </c>
    </row>
    <row r="14" customFormat="false" ht="13.8" hidden="false" customHeight="false" outlineLevel="0" collapsed="false">
      <c r="B14" s="2" t="n">
        <v>13</v>
      </c>
      <c r="C14" s="2" t="n">
        <v>0.00131707904534225</v>
      </c>
      <c r="D14" s="2" t="n">
        <v>0.00131706704564224</v>
      </c>
      <c r="E14" s="2" t="n">
        <v>0.00111707904534225</v>
      </c>
    </row>
    <row r="15" customFormat="false" ht="13.8" hidden="false" customHeight="false" outlineLevel="0" collapsed="false">
      <c r="B15" s="2" t="n">
        <v>14</v>
      </c>
      <c r="C15" s="2" t="n">
        <v>0.00131708521619441</v>
      </c>
      <c r="D15" s="2" t="n">
        <v>0.00131707521639441</v>
      </c>
      <c r="E15" s="2" t="n">
        <v>0.00111708521619441</v>
      </c>
    </row>
    <row r="16" customFormat="false" ht="13.8" hidden="false" customHeight="false" outlineLevel="0" collapsed="false">
      <c r="B16" s="2" t="n">
        <v>15</v>
      </c>
      <c r="C16" s="2" t="n">
        <v>0.00131709138710828</v>
      </c>
      <c r="D16" s="2" t="n">
        <v>0.00131708338722828</v>
      </c>
      <c r="E16" s="2" t="n">
        <v>0.00111709138710828</v>
      </c>
    </row>
    <row r="17" customFormat="false" ht="13.8" hidden="false" customHeight="false" outlineLevel="0" collapsed="false">
      <c r="B17" s="2" t="n">
        <v>16</v>
      </c>
      <c r="C17" s="2" t="n">
        <v>0.00131707075908103</v>
      </c>
      <c r="D17" s="2" t="n">
        <v>0.00131709155814386</v>
      </c>
      <c r="E17" s="2" t="n">
        <v>0.00111709755808386</v>
      </c>
    </row>
    <row r="18" customFormat="false" ht="13.8" hidden="false" customHeight="false" outlineLevel="0" collapsed="false">
      <c r="B18" s="2" t="n">
        <v>17</v>
      </c>
      <c r="C18" s="2" t="n">
        <v>0.00131710372912115</v>
      </c>
      <c r="D18" s="2" t="n">
        <v>0.00131709972914115</v>
      </c>
      <c r="E18" s="2" t="n">
        <v>0.00111710372912115</v>
      </c>
    </row>
    <row r="19" customFormat="false" ht="13.8" hidden="false" customHeight="false" outlineLevel="0" collapsed="false">
      <c r="B19" s="2" t="n">
        <v>18</v>
      </c>
      <c r="C19" s="2" t="n">
        <v>0.00131710990022015</v>
      </c>
      <c r="D19" s="2" t="n">
        <v>0.00131710790022015</v>
      </c>
      <c r="E19" s="2" t="n">
        <v>0.00111710990022015</v>
      </c>
    </row>
    <row r="20" customFormat="false" ht="13.8" hidden="false" customHeight="false" outlineLevel="0" collapsed="false">
      <c r="B20" s="2" t="n">
        <v>19</v>
      </c>
      <c r="C20" s="2" t="n">
        <v>0.00131711607138087</v>
      </c>
      <c r="D20" s="2" t="n">
        <v>0.00131711607138087</v>
      </c>
      <c r="E20" s="2" t="n">
        <v>0.00111711607138087</v>
      </c>
    </row>
    <row r="21" customFormat="false" ht="13.8" hidden="false" customHeight="false" outlineLevel="0" collapsed="false">
      <c r="B21" s="2" t="n">
        <v>20</v>
      </c>
      <c r="C21" s="2" t="n">
        <v>0.00131712224260329</v>
      </c>
      <c r="D21" s="2" t="n">
        <v>0.0013171220321147</v>
      </c>
      <c r="E21" s="2" t="n">
        <v>0.00111712224260329</v>
      </c>
    </row>
    <row r="22" customFormat="false" ht="13.8" hidden="false" customHeight="false" outlineLevel="0" collapsed="false">
      <c r="B22" s="2" t="n">
        <v>21</v>
      </c>
      <c r="C22" s="2" t="n">
        <v>0.00131712841388743</v>
      </c>
      <c r="D22" s="2" t="n">
        <v>0.00131712841388743</v>
      </c>
      <c r="E22" s="2" t="n">
        <v>0.00111712841388743</v>
      </c>
    </row>
    <row r="23" customFormat="false" ht="13.8" hidden="false" customHeight="false" outlineLevel="0" collapsed="false">
      <c r="B23" s="2" t="n">
        <v>22</v>
      </c>
      <c r="C23" s="2" t="n">
        <v>0.00131710778462246</v>
      </c>
      <c r="D23" s="2" t="n">
        <v>0.00111713458523328</v>
      </c>
      <c r="E23" s="2" t="n">
        <v>0.00111713458523328</v>
      </c>
    </row>
    <row r="24" customFormat="false" ht="13.8" hidden="false" customHeight="false" outlineLevel="0" collapsed="false">
      <c r="B24" s="2" t="n">
        <v>23</v>
      </c>
      <c r="C24" s="2" t="n">
        <v>0.00131714075664085</v>
      </c>
      <c r="D24" s="2" t="n">
        <v>0.00111714075664085</v>
      </c>
      <c r="E24" s="2" t="n">
        <v>0.00111714075664085</v>
      </c>
    </row>
    <row r="25" customFormat="false" ht="13.8" hidden="false" customHeight="false" outlineLevel="0" collapsed="false">
      <c r="B25" s="2" t="n">
        <v>24</v>
      </c>
      <c r="C25" s="2" t="n">
        <v>0.00131712012696329</v>
      </c>
      <c r="D25" s="2" t="n">
        <v>0.00111714692811013</v>
      </c>
      <c r="E25" s="2" t="n">
        <v>0.00111714692811013</v>
      </c>
    </row>
    <row r="26" customFormat="false" ht="13.8" hidden="false" customHeight="false" outlineLevel="0" collapsed="false">
      <c r="B26" s="2" t="n">
        <v>25</v>
      </c>
      <c r="C26" s="2" t="n">
        <v>0.00131715309964113</v>
      </c>
      <c r="D26" s="2" t="n">
        <v>0.00111715309964113</v>
      </c>
      <c r="E26" s="2" t="n">
        <v>0.00111715309964113</v>
      </c>
    </row>
    <row r="27" customFormat="false" ht="13.8" hidden="false" customHeight="false" outlineLevel="0" collapsed="false">
      <c r="B27" s="2" t="n">
        <v>26</v>
      </c>
      <c r="C27" s="2" t="n">
        <v>0.00131715927123384</v>
      </c>
      <c r="D27" s="2" t="n">
        <v>0.00111715927123384</v>
      </c>
      <c r="E27" s="2" t="n">
        <v>0.00111715927123384</v>
      </c>
    </row>
    <row r="28" customFormat="false" ht="13.8" hidden="false" customHeight="false" outlineLevel="0" collapsed="false">
      <c r="B28" s="2" t="n">
        <v>27</v>
      </c>
      <c r="C28" s="2" t="n">
        <v>0.00131713864093737</v>
      </c>
      <c r="D28" s="2" t="n">
        <v>0.00111716544288827</v>
      </c>
      <c r="E28" s="2" t="n">
        <v>0.00111716544288827</v>
      </c>
    </row>
    <row r="29" customFormat="false" ht="13.8" hidden="false" customHeight="false" outlineLevel="0" collapsed="false">
      <c r="B29" s="2" t="n">
        <v>28</v>
      </c>
      <c r="C29" s="2" t="n">
        <v>0.0013171448123855</v>
      </c>
      <c r="D29" s="2" t="n">
        <v>0.00111717161460442</v>
      </c>
      <c r="E29" s="2" t="n">
        <v>0.00111717161460442</v>
      </c>
    </row>
    <row r="30" customFormat="false" ht="13.8" hidden="false" customHeight="false" outlineLevel="0" collapsed="false">
      <c r="B30" s="2" t="n">
        <v>29</v>
      </c>
      <c r="C30" s="2" t="n">
        <v>0.00131717778638228</v>
      </c>
      <c r="D30" s="2" t="n">
        <v>0.00111717778638228</v>
      </c>
      <c r="E30" s="2" t="n">
        <v>0.00111717778638228</v>
      </c>
    </row>
    <row r="31" customFormat="false" ht="13.8" hidden="false" customHeight="false" outlineLevel="0" collapsed="false">
      <c r="B31" s="2" t="n">
        <v>30</v>
      </c>
      <c r="C31" s="2" t="n">
        <v>0.000231488164721482</v>
      </c>
      <c r="D31" s="2" t="n">
        <v>3.14881647214819E-005</v>
      </c>
      <c r="E31" s="2" t="n">
        <v>3.14881647214819E-005</v>
      </c>
    </row>
    <row r="32" customFormat="false" ht="13.8" hidden="false" customHeight="false" outlineLevel="0" collapsed="false">
      <c r="B32" s="2" t="n">
        <v>31</v>
      </c>
      <c r="C32" s="2" t="n">
        <v>0.0002</v>
      </c>
      <c r="D32" s="2" t="n">
        <v>3.14934796562785E-005</v>
      </c>
      <c r="E32" s="2" t="n">
        <v>0</v>
      </c>
    </row>
    <row r="33" customFormat="false" ht="13.8" hidden="false" customHeight="false" outlineLevel="0" collapsed="false">
      <c r="B33" s="2" t="n">
        <v>32</v>
      </c>
      <c r="C33" s="2" t="n">
        <v>0.0002</v>
      </c>
      <c r="D33" s="2" t="n">
        <v>3.14987946442249E-005</v>
      </c>
      <c r="E33" s="2" t="n">
        <v>0</v>
      </c>
    </row>
    <row r="34" customFormat="false" ht="13.8" hidden="false" customHeight="false" outlineLevel="0" collapsed="false">
      <c r="B34" s="2" t="n">
        <v>33</v>
      </c>
      <c r="C34" s="2" t="n">
        <v>0.0002</v>
      </c>
      <c r="D34" s="2" t="n">
        <v>3.15041096853217E-005</v>
      </c>
      <c r="E34" s="2" t="n">
        <v>0</v>
      </c>
    </row>
    <row r="35" customFormat="false" ht="13.8" hidden="false" customHeight="false" outlineLevel="0" collapsed="false">
      <c r="B35" s="2" t="n">
        <v>34</v>
      </c>
      <c r="C35" s="2" t="n">
        <v>0.0002</v>
      </c>
      <c r="D35" s="2" t="n">
        <v>3.15094247795695E-005</v>
      </c>
      <c r="E35" s="2" t="n">
        <v>0</v>
      </c>
    </row>
    <row r="36" customFormat="false" ht="13.8" hidden="false" customHeight="false" outlineLevel="0" collapsed="false">
      <c r="B36" s="2" t="n">
        <v>35</v>
      </c>
      <c r="C36" s="2" t="n">
        <v>0.0002</v>
      </c>
      <c r="D36" s="2" t="n">
        <v>3.15147399269687E-005</v>
      </c>
      <c r="E36" s="2" t="n">
        <v>0</v>
      </c>
    </row>
    <row r="37" customFormat="false" ht="13.8" hidden="false" customHeight="false" outlineLevel="0" collapsed="false">
      <c r="B37" s="2" t="n">
        <v>36</v>
      </c>
      <c r="C37" s="2" t="n">
        <v>0.0002</v>
      </c>
      <c r="D37" s="2" t="n">
        <v>3.15200551275199E-005</v>
      </c>
      <c r="E37" s="2" t="n">
        <v>0</v>
      </c>
    </row>
    <row r="38" customFormat="false" ht="13.8" hidden="false" customHeight="false" outlineLevel="0" collapsed="false">
      <c r="B38" s="2" t="n">
        <v>37</v>
      </c>
      <c r="C38" s="2" t="n">
        <v>0.0002</v>
      </c>
      <c r="D38" s="2" t="n">
        <v>3.15253703812237E-005</v>
      </c>
      <c r="E38" s="2" t="n">
        <v>0</v>
      </c>
    </row>
    <row r="39" customFormat="false" ht="13.8" hidden="false" customHeight="false" outlineLevel="0" collapsed="false">
      <c r="B39" s="2" t="n">
        <v>38</v>
      </c>
      <c r="C39" s="2" t="n">
        <v>0.0002</v>
      </c>
      <c r="D39" s="2" t="n">
        <v>3.15306856880805E-005</v>
      </c>
      <c r="E39" s="2" t="n">
        <v>0</v>
      </c>
    </row>
    <row r="40" customFormat="false" ht="13.8" hidden="false" customHeight="false" outlineLevel="0" collapsed="false">
      <c r="B40" s="2" t="n">
        <v>39</v>
      </c>
      <c r="C40" s="2" t="n">
        <v>0.0002</v>
      </c>
      <c r="D40" s="2" t="n">
        <v>3.1536001048091E-005</v>
      </c>
      <c r="E40" s="2" t="n">
        <v>0</v>
      </c>
    </row>
    <row r="41" customFormat="false" ht="13.8" hidden="false" customHeight="false" outlineLevel="0" collapsed="false">
      <c r="B41" s="2" t="n">
        <v>40</v>
      </c>
      <c r="C41" s="2" t="n">
        <v>0</v>
      </c>
      <c r="D41" s="2" t="n">
        <v>3.15413164612556E-005</v>
      </c>
      <c r="E41" s="2" t="n">
        <v>0</v>
      </c>
    </row>
    <row r="42" customFormat="false" ht="13.8" hidden="false" customHeight="false" outlineLevel="0" collapsed="false">
      <c r="B42" s="2" t="n">
        <v>41</v>
      </c>
      <c r="C42" s="2" t="n">
        <v>0</v>
      </c>
      <c r="D42" s="2" t="n">
        <v>3.15466319275748E-005</v>
      </c>
      <c r="E42" s="2" t="n">
        <v>0</v>
      </c>
    </row>
    <row r="43" customFormat="false" ht="13.8" hidden="false" customHeight="false" outlineLevel="0" collapsed="false">
      <c r="B43" s="2" t="n">
        <v>42</v>
      </c>
      <c r="C43" s="2" t="n">
        <v>0</v>
      </c>
      <c r="D43" s="2" t="n">
        <v>3.15519474470493E-005</v>
      </c>
      <c r="E43" s="2" t="n">
        <v>0</v>
      </c>
    </row>
    <row r="44" customFormat="false" ht="13.8" hidden="false" customHeight="false" outlineLevel="0" collapsed="false">
      <c r="B44" s="2" t="n">
        <v>43</v>
      </c>
      <c r="C44" s="2" t="n">
        <v>0</v>
      </c>
      <c r="D44" s="2" t="n">
        <v>3.15572630196795E-005</v>
      </c>
      <c r="E44" s="2" t="n">
        <v>0</v>
      </c>
    </row>
    <row r="45" customFormat="false" ht="13.8" hidden="false" customHeight="false" outlineLevel="0" collapsed="false">
      <c r="B45" s="2" t="n">
        <v>44</v>
      </c>
      <c r="C45" s="2" t="n">
        <v>0</v>
      </c>
      <c r="D45" s="2" t="n">
        <v>3.15625786454658E-005</v>
      </c>
      <c r="E45" s="2" t="n">
        <v>0</v>
      </c>
    </row>
    <row r="46" customFormat="false" ht="13.8" hidden="false" customHeight="false" outlineLevel="0" collapsed="false">
      <c r="B46" s="2" t="n">
        <v>45</v>
      </c>
      <c r="C46" s="2" t="n">
        <v>0</v>
      </c>
      <c r="D46" s="2" t="n">
        <v>3.1567894324409E-005</v>
      </c>
      <c r="E46" s="2" t="n">
        <v>0</v>
      </c>
    </row>
    <row r="47" customFormat="false" ht="13.8" hidden="false" customHeight="false" outlineLevel="0" collapsed="false">
      <c r="B47" s="2" t="n">
        <v>46</v>
      </c>
      <c r="C47" s="2" t="n">
        <v>0</v>
      </c>
      <c r="D47" s="2" t="n">
        <v>3.15732100565096E-005</v>
      </c>
      <c r="E47" s="2" t="n">
        <v>0</v>
      </c>
    </row>
    <row r="48" customFormat="false" ht="13.8" hidden="false" customHeight="false" outlineLevel="0" collapsed="false">
      <c r="B48" s="2" t="n">
        <v>47</v>
      </c>
      <c r="C48" s="2" t="n">
        <v>0</v>
      </c>
      <c r="D48" s="2" t="n">
        <v>3.1578525841768E-005</v>
      </c>
      <c r="E48" s="2" t="n">
        <v>0</v>
      </c>
    </row>
    <row r="49" customFormat="false" ht="13.8" hidden="false" customHeight="false" outlineLevel="0" collapsed="false">
      <c r="B49" s="2" t="n">
        <v>48</v>
      </c>
      <c r="C49" s="2" t="n">
        <v>0</v>
      </c>
      <c r="D49" s="2" t="n">
        <v>3.15838416801847E-005</v>
      </c>
      <c r="E49" s="2" t="n">
        <v>1.37440327876806E-009</v>
      </c>
    </row>
    <row r="50" customFormat="false" ht="13.8" hidden="false" customHeight="false" outlineLevel="0" collapsed="false">
      <c r="B50" s="2" t="n">
        <v>49</v>
      </c>
      <c r="C50" s="2" t="n">
        <v>0</v>
      </c>
      <c r="D50" s="2" t="n">
        <v>3.15891575717605E-005</v>
      </c>
      <c r="E50" s="2" t="n">
        <v>2.74882030168176E-009</v>
      </c>
    </row>
    <row r="51" customFormat="false" ht="13.8" hidden="false" customHeight="false" outlineLevel="0" collapsed="false">
      <c r="B51" s="2" t="n">
        <v>50</v>
      </c>
      <c r="C51" s="2" t="n">
        <v>0</v>
      </c>
      <c r="D51" s="2" t="n">
        <v>3.15944735164956E-005</v>
      </c>
      <c r="E51" s="2" t="n">
        <v>4.1232510688901E-009</v>
      </c>
    </row>
    <row r="52" customFormat="false" ht="13.8" hidden="false" customHeight="false" outlineLevel="0" collapsed="false">
      <c r="B52" s="2" t="n">
        <v>51</v>
      </c>
      <c r="C52" s="2" t="n">
        <v>0</v>
      </c>
      <c r="D52" s="2" t="n">
        <v>3.15997895143907E-005</v>
      </c>
      <c r="E52" s="2" t="n">
        <v>0</v>
      </c>
    </row>
    <row r="53" customFormat="false" ht="13.8" hidden="false" customHeight="false" outlineLevel="0" collapsed="false">
      <c r="B53" s="2" t="n">
        <v>52</v>
      </c>
      <c r="C53" s="2" t="n">
        <v>0</v>
      </c>
      <c r="D53" s="2" t="n">
        <v>3.16051055654463E-005</v>
      </c>
      <c r="E53" s="2" t="n">
        <v>0</v>
      </c>
    </row>
    <row r="54" customFormat="false" ht="13.8" hidden="false" customHeight="false" outlineLevel="0" collapsed="false">
      <c r="B54" s="2" t="n">
        <v>53</v>
      </c>
      <c r="C54" s="2" t="n">
        <v>5.00005000045461E-009</v>
      </c>
      <c r="D54" s="2" t="n">
        <v>3.1610421669663E-005</v>
      </c>
      <c r="E54" s="2" t="n">
        <v>0</v>
      </c>
    </row>
    <row r="55" customFormat="false" ht="13.8" hidden="false" customHeight="false" outlineLevel="0" collapsed="false">
      <c r="B55" s="2" t="n">
        <v>54</v>
      </c>
      <c r="C55" s="2" t="n">
        <v>1.00001500019207E-008</v>
      </c>
      <c r="D55" s="2" t="n">
        <v>3.16157378270413E-005</v>
      </c>
      <c r="E55" s="2" t="n">
        <v>4.38690185546876E-017</v>
      </c>
    </row>
    <row r="56" customFormat="false" ht="13.8" hidden="false" customHeight="false" outlineLevel="0" collapsed="false">
      <c r="B56" s="2" t="n">
        <v>55</v>
      </c>
      <c r="C56" s="2" t="n">
        <v>1.50003000049404E-008</v>
      </c>
      <c r="D56" s="2" t="n">
        <v>3.16210540375816E-005</v>
      </c>
      <c r="E56" s="2" t="n">
        <v>1.37440327876806E-009</v>
      </c>
    </row>
    <row r="57" customFormat="false" ht="13.8" hidden="false" customHeight="false" outlineLevel="0" collapsed="false">
      <c r="B57" s="2" t="n">
        <v>56</v>
      </c>
      <c r="C57" s="2" t="n">
        <v>2.00005000099698E-008</v>
      </c>
      <c r="D57" s="2" t="n">
        <v>3.16263703012846E-005</v>
      </c>
      <c r="E57" s="2" t="n">
        <v>1.00001500019207E-008</v>
      </c>
    </row>
    <row r="58" customFormat="false" ht="13.8" hidden="false" customHeight="false" outlineLevel="0" collapsed="false">
      <c r="B58" s="2" t="n">
        <v>57</v>
      </c>
      <c r="C58" s="2" t="n">
        <v>2.50007500175285E-008</v>
      </c>
      <c r="D58" s="2" t="n">
        <v>3.16316866181507E-005</v>
      </c>
      <c r="E58" s="2" t="n">
        <v>0</v>
      </c>
    </row>
    <row r="59" customFormat="false" ht="13.8" hidden="false" customHeight="false" outlineLevel="0" collapsed="false">
      <c r="B59" s="2" t="n">
        <v>58</v>
      </c>
      <c r="C59" s="2" t="n">
        <v>3.00010500280503E-008</v>
      </c>
      <c r="D59" s="2" t="n">
        <v>3.16370029881806E-005</v>
      </c>
      <c r="E59" s="2" t="n">
        <v>0</v>
      </c>
    </row>
    <row r="60" customFormat="false" ht="13.8" hidden="false" customHeight="false" outlineLevel="0" collapsed="false">
      <c r="B60" s="2" t="n">
        <v>59</v>
      </c>
      <c r="C60" s="2" t="n">
        <v>3.50014000419837E-008</v>
      </c>
      <c r="D60" s="2" t="n">
        <v>3.16423194113747E-005</v>
      </c>
      <c r="E60" s="2" t="n">
        <v>0</v>
      </c>
    </row>
    <row r="61" customFormat="false" ht="13.8" hidden="false" customHeight="false" outlineLevel="0" collapsed="false">
      <c r="B61" s="2" t="n">
        <v>60</v>
      </c>
      <c r="C61" s="2" t="n">
        <v>0.0002</v>
      </c>
      <c r="D61" s="2" t="n">
        <v>3.16476358877335E-005</v>
      </c>
      <c r="E61" s="2" t="n">
        <v>3.33786010742188E-017</v>
      </c>
    </row>
    <row r="62" customFormat="false" ht="13.8" hidden="false" customHeight="false" outlineLevel="0" collapsed="false">
      <c r="B62" s="2" t="n">
        <v>61</v>
      </c>
      <c r="C62" s="2" t="n">
        <v>0.0002</v>
      </c>
      <c r="D62" s="2" t="n">
        <v>3.16529524172576E-005</v>
      </c>
      <c r="E62" s="2" t="n">
        <v>0</v>
      </c>
    </row>
    <row r="63" customFormat="false" ht="13.8" hidden="false" customHeight="false" outlineLevel="0" collapsed="false">
      <c r="B63" s="2" t="n">
        <v>62</v>
      </c>
      <c r="C63" s="2" t="n">
        <v>0.0002</v>
      </c>
      <c r="D63" s="2" t="n">
        <v>3.16582689999476E-005</v>
      </c>
      <c r="E63" s="2" t="n">
        <v>2.65121459960938E-016</v>
      </c>
    </row>
    <row r="64" customFormat="false" ht="13.8" hidden="false" customHeight="false" outlineLevel="0" collapsed="false">
      <c r="B64" s="2" t="n">
        <v>63</v>
      </c>
      <c r="C64" s="2" t="n">
        <v>0.0002</v>
      </c>
      <c r="D64" s="2" t="n">
        <v>3.16635856358039E-005</v>
      </c>
      <c r="E64" s="2" t="n">
        <v>1.37440327876806E-009</v>
      </c>
    </row>
    <row r="65" customFormat="false" ht="13.8" hidden="false" customHeight="false" outlineLevel="0" collapsed="false">
      <c r="B65" s="2" t="n">
        <v>64</v>
      </c>
      <c r="C65" s="2" t="n">
        <v>0.0002</v>
      </c>
      <c r="D65" s="2" t="n">
        <v>3.16689023248272E-005</v>
      </c>
      <c r="E65" s="2" t="n">
        <v>2.74882030168176E-009</v>
      </c>
    </row>
    <row r="66" customFormat="false" ht="13.8" hidden="false" customHeight="false" outlineLevel="0" collapsed="false">
      <c r="B66" s="2" t="n">
        <v>65</v>
      </c>
      <c r="C66" s="2" t="n">
        <v>0.0002</v>
      </c>
      <c r="D66" s="2" t="n">
        <v>3.16742190670179E-005</v>
      </c>
      <c r="E66" s="2" t="n">
        <v>4.1232510688901E-009</v>
      </c>
    </row>
    <row r="67" customFormat="false" ht="13.8" hidden="false" customHeight="false" outlineLevel="0" collapsed="false">
      <c r="B67" s="2" t="n">
        <v>66</v>
      </c>
      <c r="C67" s="2" t="n">
        <v>0.0002</v>
      </c>
      <c r="D67" s="2" t="n">
        <v>3.16795358623765E-005</v>
      </c>
      <c r="E67" s="2" t="n">
        <v>5.4976955806017E-009</v>
      </c>
    </row>
    <row r="68" customFormat="false" ht="13.8" hidden="false" customHeight="false" outlineLevel="0" collapsed="false">
      <c r="B68" s="2" t="n">
        <v>67</v>
      </c>
      <c r="C68" s="2" t="n">
        <v>0.0002</v>
      </c>
      <c r="D68" s="2" t="n">
        <v>3.16848527109036E-005</v>
      </c>
      <c r="E68" s="2" t="n">
        <v>6.87215383687616E-009</v>
      </c>
    </row>
    <row r="69" customFormat="false" ht="13.8" hidden="false" customHeight="false" outlineLevel="0" collapsed="false">
      <c r="B69" s="2" t="n">
        <v>68</v>
      </c>
      <c r="C69" s="2" t="n">
        <v>0.0002316901696126</v>
      </c>
      <c r="D69" s="2" t="n">
        <v>3.16901696125995E-005</v>
      </c>
      <c r="E69" s="2" t="n">
        <v>3.16901696125995E-005</v>
      </c>
    </row>
    <row r="70" customFormat="false" ht="13.8" hidden="false" customHeight="false" outlineLevel="0" collapsed="false">
      <c r="B70" s="2" t="n">
        <v>69</v>
      </c>
      <c r="C70" s="2" t="n">
        <v>0.00131732551297133</v>
      </c>
      <c r="D70" s="2" t="n">
        <v>0.00111732716222227</v>
      </c>
      <c r="E70" s="2" t="n">
        <v>0.00111732716222227</v>
      </c>
    </row>
    <row r="71" customFormat="false" ht="13.8" hidden="false" customHeight="false" outlineLevel="0" collapsed="false">
      <c r="B71" s="2" t="n">
        <v>70</v>
      </c>
      <c r="C71" s="2" t="n">
        <v>0.0013173322360495</v>
      </c>
      <c r="D71" s="2" t="n">
        <v>0.00111733333555563</v>
      </c>
      <c r="E71" s="2" t="n">
        <v>0.00111733333555563</v>
      </c>
    </row>
    <row r="72" customFormat="false" ht="13.8" hidden="false" customHeight="false" outlineLevel="0" collapsed="false">
      <c r="B72" s="2" t="n">
        <v>71</v>
      </c>
      <c r="C72" s="2" t="n">
        <v>0.00131733895919491</v>
      </c>
      <c r="D72" s="2" t="n">
        <v>0.00111733950895072</v>
      </c>
      <c r="E72" s="2" t="n">
        <v>0.00111733950895072</v>
      </c>
    </row>
    <row r="73" customFormat="false" ht="13.8" hidden="false" customHeight="false" outlineLevel="0" collapsed="false">
      <c r="B73" s="2" t="n">
        <v>72</v>
      </c>
      <c r="C73" s="2" t="n">
        <v>0.00131734568240754</v>
      </c>
      <c r="D73" s="2" t="n">
        <v>0.00111734568240754</v>
      </c>
      <c r="E73" s="2" t="n">
        <v>0.00111734568240754</v>
      </c>
    </row>
    <row r="74" customFormat="false" ht="13.8" hidden="false" customHeight="false" outlineLevel="0" collapsed="false">
      <c r="B74" s="2" t="n">
        <v>73</v>
      </c>
      <c r="C74" s="2" t="n">
        <v>0.00131735330618479</v>
      </c>
      <c r="D74" s="2" t="n">
        <v>0.0011173518559261</v>
      </c>
      <c r="E74" s="2" t="n">
        <v>0.0011173518559261</v>
      </c>
    </row>
    <row r="75" customFormat="false" ht="13.8" hidden="false" customHeight="false" outlineLevel="0" collapsed="false">
      <c r="B75" s="2" t="n">
        <v>74</v>
      </c>
      <c r="C75" s="2" t="n">
        <v>0.0013173580295064</v>
      </c>
      <c r="D75" s="2" t="n">
        <v>0.0011173580295064</v>
      </c>
      <c r="E75" s="2" t="n">
        <v>0.0011173580295064</v>
      </c>
    </row>
    <row r="76" customFormat="false" ht="13.8" hidden="false" customHeight="false" outlineLevel="0" collapsed="false">
      <c r="B76" s="2" t="n">
        <v>75</v>
      </c>
      <c r="C76" s="2" t="n">
        <v>0.00131736420314843</v>
      </c>
      <c r="D76" s="2" t="n">
        <v>0.00111736420314843</v>
      </c>
      <c r="E76" s="2" t="n">
        <v>0.00111736420314843</v>
      </c>
    </row>
    <row r="77" customFormat="false" ht="13.8" hidden="false" customHeight="false" outlineLevel="0" collapsed="false">
      <c r="B77" s="2" t="n">
        <v>76</v>
      </c>
      <c r="C77" s="2" t="n">
        <v>0.00131737617797397</v>
      </c>
      <c r="D77" s="2" t="n">
        <v>0.00131732438191184</v>
      </c>
      <c r="E77" s="2" t="n">
        <v>0.0011173703768522</v>
      </c>
    </row>
    <row r="78" customFormat="false" ht="13.8" hidden="false" customHeight="false" outlineLevel="0" collapsed="false">
      <c r="B78" s="2" t="n">
        <v>77</v>
      </c>
      <c r="C78" s="2" t="n">
        <v>0.0013173765506177</v>
      </c>
      <c r="D78" s="2" t="n">
        <v>0.0011173765506177</v>
      </c>
      <c r="E78" s="2" t="n">
        <v>0.0011173765506177</v>
      </c>
    </row>
    <row r="79" customFormat="false" ht="13.8" hidden="false" customHeight="false" outlineLevel="0" collapsed="false">
      <c r="B79" s="2" t="n">
        <v>78</v>
      </c>
      <c r="C79" s="2" t="n">
        <v>0.00131738272444495</v>
      </c>
      <c r="D79" s="2" t="n">
        <v>0.00131734072864468</v>
      </c>
      <c r="E79" s="2" t="n">
        <v>0.00111738272444495</v>
      </c>
    </row>
    <row r="80" customFormat="false" ht="13.8" hidden="false" customHeight="false" outlineLevel="0" collapsed="false">
      <c r="B80" s="2" t="n">
        <v>79</v>
      </c>
      <c r="C80" s="2" t="n">
        <v>0.00131738889833393</v>
      </c>
      <c r="D80" s="2" t="n">
        <v>0.0013173489021337</v>
      </c>
      <c r="E80" s="2" t="n">
        <v>0.00111738889833393</v>
      </c>
    </row>
    <row r="81" customFormat="false" ht="13.8" hidden="false" customHeight="false" outlineLevel="0" collapsed="false">
      <c r="B81" s="2" t="n">
        <v>80</v>
      </c>
      <c r="C81" s="2" t="n">
        <v>0.00131739507228465</v>
      </c>
      <c r="D81" s="2" t="n">
        <v>0.00131735707570446</v>
      </c>
      <c r="E81" s="2" t="n">
        <v>0.00111739507228465</v>
      </c>
    </row>
    <row r="82" customFormat="false" ht="13.8" hidden="false" customHeight="false" outlineLevel="0" collapsed="false">
      <c r="B82" s="2" t="n">
        <v>81</v>
      </c>
      <c r="C82" s="2" t="n">
        <v>0.00131740124629712</v>
      </c>
      <c r="D82" s="2" t="n">
        <v>0.00131736524935695</v>
      </c>
      <c r="E82" s="2" t="n">
        <v>0.00111740124629712</v>
      </c>
    </row>
    <row r="83" customFormat="false" ht="13.8" hidden="false" customHeight="false" outlineLevel="0" collapsed="false">
      <c r="B83" s="2" t="n">
        <v>82</v>
      </c>
      <c r="C83" s="2" t="n">
        <v>0.00131740742037132</v>
      </c>
      <c r="D83" s="2" t="n">
        <v>0.00131737342309118</v>
      </c>
      <c r="E83" s="2" t="n">
        <v>0.00111740742037132</v>
      </c>
    </row>
    <row r="84" customFormat="false" ht="13.8" hidden="false" customHeight="false" outlineLevel="0" collapsed="false">
      <c r="B84" s="2" t="n">
        <v>83</v>
      </c>
      <c r="C84" s="2" t="n">
        <v>0.00131741359450727</v>
      </c>
      <c r="D84" s="2" t="n">
        <v>0.00131738159690715</v>
      </c>
      <c r="E84" s="2" t="n">
        <v>0.00111741359450727</v>
      </c>
    </row>
    <row r="85" customFormat="false" ht="13.8" hidden="false" customHeight="false" outlineLevel="0" collapsed="false">
      <c r="B85" s="2" t="n">
        <v>84</v>
      </c>
      <c r="C85" s="2" t="n">
        <v>0.00131741976870495</v>
      </c>
      <c r="D85" s="2" t="n">
        <v>0.00131738977080486</v>
      </c>
      <c r="E85" s="2" t="n">
        <v>0.00111741976870495</v>
      </c>
    </row>
    <row r="86" customFormat="false" ht="13.8" hidden="false" customHeight="false" outlineLevel="0" collapsed="false">
      <c r="B86" s="2" t="n">
        <v>85</v>
      </c>
      <c r="C86" s="2" t="n">
        <v>0.00131742594296438</v>
      </c>
      <c r="D86" s="2" t="n">
        <v>0.00131739794478431</v>
      </c>
      <c r="E86" s="2" t="n">
        <v>0.00111742594296438</v>
      </c>
    </row>
    <row r="87" customFormat="false" ht="13.8" hidden="false" customHeight="false" outlineLevel="0" collapsed="false">
      <c r="B87" s="2" t="n">
        <v>86</v>
      </c>
      <c r="C87" s="2" t="n">
        <v>0.00131743046803461</v>
      </c>
      <c r="D87" s="2" t="n">
        <v>0.0013174061188455</v>
      </c>
      <c r="E87" s="2" t="n">
        <v>0.00111743211728556</v>
      </c>
    </row>
    <row r="88" customFormat="false" ht="13.8" hidden="false" customHeight="false" outlineLevel="0" collapsed="false">
      <c r="B88" s="2" t="n">
        <v>87</v>
      </c>
      <c r="C88" s="2" t="n">
        <v>0.00131743719216234</v>
      </c>
      <c r="D88" s="2" t="n">
        <v>0.00131741429298843</v>
      </c>
      <c r="E88" s="2" t="n">
        <v>0.00111743829166847</v>
      </c>
    </row>
    <row r="89" customFormat="false" ht="13.8" hidden="false" customHeight="false" outlineLevel="0" collapsed="false">
      <c r="B89" s="2" t="n">
        <v>88</v>
      </c>
      <c r="C89" s="2" t="n">
        <v>0.00131744391635732</v>
      </c>
      <c r="D89" s="2" t="n">
        <v>0.0013174224672131</v>
      </c>
      <c r="E89" s="2" t="n">
        <v>0.00111744446611313</v>
      </c>
    </row>
    <row r="90" customFormat="false" ht="13.8" hidden="false" customHeight="false" outlineLevel="0" collapsed="false">
      <c r="B90" s="2" t="n">
        <v>89</v>
      </c>
      <c r="C90" s="2" t="n">
        <v>0.00131745064061954</v>
      </c>
      <c r="D90" s="2" t="n">
        <v>0.00131743064151952</v>
      </c>
      <c r="E90" s="2" t="n">
        <v>0.00111745064061954</v>
      </c>
    </row>
    <row r="91" customFormat="false" ht="13.8" hidden="false" customHeight="false" outlineLevel="0" collapsed="false">
      <c r="B91" s="2" t="n">
        <v>90</v>
      </c>
      <c r="C91" s="2" t="n">
        <v>0.00131745681518769</v>
      </c>
      <c r="D91" s="2" t="n">
        <v>0.00131743881590767</v>
      </c>
      <c r="E91" s="2" t="n">
        <v>0.00111745681518769</v>
      </c>
    </row>
    <row r="92" customFormat="false" ht="13.8" hidden="false" customHeight="false" outlineLevel="0" collapsed="false">
      <c r="B92" s="2" t="n">
        <v>91</v>
      </c>
      <c r="C92" s="2" t="n">
        <v>0.00131746298981759</v>
      </c>
      <c r="D92" s="2" t="n">
        <v>0.00131744699037758</v>
      </c>
      <c r="E92" s="2" t="n">
        <v>0.00111746298981759</v>
      </c>
    </row>
    <row r="93" customFormat="false" ht="13.8" hidden="false" customHeight="false" outlineLevel="0" collapsed="false">
      <c r="B93" s="2" t="n">
        <v>92</v>
      </c>
      <c r="C93" s="2" t="n">
        <v>0.00131746916450923</v>
      </c>
      <c r="D93" s="2" t="n">
        <v>0.00131745516492923</v>
      </c>
      <c r="E93" s="2" t="n">
        <v>0.00111746916450923</v>
      </c>
    </row>
    <row r="94" customFormat="false" ht="13.8" hidden="false" customHeight="false" outlineLevel="0" collapsed="false">
      <c r="B94" s="2" t="n">
        <v>93</v>
      </c>
      <c r="C94" s="2" t="n">
        <v>0.00131747533926263</v>
      </c>
      <c r="D94" s="2" t="n">
        <v>0.00131746333956262</v>
      </c>
      <c r="E94" s="2" t="n">
        <v>0.00111747533926263</v>
      </c>
    </row>
    <row r="95" customFormat="false" ht="13.8" hidden="false" customHeight="false" outlineLevel="0" collapsed="false">
      <c r="B95" s="2" t="n">
        <v>94</v>
      </c>
      <c r="C95" s="2" t="n">
        <v>0.00131748096432195</v>
      </c>
      <c r="D95" s="2" t="n">
        <v>0.00131747151427777</v>
      </c>
      <c r="E95" s="2" t="n">
        <v>0.00111748151407777</v>
      </c>
    </row>
    <row r="96" customFormat="false" ht="13.8" hidden="false" customHeight="false" outlineLevel="0" collapsed="false">
      <c r="B96" s="2" t="n">
        <v>95</v>
      </c>
      <c r="C96" s="2" t="n">
        <v>0.00131748713919884</v>
      </c>
      <c r="D96" s="2" t="n">
        <v>0.00131747968907466</v>
      </c>
      <c r="E96" s="2" t="n">
        <v>0.00111748768895466</v>
      </c>
    </row>
    <row r="97" customFormat="false" ht="13.8" hidden="false" customHeight="false" outlineLevel="0" collapsed="false">
      <c r="B97" s="2" t="n">
        <v>96</v>
      </c>
      <c r="C97" s="2" t="n">
        <v>0.0013174938638933</v>
      </c>
      <c r="D97" s="2" t="n">
        <v>0.0013174878639533</v>
      </c>
      <c r="E97" s="2" t="n">
        <v>0.0011174938638933</v>
      </c>
    </row>
    <row r="98" customFormat="false" ht="13.8" hidden="false" customHeight="false" outlineLevel="0" collapsed="false">
      <c r="B98" s="2" t="n">
        <v>97</v>
      </c>
      <c r="C98" s="2" t="n">
        <v>0.00131750003889368</v>
      </c>
      <c r="D98" s="2" t="n">
        <v>0.00131749603891368</v>
      </c>
      <c r="E98" s="2" t="n">
        <v>0.00111750003889368</v>
      </c>
    </row>
    <row r="99" customFormat="false" ht="13.8" hidden="false" customHeight="false" outlineLevel="0" collapsed="false">
      <c r="B99" s="2" t="n">
        <v>98</v>
      </c>
      <c r="C99" s="2" t="n">
        <v>0.00131750566420001</v>
      </c>
      <c r="D99" s="2" t="n">
        <v>0.00131750421395582</v>
      </c>
      <c r="E99" s="2" t="n">
        <v>0.00111750621395582</v>
      </c>
    </row>
    <row r="100" customFormat="false" ht="13.8" hidden="false" customHeight="false" outlineLevel="0" collapsed="false">
      <c r="B100" s="2" t="n">
        <v>99</v>
      </c>
      <c r="C100" s="2" t="n">
        <v>0.00131751238907972</v>
      </c>
      <c r="D100" s="2" t="n">
        <v>0.00131751238907972</v>
      </c>
      <c r="E100" s="2" t="n">
        <v>0.00111751238907971</v>
      </c>
    </row>
    <row r="101" customFormat="false" ht="13.8" hidden="false" customHeight="false" outlineLevel="0" collapsed="false">
      <c r="B101" s="2" t="n">
        <v>100</v>
      </c>
      <c r="C101" s="2" t="n">
        <v>0.00131751856426536</v>
      </c>
      <c r="D101" s="2" t="n">
        <v>0.00131751856426536</v>
      </c>
      <c r="E101" s="2" t="n">
        <v>0.00111751856426536</v>
      </c>
    </row>
    <row r="102" customFormat="false" ht="13.8" hidden="false" customHeight="false" outlineLevel="0" collapsed="false">
      <c r="B102" s="2" t="n">
        <v>101</v>
      </c>
      <c r="C102" s="2" t="n">
        <v>0.00131752473951275</v>
      </c>
      <c r="D102" s="2" t="n">
        <v>0.00131752473951275</v>
      </c>
      <c r="E102" s="2" t="n">
        <v>0.00111752473951275</v>
      </c>
    </row>
    <row r="103" customFormat="false" ht="13.8" hidden="false" customHeight="false" outlineLevel="0" collapsed="false">
      <c r="B103" s="2" t="n">
        <v>102</v>
      </c>
      <c r="C103" s="2" t="n">
        <v>0.0013175309148219</v>
      </c>
      <c r="D103" s="2" t="n">
        <v>0.0013175309148219</v>
      </c>
      <c r="E103" s="2" t="n">
        <v>0.0011175309148219</v>
      </c>
    </row>
    <row r="104" customFormat="false" ht="13.8" hidden="false" customHeight="false" outlineLevel="0" collapsed="false">
      <c r="B104" s="2" t="n">
        <v>103</v>
      </c>
      <c r="C104" s="2" t="n">
        <v>0.0013175370901928</v>
      </c>
      <c r="D104" s="2" t="n">
        <v>0.0013175370901928</v>
      </c>
      <c r="E104" s="2" t="n">
        <v>0.0011175370901928</v>
      </c>
    </row>
    <row r="105" customFormat="false" ht="13.8" hidden="false" customHeight="false" outlineLevel="0" collapsed="false">
      <c r="B105" s="2" t="n">
        <v>104</v>
      </c>
      <c r="C105" s="2" t="n">
        <v>0.00131754326562546</v>
      </c>
      <c r="D105" s="2" t="n">
        <v>0.00131754326562546</v>
      </c>
      <c r="E105" s="2" t="n">
        <v>0.00111754326562546</v>
      </c>
    </row>
    <row r="106" customFormat="false" ht="13.8" hidden="false" customHeight="false" outlineLevel="0" collapsed="false">
      <c r="B106" s="2" t="n">
        <v>105</v>
      </c>
      <c r="C106" s="2" t="n">
        <v>0.00131754944111987</v>
      </c>
      <c r="D106" s="2" t="n">
        <v>0.00131754944111987</v>
      </c>
      <c r="E106" s="2" t="n">
        <v>0.00111754944111987</v>
      </c>
    </row>
    <row r="107" customFormat="false" ht="13.8" hidden="false" customHeight="false" outlineLevel="0" collapsed="false">
      <c r="B107" s="2" t="n">
        <v>106</v>
      </c>
      <c r="C107" s="2" t="n">
        <v>0.00131755561667604</v>
      </c>
      <c r="D107" s="2" t="n">
        <v>0.00131755561667604</v>
      </c>
      <c r="E107" s="2" t="n">
        <v>0.00111755561667604</v>
      </c>
    </row>
    <row r="108" customFormat="false" ht="13.8" hidden="false" customHeight="false" outlineLevel="0" collapsed="false">
      <c r="B108" s="2" t="n">
        <v>107</v>
      </c>
      <c r="C108" s="2" t="n">
        <v>0.00131756179229396</v>
      </c>
      <c r="D108" s="2" t="n">
        <v>0.00131756179229396</v>
      </c>
      <c r="E108" s="2" t="n">
        <v>0.00111756179229396</v>
      </c>
    </row>
    <row r="109" customFormat="false" ht="13.8" hidden="false" customHeight="false" outlineLevel="0" collapsed="false">
      <c r="B109" s="2" t="n">
        <v>108</v>
      </c>
      <c r="C109" s="2" t="n">
        <v>0.00131756796797364</v>
      </c>
      <c r="D109" s="2" t="n">
        <v>0.00131756796797364</v>
      </c>
      <c r="E109" s="2" t="n">
        <v>0.00111756796797364</v>
      </c>
    </row>
    <row r="110" customFormat="false" ht="13.8" hidden="false" customHeight="false" outlineLevel="0" collapsed="false">
      <c r="B110" s="2" t="n">
        <v>109</v>
      </c>
      <c r="C110" s="2" t="n">
        <v>0.00131757414371508</v>
      </c>
      <c r="D110" s="2" t="n">
        <v>0.00131757414371508</v>
      </c>
      <c r="E110" s="2" t="n">
        <v>0.00111757414371508</v>
      </c>
    </row>
    <row r="111" customFormat="false" ht="13.8" hidden="false" customHeight="false" outlineLevel="0" collapsed="false">
      <c r="B111" s="2" t="n">
        <v>110</v>
      </c>
      <c r="C111" s="2" t="n">
        <v>0.00131758031951827</v>
      </c>
      <c r="D111" s="2" t="n">
        <v>0.00131758031951827</v>
      </c>
      <c r="E111" s="2" t="n">
        <v>0.00111758031951827</v>
      </c>
    </row>
    <row r="112" customFormat="false" ht="13.8" hidden="false" customHeight="false" outlineLevel="0" collapsed="false">
      <c r="B112" s="2" t="n">
        <v>111</v>
      </c>
      <c r="C112" s="2" t="n">
        <v>0.00131758649538323</v>
      </c>
      <c r="D112" s="2" t="n">
        <v>0.00131758649538323</v>
      </c>
      <c r="E112" s="2" t="n">
        <v>0.00111758649538323</v>
      </c>
    </row>
    <row r="113" customFormat="false" ht="13.8" hidden="false" customHeight="false" outlineLevel="0" collapsed="false">
      <c r="B113" s="2" t="n">
        <v>112</v>
      </c>
      <c r="C113" s="2" t="n">
        <v>0.00131759267130994</v>
      </c>
      <c r="D113" s="2" t="n">
        <v>0.00131759267130994</v>
      </c>
      <c r="E113" s="2" t="n">
        <v>0.00111759267130994</v>
      </c>
    </row>
    <row r="114" customFormat="false" ht="13.8" hidden="false" customHeight="false" outlineLevel="0" collapsed="false">
      <c r="B114" s="2" t="n">
        <v>113</v>
      </c>
      <c r="C114" s="2" t="n">
        <v>0.00131759884729841</v>
      </c>
      <c r="D114" s="2" t="n">
        <v>0.00131759884729841</v>
      </c>
      <c r="E114" s="2" t="n">
        <v>0.00111759884729841</v>
      </c>
    </row>
    <row r="115" customFormat="false" ht="13.8" hidden="false" customHeight="false" outlineLevel="0" collapsed="false">
      <c r="B115" s="2" t="n">
        <v>114</v>
      </c>
      <c r="C115" s="2" t="n">
        <v>0.00131760502334865</v>
      </c>
      <c r="D115" s="2" t="n">
        <v>0.00131760502334865</v>
      </c>
      <c r="E115" s="2" t="n">
        <v>0.00111760502334864</v>
      </c>
    </row>
    <row r="116" customFormat="false" ht="13.8" hidden="false" customHeight="false" outlineLevel="0" collapsed="false">
      <c r="B116" s="2" t="n">
        <v>115</v>
      </c>
      <c r="C116" s="2" t="n">
        <v>0.00131761119946064</v>
      </c>
      <c r="D116" s="2" t="n">
        <v>0.00131761119946064</v>
      </c>
      <c r="E116" s="2" t="n">
        <v>0.00111761119946064</v>
      </c>
    </row>
    <row r="117" customFormat="false" ht="13.8" hidden="false" customHeight="false" outlineLevel="0" collapsed="false">
      <c r="B117" s="2" t="n">
        <v>116</v>
      </c>
      <c r="C117" s="2" t="n">
        <v>0.0013176173756344</v>
      </c>
      <c r="D117" s="2" t="n">
        <v>0.0013176173756344</v>
      </c>
      <c r="E117" s="2" t="n">
        <v>0.0011176173756344</v>
      </c>
    </row>
    <row r="118" customFormat="false" ht="13.8" hidden="false" customHeight="false" outlineLevel="0" collapsed="false">
      <c r="B118" s="2" t="n">
        <v>117</v>
      </c>
      <c r="C118" s="2" t="n">
        <v>0.00131762355186991</v>
      </c>
      <c r="D118" s="2" t="n">
        <v>0.00131762355186991</v>
      </c>
      <c r="E118" s="2" t="n">
        <v>0.00111762355186991</v>
      </c>
    </row>
    <row r="119" customFormat="false" ht="13.8" hidden="false" customHeight="false" outlineLevel="0" collapsed="false">
      <c r="B119" s="2" t="n">
        <v>118</v>
      </c>
      <c r="C119" s="2" t="n">
        <v>0.0013176297281672</v>
      </c>
      <c r="D119" s="2" t="n">
        <v>0.0013176297281672</v>
      </c>
      <c r="E119" s="2" t="n">
        <v>0.0011176297281672</v>
      </c>
    </row>
    <row r="120" customFormat="false" ht="13.8" hidden="false" customHeight="false" outlineLevel="0" collapsed="false">
      <c r="B120" s="2" t="n">
        <v>119</v>
      </c>
      <c r="C120" s="2" t="n">
        <v>0.00131763590452624</v>
      </c>
      <c r="D120" s="2" t="n">
        <v>0.00131763590452624</v>
      </c>
      <c r="E120" s="2" t="n">
        <v>0.00111763590452624</v>
      </c>
    </row>
    <row r="121" customFormat="false" ht="13.8" hidden="false" customHeight="false" outlineLevel="0" collapsed="false">
      <c r="B121" s="2" t="n">
        <v>120</v>
      </c>
      <c r="C121" s="2" t="n">
        <v>0.00131764208094705</v>
      </c>
      <c r="D121" s="2" t="n">
        <v>0.00131764208094705</v>
      </c>
      <c r="E121" s="2" t="n">
        <v>0.00111764208094705</v>
      </c>
    </row>
    <row r="122" customFormat="false" ht="13.8" hidden="false" customHeight="false" outlineLevel="0" collapsed="false">
      <c r="B122" s="2" t="n">
        <v>121</v>
      </c>
      <c r="C122" s="2" t="n">
        <v>0.000200295088517996</v>
      </c>
      <c r="D122" s="2" t="n">
        <v>0.000200295088517996</v>
      </c>
      <c r="E122" s="2" t="n">
        <v>2.95088517996409E-007</v>
      </c>
    </row>
    <row r="123" customFormat="false" ht="13.8" hidden="false" customHeight="false" outlineLevel="0" collapsed="false">
      <c r="B123" s="2" t="n">
        <v>122</v>
      </c>
      <c r="C123" s="2" t="n">
        <v>0.00131765443397397</v>
      </c>
      <c r="D123" s="2" t="n">
        <v>0.00111765443397396</v>
      </c>
      <c r="E123" s="2" t="n">
        <v>0.00111765443397396</v>
      </c>
    </row>
    <row r="124" customFormat="false" ht="13.8" hidden="false" customHeight="false" outlineLevel="0" collapsed="false">
      <c r="B124" s="2" t="n">
        <v>123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124</v>
      </c>
      <c r="C125" s="2" t="n">
        <v>0.0002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125</v>
      </c>
      <c r="C126" s="2" t="n">
        <v>0.0002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126</v>
      </c>
      <c r="C127" s="2" t="n">
        <v>0.0002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127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128</v>
      </c>
      <c r="C129" s="2" t="n">
        <v>0.0002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129</v>
      </c>
      <c r="C130" s="2" t="n">
        <v>0.0002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130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131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132</v>
      </c>
      <c r="C133" s="2" t="n">
        <v>0.0002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133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134</v>
      </c>
      <c r="C135" s="2" t="n">
        <v>0.0002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135</v>
      </c>
      <c r="C136" s="2" t="n">
        <v>0</v>
      </c>
      <c r="D136" s="2" t="n">
        <v>5.00005000045461E-009</v>
      </c>
      <c r="E136" s="2" t="n">
        <v>0</v>
      </c>
    </row>
    <row r="137" customFormat="false" ht="13.8" hidden="false" customHeight="false" outlineLevel="0" collapsed="false">
      <c r="B137" s="2" t="n">
        <v>136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137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138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139</v>
      </c>
      <c r="C140" s="2" t="n">
        <v>0</v>
      </c>
      <c r="D140" s="2" t="n">
        <v>5.00005000045461E-009</v>
      </c>
      <c r="E140" s="2" t="n">
        <v>0</v>
      </c>
    </row>
    <row r="141" customFormat="false" ht="13.8" hidden="false" customHeight="false" outlineLevel="0" collapsed="false">
      <c r="B141" s="2" t="n">
        <v>140</v>
      </c>
      <c r="C141" s="2" t="n">
        <v>0</v>
      </c>
      <c r="D141" s="2" t="n">
        <v>1.00001500019207E-008</v>
      </c>
      <c r="E141" s="2" t="n">
        <v>0</v>
      </c>
    </row>
    <row r="142" customFormat="false" ht="13.8" hidden="false" customHeight="false" outlineLevel="0" collapsed="false">
      <c r="B142" s="2" t="n">
        <v>141</v>
      </c>
      <c r="C142" s="2" t="n">
        <v>0</v>
      </c>
      <c r="D142" s="2" t="n">
        <v>1.50003000049404E-008</v>
      </c>
      <c r="E142" s="2" t="n">
        <v>0</v>
      </c>
    </row>
    <row r="143" customFormat="false" ht="13.8" hidden="false" customHeight="false" outlineLevel="0" collapsed="false">
      <c r="B143" s="2" t="n">
        <v>142</v>
      </c>
      <c r="C143" s="2" t="n">
        <v>0</v>
      </c>
      <c r="D143" s="2" t="n">
        <v>2.00005000099698E-008</v>
      </c>
      <c r="E143" s="2" t="n">
        <v>0</v>
      </c>
    </row>
    <row r="144" customFormat="false" ht="13.8" hidden="false" customHeight="false" outlineLevel="0" collapsed="false">
      <c r="B144" s="2" t="n">
        <v>143</v>
      </c>
      <c r="C144" s="2" t="n">
        <v>0</v>
      </c>
      <c r="D144" s="2" t="n">
        <v>2.50007500175285E-008</v>
      </c>
      <c r="E144" s="2" t="n">
        <v>0</v>
      </c>
    </row>
    <row r="145" customFormat="false" ht="13.8" hidden="false" customHeight="false" outlineLevel="0" collapsed="false">
      <c r="B145" s="2" t="n">
        <v>144</v>
      </c>
      <c r="C145" s="2" t="n">
        <v>0</v>
      </c>
      <c r="D145" s="2" t="n">
        <v>3.00010500280503E-008</v>
      </c>
      <c r="E145" s="2" t="n">
        <v>1.37440327876806E-009</v>
      </c>
    </row>
    <row r="146" customFormat="false" ht="13.8" hidden="false" customHeight="false" outlineLevel="0" collapsed="false">
      <c r="B146" s="2" t="n">
        <v>145</v>
      </c>
      <c r="C146" s="2" t="n">
        <v>0</v>
      </c>
      <c r="D146" s="2" t="n">
        <v>3.50014000419837E-008</v>
      </c>
      <c r="E146" s="2" t="n">
        <v>2.74882030168176E-009</v>
      </c>
    </row>
    <row r="147" customFormat="false" ht="13.8" hidden="false" customHeight="false" outlineLevel="0" collapsed="false">
      <c r="B147" s="2" t="n">
        <v>146</v>
      </c>
      <c r="C147" s="2" t="n">
        <v>0</v>
      </c>
      <c r="D147" s="2" t="n">
        <v>4.00018000599718E-008</v>
      </c>
      <c r="E147" s="2" t="n">
        <v>0</v>
      </c>
    </row>
    <row r="148" customFormat="false" ht="13.8" hidden="false" customHeight="false" outlineLevel="0" collapsed="false">
      <c r="B148" s="2" t="n">
        <v>147</v>
      </c>
      <c r="C148" s="2" t="n">
        <v>0</v>
      </c>
      <c r="D148" s="2" t="n">
        <v>4.50022500824484E-008</v>
      </c>
      <c r="E148" s="2" t="n">
        <v>0</v>
      </c>
    </row>
    <row r="149" customFormat="false" ht="13.8" hidden="false" customHeight="false" outlineLevel="0" collapsed="false">
      <c r="B149" s="2" t="n">
        <v>148</v>
      </c>
      <c r="C149" s="2" t="n">
        <v>0</v>
      </c>
      <c r="D149" s="2" t="n">
        <v>5.00027501099554E-008</v>
      </c>
      <c r="E149" s="2" t="n">
        <v>0</v>
      </c>
    </row>
    <row r="150" customFormat="false" ht="13.8" hidden="false" customHeight="false" outlineLevel="0" collapsed="false">
      <c r="B150" s="2" t="n">
        <v>149</v>
      </c>
      <c r="C150" s="2" t="n">
        <v>0</v>
      </c>
      <c r="D150" s="2" t="n">
        <v>3.98841081371042E-008</v>
      </c>
      <c r="E150" s="2" t="n">
        <v>0</v>
      </c>
    </row>
    <row r="151" customFormat="false" ht="13.8" hidden="false" customHeight="false" outlineLevel="0" collapsed="false">
      <c r="B151" s="2" t="n">
        <v>150</v>
      </c>
      <c r="C151" s="2" t="n">
        <v>5.00005000045461E-009</v>
      </c>
      <c r="D151" s="2" t="n">
        <v>4.48845569826419E-008</v>
      </c>
      <c r="E151" s="2" t="n">
        <v>0</v>
      </c>
    </row>
    <row r="152" customFormat="false" ht="13.8" hidden="false" customHeight="false" outlineLevel="0" collapsed="false">
      <c r="B152" s="2" t="n">
        <v>151</v>
      </c>
      <c r="C152" s="2" t="n">
        <v>1.00001500019207E-008</v>
      </c>
      <c r="D152" s="2" t="n">
        <v>4.9885055833137E-008</v>
      </c>
      <c r="E152" s="2" t="n">
        <v>0</v>
      </c>
    </row>
    <row r="153" customFormat="false" ht="13.8" hidden="false" customHeight="false" outlineLevel="0" collapsed="false">
      <c r="B153" s="2" t="n">
        <v>152</v>
      </c>
      <c r="C153" s="2" t="n">
        <v>0.00020007000525028</v>
      </c>
      <c r="D153" s="2" t="n">
        <v>7.00052502798296E-008</v>
      </c>
      <c r="E153" s="2" t="n">
        <v>1.92428966518039E-008</v>
      </c>
    </row>
    <row r="154" customFormat="false" ht="13.8" hidden="false" customHeight="false" outlineLevel="0" collapsed="false">
      <c r="B154" s="2" t="n">
        <v>153</v>
      </c>
      <c r="C154" s="2" t="n">
        <v>2.00005000099698E-008</v>
      </c>
      <c r="D154" s="2" t="n">
        <v>5.98862035512465E-008</v>
      </c>
      <c r="E154" s="2" t="n">
        <v>4.62532043457032E-017</v>
      </c>
    </row>
    <row r="155" customFormat="false" ht="13.8" hidden="false" customHeight="false" outlineLevel="0" collapsed="false">
      <c r="B155" s="2" t="n">
        <v>154</v>
      </c>
      <c r="C155" s="2" t="n">
        <v>2.50007500175285E-008</v>
      </c>
      <c r="D155" s="2" t="n">
        <v>6.48868524197055E-008</v>
      </c>
      <c r="E155" s="2" t="n">
        <v>0</v>
      </c>
    </row>
    <row r="156" customFormat="false" ht="13.8" hidden="false" customHeight="false" outlineLevel="0" collapsed="false">
      <c r="B156" s="2" t="n">
        <v>155</v>
      </c>
      <c r="C156" s="2" t="n">
        <v>3.00010500280503E-008</v>
      </c>
      <c r="D156" s="2" t="n">
        <v>6.98875512952194E-008</v>
      </c>
      <c r="E156" s="2" t="n">
        <v>5.00005000045461E-009</v>
      </c>
    </row>
    <row r="157" customFormat="false" ht="13.8" hidden="false" customHeight="false" outlineLevel="0" collapsed="false">
      <c r="B157" s="2" t="n">
        <v>156</v>
      </c>
      <c r="C157" s="2" t="n">
        <v>3.50014000419837E-008</v>
      </c>
      <c r="D157" s="2" t="n">
        <v>7.48883001782108E-008</v>
      </c>
      <c r="E157" s="2" t="n">
        <v>0</v>
      </c>
    </row>
    <row r="158" customFormat="false" ht="13.8" hidden="false" customHeight="false" outlineLevel="0" collapsed="false">
      <c r="B158" s="2" t="n">
        <v>157</v>
      </c>
      <c r="C158" s="2" t="n">
        <v>0.000200095009500665</v>
      </c>
      <c r="D158" s="2" t="n">
        <v>9.50095006647727E-008</v>
      </c>
      <c r="E158" s="2" t="n">
        <v>2.61160126453083E-008</v>
      </c>
    </row>
    <row r="159" customFormat="false" ht="13.8" hidden="false" customHeight="false" outlineLevel="0" collapsed="false">
      <c r="B159" s="2" t="n">
        <v>158</v>
      </c>
      <c r="C159" s="2" t="n">
        <v>0.00020000300004</v>
      </c>
      <c r="D159" s="2" t="n">
        <v>1.0001050076969E-007</v>
      </c>
      <c r="E159" s="2" t="n">
        <v>3.8626010498448E-009</v>
      </c>
    </row>
    <row r="160" customFormat="false" ht="13.8" hidden="false" customHeight="false" outlineLevel="0" collapsed="false">
      <c r="B160" s="2" t="n">
        <v>159</v>
      </c>
      <c r="C160" s="2" t="n">
        <v>5.00027501099554E-008</v>
      </c>
      <c r="D160" s="2" t="n">
        <v>8.98908468770538E-008</v>
      </c>
      <c r="E160" s="2" t="n">
        <v>0</v>
      </c>
    </row>
    <row r="161" customFormat="false" ht="13.8" hidden="false" customHeight="false" outlineLevel="0" collapsed="false">
      <c r="B161" s="2" t="n">
        <v>160</v>
      </c>
      <c r="C161" s="2" t="n">
        <v>0.0002</v>
      </c>
      <c r="D161" s="2" t="n">
        <v>1.10012651011645E-007</v>
      </c>
      <c r="E161" s="2" t="n">
        <v>0</v>
      </c>
    </row>
    <row r="162" customFormat="false" ht="13.8" hidden="false" customHeight="false" outlineLevel="0" collapsed="false">
      <c r="B162" s="2" t="n">
        <v>161</v>
      </c>
      <c r="C162" s="2" t="n">
        <v>6.00039001819042E-008</v>
      </c>
      <c r="D162" s="2" t="n">
        <v>9.98927947229118E-008</v>
      </c>
      <c r="E162" s="2" t="n">
        <v>6.87201735589637E-011</v>
      </c>
    </row>
    <row r="163" customFormat="false" ht="13.8" hidden="false" customHeight="false" outlineLevel="0" collapsed="false">
      <c r="B163" s="2" t="n">
        <v>162</v>
      </c>
      <c r="C163" s="2" t="n">
        <v>0.0002</v>
      </c>
      <c r="D163" s="2" t="n">
        <v>1.20015001299627E-007</v>
      </c>
      <c r="E163" s="2" t="n">
        <v>1.6492866833508E-009</v>
      </c>
    </row>
    <row r="164" customFormat="false" ht="13.8" hidden="false" customHeight="false" outlineLevel="0" collapsed="false">
      <c r="B164" s="2" t="n">
        <v>163</v>
      </c>
      <c r="C164" s="2" t="n">
        <v>0.0002</v>
      </c>
      <c r="D164" s="2" t="n">
        <v>1.25016251462107E-007</v>
      </c>
      <c r="E164" s="2" t="n">
        <v>3.02370645514131E-009</v>
      </c>
    </row>
    <row r="165" customFormat="false" ht="13.8" hidden="false" customHeight="false" outlineLevel="0" collapsed="false">
      <c r="B165" s="2" t="n">
        <v>164</v>
      </c>
      <c r="C165" s="2" t="n">
        <v>0.00131729216040579</v>
      </c>
      <c r="D165" s="2" t="n">
        <v>0.00111730370412346</v>
      </c>
      <c r="E165" s="2" t="n">
        <v>0.00111730370412346</v>
      </c>
    </row>
    <row r="166" customFormat="false" ht="13.8" hidden="false" customHeight="false" outlineLevel="0" collapsed="false">
      <c r="B166" s="2" t="n">
        <v>165</v>
      </c>
      <c r="C166" s="2" t="n">
        <v>0.0002</v>
      </c>
      <c r="D166" s="2" t="n">
        <v>1.35018901826676E-007</v>
      </c>
      <c r="E166" s="2" t="n">
        <v>5.77258723184467E-009</v>
      </c>
    </row>
    <row r="167" customFormat="false" ht="13.8" hidden="false" customHeight="false" outlineLevel="0" collapsed="false">
      <c r="B167" s="2" t="n">
        <v>166</v>
      </c>
      <c r="C167" s="2" t="n">
        <v>0.00131730560596231</v>
      </c>
      <c r="D167" s="2" t="n">
        <v>0.00111731605038274</v>
      </c>
      <c r="E167" s="2" t="n">
        <v>0.00111731605038274</v>
      </c>
    </row>
    <row r="168" customFormat="false" ht="13.8" hidden="false" customHeight="false" outlineLevel="0" collapsed="false">
      <c r="B168" s="2" t="n">
        <v>167</v>
      </c>
      <c r="C168" s="2" t="n">
        <v>0.00131731232884141</v>
      </c>
      <c r="D168" s="2" t="n">
        <v>0.00111732222360498</v>
      </c>
      <c r="E168" s="2" t="n">
        <v>0.00111732222360498</v>
      </c>
    </row>
    <row r="169" customFormat="false" ht="13.8" hidden="false" customHeight="false" outlineLevel="0" collapsed="false">
      <c r="B169" s="2" t="n">
        <v>168</v>
      </c>
      <c r="C169" s="2" t="n">
        <v>0.00131731905178774</v>
      </c>
      <c r="D169" s="2" t="n">
        <v>0.00111732839688895</v>
      </c>
      <c r="E169" s="2" t="n">
        <v>0.00111732839688895</v>
      </c>
    </row>
    <row r="170" customFormat="false" ht="13.8" hidden="false" customHeight="false" outlineLevel="0" collapsed="false">
      <c r="B170" s="2" t="n">
        <v>169</v>
      </c>
      <c r="C170" s="2" t="n">
        <v>0.0013173257748013</v>
      </c>
      <c r="D170" s="2" t="n">
        <v>0.00111733457023465</v>
      </c>
      <c r="E170" s="2" t="n">
        <v>0.00111733457023465</v>
      </c>
    </row>
    <row r="171" customFormat="false" ht="13.8" hidden="false" customHeight="false" outlineLevel="0" collapsed="false">
      <c r="B171" s="2" t="n">
        <v>170</v>
      </c>
      <c r="C171" s="2" t="n">
        <v>0.00131733249788209</v>
      </c>
      <c r="D171" s="2" t="n">
        <v>0.00111734074364208</v>
      </c>
      <c r="E171" s="2" t="n">
        <v>0.00111734074364208</v>
      </c>
    </row>
    <row r="172" customFormat="false" ht="13.8" hidden="false" customHeight="false" outlineLevel="0" collapsed="false">
      <c r="B172" s="2" t="n">
        <v>171</v>
      </c>
      <c r="C172" s="2" t="n">
        <v>0.00131733922103012</v>
      </c>
      <c r="D172" s="2" t="n">
        <v>0.00111734691711126</v>
      </c>
      <c r="E172" s="2" t="n">
        <v>0.00111734691711126</v>
      </c>
    </row>
    <row r="173" customFormat="false" ht="13.8" hidden="false" customHeight="false" outlineLevel="0" collapsed="false">
      <c r="B173" s="2" t="n">
        <v>172</v>
      </c>
      <c r="C173" s="2" t="n">
        <v>0.00131734594424537</v>
      </c>
      <c r="D173" s="2" t="n">
        <v>0.00111735309064216</v>
      </c>
      <c r="E173" s="2" t="n">
        <v>0.00111735309064216</v>
      </c>
    </row>
    <row r="174" customFormat="false" ht="13.8" hidden="false" customHeight="false" outlineLevel="0" collapsed="false">
      <c r="B174" s="2" t="n">
        <v>173</v>
      </c>
      <c r="C174" s="2" t="n">
        <v>0.00131735266752786</v>
      </c>
      <c r="D174" s="2" t="n">
        <v>0.00131730927023434</v>
      </c>
      <c r="E174" s="2" t="n">
        <v>0.0011173592642348</v>
      </c>
    </row>
    <row r="175" customFormat="false" ht="13.8" hidden="false" customHeight="false" outlineLevel="0" collapsed="false">
      <c r="B175" s="2" t="n">
        <v>174</v>
      </c>
      <c r="C175" s="2" t="n">
        <v>0.00131735939087759</v>
      </c>
      <c r="D175" s="2" t="n">
        <v>0.00131731744340878</v>
      </c>
      <c r="E175" s="2" t="n">
        <v>0.00111736543788918</v>
      </c>
    </row>
    <row r="176" customFormat="false" ht="13.8" hidden="false" customHeight="false" outlineLevel="0" collapsed="false">
      <c r="B176" s="2" t="n">
        <v>175</v>
      </c>
      <c r="C176" s="2" t="n">
        <v>0.00131736611429454</v>
      </c>
      <c r="D176" s="2" t="n">
        <v>0.00131732561666494</v>
      </c>
      <c r="E176" s="2" t="n">
        <v>0.0011173716116053</v>
      </c>
    </row>
    <row r="177" customFormat="false" ht="13.8" hidden="false" customHeight="false" outlineLevel="0" collapsed="false">
      <c r="B177" s="2" t="n">
        <v>176</v>
      </c>
      <c r="C177" s="2" t="n">
        <v>0.00131737283777873</v>
      </c>
      <c r="D177" s="2" t="n">
        <v>0.00131733379000284</v>
      </c>
      <c r="E177" s="2" t="n">
        <v>0.00111737778538315</v>
      </c>
    </row>
    <row r="178" customFormat="false" ht="13.8" hidden="false" customHeight="false" outlineLevel="0" collapsed="false">
      <c r="B178" s="2" t="n">
        <v>177</v>
      </c>
      <c r="C178" s="2" t="n">
        <v>0.00131737956133016</v>
      </c>
      <c r="D178" s="2" t="n">
        <v>0.00131734196342248</v>
      </c>
      <c r="E178" s="2" t="n">
        <v>0.00111738395922274</v>
      </c>
    </row>
    <row r="179" customFormat="false" ht="13.8" hidden="false" customHeight="false" outlineLevel="0" collapsed="false">
      <c r="B179" s="2" t="n">
        <v>178</v>
      </c>
      <c r="C179" s="2" t="n">
        <v>0.00131738628494883</v>
      </c>
      <c r="D179" s="2" t="n">
        <v>0.00131735013692385</v>
      </c>
      <c r="E179" s="2" t="n">
        <v>0.00111739013312408</v>
      </c>
    </row>
    <row r="180" customFormat="false" ht="13.8" hidden="false" customHeight="false" outlineLevel="0" collapsed="false">
      <c r="B180" s="2" t="n">
        <v>179</v>
      </c>
      <c r="C180" s="2" t="n">
        <v>0.00131739300863473</v>
      </c>
      <c r="D180" s="2" t="n">
        <v>0.00131735831050695</v>
      </c>
      <c r="E180" s="2" t="n">
        <v>0.00111739630708715</v>
      </c>
    </row>
    <row r="181" customFormat="false" ht="13.8" hidden="false" customHeight="false" outlineLevel="0" collapsed="false">
      <c r="B181" s="2" t="n">
        <v>180</v>
      </c>
      <c r="C181" s="2" t="n">
        <v>0.00131739973238786</v>
      </c>
      <c r="D181" s="2" t="n">
        <v>0.00131736648417179</v>
      </c>
      <c r="E181" s="2" t="n">
        <v>0.00111740248111196</v>
      </c>
    </row>
    <row r="182" customFormat="false" ht="13.8" hidden="false" customHeight="false" outlineLevel="0" collapsed="false">
      <c r="B182" s="2" t="n">
        <v>181</v>
      </c>
      <c r="C182" s="2" t="n">
        <v>0.00131740645620824</v>
      </c>
      <c r="D182" s="2" t="n">
        <v>0.00131737465791837</v>
      </c>
      <c r="E182" s="2" t="n">
        <v>0.00111740865519851</v>
      </c>
    </row>
    <row r="183" customFormat="false" ht="13.8" hidden="false" customHeight="false" outlineLevel="0" collapsed="false">
      <c r="B183" s="2" t="n">
        <v>182</v>
      </c>
      <c r="C183" s="2" t="n">
        <v>0.00131741318009585</v>
      </c>
      <c r="D183" s="2" t="n">
        <v>0.00131738283174669</v>
      </c>
      <c r="E183" s="2" t="n">
        <v>0.0011174148293468</v>
      </c>
    </row>
    <row r="184" customFormat="false" ht="13.8" hidden="false" customHeight="false" outlineLevel="0" collapsed="false">
      <c r="B184" s="2" t="n">
        <v>183</v>
      </c>
      <c r="C184" s="2" t="n">
        <v>0.00131741700357684</v>
      </c>
      <c r="D184" s="2" t="n">
        <v>0.00131739100565675</v>
      </c>
      <c r="E184" s="2" t="n">
        <v>0.00111742100355684</v>
      </c>
    </row>
    <row r="185" customFormat="false" ht="13.8" hidden="false" customHeight="false" outlineLevel="0" collapsed="false">
      <c r="B185" s="2" t="n">
        <v>184</v>
      </c>
      <c r="C185" s="2" t="n">
        <v>0.00131742517782862</v>
      </c>
      <c r="D185" s="2" t="n">
        <v>0.00131739917964854</v>
      </c>
      <c r="E185" s="2" t="n">
        <v>0.00111742717782862</v>
      </c>
    </row>
    <row r="186" customFormat="false" ht="13.8" hidden="false" customHeight="false" outlineLevel="0" collapsed="false">
      <c r="B186" s="2" t="n">
        <v>185</v>
      </c>
      <c r="C186" s="2" t="n">
        <v>0.00131743335216214</v>
      </c>
      <c r="D186" s="2" t="n">
        <v>0.00131740735372208</v>
      </c>
      <c r="E186" s="2" t="n">
        <v>0.00111743335216214</v>
      </c>
    </row>
    <row r="187" customFormat="false" ht="13.8" hidden="false" customHeight="false" outlineLevel="0" collapsed="false">
      <c r="B187" s="2" t="n">
        <v>186</v>
      </c>
      <c r="C187" s="2" t="n">
        <v>0.00131743918711372</v>
      </c>
      <c r="D187" s="2" t="n">
        <v>0.00131741552787736</v>
      </c>
      <c r="E187" s="2" t="n">
        <v>0.0011174395265574</v>
      </c>
    </row>
    <row r="188" customFormat="false" ht="13.8" hidden="false" customHeight="false" outlineLevel="0" collapsed="false">
      <c r="B188" s="2" t="n">
        <v>187</v>
      </c>
      <c r="C188" s="2" t="n">
        <v>0.00131744570101441</v>
      </c>
      <c r="D188" s="2" t="n">
        <v>0.00131742370211438</v>
      </c>
      <c r="E188" s="2" t="n">
        <v>0.00111744570101441</v>
      </c>
    </row>
    <row r="189" customFormat="false" ht="13.8" hidden="false" customHeight="false" outlineLevel="0" collapsed="false">
      <c r="B189" s="2" t="n">
        <v>188</v>
      </c>
      <c r="C189" s="2" t="n">
        <v>0.00131745187553317</v>
      </c>
      <c r="D189" s="2" t="n">
        <v>0.00131743187643315</v>
      </c>
      <c r="E189" s="2" t="n">
        <v>0.00111745187553317</v>
      </c>
    </row>
    <row r="190" customFormat="false" ht="13.8" hidden="false" customHeight="false" outlineLevel="0" collapsed="false">
      <c r="B190" s="2" t="n">
        <v>189</v>
      </c>
      <c r="C190" s="2" t="n">
        <v>0.0013174577106598</v>
      </c>
      <c r="D190" s="2" t="n">
        <v>0.00131744005083365</v>
      </c>
      <c r="E190" s="2" t="n">
        <v>0.00111745805011367</v>
      </c>
    </row>
    <row r="191" customFormat="false" ht="13.8" hidden="false" customHeight="false" outlineLevel="0" collapsed="false">
      <c r="B191" s="2" t="n">
        <v>190</v>
      </c>
      <c r="C191" s="2" t="n">
        <v>0.00131746388529866</v>
      </c>
      <c r="D191" s="2" t="n">
        <v>0.00131744822531591</v>
      </c>
      <c r="E191" s="2" t="n">
        <v>0.00111746422475592</v>
      </c>
    </row>
    <row r="192" customFormat="false" ht="13.8" hidden="false" customHeight="false" outlineLevel="0" collapsed="false">
      <c r="B192" s="2" t="n">
        <v>191</v>
      </c>
      <c r="C192" s="2" t="n">
        <v>0.00131747039945991</v>
      </c>
      <c r="D192" s="2" t="n">
        <v>0.00131745639987991</v>
      </c>
      <c r="E192" s="2" t="n">
        <v>0.00111747039945991</v>
      </c>
    </row>
    <row r="193" customFormat="false" ht="13.8" hidden="false" customHeight="false" outlineLevel="0" collapsed="false">
      <c r="B193" s="2" t="n">
        <v>192</v>
      </c>
      <c r="C193" s="2" t="n">
        <v>0.00131747657422565</v>
      </c>
      <c r="D193" s="2" t="n">
        <v>0.00131746815652155</v>
      </c>
      <c r="E193" s="2" t="n">
        <v>0.00111747657422565</v>
      </c>
    </row>
    <row r="194" customFormat="false" ht="13.8" hidden="false" customHeight="false" outlineLevel="0" collapsed="false">
      <c r="B194" s="2" t="n">
        <v>193</v>
      </c>
      <c r="C194" s="2" t="n">
        <v>0.00131748185982988</v>
      </c>
      <c r="D194" s="2" t="n">
        <v>0.00131747151427777</v>
      </c>
      <c r="E194" s="2" t="n">
        <v>0.00111748274905315</v>
      </c>
    </row>
    <row r="195" customFormat="false" ht="13.8" hidden="false" customHeight="false" outlineLevel="0" collapsed="false">
      <c r="B195" s="2" t="n">
        <v>194</v>
      </c>
      <c r="C195" s="2" t="n">
        <v>0.00131748803471573</v>
      </c>
      <c r="D195" s="2" t="n">
        <v>0.00111748892394238</v>
      </c>
      <c r="E195" s="2" t="n">
        <v>0.00111748892394238</v>
      </c>
    </row>
    <row r="196" customFormat="false" ht="13.8" hidden="false" customHeight="false" outlineLevel="0" collapsed="false">
      <c r="B196" s="2" t="n">
        <v>195</v>
      </c>
      <c r="C196" s="2" t="n">
        <v>0.00131749475941914</v>
      </c>
      <c r="D196" s="2" t="n">
        <v>0.00131748909895337</v>
      </c>
      <c r="E196" s="2" t="n">
        <v>0.00111749509889337</v>
      </c>
    </row>
    <row r="197" customFormat="false" ht="13.8" hidden="false" customHeight="false" outlineLevel="0" collapsed="false">
      <c r="B197" s="2" t="n">
        <v>196</v>
      </c>
      <c r="C197" s="2" t="n">
        <v>0.00131750093442848</v>
      </c>
      <c r="D197" s="2" t="n">
        <v>0.00131749727392611</v>
      </c>
      <c r="E197" s="2" t="n">
        <v>0.00111750127390611</v>
      </c>
    </row>
    <row r="198" customFormat="false" ht="13.8" hidden="false" customHeight="false" outlineLevel="0" collapsed="false">
      <c r="B198" s="2" t="n">
        <v>197</v>
      </c>
      <c r="C198" s="2" t="n">
        <v>0.00131750655974376</v>
      </c>
      <c r="D198" s="2" t="n">
        <v>0.0013175054489806</v>
      </c>
      <c r="E198" s="2" t="n">
        <v>0.0011175074489806</v>
      </c>
    </row>
    <row r="199" customFormat="false" ht="13.8" hidden="false" customHeight="false" outlineLevel="0" collapsed="false">
      <c r="B199" s="2" t="n">
        <v>198</v>
      </c>
      <c r="C199" s="2" t="n">
        <v>0.00131751328463242</v>
      </c>
      <c r="D199" s="2" t="n">
        <v>0.00131751362411684</v>
      </c>
      <c r="E199" s="2" t="n">
        <v>0.00111751362411684</v>
      </c>
    </row>
    <row r="200" customFormat="false" ht="13.8" hidden="false" customHeight="false" outlineLevel="0" collapsed="false">
      <c r="B200" s="2" t="n">
        <v>199</v>
      </c>
      <c r="C200" s="2" t="n">
        <v>0.00131751979931484</v>
      </c>
      <c r="D200" s="2" t="n">
        <v>0.00131751979931484</v>
      </c>
      <c r="E200" s="2" t="n">
        <v>0.00111751979931484</v>
      </c>
    </row>
    <row r="201" customFormat="false" ht="13.8" hidden="false" customHeight="false" outlineLevel="0" collapsed="false">
      <c r="B201" s="2" t="n">
        <v>200</v>
      </c>
      <c r="C201" s="2" t="n">
        <v>0.00131752585235775</v>
      </c>
      <c r="D201" s="2" t="n">
        <v>0.00131752585235775</v>
      </c>
      <c r="E201" s="2" t="n">
        <v>0.00111752597457458</v>
      </c>
    </row>
    <row r="202" customFormat="false" ht="13.8" hidden="false" customHeight="false" outlineLevel="0" collapsed="false">
      <c r="B202" s="2" t="n">
        <v>201</v>
      </c>
      <c r="C202" s="2" t="n">
        <v>0.00131753181040148</v>
      </c>
      <c r="D202" s="2" t="n">
        <v>0.00131753181040148</v>
      </c>
      <c r="E202" s="2" t="n">
        <v>0.00111753214989608</v>
      </c>
    </row>
    <row r="203" customFormat="false" ht="13.8" hidden="false" customHeight="false" outlineLevel="0" collapsed="false">
      <c r="B203" s="2" t="n">
        <v>202</v>
      </c>
      <c r="C203" s="2" t="n">
        <v>0.00131753832527933</v>
      </c>
      <c r="D203" s="2" t="n">
        <v>0.00131753832527933</v>
      </c>
      <c r="E203" s="2" t="n">
        <v>0.00111753832527933</v>
      </c>
    </row>
    <row r="204" customFormat="false" ht="13.8" hidden="false" customHeight="false" outlineLevel="0" collapsed="false">
      <c r="B204" s="2" t="n">
        <v>203</v>
      </c>
      <c r="C204" s="2" t="n">
        <v>0.00131754450072434</v>
      </c>
      <c r="D204" s="2" t="n">
        <v>0.00131754450072434</v>
      </c>
      <c r="E204" s="2" t="n">
        <v>0.00111754450072434</v>
      </c>
    </row>
    <row r="205" customFormat="false" ht="13.8" hidden="false" customHeight="false" outlineLevel="0" collapsed="false">
      <c r="B205" s="2" t="n">
        <v>204</v>
      </c>
      <c r="C205" s="2" t="n">
        <v>0.00131755055400938</v>
      </c>
      <c r="D205" s="2" t="n">
        <v>0.00131755055400938</v>
      </c>
      <c r="E205" s="2" t="n">
        <v>0.0011175506762311</v>
      </c>
    </row>
    <row r="206" customFormat="false" ht="13.8" hidden="false" customHeight="false" outlineLevel="0" collapsed="false">
      <c r="B206" s="2" t="n">
        <v>205</v>
      </c>
      <c r="C206" s="2" t="n">
        <v>0.00131755651229144</v>
      </c>
      <c r="D206" s="2" t="n">
        <v>0.00131755651229144</v>
      </c>
      <c r="E206" s="2" t="n">
        <v>0.00111755685179962</v>
      </c>
    </row>
    <row r="207" customFormat="false" ht="13.8" hidden="false" customHeight="false" outlineLevel="0" collapsed="false">
      <c r="B207" s="2" t="n">
        <v>206</v>
      </c>
      <c r="C207" s="2" t="n">
        <v>0.00131756268791831</v>
      </c>
      <c r="D207" s="2" t="n">
        <v>0.00131756268791831</v>
      </c>
      <c r="E207" s="2" t="n">
        <v>0.0011175630274299</v>
      </c>
    </row>
    <row r="208" customFormat="false" ht="13.8" hidden="false" customHeight="false" outlineLevel="0" collapsed="false">
      <c r="B208" s="2" t="n">
        <v>207</v>
      </c>
      <c r="C208" s="2" t="n">
        <v>0.00131756886360695</v>
      </c>
      <c r="D208" s="2" t="n">
        <v>0.00131756886360695</v>
      </c>
      <c r="E208" s="2" t="n">
        <v>0.00111756920312193</v>
      </c>
    </row>
    <row r="209" customFormat="false" ht="13.8" hidden="false" customHeight="false" outlineLevel="0" collapsed="false">
      <c r="B209" s="2" t="n">
        <v>208</v>
      </c>
      <c r="C209" s="2" t="n">
        <v>0.00131757503935734</v>
      </c>
      <c r="D209" s="2" t="n">
        <v>0.00131757503935734</v>
      </c>
      <c r="E209" s="2" t="n">
        <v>0.00111757537887572</v>
      </c>
    </row>
    <row r="210" customFormat="false" ht="13.8" hidden="false" customHeight="false" outlineLevel="0" collapsed="false">
      <c r="B210" s="2" t="n">
        <v>209</v>
      </c>
      <c r="C210" s="2" t="n">
        <v>0.00131758066541368</v>
      </c>
      <c r="D210" s="2" t="n">
        <v>0.00131758143246343</v>
      </c>
      <c r="E210" s="2" t="n">
        <v>0.00111758155469126</v>
      </c>
    </row>
    <row r="211" customFormat="false" ht="13.8" hidden="false" customHeight="false" outlineLevel="0" collapsed="false">
      <c r="B211" s="2" t="n">
        <v>210</v>
      </c>
      <c r="C211" s="2" t="n">
        <v>0.00131758773056857</v>
      </c>
      <c r="D211" s="2" t="n">
        <v>0.00131758773056857</v>
      </c>
      <c r="E211" s="2" t="n">
        <v>0.00111758773056857</v>
      </c>
    </row>
    <row r="212" customFormat="false" ht="13.8" hidden="false" customHeight="false" outlineLevel="0" collapsed="false">
      <c r="B212" s="2" t="n">
        <v>211</v>
      </c>
      <c r="C212" s="2" t="n">
        <v>0.00131759390650763</v>
      </c>
      <c r="D212" s="2" t="n">
        <v>0.00131759390650763</v>
      </c>
      <c r="E212" s="2" t="n">
        <v>0.00111759390650763</v>
      </c>
    </row>
    <row r="213" customFormat="false" ht="13.8" hidden="false" customHeight="false" outlineLevel="0" collapsed="false">
      <c r="B213" s="2" t="n">
        <v>212</v>
      </c>
      <c r="C213" s="2" t="n">
        <v>0.00131759974297651</v>
      </c>
      <c r="D213" s="2" t="n">
        <v>0.00131759974297651</v>
      </c>
      <c r="E213" s="2" t="n">
        <v>0.00111760008250846</v>
      </c>
    </row>
    <row r="214" customFormat="false" ht="13.8" hidden="false" customHeight="false" outlineLevel="0" collapsed="false">
      <c r="B214" s="2" t="n">
        <v>213</v>
      </c>
      <c r="C214" s="2" t="n">
        <v>0.0013176059190357</v>
      </c>
      <c r="D214" s="2" t="n">
        <v>0.0013176059190357</v>
      </c>
      <c r="E214" s="2" t="n">
        <v>0.00111760625857104</v>
      </c>
    </row>
    <row r="215" customFormat="false" ht="13.8" hidden="false" customHeight="false" outlineLevel="0" collapsed="false">
      <c r="B215" s="2" t="n">
        <v>214</v>
      </c>
      <c r="C215" s="2" t="n">
        <v>0.00131761209515665</v>
      </c>
      <c r="D215" s="2" t="n">
        <v>0.00131761209515665</v>
      </c>
      <c r="E215" s="2" t="n">
        <v>0.00111761243469539</v>
      </c>
    </row>
    <row r="216" customFormat="false" ht="13.8" hidden="false" customHeight="false" outlineLevel="0" collapsed="false">
      <c r="B216" s="2" t="n">
        <v>215</v>
      </c>
      <c r="C216" s="2" t="n">
        <v>0.00131761827133936</v>
      </c>
      <c r="D216" s="2" t="n">
        <v>0.00131761827133936</v>
      </c>
      <c r="E216" s="2" t="n">
        <v>0.0011176186108815</v>
      </c>
    </row>
    <row r="217" customFormat="false" ht="13.8" hidden="false" customHeight="false" outlineLevel="0" collapsed="false">
      <c r="B217" s="2" t="n">
        <v>216</v>
      </c>
      <c r="C217" s="2" t="n">
        <v>0.00131762478712937</v>
      </c>
      <c r="D217" s="2" t="n">
        <v>0.00131762478712937</v>
      </c>
      <c r="E217" s="2" t="n">
        <v>0.00111762478712937</v>
      </c>
    </row>
    <row r="218" customFormat="false" ht="13.8" hidden="false" customHeight="false" outlineLevel="0" collapsed="false">
      <c r="B218" s="2" t="n">
        <v>217</v>
      </c>
      <c r="C218" s="2" t="n">
        <v>0.00131763062389008</v>
      </c>
      <c r="D218" s="2" t="n">
        <v>0.00131763062389008</v>
      </c>
      <c r="E218" s="2" t="n">
        <v>0.00111763096343901</v>
      </c>
    </row>
    <row r="219" customFormat="false" ht="13.8" hidden="false" customHeight="false" outlineLevel="0" collapsed="false">
      <c r="B219" s="2" t="n">
        <v>218</v>
      </c>
      <c r="C219" s="2" t="n">
        <v>0.0013176371398104</v>
      </c>
      <c r="D219" s="2" t="n">
        <v>0.0013176371398104</v>
      </c>
      <c r="E219" s="2" t="n">
        <v>0.0011176371398104</v>
      </c>
    </row>
    <row r="220" customFormat="false" ht="13.8" hidden="false" customHeight="false" outlineLevel="0" collapsed="false">
      <c r="B220" s="2" t="n">
        <v>219</v>
      </c>
      <c r="C220" s="2" t="n">
        <v>0.00131764331624357</v>
      </c>
      <c r="D220" s="2" t="n">
        <v>0.00131764331624357</v>
      </c>
      <c r="E220" s="2" t="n">
        <v>0.00111764331624357</v>
      </c>
    </row>
    <row r="221" customFormat="false" ht="13.8" hidden="false" customHeight="false" outlineLevel="0" collapsed="false">
      <c r="B221" s="2" t="n">
        <v>220</v>
      </c>
      <c r="C221" s="2" t="n">
        <v>0.0002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221</v>
      </c>
      <c r="C222" s="2" t="n">
        <v>0.0002</v>
      </c>
      <c r="D222" s="2" t="n">
        <v>0</v>
      </c>
      <c r="E222" s="2" t="n">
        <v>0</v>
      </c>
    </row>
    <row r="223" customFormat="false" ht="13.8" hidden="false" customHeight="false" outlineLevel="0" collapsed="false">
      <c r="B223" s="2" t="n">
        <v>222</v>
      </c>
      <c r="C223" s="2" t="n">
        <v>0.0002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223</v>
      </c>
      <c r="C224" s="2" t="n">
        <v>0.0002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224</v>
      </c>
      <c r="C225" s="2" t="n">
        <v>0.0002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225</v>
      </c>
      <c r="C226" s="2" t="n">
        <v>0.0002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226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227</v>
      </c>
      <c r="C228" s="2" t="n">
        <v>0.0002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228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229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230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231</v>
      </c>
      <c r="C232" s="2" t="n">
        <v>0</v>
      </c>
      <c r="D232" s="2" t="n">
        <v>5.00005000045461E-009</v>
      </c>
      <c r="E232" s="2" t="n">
        <v>0</v>
      </c>
    </row>
    <row r="233" customFormat="false" ht="13.8" hidden="false" customHeight="false" outlineLevel="0" collapsed="false">
      <c r="B233" s="2" t="n">
        <v>232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233</v>
      </c>
      <c r="C234" s="2" t="n">
        <v>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234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235</v>
      </c>
      <c r="C236" s="2" t="n">
        <v>0</v>
      </c>
      <c r="D236" s="2" t="n">
        <v>3.65644261768049E-009</v>
      </c>
      <c r="E236" s="2" t="n">
        <v>0</v>
      </c>
    </row>
    <row r="237" customFormat="false" ht="13.8" hidden="false" customHeight="false" outlineLevel="0" collapsed="false">
      <c r="B237" s="2" t="n">
        <v>236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237</v>
      </c>
      <c r="C238" s="2" t="n">
        <v>0</v>
      </c>
      <c r="D238" s="2" t="n">
        <v>5.00005000045461E-009</v>
      </c>
      <c r="E238" s="2" t="n">
        <v>0</v>
      </c>
    </row>
    <row r="239" customFormat="false" ht="13.8" hidden="false" customHeight="false" outlineLevel="0" collapsed="false">
      <c r="B239" s="2" t="n">
        <v>238</v>
      </c>
      <c r="C239" s="2" t="n">
        <v>0</v>
      </c>
      <c r="D239" s="2" t="n">
        <v>1.00001500019207E-008</v>
      </c>
      <c r="E239" s="2" t="n">
        <v>0</v>
      </c>
    </row>
    <row r="240" customFormat="false" ht="13.8" hidden="false" customHeight="false" outlineLevel="0" collapsed="false">
      <c r="B240" s="2" t="n">
        <v>239</v>
      </c>
      <c r="C240" s="2" t="n">
        <v>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240</v>
      </c>
      <c r="C241" s="2" t="n">
        <v>0</v>
      </c>
      <c r="D241" s="2" t="n">
        <v>0</v>
      </c>
      <c r="E241" s="2" t="n">
        <v>0</v>
      </c>
    </row>
    <row r="242" customFormat="false" ht="13.8" hidden="false" customHeight="false" outlineLevel="0" collapsed="false">
      <c r="B242" s="2" t="n">
        <v>241</v>
      </c>
      <c r="C242" s="2" t="n">
        <v>0</v>
      </c>
      <c r="D242" s="2" t="n">
        <v>5.00005000045461E-009</v>
      </c>
      <c r="E242" s="2" t="n">
        <v>0</v>
      </c>
    </row>
    <row r="243" customFormat="false" ht="13.8" hidden="false" customHeight="false" outlineLevel="0" collapsed="false">
      <c r="B243" s="2" t="n">
        <v>242</v>
      </c>
      <c r="C243" s="2" t="n">
        <v>0</v>
      </c>
      <c r="D243" s="2" t="n">
        <v>0</v>
      </c>
      <c r="E243" s="2" t="n">
        <v>0</v>
      </c>
    </row>
    <row r="244" customFormat="false" ht="13.8" hidden="false" customHeight="false" outlineLevel="0" collapsed="false">
      <c r="B244" s="2" t="n">
        <v>243</v>
      </c>
      <c r="C244" s="2" t="n">
        <v>0</v>
      </c>
      <c r="D244" s="2" t="n">
        <v>0</v>
      </c>
      <c r="E244" s="2" t="n">
        <v>0</v>
      </c>
    </row>
    <row r="245" customFormat="false" ht="13.8" hidden="false" customHeight="false" outlineLevel="0" collapsed="false">
      <c r="B245" s="2" t="n">
        <v>244</v>
      </c>
      <c r="C245" s="2" t="n">
        <v>0</v>
      </c>
      <c r="D245" s="2" t="n">
        <v>5.00005000045461E-009</v>
      </c>
      <c r="E245" s="2" t="n">
        <v>0</v>
      </c>
    </row>
    <row r="246" customFormat="false" ht="13.8" hidden="false" customHeight="false" outlineLevel="0" collapsed="false">
      <c r="B246" s="2" t="n">
        <v>245</v>
      </c>
      <c r="C246" s="2" t="n">
        <v>0</v>
      </c>
      <c r="D246" s="2" t="n">
        <v>1.00001500019207E-008</v>
      </c>
      <c r="E246" s="2" t="n">
        <v>0</v>
      </c>
    </row>
    <row r="247" customFormat="false" ht="13.8" hidden="false" customHeight="false" outlineLevel="0" collapsed="false">
      <c r="B247" s="2" t="n">
        <v>246</v>
      </c>
      <c r="C247" s="2" t="n">
        <v>0</v>
      </c>
      <c r="D247" s="2" t="n">
        <v>1.50003000049404E-008</v>
      </c>
      <c r="E247" s="2" t="n">
        <v>0</v>
      </c>
    </row>
    <row r="248" customFormat="false" ht="13.8" hidden="false" customHeight="false" outlineLevel="0" collapsed="false">
      <c r="B248" s="2" t="n">
        <v>247</v>
      </c>
      <c r="C248" s="2" t="n">
        <v>5.00005000045461E-009</v>
      </c>
      <c r="D248" s="2" t="n">
        <v>1.58772077090676E-008</v>
      </c>
      <c r="E248" s="2" t="n">
        <v>0</v>
      </c>
    </row>
    <row r="249" customFormat="false" ht="13.8" hidden="false" customHeight="false" outlineLevel="0" collapsed="false">
      <c r="B249" s="2" t="n">
        <v>248</v>
      </c>
      <c r="C249" s="2" t="n">
        <v>1.00001500019207E-008</v>
      </c>
      <c r="D249" s="2" t="n">
        <v>2.08774164832656E-008</v>
      </c>
      <c r="E249" s="2" t="n">
        <v>5.00005000045461E-009</v>
      </c>
    </row>
    <row r="250" customFormat="false" ht="13.8" hidden="false" customHeight="false" outlineLevel="0" collapsed="false">
      <c r="B250" s="2" t="n">
        <v>249</v>
      </c>
      <c r="C250" s="2" t="n">
        <v>1.50003000049404E-008</v>
      </c>
      <c r="D250" s="2" t="n">
        <v>2.58776752600355E-008</v>
      </c>
      <c r="E250" s="2" t="n">
        <v>1.00001500019207E-008</v>
      </c>
    </row>
    <row r="251" customFormat="false" ht="13.8" hidden="false" customHeight="false" outlineLevel="0" collapsed="false">
      <c r="B251" s="2" t="n">
        <v>250</v>
      </c>
      <c r="C251" s="2" t="n">
        <v>2.00005000099698E-008</v>
      </c>
      <c r="D251" s="2" t="n">
        <v>3.08779840398333E-008</v>
      </c>
      <c r="E251" s="2" t="n">
        <v>1.50003000049404E-008</v>
      </c>
    </row>
    <row r="252" customFormat="false" ht="13.8" hidden="false" customHeight="false" outlineLevel="0" collapsed="false">
      <c r="B252" s="2" t="n">
        <v>251</v>
      </c>
      <c r="C252" s="2" t="n">
        <v>2.50007500175285E-008</v>
      </c>
      <c r="D252" s="2" t="n">
        <v>3.58783428232686E-008</v>
      </c>
      <c r="E252" s="2" t="n">
        <v>2.00005000099698E-008</v>
      </c>
    </row>
    <row r="253" customFormat="false" ht="13.8" hidden="false" customHeight="false" outlineLevel="0" collapsed="false">
      <c r="B253" s="2" t="n">
        <v>252</v>
      </c>
      <c r="C253" s="2" t="n">
        <v>3.00010500280503E-008</v>
      </c>
      <c r="D253" s="2" t="n">
        <v>4.08787516107788E-008</v>
      </c>
      <c r="E253" s="2" t="n">
        <v>2.50007500175285E-008</v>
      </c>
    </row>
    <row r="254" customFormat="false" ht="13.8" hidden="false" customHeight="false" outlineLevel="0" collapsed="false">
      <c r="B254" s="2" t="n">
        <v>253</v>
      </c>
      <c r="C254" s="2" t="n">
        <v>3.50014000419837E-008</v>
      </c>
      <c r="D254" s="2" t="n">
        <v>4.5879210402865E-008</v>
      </c>
      <c r="E254" s="2" t="n">
        <v>3.00010500280503E-008</v>
      </c>
    </row>
    <row r="255" customFormat="false" ht="13.8" hidden="false" customHeight="false" outlineLevel="0" collapsed="false">
      <c r="B255" s="2" t="n">
        <v>254</v>
      </c>
      <c r="C255" s="2" t="n">
        <v>4.00018000599718E-008</v>
      </c>
      <c r="D255" s="2" t="n">
        <v>5.08797192000317E-008</v>
      </c>
      <c r="E255" s="2" t="n">
        <v>3.50014000419837E-008</v>
      </c>
    </row>
    <row r="256" customFormat="false" ht="13.8" hidden="false" customHeight="false" outlineLevel="0" collapsed="false">
      <c r="B256" s="2" t="n">
        <v>255</v>
      </c>
      <c r="C256" s="2" t="n">
        <v>0.00020004000180006</v>
      </c>
      <c r="D256" s="2" t="n">
        <v>6.00039001819042E-008</v>
      </c>
      <c r="E256" s="2" t="n">
        <v>4.00018000599718E-008</v>
      </c>
    </row>
    <row r="257" customFormat="false" ht="13.8" hidden="false" customHeight="false" outlineLevel="0" collapsed="false">
      <c r="B257" s="2" t="n">
        <v>256</v>
      </c>
      <c r="C257" s="2" t="n">
        <v>0.000200045002250082</v>
      </c>
      <c r="D257" s="2" t="n">
        <v>6.50045502273291E-008</v>
      </c>
      <c r="E257" s="2" t="n">
        <v>4.50022500824493E-008</v>
      </c>
    </row>
    <row r="258" customFormat="false" ht="13.8" hidden="false" customHeight="false" outlineLevel="0" collapsed="false">
      <c r="B258" s="2" t="n">
        <v>257</v>
      </c>
      <c r="C258" s="2" t="n">
        <v>0.00131733568260754</v>
      </c>
      <c r="D258" s="2" t="n">
        <v>0.00111733568260754</v>
      </c>
      <c r="E258" s="2" t="n">
        <v>0.00111733568260754</v>
      </c>
    </row>
    <row r="259" customFormat="false" ht="13.8" hidden="false" customHeight="false" outlineLevel="0" collapsed="false">
      <c r="B259" s="2" t="n">
        <v>258</v>
      </c>
      <c r="C259" s="2" t="n">
        <v>0.0013173438560461</v>
      </c>
      <c r="D259" s="2" t="n">
        <v>0.0011173438560461</v>
      </c>
      <c r="E259" s="2" t="n">
        <v>0.0011173438560461</v>
      </c>
    </row>
    <row r="260" customFormat="false" ht="13.8" hidden="false" customHeight="false" outlineLevel="0" collapsed="false">
      <c r="B260" s="2" t="n">
        <v>259</v>
      </c>
      <c r="C260" s="2" t="n">
        <v>0.0013173520295664</v>
      </c>
      <c r="D260" s="2" t="n">
        <v>0.0011173520295664</v>
      </c>
      <c r="E260" s="2" t="n">
        <v>0.0011173520295664</v>
      </c>
    </row>
    <row r="261" customFormat="false" ht="13.8" hidden="false" customHeight="false" outlineLevel="0" collapsed="false">
      <c r="B261" s="2" t="n">
        <v>260</v>
      </c>
      <c r="C261" s="2" t="n">
        <v>0.00131736020316843</v>
      </c>
      <c r="D261" s="2" t="n">
        <v>0.00111736020316843</v>
      </c>
      <c r="E261" s="2" t="n">
        <v>0.00111736020316843</v>
      </c>
    </row>
    <row r="262" customFormat="false" ht="13.8" hidden="false" customHeight="false" outlineLevel="0" collapsed="false">
      <c r="B262" s="2" t="n">
        <v>261</v>
      </c>
      <c r="C262" s="2" t="n">
        <v>0.0013173683768522</v>
      </c>
      <c r="D262" s="2" t="n">
        <v>0.0011173683768522</v>
      </c>
      <c r="E262" s="2" t="n">
        <v>0.0011173703768522</v>
      </c>
    </row>
    <row r="263" customFormat="false" ht="13.8" hidden="false" customHeight="false" outlineLevel="0" collapsed="false">
      <c r="B263" s="2" t="n">
        <v>262</v>
      </c>
      <c r="C263" s="2" t="n">
        <v>0.0013173765506177</v>
      </c>
      <c r="D263" s="2" t="n">
        <v>0.0011173765506177</v>
      </c>
      <c r="E263" s="2" t="n">
        <v>0.0011173765506177</v>
      </c>
    </row>
    <row r="264" customFormat="false" ht="13.8" hidden="false" customHeight="false" outlineLevel="0" collapsed="false">
      <c r="B264" s="2" t="n">
        <v>263</v>
      </c>
      <c r="C264" s="2" t="n">
        <v>0.00131738272444495</v>
      </c>
      <c r="D264" s="2" t="n">
        <v>0.00111738272444495</v>
      </c>
      <c r="E264" s="2" t="n">
        <v>0.00111738272444495</v>
      </c>
    </row>
    <row r="265" customFormat="false" ht="13.8" hidden="false" customHeight="false" outlineLevel="0" collapsed="false">
      <c r="B265" s="2" t="n">
        <v>264</v>
      </c>
      <c r="C265" s="2" t="n">
        <v>0.00131738889833393</v>
      </c>
      <c r="D265" s="2" t="n">
        <v>0.0013173489021337</v>
      </c>
      <c r="E265" s="2" t="n">
        <v>0.00111738889833393</v>
      </c>
    </row>
    <row r="266" customFormat="false" ht="13.8" hidden="false" customHeight="false" outlineLevel="0" collapsed="false">
      <c r="B266" s="2" t="n">
        <v>265</v>
      </c>
      <c r="C266" s="2" t="n">
        <v>0.00131739507228465</v>
      </c>
      <c r="D266" s="2" t="n">
        <v>0.00131735707570446</v>
      </c>
      <c r="E266" s="2" t="n">
        <v>0.00111739507228465</v>
      </c>
    </row>
    <row r="267" customFormat="false" ht="13.8" hidden="false" customHeight="false" outlineLevel="0" collapsed="false">
      <c r="B267" s="2" t="n">
        <v>266</v>
      </c>
      <c r="C267" s="2" t="n">
        <v>0.00131740124629712</v>
      </c>
      <c r="D267" s="2" t="n">
        <v>0.00131736524935695</v>
      </c>
      <c r="E267" s="2" t="n">
        <v>0.00111740124629712</v>
      </c>
    </row>
    <row r="268" customFormat="false" ht="13.8" hidden="false" customHeight="false" outlineLevel="0" collapsed="false">
      <c r="B268" s="2" t="n">
        <v>267</v>
      </c>
      <c r="C268" s="2" t="n">
        <v>0.00131740742037132</v>
      </c>
      <c r="D268" s="2" t="n">
        <v>0.00131737342309118</v>
      </c>
      <c r="E268" s="2" t="n">
        <v>0.00111740742037132</v>
      </c>
    </row>
    <row r="269" customFormat="false" ht="13.8" hidden="false" customHeight="false" outlineLevel="0" collapsed="false">
      <c r="B269" s="2" t="n">
        <v>268</v>
      </c>
      <c r="C269" s="2" t="n">
        <v>0.00131741359450727</v>
      </c>
      <c r="D269" s="2" t="n">
        <v>0.00131738159690715</v>
      </c>
      <c r="E269" s="2" t="n">
        <v>0.00111741359450727</v>
      </c>
    </row>
    <row r="270" customFormat="false" ht="13.8" hidden="false" customHeight="false" outlineLevel="0" collapsed="false">
      <c r="B270" s="2" t="n">
        <v>269</v>
      </c>
      <c r="C270" s="2" t="n">
        <v>0.00131741976870495</v>
      </c>
      <c r="D270" s="2" t="n">
        <v>0.00131738977080486</v>
      </c>
      <c r="E270" s="2" t="n">
        <v>0.00111741976870495</v>
      </c>
    </row>
    <row r="271" customFormat="false" ht="13.8" hidden="false" customHeight="false" outlineLevel="0" collapsed="false">
      <c r="B271" s="2" t="n">
        <v>270</v>
      </c>
      <c r="C271" s="2" t="n">
        <v>0.00131742594296438</v>
      </c>
      <c r="D271" s="2" t="n">
        <v>0.00131739794478431</v>
      </c>
      <c r="E271" s="2" t="n">
        <v>0.00111742594296438</v>
      </c>
    </row>
    <row r="272" customFormat="false" ht="13.8" hidden="false" customHeight="false" outlineLevel="0" collapsed="false">
      <c r="B272" s="2" t="n">
        <v>271</v>
      </c>
      <c r="C272" s="2" t="n">
        <v>0.00131743211728556</v>
      </c>
      <c r="D272" s="2" t="n">
        <v>0.0013174061188455</v>
      </c>
      <c r="E272" s="2" t="n">
        <v>0.00111743211728556</v>
      </c>
    </row>
    <row r="273" customFormat="false" ht="13.8" hidden="false" customHeight="false" outlineLevel="0" collapsed="false">
      <c r="B273" s="2" t="n">
        <v>272</v>
      </c>
      <c r="C273" s="2" t="n">
        <v>0.00131743829166847</v>
      </c>
      <c r="D273" s="2" t="n">
        <v>0.00131741429298843</v>
      </c>
      <c r="E273" s="2" t="n">
        <v>0.00111743829166847</v>
      </c>
    </row>
    <row r="274" customFormat="false" ht="13.8" hidden="false" customHeight="false" outlineLevel="0" collapsed="false">
      <c r="B274" s="2" t="n">
        <v>273</v>
      </c>
      <c r="C274" s="2" t="n">
        <v>0.00131744446611313</v>
      </c>
      <c r="D274" s="2" t="n">
        <v>0.0013174224672131</v>
      </c>
      <c r="E274" s="2" t="n">
        <v>0.00111744446611313</v>
      </c>
    </row>
    <row r="275" customFormat="false" ht="13.8" hidden="false" customHeight="false" outlineLevel="0" collapsed="false">
      <c r="B275" s="2" t="n">
        <v>274</v>
      </c>
      <c r="C275" s="2" t="n">
        <v>0.00131745064061954</v>
      </c>
      <c r="D275" s="2" t="n">
        <v>0.00131743064151951</v>
      </c>
      <c r="E275" s="2" t="n">
        <v>0.00111745064061954</v>
      </c>
    </row>
    <row r="276" customFormat="false" ht="13.8" hidden="false" customHeight="false" outlineLevel="0" collapsed="false">
      <c r="B276" s="2" t="n">
        <v>275</v>
      </c>
      <c r="C276" s="2" t="n">
        <v>0.00131745681518769</v>
      </c>
      <c r="D276" s="2" t="n">
        <v>0.00131743881590767</v>
      </c>
      <c r="E276" s="2" t="n">
        <v>0.00111745681518769</v>
      </c>
    </row>
    <row r="277" customFormat="false" ht="13.8" hidden="false" customHeight="false" outlineLevel="0" collapsed="false">
      <c r="B277" s="2" t="n">
        <v>276</v>
      </c>
      <c r="C277" s="2" t="n">
        <v>0.00131746298981759</v>
      </c>
      <c r="D277" s="2" t="n">
        <v>0.00131744699037758</v>
      </c>
      <c r="E277" s="2" t="n">
        <v>0.00111746298981759</v>
      </c>
    </row>
    <row r="278" customFormat="false" ht="13.8" hidden="false" customHeight="false" outlineLevel="0" collapsed="false">
      <c r="B278" s="2" t="n">
        <v>277</v>
      </c>
      <c r="C278" s="2" t="n">
        <v>0.00131746916450923</v>
      </c>
      <c r="D278" s="2" t="n">
        <v>0.00131745516492923</v>
      </c>
      <c r="E278" s="2" t="n">
        <v>0.00111746916450923</v>
      </c>
    </row>
    <row r="279" customFormat="false" ht="13.8" hidden="false" customHeight="false" outlineLevel="0" collapsed="false">
      <c r="B279" s="2" t="n">
        <v>278</v>
      </c>
      <c r="C279" s="2" t="n">
        <v>0.00131747533926263</v>
      </c>
      <c r="D279" s="2" t="n">
        <v>0.00131746333956262</v>
      </c>
      <c r="E279" s="2" t="n">
        <v>0.00111747533926263</v>
      </c>
    </row>
    <row r="280" customFormat="false" ht="13.8" hidden="false" customHeight="false" outlineLevel="0" collapsed="false">
      <c r="B280" s="2" t="n">
        <v>279</v>
      </c>
      <c r="C280" s="2" t="n">
        <v>0.00131748151407777</v>
      </c>
      <c r="D280" s="2" t="n">
        <v>0.00131747151427777</v>
      </c>
      <c r="E280" s="2" t="n">
        <v>0.00111748151407777</v>
      </c>
    </row>
    <row r="281" customFormat="false" ht="13.8" hidden="false" customHeight="false" outlineLevel="0" collapsed="false">
      <c r="B281" s="2" t="n">
        <v>280</v>
      </c>
      <c r="C281" s="2" t="n">
        <v>0.00131748768895466</v>
      </c>
      <c r="D281" s="2" t="n">
        <v>0.00131747968907466</v>
      </c>
      <c r="E281" s="2" t="n">
        <v>0.00111748768895466</v>
      </c>
    </row>
    <row r="282" customFormat="false" ht="13.8" hidden="false" customHeight="false" outlineLevel="0" collapsed="false">
      <c r="B282" s="2" t="n">
        <v>281</v>
      </c>
      <c r="C282" s="2" t="n">
        <v>0.0013174938638933</v>
      </c>
      <c r="D282" s="2" t="n">
        <v>0.0013174878639533</v>
      </c>
      <c r="E282" s="2" t="n">
        <v>0.0011174938638933</v>
      </c>
    </row>
    <row r="283" customFormat="false" ht="13.8" hidden="false" customHeight="false" outlineLevel="0" collapsed="false">
      <c r="B283" s="2" t="n">
        <v>282</v>
      </c>
      <c r="C283" s="2" t="n">
        <v>0.00131750003889368</v>
      </c>
      <c r="D283" s="2" t="n">
        <v>0.00131749603891368</v>
      </c>
      <c r="E283" s="2" t="n">
        <v>0.00111750003889368</v>
      </c>
    </row>
    <row r="284" customFormat="false" ht="13.8" hidden="false" customHeight="false" outlineLevel="0" collapsed="false">
      <c r="B284" s="2" t="n">
        <v>283</v>
      </c>
      <c r="C284" s="2" t="n">
        <v>0.00131750621395582</v>
      </c>
      <c r="D284" s="2" t="n">
        <v>0.00131750421395582</v>
      </c>
      <c r="E284" s="2" t="n">
        <v>0.00111750621395582</v>
      </c>
    </row>
    <row r="285" customFormat="false" ht="13.8" hidden="false" customHeight="false" outlineLevel="0" collapsed="false">
      <c r="B285" s="2" t="n">
        <v>284</v>
      </c>
      <c r="C285" s="2" t="n">
        <v>0.00131751238907972</v>
      </c>
      <c r="D285" s="2" t="n">
        <v>0.00131751238907972</v>
      </c>
      <c r="E285" s="2" t="n">
        <v>0.00111751238907971</v>
      </c>
    </row>
    <row r="286" customFormat="false" ht="13.8" hidden="false" customHeight="false" outlineLevel="0" collapsed="false">
      <c r="B286" s="2" t="n">
        <v>285</v>
      </c>
      <c r="C286" s="2" t="n">
        <v>0.00131751856426536</v>
      </c>
      <c r="D286" s="2" t="n">
        <v>0.00131751856426536</v>
      </c>
      <c r="E286" s="2" t="n">
        <v>0.00111751856426536</v>
      </c>
    </row>
    <row r="287" customFormat="false" ht="13.8" hidden="false" customHeight="false" outlineLevel="0" collapsed="false">
      <c r="B287" s="2" t="n">
        <v>286</v>
      </c>
      <c r="C287" s="2" t="n">
        <v>0.00131752473951275</v>
      </c>
      <c r="D287" s="2" t="n">
        <v>0.00131752473951275</v>
      </c>
      <c r="E287" s="2" t="n">
        <v>0.00111752473951275</v>
      </c>
    </row>
    <row r="288" customFormat="false" ht="13.8" hidden="false" customHeight="false" outlineLevel="0" collapsed="false">
      <c r="B288" s="2" t="n">
        <v>287</v>
      </c>
      <c r="C288" s="2" t="n">
        <v>0.00131753036506609</v>
      </c>
      <c r="D288" s="2" t="n">
        <v>0.0013175309148219</v>
      </c>
      <c r="E288" s="2" t="n">
        <v>0.0011175309148219</v>
      </c>
    </row>
    <row r="289" customFormat="false" ht="13.8" hidden="false" customHeight="false" outlineLevel="0" collapsed="false">
      <c r="B289" s="2" t="n">
        <v>288</v>
      </c>
      <c r="C289" s="2" t="n">
        <v>0.0013175370901928</v>
      </c>
      <c r="D289" s="2" t="n">
        <v>0.0013175370901928</v>
      </c>
      <c r="E289" s="2" t="n">
        <v>0.0011175370901928</v>
      </c>
    </row>
    <row r="290" customFormat="false" ht="13.8" hidden="false" customHeight="false" outlineLevel="0" collapsed="false">
      <c r="B290" s="2" t="n">
        <v>289</v>
      </c>
      <c r="C290" s="2" t="n">
        <v>0.00131754326562546</v>
      </c>
      <c r="D290" s="2" t="n">
        <v>0.00131754126562546</v>
      </c>
      <c r="E290" s="2" t="n">
        <v>0.00111754326562546</v>
      </c>
    </row>
    <row r="291" customFormat="false" ht="13.8" hidden="false" customHeight="false" outlineLevel="0" collapsed="false">
      <c r="B291" s="2" t="n">
        <v>290</v>
      </c>
      <c r="C291" s="2" t="n">
        <v>0.00131754944111987</v>
      </c>
      <c r="D291" s="2" t="n">
        <v>0.00131754944111987</v>
      </c>
      <c r="E291" s="2" t="n">
        <v>0.00111754944111987</v>
      </c>
    </row>
    <row r="292" customFormat="false" ht="13.8" hidden="false" customHeight="false" outlineLevel="0" collapsed="false">
      <c r="B292" s="2" t="n">
        <v>291</v>
      </c>
      <c r="C292" s="2" t="n">
        <v>0.00131755561667604</v>
      </c>
      <c r="D292" s="2" t="n">
        <v>0.00131755561667604</v>
      </c>
      <c r="E292" s="2" t="n">
        <v>0.00111755561667604</v>
      </c>
    </row>
    <row r="293" customFormat="false" ht="13.8" hidden="false" customHeight="false" outlineLevel="0" collapsed="false">
      <c r="B293" s="2" t="n">
        <v>292</v>
      </c>
      <c r="C293" s="2" t="n">
        <v>0.00131756179229396</v>
      </c>
      <c r="D293" s="2" t="n">
        <v>0.00131756159438187</v>
      </c>
      <c r="E293" s="2" t="n">
        <v>0.00111756179229396</v>
      </c>
    </row>
    <row r="294" customFormat="false" ht="13.8" hidden="false" customHeight="false" outlineLevel="0" collapsed="false">
      <c r="B294" s="2" t="n">
        <v>293</v>
      </c>
      <c r="C294" s="2" t="n">
        <v>0.00131756796797364</v>
      </c>
      <c r="D294" s="2" t="n">
        <v>0.00131756796797364</v>
      </c>
      <c r="E294" s="2" t="n">
        <v>0.00111756796797364</v>
      </c>
    </row>
    <row r="295" customFormat="false" ht="13.8" hidden="false" customHeight="false" outlineLevel="0" collapsed="false">
      <c r="B295" s="2" t="n">
        <v>294</v>
      </c>
      <c r="C295" s="2" t="n">
        <v>0.00131757414371508</v>
      </c>
      <c r="D295" s="2" t="n">
        <v>0.00131757414371508</v>
      </c>
      <c r="E295" s="2" t="n">
        <v>0.00111757414371508</v>
      </c>
    </row>
    <row r="296" customFormat="false" ht="13.8" hidden="false" customHeight="false" outlineLevel="0" collapsed="false">
      <c r="B296" s="2" t="n">
        <v>295</v>
      </c>
      <c r="C296" s="2" t="n">
        <v>0.00131758031951827</v>
      </c>
      <c r="D296" s="2" t="n">
        <v>0.00131758012188824</v>
      </c>
      <c r="E296" s="2" t="n">
        <v>0.00111758031951827</v>
      </c>
    </row>
    <row r="297" customFormat="false" ht="13.8" hidden="false" customHeight="false" outlineLevel="0" collapsed="false">
      <c r="B297" s="2" t="n">
        <v>296</v>
      </c>
      <c r="C297" s="2" t="n">
        <v>0.00131758649538323</v>
      </c>
      <c r="D297" s="2" t="n">
        <v>0.00131758649538323</v>
      </c>
      <c r="E297" s="2" t="n">
        <v>0.00111758649538323</v>
      </c>
    </row>
    <row r="298" customFormat="false" ht="13.8" hidden="false" customHeight="false" outlineLevel="0" collapsed="false">
      <c r="B298" s="2" t="n">
        <v>297</v>
      </c>
      <c r="C298" s="2" t="n">
        <v>0.00131759267130994</v>
      </c>
      <c r="D298" s="2" t="n">
        <v>0.00131759267130994</v>
      </c>
      <c r="E298" s="2" t="n">
        <v>0.00111759267130994</v>
      </c>
    </row>
    <row r="299" customFormat="false" ht="13.8" hidden="false" customHeight="false" outlineLevel="0" collapsed="false">
      <c r="B299" s="2" t="n">
        <v>298</v>
      </c>
      <c r="C299" s="2" t="n">
        <v>0.00131759884729841</v>
      </c>
      <c r="D299" s="2" t="n">
        <v>0.0013175979457024</v>
      </c>
      <c r="E299" s="2" t="n">
        <v>0.00111759884729841</v>
      </c>
    </row>
    <row r="300" customFormat="false" ht="13.8" hidden="false" customHeight="false" outlineLevel="0" collapsed="false">
      <c r="B300" s="2" t="n">
        <v>299</v>
      </c>
      <c r="C300" s="2" t="n">
        <v>0.00131760502334865</v>
      </c>
      <c r="D300" s="2" t="n">
        <v>0.00131760467150492</v>
      </c>
      <c r="E300" s="2" t="n">
        <v>0.00111760502334864</v>
      </c>
    </row>
    <row r="301" customFormat="false" ht="13.8" hidden="false" customHeight="false" outlineLevel="0" collapsed="false">
      <c r="B301" s="2" t="n">
        <v>300</v>
      </c>
      <c r="C301" s="2" t="n">
        <v>0.00131761119946064</v>
      </c>
      <c r="D301" s="2" t="n">
        <v>0.00131761119946064</v>
      </c>
      <c r="E301" s="2" t="n">
        <v>0.00111761119946064</v>
      </c>
    </row>
    <row r="302" customFormat="false" ht="13.8" hidden="false" customHeight="false" outlineLevel="0" collapsed="false">
      <c r="B302" s="2" t="n">
        <v>301</v>
      </c>
      <c r="C302" s="2" t="n">
        <v>0.0013176173756344</v>
      </c>
      <c r="D302" s="2" t="n">
        <v>0.00131761647403838</v>
      </c>
      <c r="E302" s="2" t="n">
        <v>0.0011176173756344</v>
      </c>
    </row>
    <row r="303" customFormat="false" ht="13.8" hidden="false" customHeight="false" outlineLevel="0" collapsed="false">
      <c r="B303" s="2" t="n">
        <v>302</v>
      </c>
      <c r="C303" s="2" t="n">
        <v>0.00131762355186991</v>
      </c>
      <c r="D303" s="2" t="n">
        <v>0.00131762320002619</v>
      </c>
      <c r="E303" s="2" t="n">
        <v>0.00111762355186991</v>
      </c>
    </row>
    <row r="304" customFormat="false" ht="13.8" hidden="false" customHeight="false" outlineLevel="0" collapsed="false">
      <c r="B304" s="2" t="n">
        <v>303</v>
      </c>
      <c r="C304" s="2" t="n">
        <v>0.0013176297281672</v>
      </c>
      <c r="D304" s="2" t="n">
        <v>0.0013176297281672</v>
      </c>
      <c r="E304" s="2" t="n">
        <v>0.0011176297281672</v>
      </c>
    </row>
    <row r="305" customFormat="false" ht="13.8" hidden="false" customHeight="false" outlineLevel="0" collapsed="false">
      <c r="B305" s="2" t="n">
        <v>304</v>
      </c>
      <c r="C305" s="2" t="n">
        <v>0.00131763590452624</v>
      </c>
      <c r="D305" s="2" t="n">
        <v>0.00131763590452624</v>
      </c>
      <c r="E305" s="2" t="n">
        <v>0.00111763590452624</v>
      </c>
    </row>
    <row r="306" customFormat="false" ht="13.8" hidden="false" customHeight="false" outlineLevel="0" collapsed="false">
      <c r="B306" s="2" t="n">
        <v>305</v>
      </c>
      <c r="C306" s="2" t="n">
        <v>0.00131764208094705</v>
      </c>
      <c r="D306" s="2" t="n">
        <v>0.00131764208094705</v>
      </c>
      <c r="E306" s="2" t="n">
        <v>0.00111764208094705</v>
      </c>
    </row>
    <row r="307" customFormat="false" ht="13.8" hidden="false" customHeight="false" outlineLevel="0" collapsed="false">
      <c r="B307" s="2" t="n">
        <v>306</v>
      </c>
      <c r="C307" s="2" t="n">
        <v>0.00131764825742963</v>
      </c>
      <c r="D307" s="2" t="n">
        <v>0.00131764825742963</v>
      </c>
      <c r="E307" s="2" t="n">
        <v>0.00111764825742963</v>
      </c>
    </row>
    <row r="308" customFormat="false" ht="13.8" hidden="false" customHeight="false" outlineLevel="0" collapsed="false">
      <c r="B308" s="2" t="n">
        <v>307</v>
      </c>
      <c r="C308" s="2" t="n">
        <v>0.00131765443397397</v>
      </c>
      <c r="D308" s="2" t="n">
        <v>0.00131765388421815</v>
      </c>
      <c r="E308" s="2" t="n">
        <v>0.00111765443397397</v>
      </c>
    </row>
    <row r="309" customFormat="false" ht="13.8" hidden="false" customHeight="false" outlineLevel="0" collapsed="false">
      <c r="B309" s="2" t="n">
        <v>308</v>
      </c>
      <c r="C309" s="2" t="n">
        <v>0.00131766061058007</v>
      </c>
      <c r="D309" s="2" t="n">
        <v>0.00131766061058007</v>
      </c>
      <c r="E309" s="2" t="n">
        <v>0.00111766061058007</v>
      </c>
    </row>
    <row r="310" customFormat="false" ht="13.8" hidden="false" customHeight="false" outlineLevel="0" collapsed="false">
      <c r="B310" s="2" t="n">
        <v>309</v>
      </c>
      <c r="C310" s="2" t="n">
        <v>0.00131766678724794</v>
      </c>
      <c r="D310" s="2" t="n">
        <v>0.00131766678724794</v>
      </c>
      <c r="E310" s="2" t="n">
        <v>0.00111766678724794</v>
      </c>
    </row>
    <row r="311" customFormat="false" ht="13.8" hidden="false" customHeight="false" outlineLevel="0" collapsed="false">
      <c r="B311" s="2" t="n">
        <v>310</v>
      </c>
      <c r="C311" s="2" t="n">
        <v>0.00131767296397758</v>
      </c>
      <c r="D311" s="2" t="n">
        <v>0.00111767296397758</v>
      </c>
      <c r="E311" s="2" t="n">
        <v>0.00111767296397758</v>
      </c>
    </row>
    <row r="312" customFormat="false" ht="13.8" hidden="false" customHeight="false" outlineLevel="0" collapsed="false">
      <c r="B312" s="2" t="n">
        <v>311</v>
      </c>
      <c r="C312" s="2" t="n">
        <v>0.00131767914076899</v>
      </c>
      <c r="D312" s="2" t="n">
        <v>0.00111767914076899</v>
      </c>
      <c r="E312" s="2" t="n">
        <v>0.00111767914076899</v>
      </c>
    </row>
    <row r="313" customFormat="false" ht="13.8" hidden="false" customHeight="false" outlineLevel="0" collapsed="false">
      <c r="B313" s="2" t="n">
        <v>312</v>
      </c>
      <c r="C313" s="2" t="n">
        <v>0.00131768531762217</v>
      </c>
      <c r="D313" s="2" t="n">
        <v>0.00111768531762217</v>
      </c>
      <c r="E313" s="2" t="n">
        <v>0.00111768531762217</v>
      </c>
    </row>
    <row r="314" customFormat="false" ht="13.8" hidden="false" customHeight="false" outlineLevel="0" collapsed="false">
      <c r="B314" s="2" t="n">
        <v>313</v>
      </c>
      <c r="C314" s="2" t="n">
        <v>0.00131769149453711</v>
      </c>
      <c r="D314" s="2" t="n">
        <v>0.00111769149453711</v>
      </c>
      <c r="E314" s="2" t="n">
        <v>0.00111769149453711</v>
      </c>
    </row>
    <row r="315" customFormat="false" ht="13.8" hidden="false" customHeight="false" outlineLevel="0" collapsed="false">
      <c r="B315" s="2" t="n">
        <v>314</v>
      </c>
      <c r="C315" s="2" t="n">
        <v>0.00131769767151383</v>
      </c>
      <c r="D315" s="2" t="n">
        <v>0.00111769767151383</v>
      </c>
      <c r="E315" s="2" t="n">
        <v>0.00111769767151383</v>
      </c>
    </row>
    <row r="316" customFormat="false" ht="13.8" hidden="false" customHeight="false" outlineLevel="0" collapsed="false">
      <c r="B316" s="2" t="n">
        <v>315</v>
      </c>
      <c r="C316" s="2" t="n">
        <v>0.0002</v>
      </c>
      <c r="D316" s="2" t="n">
        <v>0</v>
      </c>
      <c r="E316" s="2" t="n">
        <v>0</v>
      </c>
    </row>
    <row r="317" customFormat="false" ht="13.8" hidden="false" customHeight="false" outlineLevel="0" collapsed="false">
      <c r="B317" s="2" t="n">
        <v>316</v>
      </c>
      <c r="C317" s="2" t="n">
        <v>0.0002</v>
      </c>
      <c r="D317" s="2" t="n">
        <v>0</v>
      </c>
      <c r="E317" s="2" t="n">
        <v>0</v>
      </c>
    </row>
    <row r="318" customFormat="false" ht="13.8" hidden="false" customHeight="false" outlineLevel="0" collapsed="false">
      <c r="B318" s="2" t="n">
        <v>317</v>
      </c>
      <c r="C318" s="2" t="n">
        <v>0.0002</v>
      </c>
      <c r="D318" s="2" t="n">
        <v>0</v>
      </c>
      <c r="E318" s="2" t="n">
        <v>0</v>
      </c>
    </row>
    <row r="319" customFormat="false" ht="13.8" hidden="false" customHeight="false" outlineLevel="0" collapsed="false">
      <c r="B319" s="2" t="n">
        <v>318</v>
      </c>
      <c r="C319" s="2" t="n">
        <v>0.0002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319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320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321</v>
      </c>
      <c r="C322" s="2" t="n">
        <v>0.0002</v>
      </c>
      <c r="D322" s="2" t="n">
        <v>6.872016588105E-011</v>
      </c>
      <c r="E322" s="2" t="n">
        <v>0</v>
      </c>
    </row>
    <row r="323" customFormat="false" ht="13.8" hidden="false" customHeight="false" outlineLevel="0" collapsed="false">
      <c r="B323" s="2" t="n">
        <v>322</v>
      </c>
      <c r="C323" s="2" t="n">
        <v>0.0002</v>
      </c>
      <c r="D323" s="2" t="n">
        <v>3.86260174113632E-009</v>
      </c>
      <c r="E323" s="2" t="n">
        <v>0</v>
      </c>
    </row>
    <row r="324" customFormat="false" ht="13.8" hidden="false" customHeight="false" outlineLevel="0" collapsed="false">
      <c r="B324" s="2" t="n">
        <v>323</v>
      </c>
      <c r="C324" s="2" t="n">
        <v>0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324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325</v>
      </c>
      <c r="C326" s="2" t="n">
        <v>0</v>
      </c>
      <c r="D326" s="2" t="n">
        <v>3.62564672182315E-009</v>
      </c>
      <c r="E326" s="2" t="n">
        <v>0</v>
      </c>
    </row>
    <row r="327" customFormat="false" ht="13.8" hidden="false" customHeight="false" outlineLevel="0" collapsed="false">
      <c r="B327" s="2" t="n">
        <v>326</v>
      </c>
      <c r="C327" s="2" t="n">
        <v>0.0002</v>
      </c>
      <c r="D327" s="2" t="n">
        <v>1.00001500019207E-008</v>
      </c>
      <c r="E327" s="2" t="n">
        <v>0</v>
      </c>
    </row>
    <row r="328" customFormat="false" ht="13.8" hidden="false" customHeight="false" outlineLevel="0" collapsed="false">
      <c r="B328" s="2" t="n">
        <v>327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328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329</v>
      </c>
      <c r="C330" s="2" t="n">
        <v>0</v>
      </c>
      <c r="D330" s="2" t="n">
        <v>3.62564672182315E-009</v>
      </c>
      <c r="E330" s="2" t="n">
        <v>0</v>
      </c>
    </row>
    <row r="331" customFormat="false" ht="13.8" hidden="false" customHeight="false" outlineLevel="0" collapsed="false">
      <c r="B331" s="2" t="n">
        <v>330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331</v>
      </c>
      <c r="C332" s="2" t="n">
        <v>0</v>
      </c>
      <c r="D332" s="2" t="n">
        <v>3.62564672182315E-009</v>
      </c>
      <c r="E332" s="2" t="n">
        <v>0</v>
      </c>
    </row>
    <row r="333" customFormat="false" ht="13.8" hidden="false" customHeight="false" outlineLevel="0" collapsed="false">
      <c r="B333" s="2" t="n">
        <v>332</v>
      </c>
      <c r="C333" s="2" t="n">
        <v>0</v>
      </c>
      <c r="D333" s="2" t="n">
        <v>7.25132970068481E-009</v>
      </c>
      <c r="E333" s="2" t="n">
        <v>0</v>
      </c>
    </row>
    <row r="334" customFormat="false" ht="13.8" hidden="false" customHeight="false" outlineLevel="0" collapsed="false">
      <c r="B334" s="2" t="n">
        <v>333</v>
      </c>
      <c r="C334" s="2" t="n">
        <v>0</v>
      </c>
      <c r="D334" s="2" t="n">
        <v>1.08770489369818E-008</v>
      </c>
      <c r="E334" s="2" t="n">
        <v>0</v>
      </c>
    </row>
    <row r="335" customFormat="false" ht="13.8" hidden="false" customHeight="false" outlineLevel="0" collapsed="false">
      <c r="B335" s="2" t="n">
        <v>334</v>
      </c>
      <c r="C335" s="2" t="n">
        <v>0</v>
      </c>
      <c r="D335" s="2" t="n">
        <v>1.45028044310509E-008</v>
      </c>
      <c r="E335" s="2" t="n">
        <v>0</v>
      </c>
    </row>
    <row r="336" customFormat="false" ht="13.8" hidden="false" customHeight="false" outlineLevel="0" collapsed="false">
      <c r="B336" s="2" t="n">
        <v>335</v>
      </c>
      <c r="C336" s="2" t="n">
        <v>0</v>
      </c>
      <c r="D336" s="2" t="n">
        <v>1.8128596183263E-008</v>
      </c>
      <c r="E336" s="2" t="n">
        <v>0</v>
      </c>
    </row>
    <row r="337" customFormat="false" ht="13.8" hidden="false" customHeight="false" outlineLevel="0" collapsed="false">
      <c r="B337" s="2" t="n">
        <v>336</v>
      </c>
      <c r="C337" s="2" t="n">
        <v>0</v>
      </c>
      <c r="D337" s="2" t="n">
        <v>2.17544241939324E-008</v>
      </c>
      <c r="E337" s="2" t="n">
        <v>0</v>
      </c>
    </row>
    <row r="338" customFormat="false" ht="13.8" hidden="false" customHeight="false" outlineLevel="0" collapsed="false">
      <c r="B338" s="2" t="n">
        <v>337</v>
      </c>
      <c r="C338" s="2" t="n">
        <v>3.71932983398438E-017</v>
      </c>
      <c r="D338" s="2" t="n">
        <v>2.53802884633886E-008</v>
      </c>
      <c r="E338" s="2" t="n">
        <v>6.67572021484376E-017</v>
      </c>
    </row>
    <row r="339" customFormat="false" ht="13.8" hidden="false" customHeight="false" outlineLevel="0" collapsed="false">
      <c r="B339" s="2" t="n">
        <v>338</v>
      </c>
      <c r="C339" s="2" t="n">
        <v>5.00005000045461E-009</v>
      </c>
      <c r="D339" s="2" t="n">
        <v>3.03805922692878E-008</v>
      </c>
      <c r="E339" s="2" t="n">
        <v>0</v>
      </c>
    </row>
    <row r="340" customFormat="false" ht="13.8" hidden="false" customHeight="false" outlineLevel="0" collapsed="false">
      <c r="B340" s="2" t="n">
        <v>339</v>
      </c>
      <c r="C340" s="2" t="n">
        <v>1.00001500019207E-008</v>
      </c>
      <c r="D340" s="2" t="n">
        <v>3.53809460787217E-008</v>
      </c>
      <c r="E340" s="2" t="n">
        <v>0</v>
      </c>
    </row>
    <row r="341" customFormat="false" ht="13.8" hidden="false" customHeight="false" outlineLevel="0" collapsed="false">
      <c r="B341" s="2" t="n">
        <v>340</v>
      </c>
      <c r="C341" s="2" t="n">
        <v>1.50003000049404E-008</v>
      </c>
      <c r="D341" s="2" t="n">
        <v>4.03813498922287E-008</v>
      </c>
      <c r="E341" s="2" t="n">
        <v>0</v>
      </c>
    </row>
    <row r="342" customFormat="false" ht="13.8" hidden="false" customHeight="false" outlineLevel="0" collapsed="false">
      <c r="B342" s="2" t="n">
        <v>341</v>
      </c>
      <c r="C342" s="2" t="n">
        <v>2.00005000099698E-008</v>
      </c>
      <c r="D342" s="2" t="n">
        <v>4.53818037102499E-008</v>
      </c>
      <c r="E342" s="2" t="n">
        <v>5.00005000045461E-009</v>
      </c>
    </row>
    <row r="343" customFormat="false" ht="13.8" hidden="false" customHeight="false" outlineLevel="0" collapsed="false">
      <c r="B343" s="2" t="n">
        <v>342</v>
      </c>
      <c r="C343" s="2" t="n">
        <v>2.50007500175285E-008</v>
      </c>
      <c r="D343" s="2" t="n">
        <v>5.03823075333238E-008</v>
      </c>
      <c r="E343" s="2" t="n">
        <v>1.00001500019207E-008</v>
      </c>
    </row>
    <row r="344" customFormat="false" ht="13.8" hidden="false" customHeight="false" outlineLevel="0" collapsed="false">
      <c r="B344" s="2" t="n">
        <v>343</v>
      </c>
      <c r="C344" s="2" t="n">
        <v>3.00010500280503E-008</v>
      </c>
      <c r="D344" s="2" t="n">
        <v>5.53828613618951E-008</v>
      </c>
      <c r="E344" s="2" t="n">
        <v>1.50003000049404E-008</v>
      </c>
    </row>
    <row r="345" customFormat="false" ht="13.8" hidden="false" customHeight="false" outlineLevel="0" collapsed="false">
      <c r="B345" s="2" t="n">
        <v>344</v>
      </c>
      <c r="C345" s="2" t="n">
        <v>3.50014000419837E-008</v>
      </c>
      <c r="D345" s="2" t="n">
        <v>6.03834651965212E-008</v>
      </c>
      <c r="E345" s="2" t="n">
        <v>2.00005000099698E-008</v>
      </c>
    </row>
    <row r="346" customFormat="false" ht="13.8" hidden="false" customHeight="false" outlineLevel="0" collapsed="false">
      <c r="B346" s="2" t="n">
        <v>345</v>
      </c>
      <c r="C346" s="2" t="n">
        <v>0.00020007500600034</v>
      </c>
      <c r="D346" s="2" t="n">
        <v>7.50060003398626E-008</v>
      </c>
      <c r="E346" s="2" t="n">
        <v>3.87460885520379E-008</v>
      </c>
    </row>
    <row r="347" customFormat="false" ht="13.8" hidden="false" customHeight="false" outlineLevel="0" collapsed="false">
      <c r="B347" s="2" t="n">
        <v>346</v>
      </c>
      <c r="C347" s="2" t="n">
        <v>0.000200080006800408</v>
      </c>
      <c r="D347" s="2" t="n">
        <v>8.00068004077507E-008</v>
      </c>
      <c r="E347" s="2" t="n">
        <v>4.37465260172741E-008</v>
      </c>
    </row>
    <row r="348" customFormat="false" ht="13.8" hidden="false" customHeight="false" outlineLevel="0" collapsed="false">
      <c r="B348" s="2" t="n">
        <v>347</v>
      </c>
      <c r="C348" s="2" t="n">
        <v>0.000200035001400042</v>
      </c>
      <c r="D348" s="2" t="n">
        <v>8.50076504842406E-008</v>
      </c>
      <c r="E348" s="2" t="n">
        <v>3.50014000419837E-008</v>
      </c>
    </row>
    <row r="349" customFormat="false" ht="13.8" hidden="false" customHeight="false" outlineLevel="0" collapsed="false">
      <c r="B349" s="2" t="n">
        <v>348</v>
      </c>
      <c r="C349" s="2" t="n">
        <v>0.00020004000180006</v>
      </c>
      <c r="D349" s="2" t="n">
        <v>9.00085505697651E-008</v>
      </c>
      <c r="E349" s="2" t="n">
        <v>4.00018000599718E-008</v>
      </c>
    </row>
    <row r="350" customFormat="false" ht="13.8" hidden="false" customHeight="false" outlineLevel="0" collapsed="false">
      <c r="B350" s="2" t="n">
        <v>349</v>
      </c>
      <c r="C350" s="2" t="n">
        <v>0.000200045002250082</v>
      </c>
      <c r="D350" s="2" t="n">
        <v>9.50095006647727E-008</v>
      </c>
      <c r="E350" s="2" t="n">
        <v>4.50022500824493E-008</v>
      </c>
    </row>
    <row r="351" customFormat="false" ht="13.8" hidden="false" customHeight="false" outlineLevel="0" collapsed="false">
      <c r="B351" s="2" t="n">
        <v>350</v>
      </c>
      <c r="C351" s="2" t="n">
        <v>0.00020005000275011</v>
      </c>
      <c r="D351" s="2" t="n">
        <v>1.0001050076969E-007</v>
      </c>
      <c r="E351" s="2" t="n">
        <v>5.00027501099554E-008</v>
      </c>
    </row>
    <row r="352" customFormat="false" ht="13.8" hidden="false" customHeight="false" outlineLevel="0" collapsed="false">
      <c r="B352" s="2" t="n">
        <v>351</v>
      </c>
      <c r="C352" s="2" t="n">
        <v>0.000200055003300143</v>
      </c>
      <c r="D352" s="2" t="n">
        <v>1.05011550885167E-007</v>
      </c>
      <c r="E352" s="2" t="n">
        <v>5.50033001429267E-008</v>
      </c>
    </row>
    <row r="353" customFormat="false" ht="13.8" hidden="false" customHeight="false" outlineLevel="0" collapsed="false">
      <c r="B353" s="2" t="n">
        <v>352</v>
      </c>
      <c r="C353" s="2" t="n">
        <v>0.000200060003900182</v>
      </c>
      <c r="D353" s="2" t="n">
        <v>1.10012651011645E-007</v>
      </c>
      <c r="E353" s="2" t="n">
        <v>6.00039001819042E-008</v>
      </c>
    </row>
    <row r="354" customFormat="false" ht="13.8" hidden="false" customHeight="false" outlineLevel="0" collapsed="false">
      <c r="B354" s="2" t="n">
        <v>353</v>
      </c>
      <c r="C354" s="2" t="n">
        <v>0.00020011501380115</v>
      </c>
      <c r="D354" s="2" t="n">
        <v>1.15013801149644E-007</v>
      </c>
      <c r="E354" s="2" t="n">
        <v>1.15013801149644E-007</v>
      </c>
    </row>
    <row r="355" customFormat="false" ht="13.8" hidden="false" customHeight="false" outlineLevel="0" collapsed="false">
      <c r="B355" s="2" t="n">
        <v>354</v>
      </c>
      <c r="C355" s="2" t="n">
        <v>0.00131736597895961</v>
      </c>
      <c r="D355" s="2" t="n">
        <v>0.0011173703768522</v>
      </c>
      <c r="E355" s="2" t="n">
        <v>0.0011173703768522</v>
      </c>
    </row>
    <row r="356" customFormat="false" ht="13.8" hidden="false" customHeight="false" outlineLevel="0" collapsed="false">
      <c r="B356" s="2" t="n">
        <v>355</v>
      </c>
      <c r="C356" s="2" t="n">
        <v>0.00131737270244245</v>
      </c>
      <c r="D356" s="2" t="n">
        <v>0.0011173765506177</v>
      </c>
      <c r="E356" s="2" t="n">
        <v>0.0011173765506177</v>
      </c>
    </row>
    <row r="357" customFormat="false" ht="13.8" hidden="false" customHeight="false" outlineLevel="0" collapsed="false">
      <c r="B357" s="2" t="n">
        <v>356</v>
      </c>
      <c r="C357" s="2" t="n">
        <v>0.00131737942599253</v>
      </c>
      <c r="D357" s="2" t="n">
        <v>0.00111738272444495</v>
      </c>
      <c r="E357" s="2" t="n">
        <v>0.00111738272444495</v>
      </c>
    </row>
    <row r="358" customFormat="false" ht="13.8" hidden="false" customHeight="false" outlineLevel="0" collapsed="false">
      <c r="B358" s="2" t="n">
        <v>357</v>
      </c>
      <c r="C358" s="2" t="n">
        <v>0.00131738614960984</v>
      </c>
      <c r="D358" s="2" t="n">
        <v>0.00111738889833393</v>
      </c>
      <c r="E358" s="2" t="n">
        <v>0.00111738889833393</v>
      </c>
    </row>
    <row r="359" customFormat="false" ht="13.8" hidden="false" customHeight="false" outlineLevel="0" collapsed="false">
      <c r="B359" s="2" t="n">
        <v>358</v>
      </c>
      <c r="C359" s="2" t="n">
        <v>0.00131739287329438</v>
      </c>
      <c r="D359" s="2" t="n">
        <v>0.00111739507228465</v>
      </c>
      <c r="E359" s="2" t="n">
        <v>0.00111739507228465</v>
      </c>
    </row>
    <row r="360" customFormat="false" ht="13.8" hidden="false" customHeight="false" outlineLevel="0" collapsed="false">
      <c r="B360" s="2" t="n">
        <v>359</v>
      </c>
      <c r="C360" s="2" t="n">
        <v>0.00131739959704617</v>
      </c>
      <c r="D360" s="2" t="n">
        <v>0.00111740124629712</v>
      </c>
      <c r="E360" s="2" t="n">
        <v>0.00111740124629712</v>
      </c>
    </row>
    <row r="361" customFormat="false" ht="13.8" hidden="false" customHeight="false" outlineLevel="0" collapsed="false">
      <c r="B361" s="2" t="n">
        <v>360</v>
      </c>
      <c r="C361" s="2" t="n">
        <v>0.00131740632086519</v>
      </c>
      <c r="D361" s="2" t="n">
        <v>0.00111740742037132</v>
      </c>
      <c r="E361" s="2" t="n">
        <v>0.00111740742037132</v>
      </c>
    </row>
    <row r="362" customFormat="false" ht="13.8" hidden="false" customHeight="false" outlineLevel="0" collapsed="false">
      <c r="B362" s="2" t="n">
        <v>361</v>
      </c>
      <c r="C362" s="2" t="n">
        <v>0.00131741304475145</v>
      </c>
      <c r="D362" s="2" t="n">
        <v>0.00111741359450727</v>
      </c>
      <c r="E362" s="2" t="n">
        <v>0.00111741359450727</v>
      </c>
    </row>
    <row r="363" customFormat="false" ht="13.8" hidden="false" customHeight="false" outlineLevel="0" collapsed="false">
      <c r="B363" s="2" t="n">
        <v>362</v>
      </c>
      <c r="C363" s="2" t="n">
        <v>0.00131741976870495</v>
      </c>
      <c r="D363" s="2" t="n">
        <v>0.00131736577572437</v>
      </c>
      <c r="E363" s="2" t="n">
        <v>0.00111741976870495</v>
      </c>
    </row>
    <row r="364" customFormat="false" ht="13.8" hidden="false" customHeight="false" outlineLevel="0" collapsed="false">
      <c r="B364" s="2" t="n">
        <v>363</v>
      </c>
      <c r="C364" s="2" t="n">
        <v>0.00131742739322307</v>
      </c>
      <c r="D364" s="2" t="n">
        <v>0.00111742594296438</v>
      </c>
      <c r="E364" s="2" t="n">
        <v>0.00111742594296438</v>
      </c>
    </row>
    <row r="365" customFormat="false" ht="13.8" hidden="false" customHeight="false" outlineLevel="0" collapsed="false">
      <c r="B365" s="2" t="n">
        <v>364</v>
      </c>
      <c r="C365" s="2" t="n">
        <v>0.00131743239216757</v>
      </c>
      <c r="D365" s="2" t="n">
        <v>0.00111743211728556</v>
      </c>
      <c r="E365" s="2" t="n">
        <v>0.00111743211728556</v>
      </c>
    </row>
    <row r="366" customFormat="false" ht="13.8" hidden="false" customHeight="false" outlineLevel="0" collapsed="false">
      <c r="B366" s="2" t="n">
        <v>365</v>
      </c>
      <c r="C366" s="2" t="n">
        <v>0.00131743829166847</v>
      </c>
      <c r="D366" s="2" t="n">
        <v>0.00131739029718807</v>
      </c>
      <c r="E366" s="2" t="n">
        <v>0.00111743829166847</v>
      </c>
    </row>
    <row r="367" customFormat="false" ht="13.8" hidden="false" customHeight="false" outlineLevel="0" collapsed="false">
      <c r="B367" s="2" t="n">
        <v>366</v>
      </c>
      <c r="C367" s="2" t="n">
        <v>0.00131744446611313</v>
      </c>
      <c r="D367" s="2" t="n">
        <v>0.00131739847117278</v>
      </c>
      <c r="E367" s="2" t="n">
        <v>0.00111744446611313</v>
      </c>
    </row>
    <row r="368" customFormat="false" ht="13.8" hidden="false" customHeight="false" outlineLevel="0" collapsed="false">
      <c r="B368" s="2" t="n">
        <v>367</v>
      </c>
      <c r="C368" s="2" t="n">
        <v>0.00131745064061954</v>
      </c>
      <c r="D368" s="2" t="n">
        <v>0.00131740664523923</v>
      </c>
      <c r="E368" s="2" t="n">
        <v>0.00111745064061954</v>
      </c>
    </row>
    <row r="369" customFormat="false" ht="13.8" hidden="false" customHeight="false" outlineLevel="0" collapsed="false">
      <c r="B369" s="2" t="n">
        <v>368</v>
      </c>
      <c r="C369" s="2" t="n">
        <v>0.00131745681518769</v>
      </c>
      <c r="D369" s="2" t="n">
        <v>0.00131741481938743</v>
      </c>
      <c r="E369" s="2" t="n">
        <v>0.00111745681518769</v>
      </c>
    </row>
    <row r="370" customFormat="false" ht="13.8" hidden="false" customHeight="false" outlineLevel="0" collapsed="false">
      <c r="B370" s="2" t="n">
        <v>369</v>
      </c>
      <c r="C370" s="2" t="n">
        <v>0.00131746298981759</v>
      </c>
      <c r="D370" s="2" t="n">
        <v>0.00131742299361736</v>
      </c>
      <c r="E370" s="2" t="n">
        <v>0.00111746298981759</v>
      </c>
    </row>
    <row r="371" customFormat="false" ht="13.8" hidden="false" customHeight="false" outlineLevel="0" collapsed="false">
      <c r="B371" s="2" t="n">
        <v>370</v>
      </c>
      <c r="C371" s="2" t="n">
        <v>0.00131746916450923</v>
      </c>
      <c r="D371" s="2" t="n">
        <v>0.00131743116792904</v>
      </c>
      <c r="E371" s="2" t="n">
        <v>0.00111746916450923</v>
      </c>
    </row>
    <row r="372" customFormat="false" ht="13.8" hidden="false" customHeight="false" outlineLevel="0" collapsed="false">
      <c r="B372" s="2" t="n">
        <v>371</v>
      </c>
      <c r="C372" s="2" t="n">
        <v>0.00131747533926263</v>
      </c>
      <c r="D372" s="2" t="n">
        <v>0.00131743934232246</v>
      </c>
      <c r="E372" s="2" t="n">
        <v>0.00111747533926263</v>
      </c>
    </row>
    <row r="373" customFormat="false" ht="13.8" hidden="false" customHeight="false" outlineLevel="0" collapsed="false">
      <c r="B373" s="2" t="n">
        <v>372</v>
      </c>
      <c r="C373" s="2" t="n">
        <v>0.00131748151407777</v>
      </c>
      <c r="D373" s="2" t="n">
        <v>0.00131744751679763</v>
      </c>
      <c r="E373" s="2" t="n">
        <v>0.00111748151407777</v>
      </c>
    </row>
    <row r="374" customFormat="false" ht="13.8" hidden="false" customHeight="false" outlineLevel="0" collapsed="false">
      <c r="B374" s="2" t="n">
        <v>373</v>
      </c>
      <c r="C374" s="2" t="n">
        <v>0.00131748768895466</v>
      </c>
      <c r="D374" s="2" t="n">
        <v>0.00131745569135455</v>
      </c>
      <c r="E374" s="2" t="n">
        <v>0.00111748768895466</v>
      </c>
    </row>
    <row r="375" customFormat="false" ht="13.8" hidden="false" customHeight="false" outlineLevel="0" collapsed="false">
      <c r="B375" s="2" t="n">
        <v>374</v>
      </c>
      <c r="C375" s="2" t="n">
        <v>0.0013174938638933</v>
      </c>
      <c r="D375" s="2" t="n">
        <v>0.0013174638659932</v>
      </c>
      <c r="E375" s="2" t="n">
        <v>0.0011174938638933</v>
      </c>
    </row>
    <row r="376" customFormat="false" ht="13.8" hidden="false" customHeight="false" outlineLevel="0" collapsed="false">
      <c r="B376" s="2" t="n">
        <v>375</v>
      </c>
      <c r="C376" s="2" t="n">
        <v>0.00131750003889368</v>
      </c>
      <c r="D376" s="2" t="n">
        <v>0.00131747204071361</v>
      </c>
      <c r="E376" s="2" t="n">
        <v>0.00111750003889368</v>
      </c>
    </row>
    <row r="377" customFormat="false" ht="13.8" hidden="false" customHeight="false" outlineLevel="0" collapsed="false">
      <c r="B377" s="2" t="n">
        <v>376</v>
      </c>
      <c r="C377" s="2" t="n">
        <v>0.00131750621395582</v>
      </c>
      <c r="D377" s="2" t="n">
        <v>0.00131748021551577</v>
      </c>
      <c r="E377" s="2" t="n">
        <v>0.00111750621395582</v>
      </c>
    </row>
    <row r="378" customFormat="false" ht="13.8" hidden="false" customHeight="false" outlineLevel="0" collapsed="false">
      <c r="B378" s="2" t="n">
        <v>377</v>
      </c>
      <c r="C378" s="2" t="n">
        <v>0.00131751238907972</v>
      </c>
      <c r="D378" s="2" t="n">
        <v>0.00131748839039967</v>
      </c>
      <c r="E378" s="2" t="n">
        <v>0.00111751238907971</v>
      </c>
    </row>
    <row r="379" customFormat="false" ht="13.8" hidden="false" customHeight="false" outlineLevel="0" collapsed="false">
      <c r="B379" s="2" t="n">
        <v>378</v>
      </c>
      <c r="C379" s="2" t="n">
        <v>0.00131751856426536</v>
      </c>
      <c r="D379" s="2" t="n">
        <v>0.00131749656536532</v>
      </c>
      <c r="E379" s="2" t="n">
        <v>0.00111751856426536</v>
      </c>
    </row>
    <row r="380" customFormat="false" ht="13.8" hidden="false" customHeight="false" outlineLevel="0" collapsed="false">
      <c r="B380" s="2" t="n">
        <v>379</v>
      </c>
      <c r="C380" s="2" t="n">
        <v>0.00131752473951275</v>
      </c>
      <c r="D380" s="2" t="n">
        <v>0.00131750474041273</v>
      </c>
      <c r="E380" s="2" t="n">
        <v>0.00111752473951275</v>
      </c>
    </row>
    <row r="381" customFormat="false" ht="13.8" hidden="false" customHeight="false" outlineLevel="0" collapsed="false">
      <c r="B381" s="2" t="n">
        <v>380</v>
      </c>
      <c r="C381" s="2" t="n">
        <v>0.0013175309148219</v>
      </c>
      <c r="D381" s="2" t="n">
        <v>0.00131751291554188</v>
      </c>
      <c r="E381" s="2" t="n">
        <v>0.0011175309148219</v>
      </c>
    </row>
    <row r="382" customFormat="false" ht="13.8" hidden="false" customHeight="false" outlineLevel="0" collapsed="false">
      <c r="B382" s="2" t="n">
        <v>381</v>
      </c>
      <c r="C382" s="2" t="n">
        <v>0.0013175370901928</v>
      </c>
      <c r="D382" s="2" t="n">
        <v>0.00131752109075279</v>
      </c>
      <c r="E382" s="2" t="n">
        <v>0.0011175370901928</v>
      </c>
    </row>
    <row r="383" customFormat="false" ht="13.8" hidden="false" customHeight="false" outlineLevel="0" collapsed="false">
      <c r="B383" s="2" t="n">
        <v>382</v>
      </c>
      <c r="C383" s="2" t="n">
        <v>0.00131754326562546</v>
      </c>
      <c r="D383" s="2" t="n">
        <v>0.00131752926604545</v>
      </c>
      <c r="E383" s="2" t="n">
        <v>0.00111754326562546</v>
      </c>
    </row>
    <row r="384" customFormat="false" ht="13.8" hidden="false" customHeight="false" outlineLevel="0" collapsed="false">
      <c r="B384" s="2" t="n">
        <v>383</v>
      </c>
      <c r="C384" s="2" t="n">
        <v>0.00131754889136406</v>
      </c>
      <c r="D384" s="2" t="n">
        <v>0.00131753744141987</v>
      </c>
      <c r="E384" s="2" t="n">
        <v>0.00111754944111987</v>
      </c>
    </row>
    <row r="385" customFormat="false" ht="13.8" hidden="false" customHeight="false" outlineLevel="0" collapsed="false">
      <c r="B385" s="2" t="n">
        <v>384</v>
      </c>
      <c r="C385" s="2" t="n">
        <v>0.00131755561667604</v>
      </c>
      <c r="D385" s="2" t="n">
        <v>0.00131754561687603</v>
      </c>
      <c r="E385" s="2" t="n">
        <v>0.00111755561667604</v>
      </c>
    </row>
    <row r="386" customFormat="false" ht="13.8" hidden="false" customHeight="false" outlineLevel="0" collapsed="false">
      <c r="B386" s="2" t="n">
        <v>385</v>
      </c>
      <c r="C386" s="2" t="n">
        <v>0.00131756179229396</v>
      </c>
      <c r="D386" s="2" t="n">
        <v>0.00111756179229396</v>
      </c>
      <c r="E386" s="2" t="n">
        <v>0.00111756179229396</v>
      </c>
    </row>
    <row r="387" customFormat="false" ht="13.8" hidden="false" customHeight="false" outlineLevel="0" collapsed="false">
      <c r="B387" s="2" t="n">
        <v>386</v>
      </c>
      <c r="C387" s="2" t="n">
        <v>0.00131756796797364</v>
      </c>
      <c r="D387" s="2" t="n">
        <v>0.00131756196803364</v>
      </c>
      <c r="E387" s="2" t="n">
        <v>0.00111756796797364</v>
      </c>
    </row>
    <row r="388" customFormat="false" ht="13.8" hidden="false" customHeight="false" outlineLevel="0" collapsed="false">
      <c r="B388" s="2" t="n">
        <v>387</v>
      </c>
      <c r="C388" s="2" t="n">
        <v>0.00131757414371508</v>
      </c>
      <c r="D388" s="2" t="n">
        <v>0.00131757014373508</v>
      </c>
      <c r="E388" s="2" t="n">
        <v>0.00111757414371508</v>
      </c>
    </row>
    <row r="389" customFormat="false" ht="13.8" hidden="false" customHeight="false" outlineLevel="0" collapsed="false">
      <c r="B389" s="2" t="n">
        <v>388</v>
      </c>
      <c r="C389" s="2" t="n">
        <v>0.00131758031951827</v>
      </c>
      <c r="D389" s="2" t="n">
        <v>0.00131757831951827</v>
      </c>
      <c r="E389" s="2" t="n">
        <v>0.00111758031951827</v>
      </c>
    </row>
    <row r="390" customFormat="false" ht="13.8" hidden="false" customHeight="false" outlineLevel="0" collapsed="false">
      <c r="B390" s="2" t="n">
        <v>389</v>
      </c>
      <c r="C390" s="2" t="n">
        <v>0.00131758649538323</v>
      </c>
      <c r="D390" s="2" t="n">
        <v>0.00131758649538323</v>
      </c>
      <c r="E390" s="2" t="n">
        <v>0.00111758649538323</v>
      </c>
    </row>
    <row r="391" customFormat="false" ht="13.8" hidden="false" customHeight="false" outlineLevel="0" collapsed="false">
      <c r="B391" s="2" t="n">
        <v>390</v>
      </c>
      <c r="C391" s="2" t="n">
        <v>0.00131759212155412</v>
      </c>
      <c r="D391" s="2" t="n">
        <v>0.00131759267130994</v>
      </c>
      <c r="E391" s="2" t="n">
        <v>0.00111759267130994</v>
      </c>
    </row>
    <row r="392" customFormat="false" ht="13.8" hidden="false" customHeight="false" outlineLevel="0" collapsed="false">
      <c r="B392" s="2" t="n">
        <v>391</v>
      </c>
      <c r="C392" s="2" t="n">
        <v>0.00131759884729841</v>
      </c>
      <c r="D392" s="2" t="n">
        <v>0.00131759884729841</v>
      </c>
      <c r="E392" s="2" t="n">
        <v>0.00111759884729841</v>
      </c>
    </row>
    <row r="393" customFormat="false" ht="13.8" hidden="false" customHeight="false" outlineLevel="0" collapsed="false">
      <c r="B393" s="2" t="n">
        <v>392</v>
      </c>
      <c r="C393" s="2" t="n">
        <v>0.00131760502334865</v>
      </c>
      <c r="D393" s="2" t="n">
        <v>0.00131760502334865</v>
      </c>
      <c r="E393" s="2" t="n">
        <v>0.00111760502334864</v>
      </c>
    </row>
    <row r="394" customFormat="false" ht="13.8" hidden="false" customHeight="false" outlineLevel="0" collapsed="false">
      <c r="B394" s="2" t="n">
        <v>393</v>
      </c>
      <c r="C394" s="2" t="n">
        <v>0.00131761119946064</v>
      </c>
      <c r="D394" s="2" t="n">
        <v>0.00131761119946064</v>
      </c>
      <c r="E394" s="2" t="n">
        <v>0.00111761119946064</v>
      </c>
    </row>
    <row r="395" customFormat="false" ht="13.8" hidden="false" customHeight="false" outlineLevel="0" collapsed="false">
      <c r="B395" s="2" t="n">
        <v>394</v>
      </c>
      <c r="C395" s="2" t="n">
        <v>0.0013176173756344</v>
      </c>
      <c r="D395" s="2" t="n">
        <v>0.0013176173756344</v>
      </c>
      <c r="E395" s="2" t="n">
        <v>0.0011176173756344</v>
      </c>
    </row>
    <row r="396" customFormat="false" ht="13.8" hidden="false" customHeight="false" outlineLevel="0" collapsed="false">
      <c r="B396" s="2" t="n">
        <v>395</v>
      </c>
      <c r="C396" s="2" t="n">
        <v>0.00131762355186991</v>
      </c>
      <c r="D396" s="2" t="n">
        <v>0.00131762355186991</v>
      </c>
      <c r="E396" s="2" t="n">
        <v>0.00111762355186991</v>
      </c>
    </row>
    <row r="397" customFormat="false" ht="13.8" hidden="false" customHeight="false" outlineLevel="0" collapsed="false">
      <c r="B397" s="2" t="n">
        <v>396</v>
      </c>
      <c r="C397" s="2" t="n">
        <v>0.0013176297281672</v>
      </c>
      <c r="D397" s="2" t="n">
        <v>0.0013176297281672</v>
      </c>
      <c r="E397" s="2" t="n">
        <v>0.0011176297281672</v>
      </c>
    </row>
    <row r="398" customFormat="false" ht="13.8" hidden="false" customHeight="false" outlineLevel="0" collapsed="false">
      <c r="B398" s="2" t="n">
        <v>397</v>
      </c>
      <c r="C398" s="2" t="n">
        <v>0.00131763590452624</v>
      </c>
      <c r="D398" s="2" t="n">
        <v>0.00131763590452624</v>
      </c>
      <c r="E398" s="2" t="n">
        <v>0.00111763590452624</v>
      </c>
    </row>
    <row r="399" customFormat="false" ht="13.8" hidden="false" customHeight="false" outlineLevel="0" collapsed="false">
      <c r="B399" s="2" t="n">
        <v>398</v>
      </c>
      <c r="C399" s="2" t="n">
        <v>0.00131764208094705</v>
      </c>
      <c r="D399" s="2" t="n">
        <v>0.00131764208094705</v>
      </c>
      <c r="E399" s="2" t="n">
        <v>0.00111764208094705</v>
      </c>
    </row>
    <row r="400" customFormat="false" ht="13.8" hidden="false" customHeight="false" outlineLevel="0" collapsed="false">
      <c r="B400" s="2" t="n">
        <v>399</v>
      </c>
      <c r="C400" s="2" t="n">
        <v>0.00131764825742963</v>
      </c>
      <c r="D400" s="2" t="n">
        <v>0.00131764825742963</v>
      </c>
      <c r="E400" s="2" t="n">
        <v>0.00111764825742963</v>
      </c>
    </row>
    <row r="401" customFormat="false" ht="13.8" hidden="false" customHeight="false" outlineLevel="0" collapsed="false">
      <c r="B401" s="2" t="n">
        <v>400</v>
      </c>
      <c r="C401" s="2" t="n">
        <v>0.00131765443397397</v>
      </c>
      <c r="D401" s="2" t="n">
        <v>0.00131765443397397</v>
      </c>
      <c r="E401" s="2" t="n">
        <v>0.00111765443397397</v>
      </c>
    </row>
    <row r="402" customFormat="false" ht="13.8" hidden="false" customHeight="false" outlineLevel="0" collapsed="false">
      <c r="B402" s="2" t="n">
        <v>401</v>
      </c>
      <c r="C402" s="2" t="n">
        <v>0.00131766061058007</v>
      </c>
      <c r="D402" s="2" t="n">
        <v>0.00131766061058007</v>
      </c>
      <c r="E402" s="2" t="n">
        <v>0.00111766061058007</v>
      </c>
    </row>
    <row r="403" customFormat="false" ht="13.8" hidden="false" customHeight="false" outlineLevel="0" collapsed="false">
      <c r="B403" s="2" t="n">
        <v>402</v>
      </c>
      <c r="C403" s="2" t="n">
        <v>0.00131766678724794</v>
      </c>
      <c r="D403" s="2" t="n">
        <v>0.00131766678724794</v>
      </c>
      <c r="E403" s="2" t="n">
        <v>0.00111766678724794</v>
      </c>
    </row>
    <row r="404" customFormat="false" ht="13.8" hidden="false" customHeight="false" outlineLevel="0" collapsed="false">
      <c r="B404" s="2" t="n">
        <v>403</v>
      </c>
      <c r="C404" s="2" t="n">
        <v>0.00131767296397758</v>
      </c>
      <c r="D404" s="2" t="n">
        <v>0.00131767296397758</v>
      </c>
      <c r="E404" s="2" t="n">
        <v>0.00111767296397758</v>
      </c>
    </row>
    <row r="405" customFormat="false" ht="13.8" hidden="false" customHeight="false" outlineLevel="0" collapsed="false">
      <c r="B405" s="2" t="n">
        <v>404</v>
      </c>
      <c r="C405" s="2" t="n">
        <v>0.00131767914076899</v>
      </c>
      <c r="D405" s="2" t="n">
        <v>0.00131767914076899</v>
      </c>
      <c r="E405" s="2" t="n">
        <v>0.00111767914076899</v>
      </c>
    </row>
    <row r="406" customFormat="false" ht="13.8" hidden="false" customHeight="false" outlineLevel="0" collapsed="false">
      <c r="B406" s="2" t="n">
        <v>405</v>
      </c>
      <c r="C406" s="2" t="n">
        <v>0.00131768531762217</v>
      </c>
      <c r="D406" s="2" t="n">
        <v>0.00131768531762217</v>
      </c>
      <c r="E406" s="2" t="n">
        <v>0.00111768531762217</v>
      </c>
    </row>
    <row r="407" customFormat="false" ht="13.8" hidden="false" customHeight="false" outlineLevel="0" collapsed="false">
      <c r="B407" s="2" t="n">
        <v>406</v>
      </c>
      <c r="C407" s="2" t="n">
        <v>0.00131769149453711</v>
      </c>
      <c r="D407" s="2" t="n">
        <v>0.00111769149453711</v>
      </c>
      <c r="E407" s="2" t="n">
        <v>0.00111769149453711</v>
      </c>
    </row>
    <row r="408" customFormat="false" ht="13.8" hidden="false" customHeight="false" outlineLevel="0" collapsed="false">
      <c r="B408" s="2" t="n">
        <v>407</v>
      </c>
      <c r="C408" s="2" t="n">
        <v>0.00131769767151383</v>
      </c>
      <c r="D408" s="2" t="n">
        <v>0.00111769767151383</v>
      </c>
      <c r="E408" s="2" t="n">
        <v>0.00111769767151383</v>
      </c>
    </row>
    <row r="409" customFormat="false" ht="13.8" hidden="false" customHeight="false" outlineLevel="0" collapsed="false">
      <c r="B409" s="2" t="n">
        <v>408</v>
      </c>
      <c r="C409" s="2" t="n">
        <v>0.00131770384855231</v>
      </c>
      <c r="D409" s="2" t="n">
        <v>0.00111770384855231</v>
      </c>
      <c r="E409" s="2" t="n">
        <v>0.00111770384855231</v>
      </c>
    </row>
    <row r="410" customFormat="false" ht="13.8" hidden="false" customHeight="false" outlineLevel="0" collapsed="false">
      <c r="B410" s="2" t="n">
        <v>409</v>
      </c>
      <c r="C410" s="2" t="n">
        <v>0.00131771002565257</v>
      </c>
      <c r="D410" s="2" t="n">
        <v>0.00111771002565257</v>
      </c>
      <c r="E410" s="2" t="n">
        <v>0.00111771002565257</v>
      </c>
    </row>
    <row r="411" customFormat="false" ht="13.8" hidden="false" customHeight="false" outlineLevel="0" collapsed="false">
      <c r="B411" s="2" t="n">
        <v>410</v>
      </c>
      <c r="C411" s="2" t="n">
        <v>0.0002</v>
      </c>
      <c r="D411" s="2" t="n">
        <v>0</v>
      </c>
      <c r="E411" s="2" t="n">
        <v>0</v>
      </c>
    </row>
    <row r="412" customFormat="false" ht="13.8" hidden="false" customHeight="false" outlineLevel="0" collapsed="false">
      <c r="B412" s="2" t="n">
        <v>411</v>
      </c>
      <c r="C412" s="2" t="n">
        <v>0.0002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412</v>
      </c>
      <c r="C413" s="2" t="n">
        <v>0.0002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413</v>
      </c>
      <c r="C414" s="2" t="n">
        <v>0.0002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414</v>
      </c>
      <c r="C415" s="2" t="n">
        <v>0.0002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415</v>
      </c>
      <c r="C416" s="2" t="n">
        <v>0.0002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416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417</v>
      </c>
      <c r="C418" s="2" t="n">
        <v>0.0002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418</v>
      </c>
      <c r="C419" s="2" t="n">
        <v>0</v>
      </c>
      <c r="D419" s="2" t="n">
        <v>5.00005000045461E-009</v>
      </c>
      <c r="E419" s="2" t="n">
        <v>0</v>
      </c>
    </row>
    <row r="420" customFormat="false" ht="13.8" hidden="false" customHeight="false" outlineLevel="0" collapsed="false">
      <c r="B420" s="2" t="n">
        <v>419</v>
      </c>
      <c r="C420" s="2" t="n">
        <v>0</v>
      </c>
      <c r="D420" s="2" t="n">
        <v>7.65652261943114E-009</v>
      </c>
      <c r="E420" s="2" t="n">
        <v>0</v>
      </c>
    </row>
    <row r="421" customFormat="false" ht="13.8" hidden="false" customHeight="false" outlineLevel="0" collapsed="false">
      <c r="B421" s="2" t="n">
        <v>420</v>
      </c>
      <c r="C421" s="2" t="n">
        <v>0.0002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421</v>
      </c>
      <c r="C422" s="2" t="n">
        <v>0</v>
      </c>
      <c r="D422" s="2" t="n">
        <v>5.00005000045461E-009</v>
      </c>
      <c r="E422" s="2" t="n">
        <v>0</v>
      </c>
    </row>
    <row r="423" customFormat="false" ht="13.8" hidden="false" customHeight="false" outlineLevel="0" collapsed="false">
      <c r="B423" s="2" t="n">
        <v>422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423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424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425</v>
      </c>
      <c r="C426" s="2" t="n">
        <v>0</v>
      </c>
      <c r="D426" s="2" t="n">
        <v>5.00005000045461E-009</v>
      </c>
      <c r="E426" s="2" t="n">
        <v>0</v>
      </c>
    </row>
    <row r="427" customFormat="false" ht="13.8" hidden="false" customHeight="false" outlineLevel="0" collapsed="false">
      <c r="B427" s="2" t="n">
        <v>426</v>
      </c>
      <c r="C427" s="2" t="n">
        <v>0</v>
      </c>
      <c r="D427" s="2" t="n">
        <v>1.00001500019207E-008</v>
      </c>
      <c r="E427" s="2" t="n">
        <v>0</v>
      </c>
    </row>
    <row r="428" customFormat="false" ht="13.8" hidden="false" customHeight="false" outlineLevel="0" collapsed="false">
      <c r="B428" s="2" t="n">
        <v>427</v>
      </c>
      <c r="C428" s="2" t="n">
        <v>0</v>
      </c>
      <c r="D428" s="2" t="n">
        <v>1.50003000049404E-008</v>
      </c>
      <c r="E428" s="2" t="n">
        <v>0</v>
      </c>
    </row>
    <row r="429" customFormat="false" ht="13.8" hidden="false" customHeight="false" outlineLevel="0" collapsed="false">
      <c r="B429" s="2" t="n">
        <v>428</v>
      </c>
      <c r="C429" s="2" t="n">
        <v>0</v>
      </c>
      <c r="D429" s="2" t="n">
        <v>0</v>
      </c>
      <c r="E429" s="2" t="n">
        <v>0</v>
      </c>
    </row>
    <row r="430" customFormat="false" ht="13.8" hidden="false" customHeight="false" outlineLevel="0" collapsed="false">
      <c r="B430" s="2" t="n">
        <v>429</v>
      </c>
      <c r="C430" s="2" t="n">
        <v>0</v>
      </c>
      <c r="D430" s="2" t="n">
        <v>0</v>
      </c>
      <c r="E430" s="2" t="n">
        <v>0</v>
      </c>
    </row>
    <row r="431" customFormat="false" ht="13.8" hidden="false" customHeight="false" outlineLevel="0" collapsed="false">
      <c r="B431" s="2" t="n">
        <v>430</v>
      </c>
      <c r="C431" s="2" t="n">
        <v>0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431</v>
      </c>
      <c r="C432" s="2" t="n">
        <v>0</v>
      </c>
      <c r="D432" s="2" t="n">
        <v>0</v>
      </c>
      <c r="E432" s="2" t="n">
        <v>6.87201640733427E-011</v>
      </c>
    </row>
    <row r="433" customFormat="false" ht="13.8" hidden="false" customHeight="false" outlineLevel="0" collapsed="false">
      <c r="B433" s="2" t="n">
        <v>432</v>
      </c>
      <c r="C433" s="2" t="n">
        <v>0</v>
      </c>
      <c r="D433" s="2" t="n">
        <v>3.65644261764053E-009</v>
      </c>
      <c r="E433" s="2" t="n">
        <v>5.17542803352186E-009</v>
      </c>
    </row>
    <row r="434" customFormat="false" ht="13.8" hidden="false" customHeight="false" outlineLevel="0" collapsed="false">
      <c r="B434" s="2" t="n">
        <v>433</v>
      </c>
      <c r="C434" s="2" t="n">
        <v>0</v>
      </c>
      <c r="D434" s="2" t="n">
        <v>0</v>
      </c>
      <c r="E434" s="2" t="n">
        <v>3.02370645514131E-009</v>
      </c>
    </row>
    <row r="435" customFormat="false" ht="13.8" hidden="false" customHeight="false" outlineLevel="0" collapsed="false">
      <c r="B435" s="2" t="n">
        <v>434</v>
      </c>
      <c r="C435" s="2" t="n">
        <v>3.62564672182315E-009</v>
      </c>
      <c r="D435" s="2" t="n">
        <v>0</v>
      </c>
      <c r="E435" s="2" t="n">
        <v>0</v>
      </c>
    </row>
    <row r="436" customFormat="false" ht="13.8" hidden="false" customHeight="false" outlineLevel="0" collapsed="false">
      <c r="B436" s="2" t="n">
        <v>435</v>
      </c>
      <c r="C436" s="2" t="n">
        <v>1.00001500019207E-008</v>
      </c>
      <c r="D436" s="2" t="n">
        <v>0</v>
      </c>
      <c r="E436" s="2" t="n">
        <v>0</v>
      </c>
    </row>
    <row r="437" customFormat="false" ht="13.8" hidden="false" customHeight="false" outlineLevel="0" collapsed="false">
      <c r="B437" s="2" t="n">
        <v>436</v>
      </c>
      <c r="C437" s="2" t="n">
        <v>1.50003000049404E-008</v>
      </c>
      <c r="D437" s="2" t="n">
        <v>0</v>
      </c>
      <c r="E437" s="2" t="n">
        <v>0</v>
      </c>
    </row>
    <row r="438" customFormat="false" ht="13.8" hidden="false" customHeight="false" outlineLevel="0" collapsed="false">
      <c r="B438" s="2" t="n">
        <v>437</v>
      </c>
      <c r="C438" s="2" t="n">
        <v>2.00005000099698E-008</v>
      </c>
      <c r="D438" s="2" t="n">
        <v>4.50256996244534E-010</v>
      </c>
      <c r="E438" s="2" t="n">
        <v>0</v>
      </c>
    </row>
    <row r="439" customFormat="false" ht="13.8" hidden="false" customHeight="false" outlineLevel="0" collapsed="false">
      <c r="B439" s="2" t="n">
        <v>438</v>
      </c>
      <c r="C439" s="2" t="n">
        <v>2.50007500175285E-008</v>
      </c>
      <c r="D439" s="2" t="n">
        <v>0</v>
      </c>
      <c r="E439" s="2" t="n">
        <v>0</v>
      </c>
    </row>
    <row r="440" customFormat="false" ht="13.8" hidden="false" customHeight="false" outlineLevel="0" collapsed="false">
      <c r="B440" s="2" t="n">
        <v>439</v>
      </c>
      <c r="C440" s="2" t="n">
        <v>0.0002</v>
      </c>
      <c r="D440" s="2" t="n">
        <v>0</v>
      </c>
      <c r="E440" s="2" t="n">
        <v>4.33921813964844E-017</v>
      </c>
    </row>
    <row r="441" customFormat="false" ht="13.8" hidden="false" customHeight="false" outlineLevel="0" collapsed="false">
      <c r="B441" s="2" t="n">
        <v>440</v>
      </c>
      <c r="C441" s="2" t="n">
        <v>0.0002</v>
      </c>
      <c r="D441" s="2" t="n">
        <v>5.00005000045461E-009</v>
      </c>
      <c r="E441" s="2" t="n">
        <v>2.54631042480469E-016</v>
      </c>
    </row>
    <row r="442" customFormat="false" ht="13.8" hidden="false" customHeight="false" outlineLevel="0" collapsed="false">
      <c r="B442" s="2" t="n">
        <v>441</v>
      </c>
      <c r="C442" s="2" t="n">
        <v>0.0002</v>
      </c>
      <c r="D442" s="2" t="n">
        <v>1.00001500019207E-008</v>
      </c>
      <c r="E442" s="2" t="n">
        <v>0</v>
      </c>
    </row>
    <row r="443" customFormat="false" ht="13.8" hidden="false" customHeight="false" outlineLevel="0" collapsed="false">
      <c r="B443" s="2" t="n">
        <v>442</v>
      </c>
      <c r="C443" s="2" t="n">
        <v>0.0002</v>
      </c>
      <c r="D443" s="2" t="n">
        <v>0</v>
      </c>
      <c r="E443" s="2" t="n">
        <v>0</v>
      </c>
    </row>
    <row r="444" customFormat="false" ht="13.8" hidden="false" customHeight="false" outlineLevel="0" collapsed="false">
      <c r="B444" s="2" t="n">
        <v>443</v>
      </c>
      <c r="C444" s="2" t="n">
        <v>0.0002</v>
      </c>
      <c r="D444" s="2" t="n">
        <v>5.00005000045461E-009</v>
      </c>
      <c r="E444" s="2" t="n">
        <v>0</v>
      </c>
    </row>
    <row r="445" customFormat="false" ht="13.8" hidden="false" customHeight="false" outlineLevel="0" collapsed="false">
      <c r="B445" s="2" t="n">
        <v>444</v>
      </c>
      <c r="C445" s="2" t="n">
        <v>5.50033001429267E-008</v>
      </c>
      <c r="D445" s="2" t="n">
        <v>1.00001500019207E-008</v>
      </c>
      <c r="E445" s="2" t="n">
        <v>0</v>
      </c>
    </row>
    <row r="446" customFormat="false" ht="13.8" hidden="false" customHeight="false" outlineLevel="0" collapsed="false">
      <c r="B446" s="2" t="n">
        <v>445</v>
      </c>
      <c r="C446" s="2" t="n">
        <v>0.0002</v>
      </c>
      <c r="D446" s="2" t="n">
        <v>1.17253662583822E-008</v>
      </c>
      <c r="E446" s="2" t="n">
        <v>0</v>
      </c>
    </row>
    <row r="447" customFormat="false" ht="13.8" hidden="false" customHeight="false" outlineLevel="0" collapsed="false">
      <c r="B447" s="2" t="n">
        <v>446</v>
      </c>
      <c r="C447" s="2" t="n">
        <v>0.0002</v>
      </c>
      <c r="D447" s="2" t="n">
        <v>0</v>
      </c>
      <c r="E447" s="2" t="n">
        <v>1.65939331054688E-016</v>
      </c>
    </row>
    <row r="448" customFormat="false" ht="13.8" hidden="false" customHeight="false" outlineLevel="0" collapsed="false">
      <c r="B448" s="2" t="n">
        <v>447</v>
      </c>
      <c r="C448" s="2" t="n">
        <v>0.0002</v>
      </c>
      <c r="D448" s="2" t="n">
        <v>0</v>
      </c>
      <c r="E448" s="2" t="n">
        <v>0</v>
      </c>
    </row>
    <row r="449" customFormat="false" ht="13.8" hidden="false" customHeight="false" outlineLevel="0" collapsed="false">
      <c r="B449" s="2" t="n">
        <v>448</v>
      </c>
      <c r="C449" s="2" t="n">
        <v>7.50060003398617E-008</v>
      </c>
      <c r="D449" s="2" t="n">
        <v>0</v>
      </c>
      <c r="E449" s="2" t="n">
        <v>0</v>
      </c>
    </row>
    <row r="450" customFormat="false" ht="13.8" hidden="false" customHeight="false" outlineLevel="0" collapsed="false">
      <c r="B450" s="2" t="n">
        <v>449</v>
      </c>
      <c r="C450" s="2" t="n">
        <v>0.0002</v>
      </c>
      <c r="D450" s="2" t="n">
        <v>0</v>
      </c>
      <c r="E450" s="2" t="n">
        <v>1.96456909179688E-016</v>
      </c>
    </row>
    <row r="451" customFormat="false" ht="13.8" hidden="false" customHeight="false" outlineLevel="0" collapsed="false">
      <c r="B451" s="2" t="n">
        <v>450</v>
      </c>
      <c r="C451" s="2" t="n">
        <v>0.0002</v>
      </c>
      <c r="D451" s="2" t="n">
        <v>2.74880723409795E-010</v>
      </c>
      <c r="E451" s="2" t="n">
        <v>0</v>
      </c>
    </row>
    <row r="452" customFormat="false" ht="13.8" hidden="false" customHeight="false" outlineLevel="0" collapsed="false">
      <c r="B452" s="2" t="n">
        <v>451</v>
      </c>
      <c r="C452" s="2" t="n">
        <v>0.0002</v>
      </c>
      <c r="D452" s="2" t="n">
        <v>0</v>
      </c>
      <c r="E452" s="2" t="n">
        <v>2.63214111328125E-016</v>
      </c>
    </row>
    <row r="453" customFormat="false" ht="13.8" hidden="false" customHeight="false" outlineLevel="0" collapsed="false">
      <c r="B453" s="2" t="n">
        <v>452</v>
      </c>
      <c r="C453" s="2" t="n">
        <v>0.0002</v>
      </c>
      <c r="D453" s="2" t="n">
        <v>5.00005000045461E-009</v>
      </c>
      <c r="E453" s="2" t="n">
        <v>2.55584716796875E-016</v>
      </c>
    </row>
    <row r="454" customFormat="false" ht="13.8" hidden="false" customHeight="false" outlineLevel="0" collapsed="false">
      <c r="B454" s="2" t="n">
        <v>453</v>
      </c>
      <c r="C454" s="2" t="n">
        <v>0.00131727777777778</v>
      </c>
      <c r="D454" s="2" t="n">
        <v>0.00111727777777778</v>
      </c>
      <c r="E454" s="2" t="n">
        <v>0.00111727777777778</v>
      </c>
    </row>
    <row r="455" customFormat="false" ht="13.8" hidden="false" customHeight="false" outlineLevel="0" collapsed="false">
      <c r="B455" s="2" t="n">
        <v>454</v>
      </c>
      <c r="C455" s="2" t="n">
        <v>0.0002</v>
      </c>
      <c r="D455" s="2" t="n">
        <v>1.50003000049404E-008</v>
      </c>
      <c r="E455" s="2" t="n">
        <v>0</v>
      </c>
    </row>
    <row r="456" customFormat="false" ht="13.8" hidden="false" customHeight="false" outlineLevel="0" collapsed="false">
      <c r="B456" s="2" t="n">
        <v>455</v>
      </c>
      <c r="C456" s="2" t="n">
        <v>0.233423032647476</v>
      </c>
      <c r="D456" s="2" t="n">
        <v>0.233223032647476</v>
      </c>
      <c r="E456" s="2" t="n">
        <v>0.233223038647416</v>
      </c>
    </row>
    <row r="457" customFormat="false" ht="13.8" hidden="false" customHeight="false" outlineLevel="0" collapsed="false">
      <c r="B457" s="2" t="n">
        <v>456</v>
      </c>
      <c r="C457" s="2" t="n">
        <v>0.233425361901095</v>
      </c>
      <c r="D457" s="2" t="n">
        <v>0.233225361901095</v>
      </c>
      <c r="E457" s="2" t="n">
        <v>0.233225361901095</v>
      </c>
    </row>
    <row r="458" customFormat="false" ht="13.8" hidden="false" customHeight="false" outlineLevel="0" collapsed="false">
      <c r="B458" s="2" t="n">
        <v>457</v>
      </c>
      <c r="C458" s="2" t="n">
        <v>0.233427691178007</v>
      </c>
      <c r="D458" s="2" t="n">
        <v>0.233427659180727</v>
      </c>
      <c r="E458" s="2" t="n">
        <v>0.233227693782987</v>
      </c>
    </row>
    <row r="459" customFormat="false" ht="13.8" hidden="false" customHeight="false" outlineLevel="0" collapsed="false">
      <c r="B459" s="2" t="n">
        <v>458</v>
      </c>
      <c r="C459" s="2" t="n">
        <v>0.233430020478212</v>
      </c>
      <c r="D459" s="2" t="n">
        <v>0.233429988480612</v>
      </c>
      <c r="E459" s="2" t="n">
        <v>0.233230020478212</v>
      </c>
    </row>
    <row r="460" customFormat="false" ht="13.8" hidden="false" customHeight="false" outlineLevel="0" collapsed="false">
      <c r="B460" s="2" t="n">
        <v>459</v>
      </c>
      <c r="C460" s="2" t="n">
        <v>0.23343234780169</v>
      </c>
      <c r="D460" s="2" t="n">
        <v>0.23343231780379</v>
      </c>
      <c r="E460" s="2" t="n">
        <v>0.23323234780169</v>
      </c>
    </row>
    <row r="461" customFormat="false" ht="13.8" hidden="false" customHeight="false" outlineLevel="0" collapsed="false">
      <c r="B461" s="2" t="n">
        <v>460</v>
      </c>
      <c r="C461" s="2" t="n">
        <v>0.233434675148441</v>
      </c>
      <c r="D461" s="2" t="n">
        <v>0.233434647150261</v>
      </c>
      <c r="E461" s="2" t="n">
        <v>0.233234675148441</v>
      </c>
    </row>
    <row r="462" customFormat="false" ht="13.8" hidden="false" customHeight="false" outlineLevel="0" collapsed="false">
      <c r="B462" s="2" t="n">
        <v>461</v>
      </c>
      <c r="C462" s="2" t="n">
        <v>0.233437002518467</v>
      </c>
      <c r="D462" s="2" t="n">
        <v>0.233436976520027</v>
      </c>
      <c r="E462" s="2" t="n">
        <v>0.233237002518467</v>
      </c>
    </row>
    <row r="463" customFormat="false" ht="13.8" hidden="false" customHeight="false" outlineLevel="0" collapsed="false">
      <c r="B463" s="2" t="n">
        <v>462</v>
      </c>
      <c r="C463" s="2" t="n">
        <v>0.233439329911766</v>
      </c>
      <c r="D463" s="2" t="n">
        <v>0.233439305913086</v>
      </c>
      <c r="E463" s="2" t="n">
        <v>0.233239329911766</v>
      </c>
    </row>
    <row r="464" customFormat="false" ht="13.8" hidden="false" customHeight="false" outlineLevel="0" collapsed="false">
      <c r="B464" s="2" t="n">
        <v>463</v>
      </c>
      <c r="C464" s="2" t="n">
        <v>0.233441657328339</v>
      </c>
      <c r="D464" s="2" t="n">
        <v>0.233441635329439</v>
      </c>
      <c r="E464" s="2" t="n">
        <v>0.233241657328339</v>
      </c>
    </row>
    <row r="465" customFormat="false" ht="13.8" hidden="false" customHeight="false" outlineLevel="0" collapsed="false">
      <c r="B465" s="2" t="n">
        <v>464</v>
      </c>
      <c r="C465" s="2" t="n">
        <v>0.233443984768187</v>
      </c>
      <c r="D465" s="2" t="n">
        <v>0.233443964769087</v>
      </c>
      <c r="E465" s="2" t="n">
        <v>0.233243984768187</v>
      </c>
    </row>
    <row r="466" customFormat="false" ht="13.8" hidden="false" customHeight="false" outlineLevel="0" collapsed="false">
      <c r="B466" s="2" t="n">
        <v>465</v>
      </c>
      <c r="C466" s="2" t="n">
        <v>0.233446312231309</v>
      </c>
      <c r="D466" s="2" t="n">
        <v>0.233446294232029</v>
      </c>
      <c r="E466" s="2" t="n">
        <v>0.233246312231309</v>
      </c>
    </row>
    <row r="467" customFormat="false" ht="13.8" hidden="false" customHeight="false" outlineLevel="0" collapsed="false">
      <c r="B467" s="2" t="n">
        <v>466</v>
      </c>
      <c r="C467" s="2" t="n">
        <v>0.233448639717706</v>
      </c>
      <c r="D467" s="2" t="n">
        <v>0.233448623718266</v>
      </c>
      <c r="E467" s="2" t="n">
        <v>0.233248639717706</v>
      </c>
    </row>
    <row r="468" customFormat="false" ht="13.8" hidden="false" customHeight="false" outlineLevel="0" collapsed="false">
      <c r="B468" s="2" t="n">
        <v>467</v>
      </c>
      <c r="C468" s="2" t="n">
        <v>0.233450967227378</v>
      </c>
      <c r="D468" s="2" t="n">
        <v>0.233450953227798</v>
      </c>
      <c r="E468" s="2" t="n">
        <v>0.233250967227378</v>
      </c>
    </row>
    <row r="469" customFormat="false" ht="13.8" hidden="false" customHeight="false" outlineLevel="0" collapsed="false">
      <c r="B469" s="2" t="n">
        <v>468</v>
      </c>
      <c r="C469" s="2" t="n">
        <v>0.233453294760326</v>
      </c>
      <c r="D469" s="2" t="n">
        <v>0.233453282760626</v>
      </c>
      <c r="E469" s="2" t="n">
        <v>0.233253294760326</v>
      </c>
    </row>
    <row r="470" customFormat="false" ht="13.8" hidden="false" customHeight="false" outlineLevel="0" collapsed="false">
      <c r="B470" s="2" t="n">
        <v>469</v>
      </c>
      <c r="C470" s="2" t="n">
        <v>0.233455622316549</v>
      </c>
      <c r="D470" s="2" t="n">
        <v>0.233455612316749</v>
      </c>
      <c r="E470" s="2" t="n">
        <v>0.233255622316549</v>
      </c>
    </row>
    <row r="471" customFormat="false" ht="13.8" hidden="false" customHeight="false" outlineLevel="0" collapsed="false">
      <c r="B471" s="2" t="n">
        <v>470</v>
      </c>
      <c r="C471" s="2" t="n">
        <v>0.233457949896048</v>
      </c>
      <c r="D471" s="2" t="n">
        <v>0.233457941896168</v>
      </c>
      <c r="E471" s="2" t="n">
        <v>0.233257949896048</v>
      </c>
    </row>
    <row r="472" customFormat="false" ht="13.8" hidden="false" customHeight="false" outlineLevel="0" collapsed="false">
      <c r="B472" s="2" t="n">
        <v>471</v>
      </c>
      <c r="C472" s="2" t="n">
        <v>0.233460277498823</v>
      </c>
      <c r="D472" s="2" t="n">
        <v>0.233460271498883</v>
      </c>
      <c r="E472" s="2" t="n">
        <v>0.233260277498823</v>
      </c>
    </row>
    <row r="473" customFormat="false" ht="13.8" hidden="false" customHeight="false" outlineLevel="0" collapsed="false">
      <c r="B473" s="2" t="n">
        <v>472</v>
      </c>
      <c r="C473" s="2" t="n">
        <v>0.233462605124874</v>
      </c>
      <c r="D473" s="2" t="n">
        <v>0.233462601124894</v>
      </c>
      <c r="E473" s="2" t="n">
        <v>0.233262605124874</v>
      </c>
    </row>
    <row r="474" customFormat="false" ht="13.8" hidden="false" customHeight="false" outlineLevel="0" collapsed="false">
      <c r="B474" s="2" t="n">
        <v>473</v>
      </c>
      <c r="C474" s="2" t="n">
        <v>0.233464932774202</v>
      </c>
      <c r="D474" s="2" t="n">
        <v>0.233464930774202</v>
      </c>
      <c r="E474" s="2" t="n">
        <v>0.233264932774202</v>
      </c>
    </row>
    <row r="475" customFormat="false" ht="13.8" hidden="false" customHeight="false" outlineLevel="0" collapsed="false">
      <c r="B475" s="2" t="n">
        <v>474</v>
      </c>
      <c r="C475" s="2" t="n">
        <v>0.233467260446807</v>
      </c>
      <c r="D475" s="2" t="n">
        <v>0.233467260446807</v>
      </c>
      <c r="E475" s="2" t="n">
        <v>0.233267260446807</v>
      </c>
    </row>
    <row r="476" customFormat="false" ht="13.8" hidden="false" customHeight="false" outlineLevel="0" collapsed="false">
      <c r="B476" s="2" t="n">
        <v>475</v>
      </c>
      <c r="C476" s="2" t="n">
        <v>0.233469588142688</v>
      </c>
      <c r="D476" s="2" t="n">
        <v>0.233469588142688</v>
      </c>
      <c r="E476" s="2" t="n">
        <v>0.233269588142688</v>
      </c>
    </row>
    <row r="477" customFormat="false" ht="13.8" hidden="false" customHeight="false" outlineLevel="0" collapsed="false">
      <c r="B477" s="2" t="n">
        <v>476</v>
      </c>
      <c r="C477" s="2" t="n">
        <v>0.233471915861847</v>
      </c>
      <c r="D477" s="2" t="n">
        <v>0.233471915861847</v>
      </c>
      <c r="E477" s="2" t="n">
        <v>0.233271915861847</v>
      </c>
    </row>
    <row r="478" customFormat="false" ht="13.8" hidden="false" customHeight="false" outlineLevel="0" collapsed="false">
      <c r="B478" s="2" t="n">
        <v>477</v>
      </c>
      <c r="C478" s="2" t="n">
        <v>0.233474243604283</v>
      </c>
      <c r="D478" s="2" t="n">
        <v>0.233474243604283</v>
      </c>
      <c r="E478" s="2" t="n">
        <v>0.233274243604283</v>
      </c>
    </row>
    <row r="479" customFormat="false" ht="13.8" hidden="false" customHeight="false" outlineLevel="0" collapsed="false">
      <c r="B479" s="2" t="n">
        <v>478</v>
      </c>
      <c r="C479" s="2" t="n">
        <v>0.233476571369996</v>
      </c>
      <c r="D479" s="2" t="n">
        <v>0.233476571369996</v>
      </c>
      <c r="E479" s="2" t="n">
        <v>0.233276571369996</v>
      </c>
    </row>
    <row r="480" customFormat="false" ht="13.8" hidden="false" customHeight="false" outlineLevel="0" collapsed="false">
      <c r="B480" s="2" t="n">
        <v>479</v>
      </c>
      <c r="C480" s="2" t="n">
        <v>0.233478899158988</v>
      </c>
      <c r="D480" s="2" t="n">
        <v>0.233478899158988</v>
      </c>
      <c r="E480" s="2" t="n">
        <v>0.233278899158988</v>
      </c>
    </row>
    <row r="481" customFormat="false" ht="13.8" hidden="false" customHeight="false" outlineLevel="0" collapsed="false">
      <c r="B481" s="2" t="n">
        <v>480</v>
      </c>
      <c r="C481" s="2" t="n">
        <v>0.233481226971258</v>
      </c>
      <c r="D481" s="2" t="n">
        <v>0.233481226971258</v>
      </c>
      <c r="E481" s="2" t="n">
        <v>0.233281226971258</v>
      </c>
    </row>
    <row r="482" customFormat="false" ht="13.8" hidden="false" customHeight="false" outlineLevel="0" collapsed="false">
      <c r="B482" s="2" t="n">
        <v>481</v>
      </c>
      <c r="C482" s="2" t="n">
        <v>0.233483554806806</v>
      </c>
      <c r="D482" s="2" t="n">
        <v>0.233483554806806</v>
      </c>
      <c r="E482" s="2" t="n">
        <v>0.233283554806806</v>
      </c>
    </row>
    <row r="483" customFormat="false" ht="13.8" hidden="false" customHeight="false" outlineLevel="0" collapsed="false">
      <c r="B483" s="2" t="n">
        <v>482</v>
      </c>
      <c r="C483" s="2" t="n">
        <v>0.233485882665632</v>
      </c>
      <c r="D483" s="2" t="n">
        <v>0.233485882665632</v>
      </c>
      <c r="E483" s="2" t="n">
        <v>0.233285882665632</v>
      </c>
    </row>
    <row r="484" customFormat="false" ht="13.8" hidden="false" customHeight="false" outlineLevel="0" collapsed="false">
      <c r="B484" s="2" t="n">
        <v>483</v>
      </c>
      <c r="C484" s="2" t="n">
        <v>0.233488210547738</v>
      </c>
      <c r="D484" s="2" t="n">
        <v>0.233488210547738</v>
      </c>
      <c r="E484" s="2" t="n">
        <v>0.233288210547738</v>
      </c>
    </row>
    <row r="485" customFormat="false" ht="13.8" hidden="false" customHeight="false" outlineLevel="0" collapsed="false">
      <c r="B485" s="2" t="n">
        <v>484</v>
      </c>
      <c r="C485" s="2" t="n">
        <v>0.233490538453122</v>
      </c>
      <c r="D485" s="2" t="n">
        <v>0.233490538453122</v>
      </c>
      <c r="E485" s="2" t="n">
        <v>0.233290538453122</v>
      </c>
    </row>
    <row r="486" customFormat="false" ht="13.8" hidden="false" customHeight="false" outlineLevel="0" collapsed="false">
      <c r="B486" s="2" t="n">
        <v>485</v>
      </c>
      <c r="C486" s="2" t="n">
        <v>0.233492866381786</v>
      </c>
      <c r="D486" s="2" t="n">
        <v>0.233492866381786</v>
      </c>
      <c r="E486" s="2" t="n">
        <v>0.233292866381786</v>
      </c>
    </row>
    <row r="487" customFormat="false" ht="13.8" hidden="false" customHeight="false" outlineLevel="0" collapsed="false">
      <c r="B487" s="2" t="n">
        <v>486</v>
      </c>
      <c r="C487" s="2" t="n">
        <v>0.233495194333729</v>
      </c>
      <c r="D487" s="2" t="n">
        <v>0.233495194333729</v>
      </c>
      <c r="E487" s="2" t="n">
        <v>0.233295194333729</v>
      </c>
    </row>
    <row r="488" customFormat="false" ht="13.8" hidden="false" customHeight="false" outlineLevel="0" collapsed="false">
      <c r="B488" s="2" t="n">
        <v>487</v>
      </c>
      <c r="C488" s="2" t="n">
        <v>0.233497522308952</v>
      </c>
      <c r="D488" s="2" t="n">
        <v>0.233497522308952</v>
      </c>
      <c r="E488" s="2" t="n">
        <v>0.233297522308952</v>
      </c>
    </row>
    <row r="489" customFormat="false" ht="13.8" hidden="false" customHeight="false" outlineLevel="0" collapsed="false">
      <c r="B489" s="2" t="n">
        <v>488</v>
      </c>
      <c r="C489" s="2" t="n">
        <v>0.233499850307456</v>
      </c>
      <c r="D489" s="2" t="n">
        <v>0.233499850307456</v>
      </c>
      <c r="E489" s="2" t="n">
        <v>0.233299850307456</v>
      </c>
    </row>
    <row r="490" customFormat="false" ht="13.8" hidden="false" customHeight="false" outlineLevel="0" collapsed="false">
      <c r="B490" s="2" t="n">
        <v>489</v>
      </c>
      <c r="C490" s="2" t="n">
        <v>0.233502178329239</v>
      </c>
      <c r="D490" s="2" t="n">
        <v>0.233502178329239</v>
      </c>
      <c r="E490" s="2" t="n">
        <v>0.233302178329239</v>
      </c>
    </row>
    <row r="491" customFormat="false" ht="13.8" hidden="false" customHeight="false" outlineLevel="0" collapsed="false">
      <c r="B491" s="2" t="n">
        <v>490</v>
      </c>
      <c r="C491" s="2" t="n">
        <v>0.233504506374303</v>
      </c>
      <c r="D491" s="2" t="n">
        <v>0.233504506374303</v>
      </c>
      <c r="E491" s="2" t="n">
        <v>0.233304506374303</v>
      </c>
    </row>
    <row r="492" customFormat="false" ht="13.8" hidden="false" customHeight="false" outlineLevel="0" collapsed="false">
      <c r="B492" s="2" t="n">
        <v>491</v>
      </c>
      <c r="C492" s="2" t="n">
        <v>0.233506834442647</v>
      </c>
      <c r="D492" s="2" t="n">
        <v>0.233506834442647</v>
      </c>
      <c r="E492" s="2" t="n">
        <v>0.233306834442647</v>
      </c>
    </row>
    <row r="493" customFormat="false" ht="13.8" hidden="false" customHeight="false" outlineLevel="0" collapsed="false">
      <c r="B493" s="2" t="n">
        <v>492</v>
      </c>
      <c r="C493" s="2" t="n">
        <v>0.233509162534272</v>
      </c>
      <c r="D493" s="2" t="n">
        <v>0.233509162534272</v>
      </c>
      <c r="E493" s="2" t="n">
        <v>0.233309162534272</v>
      </c>
    </row>
    <row r="494" customFormat="false" ht="13.8" hidden="false" customHeight="false" outlineLevel="0" collapsed="false">
      <c r="B494" s="2" t="n">
        <v>493</v>
      </c>
      <c r="C494" s="2" t="n">
        <v>0.233511490649179</v>
      </c>
      <c r="D494" s="2" t="n">
        <v>0.233511490649179</v>
      </c>
      <c r="E494" s="2" t="n">
        <v>0.233311490649179</v>
      </c>
    </row>
    <row r="495" customFormat="false" ht="13.8" hidden="false" customHeight="false" outlineLevel="0" collapsed="false">
      <c r="B495" s="2" t="n">
        <v>494</v>
      </c>
      <c r="C495" s="2" t="n">
        <v>0.233513818787367</v>
      </c>
      <c r="D495" s="2" t="n">
        <v>0.233513818787367</v>
      </c>
      <c r="E495" s="2" t="n">
        <v>0.233313818787367</v>
      </c>
    </row>
    <row r="496" customFormat="false" ht="13.8" hidden="false" customHeight="false" outlineLevel="0" collapsed="false">
      <c r="B496" s="2" t="n">
        <v>495</v>
      </c>
      <c r="C496" s="2" t="n">
        <v>0.233516146948836</v>
      </c>
      <c r="D496" s="2" t="n">
        <v>0.233516146948836</v>
      </c>
      <c r="E496" s="2" t="n">
        <v>0.233316146948836</v>
      </c>
    </row>
    <row r="497" customFormat="false" ht="13.8" hidden="false" customHeight="false" outlineLevel="0" collapsed="false">
      <c r="B497" s="2" t="n">
        <v>496</v>
      </c>
      <c r="C497" s="2" t="n">
        <v>0.233518475133587</v>
      </c>
      <c r="D497" s="2" t="n">
        <v>0.233518475133587</v>
      </c>
      <c r="E497" s="2" t="n">
        <v>0.233318475133587</v>
      </c>
    </row>
    <row r="498" customFormat="false" ht="13.8" hidden="false" customHeight="false" outlineLevel="0" collapsed="false">
      <c r="B498" s="2" t="n">
        <v>497</v>
      </c>
      <c r="C498" s="2" t="n">
        <v>0.233520803341621</v>
      </c>
      <c r="D498" s="2" t="n">
        <v>0.233520803341621</v>
      </c>
      <c r="E498" s="2" t="n">
        <v>0.233320803341621</v>
      </c>
    </row>
    <row r="499" customFormat="false" ht="13.8" hidden="false" customHeight="false" outlineLevel="0" collapsed="false">
      <c r="B499" s="2" t="n">
        <v>498</v>
      </c>
      <c r="C499" s="2" t="n">
        <v>0.233523131572937</v>
      </c>
      <c r="D499" s="2" t="n">
        <v>0.233523131572937</v>
      </c>
      <c r="E499" s="2" t="n">
        <v>0.233323131572937</v>
      </c>
    </row>
    <row r="500" customFormat="false" ht="13.8" hidden="false" customHeight="false" outlineLevel="0" collapsed="false">
      <c r="B500" s="2" t="n">
        <v>499</v>
      </c>
      <c r="C500" s="2" t="n">
        <v>0.233525459827535</v>
      </c>
      <c r="D500" s="2" t="n">
        <v>0.233525459827535</v>
      </c>
      <c r="E500" s="2" t="n">
        <v>0.233325459827535</v>
      </c>
    </row>
    <row r="501" customFormat="false" ht="13.8" hidden="false" customHeight="false" outlineLevel="0" collapsed="false">
      <c r="B501" s="2" t="n">
        <v>500</v>
      </c>
      <c r="C501" s="2" t="n">
        <v>0.233527788105416</v>
      </c>
      <c r="D501" s="2" t="n">
        <v>0.233527788105416</v>
      </c>
      <c r="E501" s="2" t="n">
        <v>0.233327788105416</v>
      </c>
    </row>
    <row r="502" customFormat="false" ht="13.8" hidden="false" customHeight="false" outlineLevel="0" collapsed="false">
      <c r="B502" s="2" t="n">
        <v>501</v>
      </c>
      <c r="C502" s="2" t="n">
        <v>0.23353011640658</v>
      </c>
      <c r="D502" s="2" t="n">
        <v>0.23353011640658</v>
      </c>
      <c r="E502" s="2" t="n">
        <v>0.23333011640658</v>
      </c>
    </row>
    <row r="503" customFormat="false" ht="13.8" hidden="false" customHeight="false" outlineLevel="0" collapsed="false">
      <c r="B503" s="2" t="n">
        <v>502</v>
      </c>
      <c r="C503" s="2" t="n">
        <v>0.233532444731027</v>
      </c>
      <c r="D503" s="2" t="n">
        <v>0.233532444731027</v>
      </c>
      <c r="E503" s="2" t="n">
        <v>0.233332444731027</v>
      </c>
    </row>
    <row r="504" customFormat="false" ht="13.8" hidden="false" customHeight="false" outlineLevel="0" collapsed="false">
      <c r="B504" s="2" t="n">
        <v>503</v>
      </c>
      <c r="C504" s="2" t="n">
        <v>0.233534773078758</v>
      </c>
      <c r="D504" s="2" t="n">
        <v>0.233534773078758</v>
      </c>
      <c r="E504" s="2" t="n">
        <v>0.233334773078758</v>
      </c>
    </row>
    <row r="505" customFormat="false" ht="13.8" hidden="false" customHeight="false" outlineLevel="0" collapsed="false">
      <c r="B505" s="2" t="n">
        <v>504</v>
      </c>
      <c r="C505" s="2" t="n">
        <v>0.233537101449772</v>
      </c>
      <c r="D505" s="2" t="n">
        <v>0.233337101449773</v>
      </c>
      <c r="E505" s="2" t="n">
        <v>0.233337101449773</v>
      </c>
    </row>
    <row r="506" customFormat="false" ht="13.8" hidden="false" customHeight="false" outlineLevel="0" collapsed="false">
      <c r="B506" s="2" t="n">
        <v>505</v>
      </c>
      <c r="C506" s="2" t="n">
        <v>0.233539429844071</v>
      </c>
      <c r="D506" s="2" t="n">
        <v>0.233339429844071</v>
      </c>
      <c r="E506" s="2" t="n">
        <v>0.233339429844071</v>
      </c>
    </row>
    <row r="507" customFormat="false" ht="13.8" hidden="false" customHeight="false" outlineLevel="0" collapsed="false">
      <c r="B507" s="2" t="n">
        <v>506</v>
      </c>
      <c r="C507" s="2" t="n">
        <v>0.233541758261654</v>
      </c>
      <c r="D507" s="2" t="n">
        <v>0.233341758261654</v>
      </c>
      <c r="E507" s="2" t="n">
        <v>0.233341758261654</v>
      </c>
    </row>
    <row r="508" customFormat="false" ht="13.8" hidden="false" customHeight="false" outlineLevel="0" collapsed="false">
      <c r="B508" s="2" t="n">
        <v>507</v>
      </c>
      <c r="C508" s="2" t="n">
        <v>0.233544086460078</v>
      </c>
      <c r="D508" s="2" t="n">
        <v>0.233344086702521</v>
      </c>
      <c r="E508" s="2" t="n">
        <v>0.233344086702521</v>
      </c>
    </row>
    <row r="509" customFormat="false" ht="13.8" hidden="false" customHeight="false" outlineLevel="0" collapsed="false">
      <c r="B509" s="2" t="n">
        <v>508</v>
      </c>
      <c r="C509" s="2" t="n">
        <v>0.233546415166672</v>
      </c>
      <c r="D509" s="2" t="n">
        <v>0.233346415166672</v>
      </c>
      <c r="E509" s="2" t="n">
        <v>0.233346415166672</v>
      </c>
    </row>
    <row r="510" customFormat="false" ht="13.8" hidden="false" customHeight="false" outlineLevel="0" collapsed="false">
      <c r="B510" s="2" t="n">
        <v>509</v>
      </c>
      <c r="C510" s="2" t="n">
        <v>0.233548743654109</v>
      </c>
      <c r="D510" s="2" t="n">
        <v>0.233348743654109</v>
      </c>
      <c r="E510" s="2" t="n">
        <v>0.233348743654109</v>
      </c>
    </row>
    <row r="511" customFormat="false" ht="13.8" hidden="false" customHeight="false" outlineLevel="0" collapsed="false">
      <c r="B511" s="2" t="n">
        <v>510</v>
      </c>
      <c r="C511" s="2" t="n">
        <v>0.23355107216483</v>
      </c>
      <c r="D511" s="2" t="n">
        <v>0.23335107216483</v>
      </c>
      <c r="E511" s="2" t="n">
        <v>0.23335107216483</v>
      </c>
    </row>
    <row r="512" customFormat="false" ht="13.8" hidden="false" customHeight="false" outlineLevel="0" collapsed="false">
      <c r="B512" s="2" t="n">
        <v>511</v>
      </c>
      <c r="C512" s="2" t="n">
        <v>0.188273318517428</v>
      </c>
      <c r="D512" s="2" t="n">
        <v>0.188273314517448</v>
      </c>
      <c r="E512" s="2" t="n">
        <v>0.188073318517428</v>
      </c>
    </row>
    <row r="513" customFormat="false" ht="13.8" hidden="false" customHeight="false" outlineLevel="0" collapsed="false">
      <c r="B513" s="2" t="n">
        <v>512</v>
      </c>
      <c r="C513" s="2" t="n">
        <v>0.188275204269471</v>
      </c>
      <c r="D513" s="2" t="n">
        <v>0.188275202269471</v>
      </c>
      <c r="E513" s="2" t="n">
        <v>0.188075204269471</v>
      </c>
    </row>
    <row r="514" customFormat="false" ht="13.8" hidden="false" customHeight="false" outlineLevel="0" collapsed="false">
      <c r="B514" s="2" t="n">
        <v>513</v>
      </c>
      <c r="C514" s="2" t="n">
        <v>0.188277090040371</v>
      </c>
      <c r="D514" s="2" t="n">
        <v>0.188277090040371</v>
      </c>
      <c r="E514" s="2" t="n">
        <v>0.188077090040371</v>
      </c>
    </row>
    <row r="515" customFormat="false" ht="13.8" hidden="false" customHeight="false" outlineLevel="0" collapsed="false">
      <c r="B515" s="2" t="n">
        <v>514</v>
      </c>
      <c r="C515" s="2" t="n">
        <v>0.188162848716754</v>
      </c>
      <c r="D515" s="2" t="n">
        <v>0.18827897783015</v>
      </c>
      <c r="E515" s="2" t="n">
        <v>0.188079008024533</v>
      </c>
    </row>
    <row r="516" customFormat="false" ht="13.8" hidden="false" customHeight="false" outlineLevel="0" collapsed="false">
      <c r="B516" s="2" t="n">
        <v>515</v>
      </c>
      <c r="C516" s="2" t="n">
        <v>0.188280865638806</v>
      </c>
      <c r="D516" s="2" t="n">
        <v>0.188280865638806</v>
      </c>
      <c r="E516" s="2" t="n">
        <v>0.188080865638806</v>
      </c>
    </row>
    <row r="517" customFormat="false" ht="13.8" hidden="false" customHeight="false" outlineLevel="0" collapsed="false">
      <c r="B517" s="2" t="n">
        <v>516</v>
      </c>
      <c r="C517" s="2" t="n">
        <v>0.188166622030328</v>
      </c>
      <c r="D517" s="2" t="n">
        <v>0.188282752307363</v>
      </c>
      <c r="E517" s="2" t="n">
        <v>0.188082747956543</v>
      </c>
    </row>
    <row r="518" customFormat="false" ht="13.8" hidden="false" customHeight="false" outlineLevel="0" collapsed="false">
      <c r="B518" s="2" t="n">
        <v>517</v>
      </c>
      <c r="C518" s="2" t="n">
        <v>0.188168508715415</v>
      </c>
      <c r="D518" s="2" t="n">
        <v>0.188284641312754</v>
      </c>
      <c r="E518" s="2" t="n">
        <v>0.188084665507923</v>
      </c>
    </row>
    <row r="519" customFormat="false" ht="13.8" hidden="false" customHeight="false" outlineLevel="0" collapsed="false">
      <c r="B519" s="2" t="n">
        <v>518</v>
      </c>
      <c r="C519" s="2" t="n">
        <v>0.188286519177746</v>
      </c>
      <c r="D519" s="2" t="n">
        <v>0.188286526429184</v>
      </c>
      <c r="E519" s="2" t="n">
        <v>0.188086519177746</v>
      </c>
    </row>
    <row r="520" customFormat="false" ht="13.8" hidden="false" customHeight="false" outlineLevel="0" collapsed="false">
      <c r="B520" s="2" t="n">
        <v>519</v>
      </c>
      <c r="C520" s="2" t="n">
        <v>0.188288405061796</v>
      </c>
      <c r="D520" s="2" t="n">
        <v>0.188288413763566</v>
      </c>
      <c r="E520" s="2" t="n">
        <v>0.188088405061796</v>
      </c>
    </row>
    <row r="521" customFormat="false" ht="13.8" hidden="false" customHeight="false" outlineLevel="0" collapsed="false">
      <c r="B521" s="2" t="n">
        <v>520</v>
      </c>
      <c r="C521" s="2" t="n">
        <v>0.188290290964706</v>
      </c>
      <c r="D521" s="2" t="n">
        <v>0.188290301116821</v>
      </c>
      <c r="E521" s="2" t="n">
        <v>0.188090290964706</v>
      </c>
    </row>
    <row r="522" customFormat="false" ht="13.8" hidden="false" customHeight="false" outlineLevel="0" collapsed="false">
      <c r="B522" s="2" t="n">
        <v>521</v>
      </c>
      <c r="C522" s="2" t="n">
        <v>0.188292176886475</v>
      </c>
      <c r="D522" s="2" t="n">
        <v>0.18829218848895</v>
      </c>
      <c r="E522" s="2" t="n">
        <v>0.188092176886475</v>
      </c>
    </row>
    <row r="523" customFormat="false" ht="13.8" hidden="false" customHeight="false" outlineLevel="0" collapsed="false">
      <c r="B523" s="2" t="n">
        <v>522</v>
      </c>
      <c r="C523" s="2" t="n">
        <v>0.188294062827103</v>
      </c>
      <c r="D523" s="2" t="n">
        <v>0.188294075879953</v>
      </c>
      <c r="E523" s="2" t="n">
        <v>0.188094062827103</v>
      </c>
    </row>
    <row r="524" customFormat="false" ht="13.8" hidden="false" customHeight="false" outlineLevel="0" collapsed="false">
      <c r="B524" s="2" t="n">
        <v>523</v>
      </c>
      <c r="C524" s="2" t="n">
        <v>0.188179829222153</v>
      </c>
      <c r="D524" s="2" t="n">
        <v>0.188295968787691</v>
      </c>
      <c r="E524" s="2" t="n">
        <v>0.188095980983892</v>
      </c>
    </row>
    <row r="525" customFormat="false" ht="13.8" hidden="false" customHeight="false" outlineLevel="0" collapsed="false">
      <c r="B525" s="2" t="n">
        <v>524</v>
      </c>
      <c r="C525" s="2" t="n">
        <v>0.188181716039313</v>
      </c>
      <c r="D525" s="2" t="n">
        <v>0.188297851208944</v>
      </c>
      <c r="E525" s="2" t="n">
        <v>0.1880978352553</v>
      </c>
    </row>
    <row r="526" customFormat="false" ht="13.8" hidden="false" customHeight="false" outlineLevel="0" collapsed="false">
      <c r="B526" s="2" t="n">
        <v>525</v>
      </c>
      <c r="C526" s="2" t="n">
        <v>0.188183602875342</v>
      </c>
      <c r="D526" s="2" t="n">
        <v>0.188299744763706</v>
      </c>
      <c r="E526" s="2" t="n">
        <v>0.188099752960091</v>
      </c>
    </row>
    <row r="527" customFormat="false" ht="13.8" hidden="false" customHeight="false" outlineLevel="0" collapsed="false">
      <c r="B527" s="2" t="n">
        <v>526</v>
      </c>
      <c r="C527" s="2" t="n">
        <v>0.188185489730239</v>
      </c>
      <c r="D527" s="2" t="n">
        <v>0.188301632780034</v>
      </c>
      <c r="E527" s="2" t="n">
        <v>0.188101638976481</v>
      </c>
    </row>
    <row r="528" customFormat="false" ht="13.8" hidden="false" customHeight="false" outlineLevel="0" collapsed="false">
      <c r="B528" s="2" t="n">
        <v>527</v>
      </c>
      <c r="C528" s="2" t="n">
        <v>0.188187376604005</v>
      </c>
      <c r="D528" s="2" t="n">
        <v>0.188303520815242</v>
      </c>
      <c r="E528" s="2" t="n">
        <v>0.188103525011731</v>
      </c>
    </row>
    <row r="529" customFormat="false" ht="13.8" hidden="false" customHeight="false" outlineLevel="0" collapsed="false">
      <c r="B529" s="2" t="n">
        <v>528</v>
      </c>
      <c r="C529" s="2" t="n">
        <v>0.18818926349664</v>
      </c>
      <c r="D529" s="2" t="n">
        <v>0.188305408869331</v>
      </c>
      <c r="E529" s="2" t="n">
        <v>0.188105411065842</v>
      </c>
    </row>
    <row r="530" customFormat="false" ht="13.8" hidden="false" customHeight="false" outlineLevel="0" collapsed="false">
      <c r="B530" s="2" t="n">
        <v>529</v>
      </c>
      <c r="C530" s="2" t="n">
        <v>0.188191150408144</v>
      </c>
      <c r="D530" s="2" t="n">
        <v>0.1883072969423</v>
      </c>
      <c r="E530" s="2" t="n">
        <v>0.188107297138813</v>
      </c>
    </row>
    <row r="531" customFormat="false" ht="13.8" hidden="false" customHeight="false" outlineLevel="0" collapsed="false">
      <c r="B531" s="2" t="n">
        <v>530</v>
      </c>
      <c r="C531" s="2" t="n">
        <v>0.188193037338518</v>
      </c>
      <c r="D531" s="2" t="n">
        <v>0.18830918503415</v>
      </c>
      <c r="E531" s="2" t="n">
        <v>0.188109183230646</v>
      </c>
    </row>
    <row r="532" customFormat="false" ht="13.8" hidden="false" customHeight="false" outlineLevel="0" collapsed="false">
      <c r="B532" s="2" t="n">
        <v>531</v>
      </c>
      <c r="C532" s="2" t="n">
        <v>0.188311037141462</v>
      </c>
      <c r="D532" s="2" t="n">
        <v>0.188311063248337</v>
      </c>
      <c r="E532" s="2" t="n">
        <v>0.188111037141462</v>
      </c>
    </row>
    <row r="533" customFormat="false" ht="13.8" hidden="false" customHeight="false" outlineLevel="0" collapsed="false">
      <c r="B533" s="2" t="n">
        <v>532</v>
      </c>
      <c r="C533" s="2" t="n">
        <v>0.188196811255873</v>
      </c>
      <c r="D533" s="2" t="n">
        <v>0.188312951318491</v>
      </c>
      <c r="E533" s="2" t="n">
        <v>0.188112923761096</v>
      </c>
    </row>
    <row r="534" customFormat="false" ht="13.8" hidden="false" customHeight="false" outlineLevel="0" collapsed="false">
      <c r="B534" s="2" t="n">
        <v>533</v>
      </c>
      <c r="C534" s="2" t="n">
        <v>0.188314809418789</v>
      </c>
      <c r="D534" s="2" t="n">
        <v>0.188314838426718</v>
      </c>
      <c r="E534" s="2" t="n">
        <v>0.188114809418789</v>
      </c>
    </row>
    <row r="535" customFormat="false" ht="13.8" hidden="false" customHeight="false" outlineLevel="0" collapsed="false">
      <c r="B535" s="2" t="n">
        <v>534</v>
      </c>
      <c r="C535" s="2" t="n">
        <v>0.188316695585745</v>
      </c>
      <c r="D535" s="2" t="n">
        <v>0.188316726044223</v>
      </c>
      <c r="E535" s="2" t="n">
        <v>0.188116695585745</v>
      </c>
    </row>
    <row r="536" customFormat="false" ht="13.8" hidden="false" customHeight="false" outlineLevel="0" collapsed="false">
      <c r="B536" s="2" t="n">
        <v>535</v>
      </c>
      <c r="C536" s="2" t="n">
        <v>0.188202472273431</v>
      </c>
      <c r="D536" s="2" t="n">
        <v>0.18831861417102</v>
      </c>
      <c r="E536" s="2" t="n">
        <v>0.188118582261978</v>
      </c>
    </row>
    <row r="537" customFormat="false" ht="13.8" hidden="false" customHeight="false" outlineLevel="0" collapsed="false">
      <c r="B537" s="2" t="n">
        <v>536</v>
      </c>
      <c r="C537" s="2" t="n">
        <v>0.188320513981762</v>
      </c>
      <c r="D537" s="2" t="n">
        <v>0.188320513981762</v>
      </c>
      <c r="E537" s="2" t="n">
        <v>0.188120513981762</v>
      </c>
    </row>
    <row r="538" customFormat="false" ht="13.8" hidden="false" customHeight="false" outlineLevel="0" collapsed="false">
      <c r="B538" s="2" t="n">
        <v>537</v>
      </c>
      <c r="C538" s="2" t="n">
        <v>0.188322402205784</v>
      </c>
      <c r="D538" s="2" t="n">
        <v>0.188322402205784</v>
      </c>
      <c r="E538" s="2" t="n">
        <v>0.188122402205784</v>
      </c>
    </row>
    <row r="539" customFormat="false" ht="13.8" hidden="false" customHeight="false" outlineLevel="0" collapsed="false">
      <c r="B539" s="2" t="n">
        <v>538</v>
      </c>
      <c r="C539" s="2" t="n">
        <v>0.188324290448689</v>
      </c>
      <c r="D539" s="2" t="n">
        <v>0.188324290448689</v>
      </c>
      <c r="E539" s="2" t="n">
        <v>0.188124290448689</v>
      </c>
    </row>
    <row r="540" customFormat="false" ht="13.8" hidden="false" customHeight="false" outlineLevel="0" collapsed="false">
      <c r="B540" s="2" t="n">
        <v>539</v>
      </c>
      <c r="C540" s="2" t="n">
        <v>0.188326178710476</v>
      </c>
      <c r="D540" s="2" t="n">
        <v>0.188326178710476</v>
      </c>
      <c r="E540" s="2" t="n">
        <v>0.188126178710476</v>
      </c>
    </row>
    <row r="541" customFormat="false" ht="13.8" hidden="false" customHeight="false" outlineLevel="0" collapsed="false">
      <c r="B541" s="2" t="n">
        <v>540</v>
      </c>
      <c r="C541" s="2" t="n">
        <v>0.188328066991146</v>
      </c>
      <c r="D541" s="2" t="n">
        <v>0.188328066991146</v>
      </c>
      <c r="E541" s="2" t="n">
        <v>0.188128066991146</v>
      </c>
    </row>
    <row r="542" customFormat="false" ht="13.8" hidden="false" customHeight="false" outlineLevel="0" collapsed="false">
      <c r="B542" s="2" t="n">
        <v>541</v>
      </c>
      <c r="C542" s="2" t="n">
        <v>0.427709700249402</v>
      </c>
      <c r="D542" s="2" t="n">
        <v>0.427509700249402</v>
      </c>
      <c r="E542" s="2" t="n">
        <v>0.427509700249402</v>
      </c>
    </row>
    <row r="543" customFormat="false" ht="13.8" hidden="false" customHeight="false" outlineLevel="0" collapsed="false">
      <c r="B543" s="2" t="n">
        <v>542</v>
      </c>
      <c r="C543" s="2" t="n">
        <v>0.427713972389125</v>
      </c>
      <c r="D543" s="2" t="n">
        <v>0.427513972389126</v>
      </c>
      <c r="E543" s="2" t="n">
        <v>0.427513978389065</v>
      </c>
    </row>
    <row r="544" customFormat="false" ht="13.8" hidden="false" customHeight="false" outlineLevel="0" collapsed="false">
      <c r="B544" s="2" t="n">
        <v>543</v>
      </c>
      <c r="C544" s="2" t="n">
        <v>0.427718244571571</v>
      </c>
      <c r="D544" s="2" t="n">
        <v>0.427518244571571</v>
      </c>
      <c r="E544" s="2" t="n">
        <v>0.427518244571571</v>
      </c>
    </row>
    <row r="545" customFormat="false" ht="13.8" hidden="false" customHeight="false" outlineLevel="0" collapsed="false">
      <c r="B545" s="2" t="n">
        <v>544</v>
      </c>
      <c r="C545" s="2" t="n">
        <v>0.427722516796739</v>
      </c>
      <c r="D545" s="2" t="n">
        <v>0.427522516796739</v>
      </c>
      <c r="E545" s="2" t="n">
        <v>0.427522518796739</v>
      </c>
    </row>
    <row r="546" customFormat="false" ht="13.8" hidden="false" customHeight="false" outlineLevel="0" collapsed="false">
      <c r="B546" s="2" t="n">
        <v>545</v>
      </c>
      <c r="C546" s="2" t="n">
        <v>0.42772678906463</v>
      </c>
      <c r="D546" s="2" t="n">
        <v>0.42752678906463</v>
      </c>
      <c r="E546" s="2" t="n">
        <v>0.42752678906463</v>
      </c>
    </row>
    <row r="547" customFormat="false" ht="13.8" hidden="false" customHeight="false" outlineLevel="0" collapsed="false">
      <c r="B547" s="2" t="n">
        <v>546</v>
      </c>
      <c r="C547" s="2" t="n">
        <v>0.427731059375223</v>
      </c>
      <c r="D547" s="2" t="n">
        <v>0.427531059375224</v>
      </c>
      <c r="E547" s="2" t="n">
        <v>0.427531059375224</v>
      </c>
    </row>
    <row r="548" customFormat="false" ht="13.8" hidden="false" customHeight="false" outlineLevel="0" collapsed="false">
      <c r="B548" s="2" t="n">
        <v>547</v>
      </c>
      <c r="C548" s="2" t="n">
        <v>0.427735329498292</v>
      </c>
      <c r="D548" s="2" t="n">
        <v>0.427535329728521</v>
      </c>
      <c r="E548" s="2" t="n">
        <v>0.427535329728521</v>
      </c>
    </row>
    <row r="549" customFormat="false" ht="13.8" hidden="false" customHeight="false" outlineLevel="0" collapsed="false">
      <c r="B549" s="2" t="n">
        <v>548</v>
      </c>
      <c r="C549" s="2" t="n">
        <v>0.427739600124522</v>
      </c>
      <c r="D549" s="2" t="n">
        <v>0.427539600124522</v>
      </c>
      <c r="E549" s="2" t="n">
        <v>0.427539600124522</v>
      </c>
    </row>
    <row r="550" customFormat="false" ht="13.8" hidden="false" customHeight="false" outlineLevel="0" collapsed="false">
      <c r="B550" s="2" t="n">
        <v>549</v>
      </c>
      <c r="C550" s="2" t="n">
        <v>0.427743870563228</v>
      </c>
      <c r="D550" s="2" t="n">
        <v>0.427543870563228</v>
      </c>
      <c r="E550" s="2" t="n">
        <v>0.427543870563228</v>
      </c>
    </row>
    <row r="551" customFormat="false" ht="13.8" hidden="false" customHeight="false" outlineLevel="0" collapsed="false">
      <c r="B551" s="2" t="n">
        <v>550</v>
      </c>
      <c r="C551" s="2" t="n">
        <v>0.427748141044638</v>
      </c>
      <c r="D551" s="2" t="n">
        <v>0.427548141044638</v>
      </c>
      <c r="E551" s="2" t="n">
        <v>0.427548141044638</v>
      </c>
    </row>
    <row r="552" customFormat="false" ht="13.8" hidden="false" customHeight="false" outlineLevel="0" collapsed="false">
      <c r="B552" s="2" t="n">
        <v>551</v>
      </c>
      <c r="C552" s="2" t="n">
        <v>0.427752411027889</v>
      </c>
      <c r="D552" s="2" t="n">
        <v>0.427552411568754</v>
      </c>
      <c r="E552" s="2" t="n">
        <v>0.427552411568754</v>
      </c>
    </row>
    <row r="553" customFormat="false" ht="13.8" hidden="false" customHeight="false" outlineLevel="0" collapsed="false">
      <c r="B553" s="2" t="n">
        <v>552</v>
      </c>
      <c r="C553" s="2" t="n">
        <v>0.427756681936378</v>
      </c>
      <c r="D553" s="2" t="n">
        <v>0.427756640139775</v>
      </c>
      <c r="E553" s="2" t="n">
        <v>0.427556682135575</v>
      </c>
    </row>
    <row r="554" customFormat="false" ht="13.8" hidden="false" customHeight="false" outlineLevel="0" collapsed="false">
      <c r="B554" s="2" t="n">
        <v>553</v>
      </c>
      <c r="C554" s="2" t="n">
        <v>0.427760952745102</v>
      </c>
      <c r="D554" s="2" t="n">
        <v>0.427760912748902</v>
      </c>
      <c r="E554" s="2" t="n">
        <v>0.427560952745102</v>
      </c>
    </row>
    <row r="555" customFormat="false" ht="13.8" hidden="false" customHeight="false" outlineLevel="0" collapsed="false">
      <c r="B555" s="2" t="n">
        <v>554</v>
      </c>
      <c r="C555" s="2" t="n">
        <v>0.427765223397336</v>
      </c>
      <c r="D555" s="2" t="n">
        <v>0.427765185400756</v>
      </c>
      <c r="E555" s="2" t="n">
        <v>0.427565223397336</v>
      </c>
    </row>
    <row r="556" customFormat="false" ht="13.8" hidden="false" customHeight="false" outlineLevel="0" collapsed="false">
      <c r="B556" s="2" t="n">
        <v>555</v>
      </c>
      <c r="C556" s="2" t="n">
        <v>0.427769494092277</v>
      </c>
      <c r="D556" s="2" t="n">
        <v>0.427769458095337</v>
      </c>
      <c r="E556" s="2" t="n">
        <v>0.427569494092277</v>
      </c>
    </row>
    <row r="557" customFormat="false" ht="13.8" hidden="false" customHeight="false" outlineLevel="0" collapsed="false">
      <c r="B557" s="2" t="n">
        <v>556</v>
      </c>
      <c r="C557" s="2" t="n">
        <v>0.427773764829925</v>
      </c>
      <c r="D557" s="2" t="n">
        <v>0.427773730832645</v>
      </c>
      <c r="E557" s="2" t="n">
        <v>0.427573764829925</v>
      </c>
    </row>
    <row r="558" customFormat="false" ht="13.8" hidden="false" customHeight="false" outlineLevel="0" collapsed="false">
      <c r="B558" s="2" t="n">
        <v>557</v>
      </c>
      <c r="C558" s="2" t="n">
        <v>0.427778035610282</v>
      </c>
      <c r="D558" s="2" t="n">
        <v>0.427778003612681</v>
      </c>
      <c r="E558" s="2" t="n">
        <v>0.427578035610281</v>
      </c>
    </row>
    <row r="559" customFormat="false" ht="13.8" hidden="false" customHeight="false" outlineLevel="0" collapsed="false">
      <c r="B559" s="2" t="n">
        <v>558</v>
      </c>
      <c r="C559" s="2" t="n">
        <v>0.427782306433346</v>
      </c>
      <c r="D559" s="2" t="n">
        <v>0.427782276435446</v>
      </c>
      <c r="E559" s="2" t="n">
        <v>0.427582306433346</v>
      </c>
    </row>
    <row r="560" customFormat="false" ht="13.8" hidden="false" customHeight="false" outlineLevel="0" collapsed="false">
      <c r="B560" s="2" t="n">
        <v>559</v>
      </c>
      <c r="C560" s="2" t="n">
        <v>0.427786577299119</v>
      </c>
      <c r="D560" s="2" t="n">
        <v>0.427786549300939</v>
      </c>
      <c r="E560" s="2" t="n">
        <v>0.427586577299119</v>
      </c>
    </row>
    <row r="561" customFormat="false" ht="13.8" hidden="false" customHeight="false" outlineLevel="0" collapsed="false">
      <c r="B561" s="2" t="n">
        <v>560</v>
      </c>
      <c r="C561" s="2" t="n">
        <v>0.427790848207601</v>
      </c>
      <c r="D561" s="2" t="n">
        <v>0.427790822209161</v>
      </c>
      <c r="E561" s="2" t="n">
        <v>0.427590848207601</v>
      </c>
    </row>
    <row r="562" customFormat="false" ht="13.8" hidden="false" customHeight="false" outlineLevel="0" collapsed="false">
      <c r="B562" s="2" t="n">
        <v>561</v>
      </c>
      <c r="C562" s="2" t="n">
        <v>0.427795119158792</v>
      </c>
      <c r="D562" s="2" t="n">
        <v>0.427795095160112</v>
      </c>
      <c r="E562" s="2" t="n">
        <v>0.427595119158792</v>
      </c>
    </row>
    <row r="563" customFormat="false" ht="13.8" hidden="false" customHeight="false" outlineLevel="0" collapsed="false">
      <c r="B563" s="2" t="n">
        <v>562</v>
      </c>
      <c r="C563" s="2" t="n">
        <v>0.427799390152694</v>
      </c>
      <c r="D563" s="2" t="n">
        <v>0.427799368153794</v>
      </c>
      <c r="E563" s="2" t="n">
        <v>0.427599390152694</v>
      </c>
    </row>
    <row r="564" customFormat="false" ht="13.8" hidden="false" customHeight="false" outlineLevel="0" collapsed="false">
      <c r="B564" s="2" t="n">
        <v>563</v>
      </c>
      <c r="C564" s="2" t="n">
        <v>0.427803661189306</v>
      </c>
      <c r="D564" s="2" t="n">
        <v>0.427803641190206</v>
      </c>
      <c r="E564" s="2" t="n">
        <v>0.427603661189306</v>
      </c>
    </row>
    <row r="565" customFormat="false" ht="13.8" hidden="false" customHeight="false" outlineLevel="0" collapsed="false">
      <c r="B565" s="2" t="n">
        <v>564</v>
      </c>
      <c r="C565" s="2" t="n">
        <v>0.427807932268628</v>
      </c>
      <c r="D565" s="2" t="n">
        <v>0.427807914269348</v>
      </c>
      <c r="E565" s="2" t="n">
        <v>0.427607932268629</v>
      </c>
    </row>
    <row r="566" customFormat="false" ht="13.8" hidden="false" customHeight="false" outlineLevel="0" collapsed="false">
      <c r="B566" s="2" t="n">
        <v>565</v>
      </c>
      <c r="C566" s="2" t="n">
        <v>0.427812203390662</v>
      </c>
      <c r="D566" s="2" t="n">
        <v>0.427812187391222</v>
      </c>
      <c r="E566" s="2" t="n">
        <v>0.427612203390662</v>
      </c>
    </row>
    <row r="567" customFormat="false" ht="13.8" hidden="false" customHeight="false" outlineLevel="0" collapsed="false">
      <c r="B567" s="2" t="n">
        <v>566</v>
      </c>
      <c r="C567" s="2" t="n">
        <v>0.427816474177844</v>
      </c>
      <c r="D567" s="2" t="n">
        <v>0.427816460555828</v>
      </c>
      <c r="E567" s="2" t="n">
        <v>0.427616474555408</v>
      </c>
    </row>
    <row r="568" customFormat="false" ht="13.8" hidden="false" customHeight="false" outlineLevel="0" collapsed="false">
      <c r="B568" s="2" t="n">
        <v>567</v>
      </c>
      <c r="C568" s="2" t="n">
        <v>0.427820745532591</v>
      </c>
      <c r="D568" s="2" t="n">
        <v>0.427820733763165</v>
      </c>
      <c r="E568" s="2" t="n">
        <v>0.427620745762865</v>
      </c>
    </row>
    <row r="569" customFormat="false" ht="13.8" hidden="false" customHeight="false" outlineLevel="0" collapsed="false">
      <c r="B569" s="2" t="n">
        <v>568</v>
      </c>
      <c r="C569" s="2" t="n">
        <v>0.427825017013036</v>
      </c>
      <c r="D569" s="2" t="n">
        <v>0.427825007013236</v>
      </c>
      <c r="E569" s="2" t="n">
        <v>0.427625017013036</v>
      </c>
    </row>
    <row r="570" customFormat="false" ht="13.8" hidden="false" customHeight="false" outlineLevel="0" collapsed="false">
      <c r="B570" s="2" t="n">
        <v>569</v>
      </c>
      <c r="C570" s="2" t="n">
        <v>0.427829288305919</v>
      </c>
      <c r="D570" s="2" t="n">
        <v>0.427829280306039</v>
      </c>
      <c r="E570" s="2" t="n">
        <v>0.427629288305919</v>
      </c>
    </row>
    <row r="571" customFormat="false" ht="13.8" hidden="false" customHeight="false" outlineLevel="0" collapsed="false">
      <c r="B571" s="2" t="n">
        <v>570</v>
      </c>
      <c r="C571" s="2" t="n">
        <v>0.427833559641515</v>
      </c>
      <c r="D571" s="2" t="n">
        <v>0.427833553641575</v>
      </c>
      <c r="E571" s="2" t="n">
        <v>0.427633559641515</v>
      </c>
    </row>
    <row r="572" customFormat="false" ht="13.8" hidden="false" customHeight="false" outlineLevel="0" collapsed="false">
      <c r="B572" s="2" t="n">
        <v>571</v>
      </c>
      <c r="C572" s="2" t="n">
        <v>0.427837831019825</v>
      </c>
      <c r="D572" s="2" t="n">
        <v>0.427837827019845</v>
      </c>
      <c r="E572" s="2" t="n">
        <v>0.427637831019825</v>
      </c>
    </row>
    <row r="573" customFormat="false" ht="13.8" hidden="false" customHeight="false" outlineLevel="0" collapsed="false">
      <c r="B573" s="2" t="n">
        <v>572</v>
      </c>
      <c r="C573" s="2" t="n">
        <v>0.427842102241613</v>
      </c>
      <c r="D573" s="2" t="n">
        <v>0.42784210044085</v>
      </c>
      <c r="E573" s="2" t="n">
        <v>0.42764210244085</v>
      </c>
    </row>
    <row r="574" customFormat="false" ht="13.8" hidden="false" customHeight="false" outlineLevel="0" collapsed="false">
      <c r="B574" s="2" t="n">
        <v>573</v>
      </c>
      <c r="C574" s="2" t="n">
        <v>0.427846373904589</v>
      </c>
      <c r="D574" s="2" t="n">
        <v>0.427846373904589</v>
      </c>
      <c r="E574" s="2" t="n">
        <v>0.427646373904589</v>
      </c>
    </row>
    <row r="575" customFormat="false" ht="13.8" hidden="false" customHeight="false" outlineLevel="0" collapsed="false">
      <c r="B575" s="2" t="n">
        <v>574</v>
      </c>
      <c r="C575" s="2" t="n">
        <v>0.427850645411043</v>
      </c>
      <c r="D575" s="2" t="n">
        <v>0.427850645411043</v>
      </c>
      <c r="E575" s="2" t="n">
        <v>0.427650645411043</v>
      </c>
    </row>
    <row r="576" customFormat="false" ht="13.8" hidden="false" customHeight="false" outlineLevel="0" collapsed="false">
      <c r="B576" s="2" t="n">
        <v>575</v>
      </c>
      <c r="C576" s="2" t="n">
        <v>0.427854916723208</v>
      </c>
      <c r="D576" s="2" t="n">
        <v>0.427854916960212</v>
      </c>
      <c r="E576" s="2" t="n">
        <v>0.427654916960212</v>
      </c>
    </row>
    <row r="577" customFormat="false" ht="13.8" hidden="false" customHeight="false" outlineLevel="0" collapsed="false">
      <c r="B577" s="2" t="n">
        <v>576</v>
      </c>
      <c r="C577" s="2" t="n">
        <v>0.427859188552098</v>
      </c>
      <c r="D577" s="2" t="n">
        <v>0.427859188552098</v>
      </c>
      <c r="E577" s="2" t="n">
        <v>0.427659188552098</v>
      </c>
    </row>
    <row r="578" customFormat="false" ht="13.8" hidden="false" customHeight="false" outlineLevel="0" collapsed="false">
      <c r="B578" s="2" t="n">
        <v>577</v>
      </c>
      <c r="C578" s="2" t="n">
        <v>0.427863459956402</v>
      </c>
      <c r="D578" s="2" t="n">
        <v>0.427663528572036</v>
      </c>
      <c r="E578" s="2" t="n">
        <v>0.4276634601867</v>
      </c>
    </row>
    <row r="579" customFormat="false" ht="13.8" hidden="false" customHeight="false" outlineLevel="0" collapsed="false">
      <c r="B579" s="2" t="n">
        <v>578</v>
      </c>
      <c r="C579" s="2" t="n">
        <v>0.427867731627007</v>
      </c>
      <c r="D579" s="2" t="n">
        <v>0.427867727001795</v>
      </c>
      <c r="E579" s="2" t="n">
        <v>0.427667731864018</v>
      </c>
    </row>
    <row r="580" customFormat="false" ht="13.8" hidden="false" customHeight="false" outlineLevel="0" collapsed="false">
      <c r="B580" s="2" t="n">
        <v>579</v>
      </c>
      <c r="C580" s="2" t="n">
        <v>0.427872003584054</v>
      </c>
      <c r="D580" s="2" t="n">
        <v>0.427872005384998</v>
      </c>
      <c r="E580" s="2" t="n">
        <v>0.427672003584054</v>
      </c>
    </row>
    <row r="581" customFormat="false" ht="13.8" hidden="false" customHeight="false" outlineLevel="0" collapsed="false">
      <c r="B581" s="2" t="n">
        <v>580</v>
      </c>
      <c r="C581" s="2" t="n">
        <v>0.427876275346808</v>
      </c>
      <c r="D581" s="2" t="n">
        <v>0.427876275346808</v>
      </c>
      <c r="E581" s="2" t="n">
        <v>0.427676275346808</v>
      </c>
    </row>
    <row r="582" customFormat="false" ht="13.8" hidden="false" customHeight="false" outlineLevel="0" collapsed="false">
      <c r="B582" s="2" t="n">
        <v>581</v>
      </c>
      <c r="C582" s="2" t="n">
        <v>0.427880547021043</v>
      </c>
      <c r="D582" s="2" t="n">
        <v>0.427880547021043</v>
      </c>
      <c r="E582" s="2" t="n">
        <v>0.427680547152279</v>
      </c>
    </row>
    <row r="583" customFormat="false" ht="13.8" hidden="false" customHeight="false" outlineLevel="0" collapsed="false">
      <c r="B583" s="2" t="n">
        <v>582</v>
      </c>
      <c r="C583" s="2" t="n">
        <v>0.427884819000469</v>
      </c>
      <c r="D583" s="2" t="n">
        <v>0.427884819000469</v>
      </c>
      <c r="E583" s="2" t="n">
        <v>0.427684819000469</v>
      </c>
    </row>
    <row r="584" customFormat="false" ht="13.8" hidden="false" customHeight="false" outlineLevel="0" collapsed="false">
      <c r="B584" s="2" t="n">
        <v>583</v>
      </c>
      <c r="C584" s="2" t="n">
        <v>0.427889090891378</v>
      </c>
      <c r="D584" s="2" t="n">
        <v>0.427889090891378</v>
      </c>
      <c r="E584" s="2" t="n">
        <v>0.427689090891378</v>
      </c>
    </row>
    <row r="585" customFormat="false" ht="13.8" hidden="false" customHeight="false" outlineLevel="0" collapsed="false">
      <c r="B585" s="2" t="n">
        <v>584</v>
      </c>
      <c r="C585" s="2" t="n">
        <v>0.427893362825006</v>
      </c>
      <c r="D585" s="2" t="n">
        <v>0.427893362825006</v>
      </c>
      <c r="E585" s="2" t="n">
        <v>0.427693362825006</v>
      </c>
    </row>
    <row r="586" customFormat="false" ht="13.8" hidden="false" customHeight="false" outlineLevel="0" collapsed="false">
      <c r="B586" s="2" t="n">
        <v>585</v>
      </c>
      <c r="C586" s="2" t="n">
        <v>0.427897634801354</v>
      </c>
      <c r="D586" s="2" t="n">
        <v>0.427897634801354</v>
      </c>
      <c r="E586" s="2" t="n">
        <v>0.427697634801354</v>
      </c>
    </row>
    <row r="587" customFormat="false" ht="13.8" hidden="false" customHeight="false" outlineLevel="0" collapsed="false">
      <c r="B587" s="2" t="n">
        <v>586</v>
      </c>
      <c r="C587" s="2" t="n">
        <v>0.427901906820422</v>
      </c>
      <c r="D587" s="2" t="n">
        <v>0.427901906820422</v>
      </c>
      <c r="E587" s="2" t="n">
        <v>0.427701906820422</v>
      </c>
    </row>
    <row r="588" customFormat="false" ht="13.8" hidden="false" customHeight="false" outlineLevel="0" collapsed="false">
      <c r="B588" s="2" t="n">
        <v>587</v>
      </c>
      <c r="C588" s="2" t="n">
        <v>0.427906178882211</v>
      </c>
      <c r="D588" s="2" t="n">
        <v>0.427906178882211</v>
      </c>
      <c r="E588" s="2" t="n">
        <v>0.427706178882211</v>
      </c>
    </row>
    <row r="589" customFormat="false" ht="13.8" hidden="false" customHeight="false" outlineLevel="0" collapsed="false">
      <c r="B589" s="2" t="n">
        <v>588</v>
      </c>
      <c r="C589" s="2" t="n">
        <v>0.427910450986721</v>
      </c>
      <c r="D589" s="2" t="n">
        <v>0.427910450986721</v>
      </c>
      <c r="E589" s="2" t="n">
        <v>0.427710450986721</v>
      </c>
    </row>
    <row r="590" customFormat="false" ht="13.8" hidden="false" customHeight="false" outlineLevel="0" collapsed="false">
      <c r="B590" s="2" t="n">
        <v>589</v>
      </c>
      <c r="C590" s="2" t="n">
        <v>0.427914723133952</v>
      </c>
      <c r="D590" s="2" t="n">
        <v>0.427914723133952</v>
      </c>
      <c r="E590" s="2" t="n">
        <v>0.427714723133952</v>
      </c>
    </row>
    <row r="591" customFormat="false" ht="13.8" hidden="false" customHeight="false" outlineLevel="0" collapsed="false">
      <c r="B591" s="2" t="n">
        <v>590</v>
      </c>
      <c r="C591" s="2" t="n">
        <v>0.427918995124633</v>
      </c>
      <c r="D591" s="2" t="n">
        <v>0.427918995124633</v>
      </c>
      <c r="E591" s="2" t="n">
        <v>0.427718995323905</v>
      </c>
    </row>
    <row r="592" customFormat="false" ht="13.8" hidden="false" customHeight="false" outlineLevel="0" collapsed="false">
      <c r="B592" s="2" t="n">
        <v>591</v>
      </c>
      <c r="C592" s="2" t="n">
        <v>0.427923267556581</v>
      </c>
      <c r="D592" s="2" t="n">
        <v>0.427923267556581</v>
      </c>
      <c r="E592" s="2" t="n">
        <v>0.427723267556581</v>
      </c>
    </row>
    <row r="593" customFormat="false" ht="13.8" hidden="false" customHeight="false" outlineLevel="0" collapsed="false">
      <c r="B593" s="2" t="n">
        <v>592</v>
      </c>
      <c r="C593" s="2" t="n">
        <v>0.427927539831979</v>
      </c>
      <c r="D593" s="2" t="n">
        <v>0.427927539831979</v>
      </c>
      <c r="E593" s="2" t="n">
        <v>0.427727539831979</v>
      </c>
    </row>
    <row r="594" customFormat="false" ht="13.8" hidden="false" customHeight="false" outlineLevel="0" collapsed="false">
      <c r="B594" s="2" t="n">
        <v>593</v>
      </c>
      <c r="C594" s="2" t="n">
        <v>0.427931812150101</v>
      </c>
      <c r="D594" s="2" t="n">
        <v>0.427931812150101</v>
      </c>
      <c r="E594" s="2" t="n">
        <v>0.427731812150101</v>
      </c>
    </row>
    <row r="595" customFormat="false" ht="13.8" hidden="false" customHeight="false" outlineLevel="0" collapsed="false">
      <c r="B595" s="2" t="n">
        <v>594</v>
      </c>
      <c r="C595" s="2" t="n">
        <v>0.427936084510946</v>
      </c>
      <c r="D595" s="2" t="n">
        <v>0.427936084510946</v>
      </c>
      <c r="E595" s="2" t="n">
        <v>0.427736084510946</v>
      </c>
    </row>
    <row r="596" customFormat="false" ht="13.8" hidden="false" customHeight="false" outlineLevel="0" collapsed="false">
      <c r="B596" s="2" t="n">
        <v>595</v>
      </c>
      <c r="C596" s="2" t="n">
        <v>0.427940356914515</v>
      </c>
      <c r="D596" s="2" t="n">
        <v>0.427940356914515</v>
      </c>
      <c r="E596" s="2" t="n">
        <v>0.427740356914515</v>
      </c>
    </row>
    <row r="597" customFormat="false" ht="13.8" hidden="false" customHeight="false" outlineLevel="0" collapsed="false">
      <c r="B597" s="2" t="n">
        <v>596</v>
      </c>
      <c r="C597" s="2" t="n">
        <v>0.427944629123754</v>
      </c>
      <c r="D597" s="2" t="n">
        <v>0.427944629123754</v>
      </c>
      <c r="E597" s="2" t="n">
        <v>0.427744629360809</v>
      </c>
    </row>
    <row r="598" customFormat="false" ht="13.8" hidden="false" customHeight="false" outlineLevel="0" collapsed="false">
      <c r="B598" s="2" t="n">
        <v>597</v>
      </c>
      <c r="C598" s="2" t="n">
        <v>0.427948901849827</v>
      </c>
      <c r="D598" s="2" t="n">
        <v>0.42794890165054</v>
      </c>
      <c r="E598" s="2" t="n">
        <v>0.427748901849827</v>
      </c>
    </row>
    <row r="599" customFormat="false" ht="13.8" hidden="false" customHeight="false" outlineLevel="0" collapsed="false">
      <c r="B599" s="2" t="n">
        <v>598</v>
      </c>
      <c r="C599" s="2" t="n">
        <v>0.427953174381571</v>
      </c>
      <c r="D599" s="2" t="n">
        <v>0.427953174381571</v>
      </c>
      <c r="E599" s="2" t="n">
        <v>0.427753174381571</v>
      </c>
    </row>
    <row r="600" customFormat="false" ht="13.8" hidden="false" customHeight="false" outlineLevel="0" collapsed="false">
      <c r="B600" s="2" t="n">
        <v>599</v>
      </c>
      <c r="C600" s="2" t="n">
        <v>0.42795744695604</v>
      </c>
      <c r="D600" s="2" t="n">
        <v>0.42775744695604</v>
      </c>
      <c r="E600" s="2" t="n">
        <v>0.42775744695604</v>
      </c>
    </row>
    <row r="601" customFormat="false" ht="13.8" hidden="false" customHeight="false" outlineLevel="0" collapsed="false">
      <c r="B601" s="2" t="n">
        <v>600</v>
      </c>
      <c r="C601" s="2" t="n">
        <v>0.427961719573236</v>
      </c>
      <c r="D601" s="2" t="n">
        <v>0.427761719336172</v>
      </c>
      <c r="E601" s="2" t="n">
        <v>0.427761719573236</v>
      </c>
    </row>
    <row r="602" customFormat="false" ht="13.8" hidden="false" customHeight="false" outlineLevel="0" collapsed="false">
      <c r="B602" s="2" t="n">
        <v>601</v>
      </c>
      <c r="C602" s="2" t="n">
        <v>0.427965992233158</v>
      </c>
      <c r="D602" s="2" t="n">
        <v>0.427765992233158</v>
      </c>
      <c r="E602" s="2" t="n">
        <v>0.427765992233158</v>
      </c>
    </row>
    <row r="603" customFormat="false" ht="13.8" hidden="false" customHeight="false" outlineLevel="0" collapsed="false">
      <c r="B603" s="2" t="n">
        <v>602</v>
      </c>
      <c r="C603" s="2" t="n">
        <v>0.0002</v>
      </c>
      <c r="D603" s="2" t="n">
        <v>0.000161764891894334</v>
      </c>
      <c r="E603" s="2" t="n">
        <v>0</v>
      </c>
    </row>
    <row r="604" customFormat="false" ht="13.8" hidden="false" customHeight="false" outlineLevel="0" collapsed="false">
      <c r="B604" s="2" t="n">
        <v>603</v>
      </c>
      <c r="C604" s="2" t="n">
        <v>0.0002</v>
      </c>
      <c r="D604" s="2" t="n">
        <v>0.00016177150960943</v>
      </c>
      <c r="E604" s="2" t="n">
        <v>0</v>
      </c>
    </row>
    <row r="605" customFormat="false" ht="13.8" hidden="false" customHeight="false" outlineLevel="0" collapsed="false">
      <c r="B605" s="2" t="n">
        <v>604</v>
      </c>
      <c r="C605" s="2" t="n">
        <v>0.0002</v>
      </c>
      <c r="D605" s="2" t="n">
        <v>0.000161778127390704</v>
      </c>
      <c r="E605" s="2" t="n">
        <v>0</v>
      </c>
    </row>
    <row r="606" customFormat="false" ht="13.8" hidden="false" customHeight="false" outlineLevel="0" collapsed="false">
      <c r="B606" s="2" t="n">
        <v>605</v>
      </c>
      <c r="C606" s="2" t="n">
        <v>0.0002</v>
      </c>
      <c r="D606" s="2" t="n">
        <v>0.000161784745238156</v>
      </c>
      <c r="E606" s="2" t="n">
        <v>0</v>
      </c>
    </row>
    <row r="607" customFormat="false" ht="13.8" hidden="false" customHeight="false" outlineLevel="0" collapsed="false">
      <c r="B607" s="2" t="n">
        <v>606</v>
      </c>
      <c r="C607" s="2" t="n">
        <v>0.0002</v>
      </c>
      <c r="D607" s="2" t="n">
        <v>0.000161791363151787</v>
      </c>
      <c r="E607" s="2" t="n">
        <v>0</v>
      </c>
    </row>
    <row r="608" customFormat="false" ht="13.8" hidden="false" customHeight="false" outlineLevel="0" collapsed="false">
      <c r="B608" s="2" t="n">
        <v>607</v>
      </c>
      <c r="C608" s="2" t="n">
        <v>0.0002</v>
      </c>
      <c r="D608" s="2" t="n">
        <v>0.000161797981131599</v>
      </c>
      <c r="E608" s="2" t="n">
        <v>0</v>
      </c>
    </row>
    <row r="609" customFormat="false" ht="13.8" hidden="false" customHeight="false" outlineLevel="0" collapsed="false">
      <c r="B609" s="2" t="n">
        <v>608</v>
      </c>
      <c r="C609" s="2" t="n">
        <v>0.0002</v>
      </c>
      <c r="D609" s="2" t="n">
        <v>0.00016180459917759</v>
      </c>
      <c r="E609" s="2" t="n">
        <v>0</v>
      </c>
    </row>
    <row r="610" customFormat="false" ht="13.8" hidden="false" customHeight="false" outlineLevel="0" collapsed="false">
      <c r="B610" s="2" t="n">
        <v>609</v>
      </c>
      <c r="C610" s="2" t="n">
        <v>0</v>
      </c>
      <c r="D610" s="2" t="n">
        <v>0.000161811217289763</v>
      </c>
      <c r="E610" s="2" t="n">
        <v>0</v>
      </c>
    </row>
    <row r="611" customFormat="false" ht="13.8" hidden="false" customHeight="false" outlineLevel="0" collapsed="false">
      <c r="B611" s="2" t="n">
        <v>610</v>
      </c>
      <c r="C611" s="2" t="n">
        <v>0.0002</v>
      </c>
      <c r="D611" s="2" t="n">
        <v>0.000161817835468118</v>
      </c>
      <c r="E611" s="2" t="n">
        <v>0</v>
      </c>
    </row>
    <row r="612" customFormat="false" ht="13.8" hidden="false" customHeight="false" outlineLevel="0" collapsed="false">
      <c r="B612" s="2" t="n">
        <v>611</v>
      </c>
      <c r="C612" s="2" t="n">
        <v>0</v>
      </c>
      <c r="D612" s="2" t="n">
        <v>0.000161824453712655</v>
      </c>
      <c r="E612" s="2" t="n">
        <v>0</v>
      </c>
    </row>
    <row r="613" customFormat="false" ht="13.8" hidden="false" customHeight="false" outlineLevel="0" collapsed="false">
      <c r="B613" s="2" t="n">
        <v>612</v>
      </c>
      <c r="C613" s="2" t="n">
        <v>0</v>
      </c>
      <c r="D613" s="2" t="n">
        <v>0.000161831072023375</v>
      </c>
      <c r="E613" s="2" t="n">
        <v>0</v>
      </c>
    </row>
    <row r="614" customFormat="false" ht="13.8" hidden="false" customHeight="false" outlineLevel="0" collapsed="false">
      <c r="B614" s="2" t="n">
        <v>613</v>
      </c>
      <c r="C614" s="2" t="n">
        <v>0</v>
      </c>
      <c r="D614" s="2" t="n">
        <v>0.000161837690400279</v>
      </c>
      <c r="E614" s="2" t="n">
        <v>0</v>
      </c>
    </row>
    <row r="615" customFormat="false" ht="13.8" hidden="false" customHeight="false" outlineLevel="0" collapsed="false">
      <c r="B615" s="2" t="n">
        <v>614</v>
      </c>
      <c r="C615" s="2" t="n">
        <v>0.0002</v>
      </c>
      <c r="D615" s="2" t="n">
        <v>0.000161844308843368</v>
      </c>
      <c r="E615" s="2" t="n">
        <v>0</v>
      </c>
    </row>
    <row r="616" customFormat="false" ht="13.8" hidden="false" customHeight="false" outlineLevel="0" collapsed="false">
      <c r="B616" s="2" t="n">
        <v>615</v>
      </c>
      <c r="C616" s="2" t="n">
        <v>0</v>
      </c>
      <c r="D616" s="2" t="n">
        <v>0.000161850927352641</v>
      </c>
      <c r="E616" s="2" t="n">
        <v>0</v>
      </c>
    </row>
    <row r="617" customFormat="false" ht="13.8" hidden="false" customHeight="false" outlineLevel="0" collapsed="false">
      <c r="B617" s="2" t="n">
        <v>616</v>
      </c>
      <c r="C617" s="2" t="n">
        <v>0.0002</v>
      </c>
      <c r="D617" s="2" t="n">
        <v>0.0001618575459281</v>
      </c>
      <c r="E617" s="2" t="n">
        <v>0</v>
      </c>
    </row>
    <row r="618" customFormat="false" ht="13.8" hidden="false" customHeight="false" outlineLevel="0" collapsed="false">
      <c r="B618" s="2" t="n">
        <v>617</v>
      </c>
      <c r="C618" s="2" t="n">
        <v>0</v>
      </c>
      <c r="D618" s="2" t="n">
        <v>0.000161864164569746</v>
      </c>
      <c r="E618" s="2" t="n">
        <v>0</v>
      </c>
    </row>
    <row r="619" customFormat="false" ht="13.8" hidden="false" customHeight="false" outlineLevel="0" collapsed="false">
      <c r="B619" s="2" t="n">
        <v>618</v>
      </c>
      <c r="C619" s="2" t="n">
        <v>0</v>
      </c>
      <c r="D619" s="2" t="n">
        <v>0.000161870783277579</v>
      </c>
      <c r="E619" s="2" t="n">
        <v>0</v>
      </c>
    </row>
    <row r="620" customFormat="false" ht="13.8" hidden="false" customHeight="false" outlineLevel="0" collapsed="false">
      <c r="B620" s="2" t="n">
        <v>619</v>
      </c>
      <c r="C620" s="2" t="n">
        <v>0</v>
      </c>
      <c r="D620" s="2" t="n">
        <v>0.000161877402051599</v>
      </c>
      <c r="E620" s="2" t="n">
        <v>0</v>
      </c>
    </row>
    <row r="621" customFormat="false" ht="13.8" hidden="false" customHeight="false" outlineLevel="0" collapsed="false">
      <c r="B621" s="2" t="n">
        <v>620</v>
      </c>
      <c r="C621" s="2" t="n">
        <v>0</v>
      </c>
      <c r="D621" s="2" t="n">
        <v>0.000161884020891808</v>
      </c>
      <c r="E621" s="2" t="n">
        <v>1.37440327876806E-009</v>
      </c>
    </row>
    <row r="622" customFormat="false" ht="13.8" hidden="false" customHeight="false" outlineLevel="0" collapsed="false">
      <c r="B622" s="2" t="n">
        <v>621</v>
      </c>
      <c r="C622" s="2" t="n">
        <v>0</v>
      </c>
      <c r="D622" s="2" t="n">
        <v>0.000161890639798206</v>
      </c>
      <c r="E622" s="2" t="n">
        <v>2.74882030168176E-009</v>
      </c>
    </row>
    <row r="623" customFormat="false" ht="13.8" hidden="false" customHeight="false" outlineLevel="0" collapsed="false">
      <c r="B623" s="2" t="n">
        <v>622</v>
      </c>
      <c r="C623" s="2" t="n">
        <v>0.0002</v>
      </c>
      <c r="D623" s="2" t="n">
        <v>0.000161897258770794</v>
      </c>
      <c r="E623" s="2" t="n">
        <v>0</v>
      </c>
    </row>
    <row r="624" customFormat="false" ht="13.8" hidden="false" customHeight="false" outlineLevel="0" collapsed="false">
      <c r="B624" s="2" t="n">
        <v>623</v>
      </c>
      <c r="C624" s="2" t="n">
        <v>0</v>
      </c>
      <c r="D624" s="2" t="n">
        <v>0.000161903877809572</v>
      </c>
      <c r="E624" s="2" t="n">
        <v>0</v>
      </c>
    </row>
    <row r="625" customFormat="false" ht="13.8" hidden="false" customHeight="false" outlineLevel="0" collapsed="false">
      <c r="B625" s="2" t="n">
        <v>624</v>
      </c>
      <c r="C625" s="2" t="n">
        <v>0.0002</v>
      </c>
      <c r="D625" s="2" t="n">
        <v>0.000161910496914541</v>
      </c>
      <c r="E625" s="2" t="n">
        <v>0</v>
      </c>
    </row>
    <row r="626" customFormat="false" ht="13.8" hidden="false" customHeight="false" outlineLevel="0" collapsed="false">
      <c r="B626" s="2" t="n">
        <v>625</v>
      </c>
      <c r="C626" s="2" t="n">
        <v>1.00001500019207E-008</v>
      </c>
      <c r="D626" s="2" t="n">
        <v>0.000161917116085702</v>
      </c>
      <c r="E626" s="2" t="n">
        <v>1.37440327876806E-009</v>
      </c>
    </row>
    <row r="627" customFormat="false" ht="13.8" hidden="false" customHeight="false" outlineLevel="0" collapsed="false">
      <c r="B627" s="2" t="n">
        <v>626</v>
      </c>
      <c r="C627" s="2" t="n">
        <v>0.0002</v>
      </c>
      <c r="D627" s="2" t="n">
        <v>0.000161923735323055</v>
      </c>
      <c r="E627" s="2" t="n">
        <v>0</v>
      </c>
    </row>
    <row r="628" customFormat="false" ht="13.8" hidden="false" customHeight="false" outlineLevel="0" collapsed="false">
      <c r="B628" s="2" t="n">
        <v>627</v>
      </c>
      <c r="C628" s="2" t="n">
        <v>2.00005000099698E-008</v>
      </c>
      <c r="D628" s="2" t="n">
        <v>0.000161930354626601</v>
      </c>
      <c r="E628" s="2" t="n">
        <v>0</v>
      </c>
    </row>
    <row r="629" customFormat="false" ht="13.8" hidden="false" customHeight="false" outlineLevel="0" collapsed="false">
      <c r="B629" s="2" t="n">
        <v>628</v>
      </c>
      <c r="C629" s="2" t="n">
        <v>0.00020000500005</v>
      </c>
      <c r="D629" s="2" t="n">
        <v>0.000161936973996341</v>
      </c>
      <c r="E629" s="2" t="n">
        <v>5.00005000045461E-009</v>
      </c>
    </row>
    <row r="630" customFormat="false" ht="13.8" hidden="false" customHeight="false" outlineLevel="0" collapsed="false">
      <c r="B630" s="2" t="n">
        <v>629</v>
      </c>
      <c r="C630" s="2" t="n">
        <v>3.00010500280503E-008</v>
      </c>
      <c r="D630" s="2" t="n">
        <v>0.000161943593432275</v>
      </c>
      <c r="E630" s="2" t="n">
        <v>1.00001500019207E-008</v>
      </c>
    </row>
    <row r="631" customFormat="false" ht="13.8" hidden="false" customHeight="false" outlineLevel="0" collapsed="false">
      <c r="B631" s="2" t="n">
        <v>630</v>
      </c>
      <c r="C631" s="2" t="n">
        <v>0.000200015000300005</v>
      </c>
      <c r="D631" s="2" t="n">
        <v>0.000161950212934405</v>
      </c>
      <c r="E631" s="2" t="n">
        <v>1.50003000049404E-008</v>
      </c>
    </row>
    <row r="632" customFormat="false" ht="13.8" hidden="false" customHeight="false" outlineLevel="0" collapsed="false">
      <c r="B632" s="2" t="n">
        <v>631</v>
      </c>
      <c r="C632" s="2" t="n">
        <v>4.00018000599718E-008</v>
      </c>
      <c r="D632" s="2" t="n">
        <v>0.00016195683250273</v>
      </c>
      <c r="E632" s="2" t="n">
        <v>2.00005000099698E-008</v>
      </c>
    </row>
    <row r="633" customFormat="false" ht="13.8" hidden="false" customHeight="false" outlineLevel="0" collapsed="false">
      <c r="B633" s="2" t="n">
        <v>632</v>
      </c>
      <c r="C633" s="2" t="n">
        <v>4.50022500824484E-008</v>
      </c>
      <c r="D633" s="2" t="n">
        <v>0.000161963452137251</v>
      </c>
      <c r="E633" s="2" t="n">
        <v>2.50007500175285E-008</v>
      </c>
    </row>
    <row r="634" customFormat="false" ht="13.8" hidden="false" customHeight="false" outlineLevel="0" collapsed="false">
      <c r="B634" s="2" t="n">
        <v>633</v>
      </c>
      <c r="C634" s="2" t="n">
        <v>5.00027501099554E-008</v>
      </c>
      <c r="D634" s="2" t="n">
        <v>0.000161970071837969</v>
      </c>
      <c r="E634" s="2" t="n">
        <v>3.00010500280503E-008</v>
      </c>
    </row>
    <row r="635" customFormat="false" ht="13.8" hidden="false" customHeight="false" outlineLevel="0" collapsed="false">
      <c r="B635" s="2" t="n">
        <v>634</v>
      </c>
      <c r="C635" s="2" t="n">
        <v>0.000200035001400042</v>
      </c>
      <c r="D635" s="2" t="n">
        <v>0.000161976691604885</v>
      </c>
      <c r="E635" s="2" t="n">
        <v>3.50014000419837E-008</v>
      </c>
    </row>
    <row r="636" customFormat="false" ht="13.8" hidden="false" customHeight="false" outlineLevel="0" collapsed="false">
      <c r="B636" s="2" t="n">
        <v>635</v>
      </c>
      <c r="C636" s="2" t="n">
        <v>6.00039001819042E-008</v>
      </c>
      <c r="D636" s="2" t="n">
        <v>0.000161983311438</v>
      </c>
      <c r="E636" s="2" t="n">
        <v>4.00018000599718E-008</v>
      </c>
    </row>
    <row r="637" customFormat="false" ht="13.8" hidden="false" customHeight="false" outlineLevel="0" collapsed="false">
      <c r="B637" s="2" t="n">
        <v>636</v>
      </c>
      <c r="C637" s="2" t="n">
        <v>0.000200045002250082</v>
      </c>
      <c r="D637" s="2" t="n">
        <v>0.000161989931337313</v>
      </c>
      <c r="E637" s="2" t="n">
        <v>4.50022500824493E-008</v>
      </c>
    </row>
    <row r="638" customFormat="false" ht="13.8" hidden="false" customHeight="false" outlineLevel="0" collapsed="false">
      <c r="B638" s="2" t="n">
        <v>637</v>
      </c>
      <c r="C638" s="2" t="n">
        <v>7.00052502798296E-008</v>
      </c>
      <c r="D638" s="2" t="n">
        <v>0.000161996551302826</v>
      </c>
      <c r="E638" s="2" t="n">
        <v>5.00027501099554E-008</v>
      </c>
    </row>
    <row r="639" customFormat="false" ht="13.8" hidden="false" customHeight="false" outlineLevel="0" collapsed="false">
      <c r="B639" s="2" t="n">
        <v>638</v>
      </c>
      <c r="C639" s="2" t="n">
        <v>0.000200055003300143</v>
      </c>
      <c r="D639" s="2" t="n">
        <v>0.000162003171334539</v>
      </c>
      <c r="E639" s="2" t="n">
        <v>5.50033001429267E-008</v>
      </c>
    </row>
    <row r="640" customFormat="false" ht="13.8" hidden="false" customHeight="false" outlineLevel="0" collapsed="false">
      <c r="B640" s="2" t="n">
        <v>639</v>
      </c>
      <c r="C640" s="2" t="n">
        <v>0.0013173500296264</v>
      </c>
      <c r="D640" s="2" t="n">
        <v>0.0011173500296264</v>
      </c>
      <c r="E640" s="2" t="n">
        <v>0.0011173580295064</v>
      </c>
    </row>
    <row r="641" customFormat="false" ht="13.8" hidden="false" customHeight="false" outlineLevel="0" collapsed="false">
      <c r="B641" s="2" t="n">
        <v>640</v>
      </c>
      <c r="C641" s="2" t="n">
        <v>0.00131735820320843</v>
      </c>
      <c r="D641" s="2" t="n">
        <v>0.00111735820320843</v>
      </c>
      <c r="E641" s="2" t="n">
        <v>0.00111736420314843</v>
      </c>
    </row>
    <row r="642" customFormat="false" ht="13.8" hidden="false" customHeight="false" outlineLevel="0" collapsed="false">
      <c r="B642" s="2" t="n">
        <v>641</v>
      </c>
      <c r="C642" s="2" t="n">
        <v>0.0013173663768722</v>
      </c>
      <c r="D642" s="2" t="n">
        <v>0.0011173663768722</v>
      </c>
      <c r="E642" s="2" t="n">
        <v>0.0011173703768522</v>
      </c>
    </row>
    <row r="643" customFormat="false" ht="13.8" hidden="false" customHeight="false" outlineLevel="0" collapsed="false">
      <c r="B643" s="2" t="n">
        <v>642</v>
      </c>
      <c r="C643" s="2" t="n">
        <v>0.0013173745506177</v>
      </c>
      <c r="D643" s="2" t="n">
        <v>0.0011173745506177</v>
      </c>
      <c r="E643" s="2" t="n">
        <v>0.0011173765506177</v>
      </c>
    </row>
    <row r="644" customFormat="false" ht="13.8" hidden="false" customHeight="false" outlineLevel="0" collapsed="false">
      <c r="B644" s="2" t="n">
        <v>643</v>
      </c>
      <c r="C644" s="2" t="n">
        <v>0.00131738272444495</v>
      </c>
      <c r="D644" s="2" t="n">
        <v>0.00111738272444495</v>
      </c>
      <c r="E644" s="2" t="n">
        <v>0.00111738272444495</v>
      </c>
    </row>
    <row r="645" customFormat="false" ht="13.8" hidden="false" customHeight="false" outlineLevel="0" collapsed="false">
      <c r="B645" s="2" t="n">
        <v>644</v>
      </c>
      <c r="C645" s="2" t="n">
        <v>0.00131738889833393</v>
      </c>
      <c r="D645" s="2" t="n">
        <v>0.00111738889833393</v>
      </c>
      <c r="E645" s="2" t="n">
        <v>0.00111738889833393</v>
      </c>
    </row>
    <row r="646" customFormat="false" ht="13.8" hidden="false" customHeight="false" outlineLevel="0" collapsed="false">
      <c r="B646" s="2" t="n">
        <v>645</v>
      </c>
      <c r="C646" s="2" t="n">
        <v>0.00131739507228465</v>
      </c>
      <c r="D646" s="2" t="n">
        <v>0.00111739507228465</v>
      </c>
      <c r="E646" s="2" t="n">
        <v>0.00111739507228465</v>
      </c>
    </row>
    <row r="647" customFormat="false" ht="13.8" hidden="false" customHeight="false" outlineLevel="0" collapsed="false">
      <c r="B647" s="2" t="n">
        <v>646</v>
      </c>
      <c r="C647" s="2" t="n">
        <v>0.00131740124629712</v>
      </c>
      <c r="D647" s="2" t="n">
        <v>0.00111740124629712</v>
      </c>
      <c r="E647" s="2" t="n">
        <v>0.00111740124629712</v>
      </c>
    </row>
    <row r="648" customFormat="false" ht="13.8" hidden="false" customHeight="false" outlineLevel="0" collapsed="false">
      <c r="B648" s="2" t="n">
        <v>647</v>
      </c>
      <c r="C648" s="2" t="n">
        <v>0.00131740742037132</v>
      </c>
      <c r="D648" s="2" t="n">
        <v>0.00111740742037132</v>
      </c>
      <c r="E648" s="2" t="n">
        <v>0.00111740742037132</v>
      </c>
    </row>
    <row r="649" customFormat="false" ht="13.8" hidden="false" customHeight="false" outlineLevel="0" collapsed="false">
      <c r="B649" s="2" t="n">
        <v>648</v>
      </c>
      <c r="C649" s="2" t="n">
        <v>0.00131741359450727</v>
      </c>
      <c r="D649" s="2" t="n">
        <v>0.00111741359450727</v>
      </c>
      <c r="E649" s="2" t="n">
        <v>0.00111741359450727</v>
      </c>
    </row>
    <row r="650" customFormat="false" ht="13.8" hidden="false" customHeight="false" outlineLevel="0" collapsed="false">
      <c r="B650" s="2" t="n">
        <v>649</v>
      </c>
      <c r="C650" s="2" t="n">
        <v>0.00131741976870495</v>
      </c>
      <c r="D650" s="2" t="n">
        <v>0.00111741976870495</v>
      </c>
      <c r="E650" s="2" t="n">
        <v>0.00111741976870495</v>
      </c>
    </row>
    <row r="651" customFormat="false" ht="13.8" hidden="false" customHeight="false" outlineLevel="0" collapsed="false">
      <c r="B651" s="2" t="n">
        <v>650</v>
      </c>
      <c r="C651" s="2" t="n">
        <v>0.00131742594296438</v>
      </c>
      <c r="D651" s="2" t="n">
        <v>0.00131738594676415</v>
      </c>
      <c r="E651" s="2" t="n">
        <v>0.00111742594296438</v>
      </c>
    </row>
    <row r="652" customFormat="false" ht="13.8" hidden="false" customHeight="false" outlineLevel="0" collapsed="false">
      <c r="B652" s="2" t="n">
        <v>651</v>
      </c>
      <c r="C652" s="2" t="n">
        <v>0.00131743211728556</v>
      </c>
      <c r="D652" s="2" t="n">
        <v>0.00131739412070536</v>
      </c>
      <c r="E652" s="2" t="n">
        <v>0.00111743211728556</v>
      </c>
    </row>
    <row r="653" customFormat="false" ht="13.8" hidden="false" customHeight="false" outlineLevel="0" collapsed="false">
      <c r="B653" s="2" t="n">
        <v>652</v>
      </c>
      <c r="C653" s="2" t="n">
        <v>0.00131743829166847</v>
      </c>
      <c r="D653" s="2" t="n">
        <v>0.00131740229472831</v>
      </c>
      <c r="E653" s="2" t="n">
        <v>0.00111743829166847</v>
      </c>
    </row>
    <row r="654" customFormat="false" ht="13.8" hidden="false" customHeight="false" outlineLevel="0" collapsed="false">
      <c r="B654" s="2" t="n">
        <v>653</v>
      </c>
      <c r="C654" s="2" t="n">
        <v>0.00131744391635732</v>
      </c>
      <c r="D654" s="2" t="n">
        <v>0.001317410468833</v>
      </c>
      <c r="E654" s="2" t="n">
        <v>0.00111744446611313</v>
      </c>
    </row>
    <row r="655" customFormat="false" ht="13.8" hidden="false" customHeight="false" outlineLevel="0" collapsed="false">
      <c r="B655" s="2" t="n">
        <v>654</v>
      </c>
      <c r="C655" s="2" t="n">
        <v>0.00131745064061954</v>
      </c>
      <c r="D655" s="2" t="n">
        <v>0.00131741864301943</v>
      </c>
      <c r="E655" s="2" t="n">
        <v>0.00111745064061954</v>
      </c>
    </row>
    <row r="656" customFormat="false" ht="13.8" hidden="false" customHeight="false" outlineLevel="0" collapsed="false">
      <c r="B656" s="2" t="n">
        <v>655</v>
      </c>
      <c r="C656" s="2" t="n">
        <v>0.00131745681518769</v>
      </c>
      <c r="D656" s="2" t="n">
        <v>0.0013174268172876</v>
      </c>
      <c r="E656" s="2" t="n">
        <v>0.00111745681518769</v>
      </c>
    </row>
    <row r="657" customFormat="false" ht="13.8" hidden="false" customHeight="false" outlineLevel="0" collapsed="false">
      <c r="B657" s="2" t="n">
        <v>656</v>
      </c>
      <c r="C657" s="2" t="n">
        <v>0.00131746298981759</v>
      </c>
      <c r="D657" s="2" t="n">
        <v>0.00131743499163752</v>
      </c>
      <c r="E657" s="2" t="n">
        <v>0.00111746298981759</v>
      </c>
    </row>
    <row r="658" customFormat="false" ht="13.8" hidden="false" customHeight="false" outlineLevel="0" collapsed="false">
      <c r="B658" s="2" t="n">
        <v>657</v>
      </c>
      <c r="C658" s="2" t="n">
        <v>0.00131746916450923</v>
      </c>
      <c r="D658" s="2" t="n">
        <v>0.00131744316606918</v>
      </c>
      <c r="E658" s="2" t="n">
        <v>0.00111746916450923</v>
      </c>
    </row>
    <row r="659" customFormat="false" ht="13.8" hidden="false" customHeight="false" outlineLevel="0" collapsed="false">
      <c r="B659" s="2" t="n">
        <v>658</v>
      </c>
      <c r="C659" s="2" t="n">
        <v>0.00131747533926263</v>
      </c>
      <c r="D659" s="2" t="n">
        <v>0.00131745134058258</v>
      </c>
      <c r="E659" s="2" t="n">
        <v>0.00111747533926263</v>
      </c>
    </row>
    <row r="660" customFormat="false" ht="13.8" hidden="false" customHeight="false" outlineLevel="0" collapsed="false">
      <c r="B660" s="2" t="n">
        <v>659</v>
      </c>
      <c r="C660" s="2" t="n">
        <v>0.00131748151407777</v>
      </c>
      <c r="D660" s="2" t="n">
        <v>0.00131745951517773</v>
      </c>
      <c r="E660" s="2" t="n">
        <v>0.00111748151407777</v>
      </c>
    </row>
    <row r="661" customFormat="false" ht="13.8" hidden="false" customHeight="false" outlineLevel="0" collapsed="false">
      <c r="B661" s="2" t="n">
        <v>660</v>
      </c>
      <c r="C661" s="2" t="n">
        <v>0.00131748768895466</v>
      </c>
      <c r="D661" s="2" t="n">
        <v>0.00131746768985463</v>
      </c>
      <c r="E661" s="2" t="n">
        <v>0.00111748768895466</v>
      </c>
    </row>
    <row r="662" customFormat="false" ht="13.8" hidden="false" customHeight="false" outlineLevel="0" collapsed="false">
      <c r="B662" s="2" t="n">
        <v>661</v>
      </c>
      <c r="C662" s="2" t="n">
        <v>0.0013174938638933</v>
      </c>
      <c r="D662" s="2" t="n">
        <v>0.00131747586461328</v>
      </c>
      <c r="E662" s="2" t="n">
        <v>0.0011174938638933</v>
      </c>
    </row>
    <row r="663" customFormat="false" ht="13.8" hidden="false" customHeight="false" outlineLevel="0" collapsed="false">
      <c r="B663" s="2" t="n">
        <v>662</v>
      </c>
      <c r="C663" s="2" t="n">
        <v>0.00131750003889368</v>
      </c>
      <c r="D663" s="2" t="n">
        <v>0.00131748403945367</v>
      </c>
      <c r="E663" s="2" t="n">
        <v>0.00111750003889368</v>
      </c>
    </row>
    <row r="664" customFormat="false" ht="13.8" hidden="false" customHeight="false" outlineLevel="0" collapsed="false">
      <c r="B664" s="2" t="n">
        <v>663</v>
      </c>
      <c r="C664" s="2" t="n">
        <v>0.00131750566420001</v>
      </c>
      <c r="D664" s="2" t="n">
        <v>0.00131749221437582</v>
      </c>
      <c r="E664" s="2" t="n">
        <v>0.00111750621395582</v>
      </c>
    </row>
    <row r="665" customFormat="false" ht="13.8" hidden="false" customHeight="false" outlineLevel="0" collapsed="false">
      <c r="B665" s="2" t="n">
        <v>664</v>
      </c>
      <c r="C665" s="2" t="n">
        <v>0.00131751238907972</v>
      </c>
      <c r="D665" s="2" t="n">
        <v>0.00131750038937971</v>
      </c>
      <c r="E665" s="2" t="n">
        <v>0.00111751238907971</v>
      </c>
    </row>
    <row r="666" customFormat="false" ht="13.8" hidden="false" customHeight="false" outlineLevel="0" collapsed="false">
      <c r="B666" s="2" t="n">
        <v>665</v>
      </c>
      <c r="C666" s="2" t="n">
        <v>0.00131751856426536</v>
      </c>
      <c r="D666" s="2" t="n">
        <v>0.00131750856446536</v>
      </c>
      <c r="E666" s="2" t="n">
        <v>0.00111751856426536</v>
      </c>
    </row>
    <row r="667" customFormat="false" ht="13.8" hidden="false" customHeight="false" outlineLevel="0" collapsed="false">
      <c r="B667" s="2" t="n">
        <v>666</v>
      </c>
      <c r="C667" s="2" t="n">
        <v>0.00131752473951275</v>
      </c>
      <c r="D667" s="2" t="n">
        <v>0.00131751673963275</v>
      </c>
      <c r="E667" s="2" t="n">
        <v>0.00111752473951275</v>
      </c>
    </row>
    <row r="668" customFormat="false" ht="13.8" hidden="false" customHeight="false" outlineLevel="0" collapsed="false">
      <c r="B668" s="2" t="n">
        <v>667</v>
      </c>
      <c r="C668" s="2" t="n">
        <v>0.0013175309148219</v>
      </c>
      <c r="D668" s="2" t="n">
        <v>0.0013175249148819</v>
      </c>
      <c r="E668" s="2" t="n">
        <v>0.0011175309148219</v>
      </c>
    </row>
    <row r="669" customFormat="false" ht="13.8" hidden="false" customHeight="false" outlineLevel="0" collapsed="false">
      <c r="B669" s="2" t="n">
        <v>668</v>
      </c>
      <c r="C669" s="2" t="n">
        <v>0.0013175370901928</v>
      </c>
      <c r="D669" s="2" t="n">
        <v>0.0013175330902128</v>
      </c>
      <c r="E669" s="2" t="n">
        <v>0.0011175370901928</v>
      </c>
    </row>
    <row r="670" customFormat="false" ht="13.8" hidden="false" customHeight="false" outlineLevel="0" collapsed="false">
      <c r="B670" s="2" t="n">
        <v>669</v>
      </c>
      <c r="C670" s="2" t="n">
        <v>0.00131754326562546</v>
      </c>
      <c r="D670" s="2" t="n">
        <v>0.00131754126562546</v>
      </c>
      <c r="E670" s="2" t="n">
        <v>0.00111754326562546</v>
      </c>
    </row>
    <row r="671" customFormat="false" ht="13.8" hidden="false" customHeight="false" outlineLevel="0" collapsed="false">
      <c r="B671" s="2" t="n">
        <v>670</v>
      </c>
      <c r="C671" s="2" t="n">
        <v>0.00131754944111987</v>
      </c>
      <c r="D671" s="2" t="n">
        <v>0.00131754944111987</v>
      </c>
      <c r="E671" s="2" t="n">
        <v>0.00111754944111987</v>
      </c>
    </row>
    <row r="672" customFormat="false" ht="13.8" hidden="false" customHeight="false" outlineLevel="0" collapsed="false">
      <c r="B672" s="2" t="n">
        <v>671</v>
      </c>
      <c r="C672" s="2" t="n">
        <v>0.00131755561667604</v>
      </c>
      <c r="D672" s="2" t="n">
        <v>0.00131755561667604</v>
      </c>
      <c r="E672" s="2" t="n">
        <v>0.00111755561667604</v>
      </c>
    </row>
    <row r="673" customFormat="false" ht="13.8" hidden="false" customHeight="false" outlineLevel="0" collapsed="false">
      <c r="B673" s="2" t="n">
        <v>672</v>
      </c>
      <c r="C673" s="2" t="n">
        <v>0.0005</v>
      </c>
      <c r="D673" s="2" t="n">
        <v>0.0005</v>
      </c>
      <c r="E673" s="2" t="n">
        <v>0.0005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2024-03-21T10:19:05Z</dcterms:created>
  <dc:creator>Ida Fuchs</dc:creator>
  <dc:description/>
  <dc:language>en-US</dc:language>
  <cp:lastModifiedBy/>
  <dcterms:modified xsi:type="dcterms:W3CDTF">2025-11-23T19:38:41Z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0x010100E60DA9F6DF9B4248A5FF8CC251C47EBC</vt:lpwstr>
  </property>
</Properties>
</file>